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Ex3.xml" ContentType="application/vnd.ms-office.chartex+xml"/>
  <Override PartName="/xl/charts/style4.xml" ContentType="application/vnd.ms-office.chartstyle+xml"/>
  <Override PartName="/xl/charts/colors4.xml" ContentType="application/vnd.ms-office.chartcolorstyle+xml"/>
  <Override PartName="/xl/charts/chartEx4.xml" ContentType="application/vnd.ms-office.chartex+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2.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820E18A0-3CA8-4E9A-98E7-BD3B72C6AB08}" xr6:coauthVersionLast="47" xr6:coauthVersionMax="47" xr10:uidLastSave="{00000000-0000-0000-0000-000000000000}"/>
  <bookViews>
    <workbookView xWindow="-110" yWindow="-110" windowWidth="19420" windowHeight="10300" xr2:uid="{56EFF514-1B5F-450B-93C8-085AF8643F10}"/>
  </bookViews>
  <sheets>
    <sheet name="Raw Data&amp; 2.1.1" sheetId="1" r:id="rId1"/>
    <sheet name="1. Dataset and task decription" sheetId="8" r:id="rId2"/>
    <sheet name="2.1.2 Descriptive Analytics" sheetId="3" r:id="rId3"/>
    <sheet name="2.2.Numerical Variables" sheetId="4" r:id="rId4"/>
    <sheet name="2.2.3. Box Plot" sheetId="5" r:id="rId5"/>
    <sheet name="3.Simple Linear Regression" sheetId="6" r:id="rId6"/>
  </sheets>
  <definedNames>
    <definedName name="_xlchart.v1.0" hidden="1">'Raw Data&amp; 2.1.1'!$K$2:$K$5000</definedName>
    <definedName name="_xlchart.v1.1" hidden="1">'Raw Data&amp; 2.1.1'!$J$1</definedName>
    <definedName name="_xlchart.v1.2" hidden="1">'Raw Data&amp; 2.1.1'!$J$2:$J$5000</definedName>
    <definedName name="_xlchart.v1.3" hidden="1">'Raw Data&amp; 2.1.1'!$J$2:$J$5000</definedName>
    <definedName name="_xlchart.v1.4" hidden="1">'Raw Data&amp; 2.1.1'!$K$2:$K$5000</definedName>
  </definedNames>
  <calcPr calcId="191028"/>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6" l="1"/>
  <c r="E3" i="4"/>
  <c r="C3" i="4"/>
  <c r="E20" i="5"/>
  <c r="E21" i="5" s="1"/>
  <c r="E22" i="5" s="1"/>
  <c r="G6" i="4"/>
  <c r="G5" i="4"/>
  <c r="G4" i="4"/>
  <c r="F6" i="4"/>
  <c r="F5" i="4"/>
  <c r="F4" i="4"/>
  <c r="E6" i="4"/>
  <c r="E5" i="4"/>
  <c r="E4" i="4"/>
  <c r="M20" i="5" s="1"/>
  <c r="D5" i="4"/>
  <c r="D6" i="4"/>
  <c r="D4" i="4"/>
  <c r="C6" i="4"/>
  <c r="C5" i="4"/>
  <c r="C4" i="4"/>
  <c r="M19" i="5" s="1"/>
  <c r="B6" i="4"/>
  <c r="B5" i="4"/>
  <c r="B4" i="4"/>
  <c r="B3" i="4"/>
  <c r="D3" i="4"/>
  <c r="F3" i="4"/>
  <c r="E24" i="5" s="1"/>
  <c r="G3" i="4"/>
  <c r="Q15" i="1"/>
  <c r="O16" i="1"/>
  <c r="O15" i="1"/>
  <c r="P15" i="1" s="1"/>
  <c r="O14" i="1"/>
  <c r="P14" i="1" s="1"/>
  <c r="N14" i="1" a="1"/>
  <c r="N14" i="1" s="1"/>
  <c r="O5" i="1"/>
  <c r="Q7" i="1" s="1"/>
  <c r="R7" i="1" s="1"/>
  <c r="O9" i="1"/>
  <c r="O8" i="1"/>
  <c r="O7" i="1"/>
  <c r="O6" i="1"/>
  <c r="P6" i="1" s="1"/>
  <c r="N5" i="1" a="1"/>
  <c r="N5" i="1" s="1"/>
  <c r="P7" i="1" l="1"/>
  <c r="P8" i="1"/>
  <c r="P16" i="1"/>
  <c r="P5" i="1"/>
  <c r="Q8" i="1"/>
  <c r="R8" i="1" s="1"/>
  <c r="Q14" i="1"/>
  <c r="Q6" i="1"/>
  <c r="R6" i="1" s="1"/>
  <c r="M24" i="5"/>
  <c r="M21" i="5"/>
  <c r="M23" i="5" s="1"/>
  <c r="P9" i="1"/>
  <c r="Q9" i="1"/>
  <c r="R9" i="1" s="1"/>
  <c r="Q16" i="1"/>
  <c r="R16" i="1" s="1"/>
  <c r="Q5" i="1"/>
  <c r="R5" i="1" s="1"/>
  <c r="E23" i="5"/>
  <c r="M22" i="5" l="1"/>
  <c r="R15" i="1"/>
  <c r="R1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<sst xmlns="http://schemas.openxmlformats.org/spreadsheetml/2006/main" count="30073" uniqueCount="176">
  <si>
    <t>Retailer</t>
  </si>
  <si>
    <t>Retailer ID</t>
  </si>
  <si>
    <t>Invoice Date</t>
  </si>
  <si>
    <t>Region</t>
  </si>
  <si>
    <t>State</t>
  </si>
  <si>
    <t>City</t>
  </si>
  <si>
    <t>Product</t>
  </si>
  <si>
    <t>Price per Unit</t>
  </si>
  <si>
    <t>Units Sold</t>
  </si>
  <si>
    <t>Total Sales</t>
  </si>
  <si>
    <t>Operating Profit</t>
  </si>
  <si>
    <t>Sales Method</t>
  </si>
  <si>
    <t>Walmart</t>
  </si>
  <si>
    <t>Southeast</t>
  </si>
  <si>
    <t>Florida</t>
  </si>
  <si>
    <t>Orlando</t>
  </si>
  <si>
    <t>Women's Apparel</t>
  </si>
  <si>
    <t>Online</t>
  </si>
  <si>
    <t>West Gear</t>
  </si>
  <si>
    <t>South</t>
  </si>
  <si>
    <t>Louisiana</t>
  </si>
  <si>
    <t>New Orleans</t>
  </si>
  <si>
    <t>Table 2.1.1(Region)</t>
  </si>
  <si>
    <t>Sports Direct</t>
  </si>
  <si>
    <t>Alabama</t>
  </si>
  <si>
    <t>Birmingham</t>
  </si>
  <si>
    <t>Men's Street Footwear</t>
  </si>
  <si>
    <t>Outlet</t>
  </si>
  <si>
    <t>Frequency</t>
  </si>
  <si>
    <t xml:space="preserve">Relative Frequency </t>
  </si>
  <si>
    <t>Cumulative Frequency</t>
  </si>
  <si>
    <t xml:space="preserve">Cumulative Relative Frequency </t>
  </si>
  <si>
    <t>Women's Street Footwear</t>
  </si>
  <si>
    <t>Midwest</t>
  </si>
  <si>
    <t>Missouri</t>
  </si>
  <si>
    <t>St. Louis</t>
  </si>
  <si>
    <t>In-store</t>
  </si>
  <si>
    <t>Mississippi</t>
  </si>
  <si>
    <t>Jackson</t>
  </si>
  <si>
    <t>Men's Athletic Footwear</t>
  </si>
  <si>
    <t>Wisconsin</t>
  </si>
  <si>
    <t>Milwaukee</t>
  </si>
  <si>
    <t>Foot Locker</t>
  </si>
  <si>
    <t>Northeast</t>
  </si>
  <si>
    <t>New York</t>
  </si>
  <si>
    <t>Michigan</t>
  </si>
  <si>
    <t>Detroit</t>
  </si>
  <si>
    <t>Table 2.1.1(Sales Method)</t>
  </si>
  <si>
    <t>West</t>
  </si>
  <si>
    <t>Utah</t>
  </si>
  <si>
    <t>Salt Lake City</t>
  </si>
  <si>
    <t>Amazon</t>
  </si>
  <si>
    <t>Ohio</t>
  </si>
  <si>
    <t>Columbus</t>
  </si>
  <si>
    <t>Arkansas</t>
  </si>
  <si>
    <t>Little Rock</t>
  </si>
  <si>
    <t>Women's Athletic Footwear</t>
  </si>
  <si>
    <t>Georgia</t>
  </si>
  <si>
    <t>Atlanta</t>
  </si>
  <si>
    <t>Texas</t>
  </si>
  <si>
    <t>Houston</t>
  </si>
  <si>
    <t>Oklahoma</t>
  </si>
  <si>
    <t>Oklahoma City</t>
  </si>
  <si>
    <t>Kohl's</t>
  </si>
  <si>
    <t>West Virginia</t>
  </si>
  <si>
    <t>Charleston</t>
  </si>
  <si>
    <t>California</t>
  </si>
  <si>
    <t>San Francisco</t>
  </si>
  <si>
    <t>Dallas</t>
  </si>
  <si>
    <t>South Carolina</t>
  </si>
  <si>
    <t>Men's Apparel</t>
  </si>
  <si>
    <t>Kansas</t>
  </si>
  <si>
    <t>Wichita</t>
  </si>
  <si>
    <t>Miami</t>
  </si>
  <si>
    <t>Tennessee</t>
  </si>
  <si>
    <t>Knoxville</t>
  </si>
  <si>
    <t>Los Angeles</t>
  </si>
  <si>
    <t>North Carolina</t>
  </si>
  <si>
    <t>Charlotte</t>
  </si>
  <si>
    <t>Idaho</t>
  </si>
  <si>
    <t>Boise</t>
  </si>
  <si>
    <t>Indiana</t>
  </si>
  <si>
    <t>Indianapolis</t>
  </si>
  <si>
    <t>New Jersey</t>
  </si>
  <si>
    <t>Newark</t>
  </si>
  <si>
    <t>Oregon</t>
  </si>
  <si>
    <t>Portland</t>
  </si>
  <si>
    <t>South Dakota</t>
  </si>
  <si>
    <t>Sioux Falls</t>
  </si>
  <si>
    <t>North Dakota</t>
  </si>
  <si>
    <t>Fargo</t>
  </si>
  <si>
    <t>Iowa</t>
  </si>
  <si>
    <t>Des Moines</t>
  </si>
  <si>
    <t>Maryland</t>
  </si>
  <si>
    <t>Baltimore</t>
  </si>
  <si>
    <t>Delaware</t>
  </si>
  <si>
    <t>Wilmington</t>
  </si>
  <si>
    <t>Washington</t>
  </si>
  <si>
    <t>Seattle</t>
  </si>
  <si>
    <t>Virginia</t>
  </si>
  <si>
    <t>Richmond</t>
  </si>
  <si>
    <t>Albany</t>
  </si>
  <si>
    <t>Wyoming</t>
  </si>
  <si>
    <t>Cheyenne</t>
  </si>
  <si>
    <t>Minnesota</t>
  </si>
  <si>
    <t>Minneapolis</t>
  </si>
  <si>
    <t>Kentucky</t>
  </si>
  <si>
    <t>Louisville</t>
  </si>
  <si>
    <t>Connecticut</t>
  </si>
  <si>
    <t>Hartford</t>
  </si>
  <si>
    <t>Rhode Island</t>
  </si>
  <si>
    <t>Providence</t>
  </si>
  <si>
    <t>Massachusetts</t>
  </si>
  <si>
    <t>Boston</t>
  </si>
  <si>
    <t>New Mexico</t>
  </si>
  <si>
    <t>Albuquerque</t>
  </si>
  <si>
    <t>Nevada</t>
  </si>
  <si>
    <t>Las Vegas</t>
  </si>
  <si>
    <t>Illinois</t>
  </si>
  <si>
    <t>Chicago</t>
  </si>
  <si>
    <t>Nebraska</t>
  </si>
  <si>
    <t>Omaha</t>
  </si>
  <si>
    <t>Maine</t>
  </si>
  <si>
    <t>Arizona</t>
  </si>
  <si>
    <t>Phoenix</t>
  </si>
  <si>
    <t>Vermont</t>
  </si>
  <si>
    <t>Burlington</t>
  </si>
  <si>
    <t>New Hampshire</t>
  </si>
  <si>
    <t>Manchester</t>
  </si>
  <si>
    <t>Hawaii</t>
  </si>
  <si>
    <t>Honolulu</t>
  </si>
  <si>
    <t>Montana</t>
  </si>
  <si>
    <t>Billings</t>
  </si>
  <si>
    <t>Colorado</t>
  </si>
  <si>
    <t>Denver</t>
  </si>
  <si>
    <t>Pennsylvania</t>
  </si>
  <si>
    <t>Philadelphia</t>
  </si>
  <si>
    <t>Alaska</t>
  </si>
  <si>
    <t>Anchorage</t>
  </si>
  <si>
    <t>Average of Operating Profit</t>
  </si>
  <si>
    <t>58-2057</t>
  </si>
  <si>
    <t>2058-4057</t>
  </si>
  <si>
    <t>4058-6057</t>
  </si>
  <si>
    <t>6058-8057</t>
  </si>
  <si>
    <t>8058-10057</t>
  </si>
  <si>
    <t>Grand Total</t>
  </si>
  <si>
    <t>Table 2.2.1 (Numerical Variables – Summary Statistics)</t>
  </si>
  <si>
    <t>Variable</t>
  </si>
  <si>
    <t>Min</t>
  </si>
  <si>
    <t>Q1(25%)</t>
  </si>
  <si>
    <t>Q2(Median)</t>
  </si>
  <si>
    <t>Q3 (75%)</t>
  </si>
  <si>
    <t>Q4 (Max)</t>
  </si>
  <si>
    <t>Mean</t>
  </si>
  <si>
    <t>Box Plot 1:Table Sales</t>
  </si>
  <si>
    <t>Box Plot 2: Operating Profit</t>
  </si>
  <si>
    <t>Q1</t>
  </si>
  <si>
    <t>Q3</t>
  </si>
  <si>
    <t>IQR</t>
  </si>
  <si>
    <t>Lower</t>
  </si>
  <si>
    <t>Upper</t>
  </si>
  <si>
    <t>Range</t>
  </si>
  <si>
    <t>Statistic</t>
  </si>
  <si>
    <t>Value</t>
  </si>
  <si>
    <t>Interpretation</t>
  </si>
  <si>
    <t>Equation</t>
  </si>
  <si>
    <t>y = 0.3447x + 81.298</t>
  </si>
  <si>
    <t>Linear relationship between profit and sales</t>
  </si>
  <si>
    <t xml:space="preserve">R² </t>
  </si>
  <si>
    <t>94.93% of sales variation explained by profit</t>
  </si>
  <si>
    <t>Correlation (r)</t>
  </si>
  <si>
    <t>Strong positive linear relationship</t>
  </si>
  <si>
    <t>Slope</t>
  </si>
  <si>
    <t>For every $1 increase in sales, profit rise by $0.3447</t>
  </si>
  <si>
    <t>Intercept</t>
  </si>
  <si>
    <t>When sales = 0, predicted profit ≈ $81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</si>
</sst>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0.000"/>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61">
    <xf numFmtId="0" fontId="0" fillId="0" borderId="0" xfId="0"/>
    <xf numFmtId="14" fontId="0" fillId="0" borderId="0" xfId="0" applyNumberFormat="1"/>
    <xf numFmtId="8" fontId="0" fillId="0" borderId="0" xfId="0" applyNumberFormat="1"/>
    <xf numFmtId="3" fontId="0" fillId="0" borderId="0" xfId="0" applyNumberFormat="1"/>
    <xf numFmtId="6" fontId="0" fillId="0" borderId="0" xfId="0" applyNumberFormat="1"/>
    <xf numFmtId="164" fontId="0" fillId="0" borderId="0" xfId="0" applyNumberFormat="1"/>
    <xf numFmtId="0" fontId="0" fillId="0" borderId="0" xfId="0" applyAlignment="1">
      <alignment horizontal="center"/>
    </xf>
    <xf numFmtId="0" fontId="1" fillId="0" borderId="0" xfId="0" applyFont="1"/>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center"/>
    </xf>
    <xf numFmtId="2" fontId="0" fillId="0" borderId="8" xfId="0" applyNumberForma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2" fontId="0" fillId="0" borderId="11" xfId="0" applyNumberFormat="1" applyBorder="1" applyAlignment="1">
      <alignment horizontal="center"/>
    </xf>
    <xf numFmtId="0" fontId="0" fillId="0" borderId="1" xfId="0" applyBorder="1"/>
    <xf numFmtId="0" fontId="1" fillId="0" borderId="1" xfId="0" applyFont="1" applyBorder="1"/>
    <xf numFmtId="0" fontId="0" fillId="2" borderId="0" xfId="0" applyFill="1"/>
    <xf numFmtId="6" fontId="0" fillId="0" borderId="1" xfId="0" applyNumberFormat="1" applyBorder="1"/>
    <xf numFmtId="164" fontId="0" fillId="0" borderId="1" xfId="0" applyNumberFormat="1" applyBorder="1"/>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1" xfId="0" applyFont="1" applyFill="1" applyBorder="1" applyAlignment="1">
      <alignment horizontal="center"/>
    </xf>
    <xf numFmtId="0" fontId="0" fillId="3" borderId="15" xfId="0" applyFill="1" applyBorder="1"/>
    <xf numFmtId="0" fontId="0" fillId="3" borderId="1" xfId="0" applyFill="1" applyBorder="1"/>
    <xf numFmtId="6" fontId="0" fillId="3" borderId="1" xfId="0" applyNumberFormat="1" applyFill="1" applyBorder="1"/>
    <xf numFmtId="0" fontId="1" fillId="3" borderId="15" xfId="0" applyFont="1" applyFill="1" applyBorder="1"/>
    <xf numFmtId="0" fontId="1" fillId="3" borderId="1" xfId="0" applyFont="1" applyFill="1" applyBorder="1"/>
    <xf numFmtId="0" fontId="1" fillId="3" borderId="4" xfId="0" applyFont="1" applyFill="1" applyBorder="1"/>
    <xf numFmtId="0" fontId="1" fillId="3" borderId="3" xfId="0" applyFont="1" applyFill="1" applyBorder="1"/>
    <xf numFmtId="0" fontId="1" fillId="4" borderId="0" xfId="0" applyFont="1" applyFill="1"/>
    <xf numFmtId="0" fontId="1" fillId="3" borderId="15" xfId="0" applyFont="1" applyFill="1" applyBorder="1" applyAlignment="1">
      <alignment horizontal="center"/>
    </xf>
    <xf numFmtId="0" fontId="0" fillId="0" borderId="0" xfId="0"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1" xfId="0"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3" fontId="0" fillId="0" borderId="2" xfId="0" applyNumberFormat="1" applyBorder="1" applyAlignment="1">
      <alignment horizontal="center"/>
    </xf>
    <xf numFmtId="3" fontId="0" fillId="0" borderId="4" xfId="0" applyNumberFormat="1" applyBorder="1" applyAlignment="1">
      <alignment horizontal="center"/>
    </xf>
    <xf numFmtId="3" fontId="0" fillId="0" borderId="1" xfId="0" applyNumberFormat="1" applyBorder="1" applyAlignment="1">
      <alignment horizontal="center"/>
    </xf>
    <xf numFmtId="0" fontId="1" fillId="0" borderId="12" xfId="0" applyFont="1" applyBorder="1" applyAlignment="1">
      <alignment horizontal="left"/>
    </xf>
    <xf numFmtId="0" fontId="1" fillId="0" borderId="13" xfId="0" applyFont="1"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1" fillId="0" borderId="7" xfId="0" applyFont="1" applyBorder="1" applyAlignment="1">
      <alignment horizontal="left"/>
    </xf>
    <xf numFmtId="0" fontId="1" fillId="0" borderId="8" xfId="0" applyFont="1" applyBorder="1" applyAlignment="1">
      <alignment horizontal="left"/>
    </xf>
    <xf numFmtId="0" fontId="0" fillId="0" borderId="7" xfId="0" applyBorder="1" applyAlignment="1">
      <alignment horizontal="center"/>
    </xf>
    <xf numFmtId="0" fontId="0" fillId="0" borderId="8" xfId="0" applyBorder="1" applyAlignment="1">
      <alignment horizontal="center"/>
    </xf>
    <xf numFmtId="0" fontId="1" fillId="0" borderId="9" xfId="0" applyFont="1" applyBorder="1" applyAlignment="1">
      <alignment horizontal="left"/>
    </xf>
    <xf numFmtId="0" fontId="1" fillId="0" borderId="11" xfId="0" applyFont="1" applyBorder="1" applyAlignment="1">
      <alignment horizontal="left"/>
    </xf>
    <xf numFmtId="0" fontId="0" fillId="0" borderId="9" xfId="0" applyBorder="1" applyAlignment="1">
      <alignment horizontal="center"/>
    </xf>
    <xf numFmtId="0" fontId="0" fillId="0" borderId="11" xfId="0" applyBorder="1" applyAlignment="1">
      <alignment horizontal="center"/>
    </xf>
    <xf numFmtId="0" fontId="0" fillId="0" borderId="10" xfId="0" applyBorder="1" applyAlignment="1">
      <alignment horizontal="center"/>
    </xf>
  </cellXfs>
  <cellStyles count="1">
    <cellStyle name="Normal" xfId="0" builtinId="0"/>
  </cellStyles>
  <dxfs count="28">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'Raw Data&amp; 2.1.1'!$J$2:$J$5000</c:f>
              <c:numCache>
                <c:formatCode>#,##0</c:formatCode>
                <c:ptCount val="4999"/>
                <c:pt idx="0">
                  <c:v>2245</c:v>
                </c:pt>
                <c:pt idx="1">
                  <c:v>1679</c:v>
                </c:pt>
                <c:pt idx="2">
                  <c:v>7000</c:v>
                </c:pt>
                <c:pt idx="3">
                  <c:v>8625</c:v>
                </c:pt>
                <c:pt idx="4">
                  <c:v>7125</c:v>
                </c:pt>
                <c:pt idx="5">
                  <c:v>7125</c:v>
                </c:pt>
                <c:pt idx="6">
                  <c:v>9000</c:v>
                </c:pt>
                <c:pt idx="7">
                  <c:v>6750</c:v>
                </c:pt>
                <c:pt idx="8">
                  <c:v>9000</c:v>
                </c:pt>
                <c:pt idx="9">
                  <c:v>1910</c:v>
                </c:pt>
                <c:pt idx="10">
                  <c:v>8500</c:v>
                </c:pt>
                <c:pt idx="11">
                  <c:v>6375</c:v>
                </c:pt>
                <c:pt idx="12">
                  <c:v>8500</c:v>
                </c:pt>
                <c:pt idx="13">
                  <c:v>8500</c:v>
                </c:pt>
                <c:pt idx="14">
                  <c:v>6375</c:v>
                </c:pt>
                <c:pt idx="15">
                  <c:v>8500</c:v>
                </c:pt>
                <c:pt idx="16">
                  <c:v>8500</c:v>
                </c:pt>
                <c:pt idx="17">
                  <c:v>8500</c:v>
                </c:pt>
                <c:pt idx="18">
                  <c:v>2016</c:v>
                </c:pt>
                <c:pt idx="19">
                  <c:v>1591</c:v>
                </c:pt>
                <c:pt idx="20">
                  <c:v>1854</c:v>
                </c:pt>
                <c:pt idx="21">
                  <c:v>8000</c:v>
                </c:pt>
                <c:pt idx="22">
                  <c:v>8000</c:v>
                </c:pt>
                <c:pt idx="23">
                  <c:v>8000</c:v>
                </c:pt>
                <c:pt idx="24">
                  <c:v>8000</c:v>
                </c:pt>
                <c:pt idx="25">
                  <c:v>8000</c:v>
                </c:pt>
                <c:pt idx="26">
                  <c:v>6000</c:v>
                </c:pt>
                <c:pt idx="27">
                  <c:v>1880</c:v>
                </c:pt>
                <c:pt idx="28">
                  <c:v>1560</c:v>
                </c:pt>
                <c:pt idx="29">
                  <c:v>1280</c:v>
                </c:pt>
                <c:pt idx="30">
                  <c:v>1306</c:v>
                </c:pt>
                <c:pt idx="31">
                  <c:v>1166</c:v>
                </c:pt>
                <c:pt idx="32">
                  <c:v>7500</c:v>
                </c:pt>
                <c:pt idx="33">
                  <c:v>7500</c:v>
                </c:pt>
                <c:pt idx="34">
                  <c:v>7500</c:v>
                </c:pt>
                <c:pt idx="35">
                  <c:v>7500</c:v>
                </c:pt>
                <c:pt idx="36">
                  <c:v>5625</c:v>
                </c:pt>
                <c:pt idx="37">
                  <c:v>5625</c:v>
                </c:pt>
                <c:pt idx="38">
                  <c:v>5625</c:v>
                </c:pt>
                <c:pt idx="39">
                  <c:v>1538</c:v>
                </c:pt>
                <c:pt idx="40">
                  <c:v>1085</c:v>
                </c:pt>
                <c:pt idx="41">
                  <c:v>1085</c:v>
                </c:pt>
                <c:pt idx="42">
                  <c:v>1228</c:v>
                </c:pt>
                <c:pt idx="43">
                  <c:v>1610</c:v>
                </c:pt>
                <c:pt idx="44">
                  <c:v>2016</c:v>
                </c:pt>
                <c:pt idx="45">
                  <c:v>1328</c:v>
                </c:pt>
                <c:pt idx="46">
                  <c:v>1704</c:v>
                </c:pt>
                <c:pt idx="47">
                  <c:v>1628</c:v>
                </c:pt>
                <c:pt idx="48">
                  <c:v>1654</c:v>
                </c:pt>
                <c:pt idx="49">
                  <c:v>8750</c:v>
                </c:pt>
                <c:pt idx="50">
                  <c:v>8750</c:v>
                </c:pt>
                <c:pt idx="51">
                  <c:v>8750</c:v>
                </c:pt>
                <c:pt idx="52">
                  <c:v>8750</c:v>
                </c:pt>
                <c:pt idx="53">
                  <c:v>8750</c:v>
                </c:pt>
                <c:pt idx="54">
                  <c:v>3500</c:v>
                </c:pt>
                <c:pt idx="55">
                  <c:v>8750</c:v>
                </c:pt>
                <c:pt idx="56">
                  <c:v>8750</c:v>
                </c:pt>
                <c:pt idx="57">
                  <c:v>8750</c:v>
                </c:pt>
                <c:pt idx="58">
                  <c:v>3500</c:v>
                </c:pt>
                <c:pt idx="59">
                  <c:v>8750</c:v>
                </c:pt>
                <c:pt idx="60">
                  <c:v>5250</c:v>
                </c:pt>
                <c:pt idx="61">
                  <c:v>7000</c:v>
                </c:pt>
                <c:pt idx="62">
                  <c:v>7000</c:v>
                </c:pt>
                <c:pt idx="63">
                  <c:v>8750</c:v>
                </c:pt>
                <c:pt idx="64">
                  <c:v>5250</c:v>
                </c:pt>
                <c:pt idx="65">
                  <c:v>8750</c:v>
                </c:pt>
                <c:pt idx="66">
                  <c:v>8750</c:v>
                </c:pt>
                <c:pt idx="67">
                  <c:v>1120</c:v>
                </c:pt>
                <c:pt idx="68">
                  <c:v>1260</c:v>
                </c:pt>
                <c:pt idx="69">
                  <c:v>1505</c:v>
                </c:pt>
                <c:pt idx="70">
                  <c:v>1575</c:v>
                </c:pt>
                <c:pt idx="71">
                  <c:v>1330</c:v>
                </c:pt>
                <c:pt idx="72" formatCode="General">
                  <c:v>907</c:v>
                </c:pt>
                <c:pt idx="73">
                  <c:v>1596</c:v>
                </c:pt>
                <c:pt idx="74">
                  <c:v>6900</c:v>
                </c:pt>
                <c:pt idx="75">
                  <c:v>1398</c:v>
                </c:pt>
                <c:pt idx="76">
                  <c:v>1394</c:v>
                </c:pt>
                <c:pt idx="77">
                  <c:v>1632</c:v>
                </c:pt>
                <c:pt idx="78">
                  <c:v>1386</c:v>
                </c:pt>
                <c:pt idx="79">
                  <c:v>1579</c:v>
                </c:pt>
                <c:pt idx="80">
                  <c:v>1299</c:v>
                </c:pt>
                <c:pt idx="81">
                  <c:v>1399</c:v>
                </c:pt>
                <c:pt idx="82">
                  <c:v>1066</c:v>
                </c:pt>
                <c:pt idx="83">
                  <c:v>1132</c:v>
                </c:pt>
                <c:pt idx="84">
                  <c:v>1527</c:v>
                </c:pt>
                <c:pt idx="85">
                  <c:v>1162</c:v>
                </c:pt>
                <c:pt idx="86">
                  <c:v>1254</c:v>
                </c:pt>
                <c:pt idx="87">
                  <c:v>1650</c:v>
                </c:pt>
                <c:pt idx="88">
                  <c:v>2021</c:v>
                </c:pt>
                <c:pt idx="89">
                  <c:v>8125</c:v>
                </c:pt>
                <c:pt idx="90">
                  <c:v>8125</c:v>
                </c:pt>
                <c:pt idx="91">
                  <c:v>6500</c:v>
                </c:pt>
                <c:pt idx="92">
                  <c:v>8125</c:v>
                </c:pt>
                <c:pt idx="93">
                  <c:v>4875</c:v>
                </c:pt>
                <c:pt idx="94">
                  <c:v>3250</c:v>
                </c:pt>
                <c:pt idx="95">
                  <c:v>6500</c:v>
                </c:pt>
                <c:pt idx="96">
                  <c:v>8125</c:v>
                </c:pt>
                <c:pt idx="97">
                  <c:v>8125</c:v>
                </c:pt>
                <c:pt idx="98">
                  <c:v>6500</c:v>
                </c:pt>
                <c:pt idx="99">
                  <c:v>4875</c:v>
                </c:pt>
                <c:pt idx="100">
                  <c:v>8125</c:v>
                </c:pt>
                <c:pt idx="101">
                  <c:v>4875</c:v>
                </c:pt>
                <c:pt idx="102">
                  <c:v>6500</c:v>
                </c:pt>
                <c:pt idx="103">
                  <c:v>6500</c:v>
                </c:pt>
                <c:pt idx="104">
                  <c:v>6500</c:v>
                </c:pt>
                <c:pt idx="105">
                  <c:v>1885</c:v>
                </c:pt>
                <c:pt idx="106">
                  <c:v>1296</c:v>
                </c:pt>
                <c:pt idx="107">
                  <c:v>2035</c:v>
                </c:pt>
                <c:pt idx="108">
                  <c:v>1034</c:v>
                </c:pt>
                <c:pt idx="109">
                  <c:v>1163</c:v>
                </c:pt>
                <c:pt idx="110">
                  <c:v>1066</c:v>
                </c:pt>
                <c:pt idx="111">
                  <c:v>1707</c:v>
                </c:pt>
                <c:pt idx="112">
                  <c:v>1288</c:v>
                </c:pt>
                <c:pt idx="113">
                  <c:v>1063</c:v>
                </c:pt>
                <c:pt idx="114" formatCode="General">
                  <c:v>966</c:v>
                </c:pt>
                <c:pt idx="115" formatCode="General">
                  <c:v>998</c:v>
                </c:pt>
                <c:pt idx="116">
                  <c:v>8000</c:v>
                </c:pt>
                <c:pt idx="117">
                  <c:v>1152</c:v>
                </c:pt>
                <c:pt idx="118">
                  <c:v>1408</c:v>
                </c:pt>
                <c:pt idx="119">
                  <c:v>1882</c:v>
                </c:pt>
                <c:pt idx="120">
                  <c:v>1180</c:v>
                </c:pt>
                <c:pt idx="121">
                  <c:v>1372</c:v>
                </c:pt>
                <c:pt idx="122">
                  <c:v>1304</c:v>
                </c:pt>
                <c:pt idx="123">
                  <c:v>1712</c:v>
                </c:pt>
                <c:pt idx="124">
                  <c:v>1229</c:v>
                </c:pt>
                <c:pt idx="125">
                  <c:v>1103</c:v>
                </c:pt>
                <c:pt idx="126">
                  <c:v>1103</c:v>
                </c:pt>
                <c:pt idx="127" formatCode="General">
                  <c:v>882</c:v>
                </c:pt>
                <c:pt idx="128">
                  <c:v>1134</c:v>
                </c:pt>
                <c:pt idx="129">
                  <c:v>1386</c:v>
                </c:pt>
                <c:pt idx="130" formatCode="General">
                  <c:v>756</c:v>
                </c:pt>
                <c:pt idx="131">
                  <c:v>1134</c:v>
                </c:pt>
                <c:pt idx="132">
                  <c:v>1229</c:v>
                </c:pt>
                <c:pt idx="133" formatCode="General">
                  <c:v>848</c:v>
                </c:pt>
                <c:pt idx="134">
                  <c:v>1162</c:v>
                </c:pt>
                <c:pt idx="135">
                  <c:v>1225</c:v>
                </c:pt>
                <c:pt idx="136">
                  <c:v>1440</c:v>
                </c:pt>
                <c:pt idx="137">
                  <c:v>1722</c:v>
                </c:pt>
                <c:pt idx="138">
                  <c:v>1934</c:v>
                </c:pt>
                <c:pt idx="139">
                  <c:v>1186</c:v>
                </c:pt>
                <c:pt idx="140">
                  <c:v>1248</c:v>
                </c:pt>
                <c:pt idx="141">
                  <c:v>1959</c:v>
                </c:pt>
                <c:pt idx="142">
                  <c:v>1333</c:v>
                </c:pt>
                <c:pt idx="143">
                  <c:v>1632</c:v>
                </c:pt>
                <c:pt idx="144">
                  <c:v>1879</c:v>
                </c:pt>
                <c:pt idx="145">
                  <c:v>1316</c:v>
                </c:pt>
                <c:pt idx="146">
                  <c:v>1316</c:v>
                </c:pt>
                <c:pt idx="147">
                  <c:v>1040</c:v>
                </c:pt>
                <c:pt idx="148">
                  <c:v>1255</c:v>
                </c:pt>
                <c:pt idx="149" formatCode="General">
                  <c:v>612</c:v>
                </c:pt>
                <c:pt idx="150" formatCode="General">
                  <c:v>704</c:v>
                </c:pt>
                <c:pt idx="151" formatCode="General">
                  <c:v>887</c:v>
                </c:pt>
                <c:pt idx="152" formatCode="General">
                  <c:v>949</c:v>
                </c:pt>
                <c:pt idx="153">
                  <c:v>1255</c:v>
                </c:pt>
                <c:pt idx="154">
                  <c:v>1836</c:v>
                </c:pt>
                <c:pt idx="155">
                  <c:v>1408</c:v>
                </c:pt>
                <c:pt idx="156">
                  <c:v>1102</c:v>
                </c:pt>
                <c:pt idx="157">
                  <c:v>1132</c:v>
                </c:pt>
                <c:pt idx="158">
                  <c:v>1897</c:v>
                </c:pt>
                <c:pt idx="159">
                  <c:v>1952</c:v>
                </c:pt>
                <c:pt idx="160" formatCode="General">
                  <c:v>824</c:v>
                </c:pt>
                <c:pt idx="161">
                  <c:v>1007</c:v>
                </c:pt>
                <c:pt idx="162">
                  <c:v>1190</c:v>
                </c:pt>
                <c:pt idx="163">
                  <c:v>1824</c:v>
                </c:pt>
                <c:pt idx="164">
                  <c:v>1087</c:v>
                </c:pt>
                <c:pt idx="165">
                  <c:v>1359</c:v>
                </c:pt>
                <c:pt idx="166">
                  <c:v>9000</c:v>
                </c:pt>
                <c:pt idx="167">
                  <c:v>9000</c:v>
                </c:pt>
                <c:pt idx="168">
                  <c:v>9000</c:v>
                </c:pt>
                <c:pt idx="169">
                  <c:v>4500</c:v>
                </c:pt>
                <c:pt idx="170">
                  <c:v>6000</c:v>
                </c:pt>
                <c:pt idx="171">
                  <c:v>6000</c:v>
                </c:pt>
                <c:pt idx="172">
                  <c:v>9000</c:v>
                </c:pt>
                <c:pt idx="173">
                  <c:v>6000</c:v>
                </c:pt>
                <c:pt idx="174">
                  <c:v>6000</c:v>
                </c:pt>
                <c:pt idx="175">
                  <c:v>7500</c:v>
                </c:pt>
                <c:pt idx="176">
                  <c:v>4500</c:v>
                </c:pt>
                <c:pt idx="177">
                  <c:v>6000</c:v>
                </c:pt>
                <c:pt idx="178">
                  <c:v>4500</c:v>
                </c:pt>
                <c:pt idx="179">
                  <c:v>4500</c:v>
                </c:pt>
                <c:pt idx="180">
                  <c:v>9000</c:v>
                </c:pt>
                <c:pt idx="181">
                  <c:v>9000</c:v>
                </c:pt>
                <c:pt idx="182">
                  <c:v>9000</c:v>
                </c:pt>
                <c:pt idx="183">
                  <c:v>7500</c:v>
                </c:pt>
                <c:pt idx="184">
                  <c:v>6000</c:v>
                </c:pt>
                <c:pt idx="185">
                  <c:v>7500</c:v>
                </c:pt>
                <c:pt idx="186">
                  <c:v>9000</c:v>
                </c:pt>
                <c:pt idx="187">
                  <c:v>9000</c:v>
                </c:pt>
                <c:pt idx="188">
                  <c:v>1350</c:v>
                </c:pt>
                <c:pt idx="189">
                  <c:v>1530</c:v>
                </c:pt>
                <c:pt idx="190">
                  <c:v>1560</c:v>
                </c:pt>
                <c:pt idx="191">
                  <c:v>1794</c:v>
                </c:pt>
                <c:pt idx="192">
                  <c:v>1794</c:v>
                </c:pt>
                <c:pt idx="193">
                  <c:v>1252</c:v>
                </c:pt>
                <c:pt idx="194">
                  <c:v>1132</c:v>
                </c:pt>
                <c:pt idx="195">
                  <c:v>1788</c:v>
                </c:pt>
                <c:pt idx="196">
                  <c:v>1158</c:v>
                </c:pt>
                <c:pt idx="197">
                  <c:v>1129</c:v>
                </c:pt>
                <c:pt idx="198">
                  <c:v>1069</c:v>
                </c:pt>
                <c:pt idx="199">
                  <c:v>2020</c:v>
                </c:pt>
                <c:pt idx="200">
                  <c:v>1095</c:v>
                </c:pt>
                <c:pt idx="201">
                  <c:v>1095</c:v>
                </c:pt>
                <c:pt idx="202">
                  <c:v>7375</c:v>
                </c:pt>
                <c:pt idx="203">
                  <c:v>1033</c:v>
                </c:pt>
                <c:pt idx="204" formatCode="General">
                  <c:v>944</c:v>
                </c:pt>
                <c:pt idx="205" formatCode="General">
                  <c:v>826</c:v>
                </c:pt>
                <c:pt idx="206" formatCode="General">
                  <c:v>856</c:v>
                </c:pt>
                <c:pt idx="207">
                  <c:v>1764</c:v>
                </c:pt>
                <c:pt idx="208">
                  <c:v>1264</c:v>
                </c:pt>
                <c:pt idx="209">
                  <c:v>1377</c:v>
                </c:pt>
                <c:pt idx="210">
                  <c:v>1494</c:v>
                </c:pt>
                <c:pt idx="211">
                  <c:v>1392</c:v>
                </c:pt>
                <c:pt idx="212">
                  <c:v>1711</c:v>
                </c:pt>
                <c:pt idx="213">
                  <c:v>1798</c:v>
                </c:pt>
                <c:pt idx="214">
                  <c:v>1972</c:v>
                </c:pt>
                <c:pt idx="215">
                  <c:v>1972</c:v>
                </c:pt>
                <c:pt idx="216">
                  <c:v>1595</c:v>
                </c:pt>
                <c:pt idx="217">
                  <c:v>1943</c:v>
                </c:pt>
                <c:pt idx="218">
                  <c:v>1243</c:v>
                </c:pt>
                <c:pt idx="219" formatCode="General">
                  <c:v>896</c:v>
                </c:pt>
                <c:pt idx="220" formatCode="General">
                  <c:v>954</c:v>
                </c:pt>
                <c:pt idx="221">
                  <c:v>1474</c:v>
                </c:pt>
                <c:pt idx="222" formatCode="General">
                  <c:v>665</c:v>
                </c:pt>
                <c:pt idx="223">
                  <c:v>1272</c:v>
                </c:pt>
                <c:pt idx="224" formatCode="General">
                  <c:v>809</c:v>
                </c:pt>
                <c:pt idx="225">
                  <c:v>1040</c:v>
                </c:pt>
                <c:pt idx="226">
                  <c:v>1098</c:v>
                </c:pt>
                <c:pt idx="227">
                  <c:v>1358</c:v>
                </c:pt>
                <c:pt idx="228">
                  <c:v>1037</c:v>
                </c:pt>
                <c:pt idx="229">
                  <c:v>1296</c:v>
                </c:pt>
                <c:pt idx="230">
                  <c:v>1210</c:v>
                </c:pt>
                <c:pt idx="231">
                  <c:v>1037</c:v>
                </c:pt>
                <c:pt idx="232">
                  <c:v>1464</c:v>
                </c:pt>
                <c:pt idx="233" formatCode="General">
                  <c:v>861</c:v>
                </c:pt>
                <c:pt idx="234">
                  <c:v>1148</c:v>
                </c:pt>
                <c:pt idx="235">
                  <c:v>1205</c:v>
                </c:pt>
                <c:pt idx="236">
                  <c:v>1745</c:v>
                </c:pt>
                <c:pt idx="237">
                  <c:v>1539</c:v>
                </c:pt>
                <c:pt idx="238">
                  <c:v>1254</c:v>
                </c:pt>
                <c:pt idx="239">
                  <c:v>1311</c:v>
                </c:pt>
                <c:pt idx="240" formatCode="General">
                  <c:v>912</c:v>
                </c:pt>
                <c:pt idx="241" formatCode="General">
                  <c:v>855</c:v>
                </c:pt>
                <c:pt idx="242">
                  <c:v>1505</c:v>
                </c:pt>
                <c:pt idx="243" formatCode="General">
                  <c:v>934</c:v>
                </c:pt>
                <c:pt idx="244">
                  <c:v>1354</c:v>
                </c:pt>
                <c:pt idx="245">
                  <c:v>1012</c:v>
                </c:pt>
                <c:pt idx="246">
                  <c:v>1236</c:v>
                </c:pt>
                <c:pt idx="247" formatCode="General">
                  <c:v>955</c:v>
                </c:pt>
                <c:pt idx="248">
                  <c:v>1180</c:v>
                </c:pt>
                <c:pt idx="249">
                  <c:v>1293</c:v>
                </c:pt>
                <c:pt idx="250" formatCode="General">
                  <c:v>843</c:v>
                </c:pt>
                <c:pt idx="251">
                  <c:v>1652</c:v>
                </c:pt>
                <c:pt idx="252">
                  <c:v>1316</c:v>
                </c:pt>
                <c:pt idx="253">
                  <c:v>1316</c:v>
                </c:pt>
                <c:pt idx="254">
                  <c:v>1092</c:v>
                </c:pt>
                <c:pt idx="255">
                  <c:v>1120</c:v>
                </c:pt>
                <c:pt idx="256">
                  <c:v>1176</c:v>
                </c:pt>
                <c:pt idx="257">
                  <c:v>1008</c:v>
                </c:pt>
                <c:pt idx="258">
                  <c:v>1316</c:v>
                </c:pt>
                <c:pt idx="259">
                  <c:v>1624</c:v>
                </c:pt>
                <c:pt idx="260">
                  <c:v>1200</c:v>
                </c:pt>
                <c:pt idx="261">
                  <c:v>1339</c:v>
                </c:pt>
                <c:pt idx="262">
                  <c:v>1279</c:v>
                </c:pt>
                <c:pt idx="263">
                  <c:v>1557</c:v>
                </c:pt>
                <c:pt idx="264">
                  <c:v>1612</c:v>
                </c:pt>
                <c:pt idx="265">
                  <c:v>1390</c:v>
                </c:pt>
                <c:pt idx="266">
                  <c:v>1279</c:v>
                </c:pt>
                <c:pt idx="267">
                  <c:v>1307</c:v>
                </c:pt>
                <c:pt idx="268">
                  <c:v>1001</c:v>
                </c:pt>
                <c:pt idx="269" formatCode="General">
                  <c:v>945</c:v>
                </c:pt>
                <c:pt idx="270">
                  <c:v>1551</c:v>
                </c:pt>
                <c:pt idx="271" formatCode="General">
                  <c:v>994</c:v>
                </c:pt>
                <c:pt idx="272">
                  <c:v>1021</c:v>
                </c:pt>
                <c:pt idx="273" formatCode="General">
                  <c:v>773</c:v>
                </c:pt>
                <c:pt idx="274">
                  <c:v>6875</c:v>
                </c:pt>
                <c:pt idx="275">
                  <c:v>6875</c:v>
                </c:pt>
                <c:pt idx="276">
                  <c:v>8250</c:v>
                </c:pt>
                <c:pt idx="277">
                  <c:v>5500</c:v>
                </c:pt>
                <c:pt idx="278">
                  <c:v>4125</c:v>
                </c:pt>
                <c:pt idx="279">
                  <c:v>6875</c:v>
                </c:pt>
                <c:pt idx="280">
                  <c:v>6875</c:v>
                </c:pt>
                <c:pt idx="281">
                  <c:v>5500</c:v>
                </c:pt>
                <c:pt idx="282">
                  <c:v>8250</c:v>
                </c:pt>
                <c:pt idx="283">
                  <c:v>5500</c:v>
                </c:pt>
                <c:pt idx="284">
                  <c:v>5500</c:v>
                </c:pt>
                <c:pt idx="285">
                  <c:v>8250</c:v>
                </c:pt>
                <c:pt idx="286">
                  <c:v>6875</c:v>
                </c:pt>
                <c:pt idx="287">
                  <c:v>2750</c:v>
                </c:pt>
                <c:pt idx="288">
                  <c:v>6875</c:v>
                </c:pt>
                <c:pt idx="289">
                  <c:v>4125</c:v>
                </c:pt>
                <c:pt idx="290">
                  <c:v>4125</c:v>
                </c:pt>
                <c:pt idx="291">
                  <c:v>8250</c:v>
                </c:pt>
                <c:pt idx="292">
                  <c:v>6875</c:v>
                </c:pt>
                <c:pt idx="293">
                  <c:v>6875</c:v>
                </c:pt>
                <c:pt idx="294">
                  <c:v>8250</c:v>
                </c:pt>
                <c:pt idx="295">
                  <c:v>8250</c:v>
                </c:pt>
                <c:pt idx="296">
                  <c:v>4125</c:v>
                </c:pt>
                <c:pt idx="297">
                  <c:v>6875</c:v>
                </c:pt>
                <c:pt idx="298">
                  <c:v>8250</c:v>
                </c:pt>
                <c:pt idx="299">
                  <c:v>8250</c:v>
                </c:pt>
                <c:pt idx="300">
                  <c:v>8250</c:v>
                </c:pt>
                <c:pt idx="301">
                  <c:v>8250</c:v>
                </c:pt>
                <c:pt idx="302">
                  <c:v>6875</c:v>
                </c:pt>
                <c:pt idx="303">
                  <c:v>1447</c:v>
                </c:pt>
                <c:pt idx="304">
                  <c:v>1529</c:v>
                </c:pt>
                <c:pt idx="305">
                  <c:v>1693</c:v>
                </c:pt>
                <c:pt idx="306">
                  <c:v>1583</c:v>
                </c:pt>
                <c:pt idx="307">
                  <c:v>1256</c:v>
                </c:pt>
                <c:pt idx="308">
                  <c:v>1201</c:v>
                </c:pt>
                <c:pt idx="309">
                  <c:v>1392</c:v>
                </c:pt>
                <c:pt idx="310" formatCode="General">
                  <c:v>734</c:v>
                </c:pt>
                <c:pt idx="311" formatCode="General">
                  <c:v>843</c:v>
                </c:pt>
                <c:pt idx="312" formatCode="General">
                  <c:v>979</c:v>
                </c:pt>
                <c:pt idx="313">
                  <c:v>1006</c:v>
                </c:pt>
                <c:pt idx="314">
                  <c:v>1088</c:v>
                </c:pt>
                <c:pt idx="315">
                  <c:v>1278</c:v>
                </c:pt>
                <c:pt idx="316" formatCode="General">
                  <c:v>789</c:v>
                </c:pt>
                <c:pt idx="317">
                  <c:v>1034</c:v>
                </c:pt>
                <c:pt idx="318">
                  <c:v>1360</c:v>
                </c:pt>
                <c:pt idx="319">
                  <c:v>1632</c:v>
                </c:pt>
                <c:pt idx="320" formatCode="General">
                  <c:v>816</c:v>
                </c:pt>
                <c:pt idx="321">
                  <c:v>1632</c:v>
                </c:pt>
                <c:pt idx="322">
                  <c:v>1822</c:v>
                </c:pt>
                <c:pt idx="323">
                  <c:v>1251</c:v>
                </c:pt>
                <c:pt idx="324" formatCode="General">
                  <c:v>894</c:v>
                </c:pt>
                <c:pt idx="325">
                  <c:v>1084</c:v>
                </c:pt>
                <c:pt idx="326">
                  <c:v>1084</c:v>
                </c:pt>
                <c:pt idx="327" formatCode="General">
                  <c:v>840</c:v>
                </c:pt>
                <c:pt idx="328">
                  <c:v>1192</c:v>
                </c:pt>
                <c:pt idx="329">
                  <c:v>1084</c:v>
                </c:pt>
                <c:pt idx="330">
                  <c:v>1057</c:v>
                </c:pt>
                <c:pt idx="331">
                  <c:v>1458</c:v>
                </c:pt>
                <c:pt idx="332">
                  <c:v>1458</c:v>
                </c:pt>
                <c:pt idx="333">
                  <c:v>1350</c:v>
                </c:pt>
                <c:pt idx="334">
                  <c:v>1188</c:v>
                </c:pt>
                <c:pt idx="335">
                  <c:v>1512</c:v>
                </c:pt>
                <c:pt idx="336">
                  <c:v>2322</c:v>
                </c:pt>
                <c:pt idx="337">
                  <c:v>1566</c:v>
                </c:pt>
                <c:pt idx="338" formatCode="General">
                  <c:v>945</c:v>
                </c:pt>
                <c:pt idx="339">
                  <c:v>1107</c:v>
                </c:pt>
                <c:pt idx="340" formatCode="General">
                  <c:v>540</c:v>
                </c:pt>
                <c:pt idx="341" formatCode="General">
                  <c:v>702</c:v>
                </c:pt>
                <c:pt idx="342">
                  <c:v>1053</c:v>
                </c:pt>
                <c:pt idx="343" formatCode="General">
                  <c:v>918</c:v>
                </c:pt>
                <c:pt idx="344">
                  <c:v>1188</c:v>
                </c:pt>
                <c:pt idx="345">
                  <c:v>1260</c:v>
                </c:pt>
                <c:pt idx="346" formatCode="General">
                  <c:v>777</c:v>
                </c:pt>
                <c:pt idx="347" formatCode="General">
                  <c:v>992</c:v>
                </c:pt>
                <c:pt idx="348">
                  <c:v>1501</c:v>
                </c:pt>
                <c:pt idx="349">
                  <c:v>1099</c:v>
                </c:pt>
                <c:pt idx="350">
                  <c:v>1367</c:v>
                </c:pt>
                <c:pt idx="351">
                  <c:v>1415</c:v>
                </c:pt>
                <c:pt idx="352" formatCode="General">
                  <c:v>875</c:v>
                </c:pt>
                <c:pt idx="353" formatCode="General">
                  <c:v>713</c:v>
                </c:pt>
                <c:pt idx="354" formatCode="General">
                  <c:v>871</c:v>
                </c:pt>
                <c:pt idx="355" formatCode="General">
                  <c:v>792</c:v>
                </c:pt>
                <c:pt idx="356">
                  <c:v>1214</c:v>
                </c:pt>
                <c:pt idx="357">
                  <c:v>1478</c:v>
                </c:pt>
                <c:pt idx="358">
                  <c:v>1346</c:v>
                </c:pt>
                <c:pt idx="359" formatCode="General">
                  <c:v>634</c:v>
                </c:pt>
                <c:pt idx="360">
                  <c:v>1267</c:v>
                </c:pt>
                <c:pt idx="361">
                  <c:v>1082</c:v>
                </c:pt>
                <c:pt idx="362">
                  <c:v>1030</c:v>
                </c:pt>
                <c:pt idx="363">
                  <c:v>1135</c:v>
                </c:pt>
                <c:pt idx="364">
                  <c:v>1109</c:v>
                </c:pt>
                <c:pt idx="365" formatCode="General">
                  <c:v>898</c:v>
                </c:pt>
                <c:pt idx="366" formatCode="General">
                  <c:v>898</c:v>
                </c:pt>
                <c:pt idx="367" formatCode="General">
                  <c:v>792</c:v>
                </c:pt>
                <c:pt idx="368" formatCode="General">
                  <c:v>977</c:v>
                </c:pt>
                <c:pt idx="369" formatCode="General">
                  <c:v>977</c:v>
                </c:pt>
                <c:pt idx="370" formatCode="General">
                  <c:v>924</c:v>
                </c:pt>
                <c:pt idx="371">
                  <c:v>1346</c:v>
                </c:pt>
                <c:pt idx="372" formatCode="General">
                  <c:v>634</c:v>
                </c:pt>
                <c:pt idx="373">
                  <c:v>1736</c:v>
                </c:pt>
                <c:pt idx="374">
                  <c:v>1368</c:v>
                </c:pt>
                <c:pt idx="375">
                  <c:v>1394</c:v>
                </c:pt>
                <c:pt idx="376" formatCode="General">
                  <c:v>947</c:v>
                </c:pt>
                <c:pt idx="377">
                  <c:v>1552</c:v>
                </c:pt>
                <c:pt idx="378">
                  <c:v>1447</c:v>
                </c:pt>
                <c:pt idx="379" formatCode="General">
                  <c:v>894</c:v>
                </c:pt>
                <c:pt idx="380" formatCode="General">
                  <c:v>710</c:v>
                </c:pt>
                <c:pt idx="381">
                  <c:v>1683</c:v>
                </c:pt>
                <c:pt idx="382" formatCode="General">
                  <c:v>789</c:v>
                </c:pt>
                <c:pt idx="383" formatCode="General">
                  <c:v>684</c:v>
                </c:pt>
                <c:pt idx="384">
                  <c:v>1289</c:v>
                </c:pt>
                <c:pt idx="385">
                  <c:v>1552</c:v>
                </c:pt>
                <c:pt idx="386">
                  <c:v>1026</c:v>
                </c:pt>
                <c:pt idx="387" formatCode="General">
                  <c:v>947</c:v>
                </c:pt>
                <c:pt idx="388">
                  <c:v>1946</c:v>
                </c:pt>
                <c:pt idx="389" formatCode="General">
                  <c:v>921</c:v>
                </c:pt>
                <c:pt idx="390" formatCode="General">
                  <c:v>815</c:v>
                </c:pt>
                <c:pt idx="391">
                  <c:v>1201</c:v>
                </c:pt>
                <c:pt idx="392">
                  <c:v>1201</c:v>
                </c:pt>
                <c:pt idx="393">
                  <c:v>1227</c:v>
                </c:pt>
                <c:pt idx="394">
                  <c:v>1566</c:v>
                </c:pt>
                <c:pt idx="395">
                  <c:v>1383</c:v>
                </c:pt>
                <c:pt idx="396">
                  <c:v>2166</c:v>
                </c:pt>
                <c:pt idx="397">
                  <c:v>1305</c:v>
                </c:pt>
                <c:pt idx="398">
                  <c:v>1222</c:v>
                </c:pt>
                <c:pt idx="399">
                  <c:v>1196</c:v>
                </c:pt>
                <c:pt idx="400">
                  <c:v>1243</c:v>
                </c:pt>
                <c:pt idx="401">
                  <c:v>1295</c:v>
                </c:pt>
                <c:pt idx="402" formatCode="General">
                  <c:v>984</c:v>
                </c:pt>
                <c:pt idx="403">
                  <c:v>1062</c:v>
                </c:pt>
                <c:pt idx="404">
                  <c:v>1709</c:v>
                </c:pt>
                <c:pt idx="405">
                  <c:v>1632</c:v>
                </c:pt>
                <c:pt idx="406">
                  <c:v>1342</c:v>
                </c:pt>
                <c:pt idx="407">
                  <c:v>1157</c:v>
                </c:pt>
                <c:pt idx="408">
                  <c:v>1075</c:v>
                </c:pt>
                <c:pt idx="409" formatCode="General">
                  <c:v>998</c:v>
                </c:pt>
                <c:pt idx="410">
                  <c:v>1280</c:v>
                </c:pt>
                <c:pt idx="411">
                  <c:v>1434</c:v>
                </c:pt>
                <c:pt idx="412">
                  <c:v>1126</c:v>
                </c:pt>
                <c:pt idx="413">
                  <c:v>1280</c:v>
                </c:pt>
                <c:pt idx="414" formatCode="General">
                  <c:v>922</c:v>
                </c:pt>
                <c:pt idx="415" formatCode="General">
                  <c:v>768</c:v>
                </c:pt>
                <c:pt idx="416" formatCode="General">
                  <c:v>870</c:v>
                </c:pt>
                <c:pt idx="417">
                  <c:v>1101</c:v>
                </c:pt>
                <c:pt idx="418">
                  <c:v>1382</c:v>
                </c:pt>
                <c:pt idx="419" formatCode="General">
                  <c:v>717</c:v>
                </c:pt>
                <c:pt idx="420" formatCode="General">
                  <c:v>794</c:v>
                </c:pt>
                <c:pt idx="421">
                  <c:v>1408</c:v>
                </c:pt>
                <c:pt idx="422" formatCode="General">
                  <c:v>666</c:v>
                </c:pt>
                <c:pt idx="423">
                  <c:v>1766</c:v>
                </c:pt>
                <c:pt idx="424">
                  <c:v>1587</c:v>
                </c:pt>
                <c:pt idx="425">
                  <c:v>1203</c:v>
                </c:pt>
                <c:pt idx="426">
                  <c:v>1459</c:v>
                </c:pt>
                <c:pt idx="427" formatCode="General">
                  <c:v>768</c:v>
                </c:pt>
                <c:pt idx="428">
                  <c:v>1050</c:v>
                </c:pt>
                <c:pt idx="429">
                  <c:v>1229</c:v>
                </c:pt>
                <c:pt idx="430" formatCode="General">
                  <c:v>842</c:v>
                </c:pt>
                <c:pt idx="431">
                  <c:v>1122</c:v>
                </c:pt>
                <c:pt idx="432">
                  <c:v>1199</c:v>
                </c:pt>
                <c:pt idx="433">
                  <c:v>1377</c:v>
                </c:pt>
                <c:pt idx="434">
                  <c:v>1173</c:v>
                </c:pt>
                <c:pt idx="435">
                  <c:v>1046</c:v>
                </c:pt>
                <c:pt idx="436">
                  <c:v>1199</c:v>
                </c:pt>
                <c:pt idx="437">
                  <c:v>2015</c:v>
                </c:pt>
                <c:pt idx="438">
                  <c:v>1403</c:v>
                </c:pt>
                <c:pt idx="439">
                  <c:v>2015</c:v>
                </c:pt>
                <c:pt idx="440">
                  <c:v>2193</c:v>
                </c:pt>
                <c:pt idx="441" formatCode="General">
                  <c:v>510</c:v>
                </c:pt>
                <c:pt idx="442" formatCode="General">
                  <c:v>816</c:v>
                </c:pt>
                <c:pt idx="443" formatCode="General">
                  <c:v>995</c:v>
                </c:pt>
                <c:pt idx="444">
                  <c:v>1326</c:v>
                </c:pt>
                <c:pt idx="445">
                  <c:v>1734</c:v>
                </c:pt>
                <c:pt idx="446">
                  <c:v>1862</c:v>
                </c:pt>
                <c:pt idx="447" formatCode="General">
                  <c:v>944</c:v>
                </c:pt>
                <c:pt idx="448">
                  <c:v>1626</c:v>
                </c:pt>
                <c:pt idx="449" formatCode="General">
                  <c:v>737</c:v>
                </c:pt>
                <c:pt idx="450">
                  <c:v>1118</c:v>
                </c:pt>
                <c:pt idx="451">
                  <c:v>1295</c:v>
                </c:pt>
                <c:pt idx="452">
                  <c:v>1041</c:v>
                </c:pt>
                <c:pt idx="453">
                  <c:v>1168</c:v>
                </c:pt>
                <c:pt idx="454">
                  <c:v>1524</c:v>
                </c:pt>
                <c:pt idx="455">
                  <c:v>1194</c:v>
                </c:pt>
                <c:pt idx="456" formatCode="General">
                  <c:v>983</c:v>
                </c:pt>
                <c:pt idx="457">
                  <c:v>1386</c:v>
                </c:pt>
                <c:pt idx="458">
                  <c:v>1184</c:v>
                </c:pt>
                <c:pt idx="459">
                  <c:v>1462</c:v>
                </c:pt>
                <c:pt idx="460">
                  <c:v>1260</c:v>
                </c:pt>
                <c:pt idx="461">
                  <c:v>1411</c:v>
                </c:pt>
                <c:pt idx="462">
                  <c:v>1184</c:v>
                </c:pt>
                <c:pt idx="463">
                  <c:v>1386</c:v>
                </c:pt>
                <c:pt idx="464">
                  <c:v>1109</c:v>
                </c:pt>
                <c:pt idx="465">
                  <c:v>1588</c:v>
                </c:pt>
                <c:pt idx="466">
                  <c:v>8750</c:v>
                </c:pt>
                <c:pt idx="467">
                  <c:v>6250</c:v>
                </c:pt>
                <c:pt idx="468">
                  <c:v>8750</c:v>
                </c:pt>
                <c:pt idx="469">
                  <c:v>7500</c:v>
                </c:pt>
                <c:pt idx="470">
                  <c:v>6250</c:v>
                </c:pt>
                <c:pt idx="471">
                  <c:v>6250</c:v>
                </c:pt>
                <c:pt idx="472">
                  <c:v>6250</c:v>
                </c:pt>
                <c:pt idx="473">
                  <c:v>5000</c:v>
                </c:pt>
                <c:pt idx="474">
                  <c:v>7500</c:v>
                </c:pt>
                <c:pt idx="475">
                  <c:v>8750</c:v>
                </c:pt>
                <c:pt idx="476">
                  <c:v>5000</c:v>
                </c:pt>
                <c:pt idx="477">
                  <c:v>8750</c:v>
                </c:pt>
                <c:pt idx="478">
                  <c:v>8750</c:v>
                </c:pt>
                <c:pt idx="479">
                  <c:v>5000</c:v>
                </c:pt>
                <c:pt idx="480">
                  <c:v>3750</c:v>
                </c:pt>
                <c:pt idx="481">
                  <c:v>6250</c:v>
                </c:pt>
                <c:pt idx="482">
                  <c:v>8750</c:v>
                </c:pt>
                <c:pt idx="483">
                  <c:v>6250</c:v>
                </c:pt>
                <c:pt idx="484">
                  <c:v>2500</c:v>
                </c:pt>
                <c:pt idx="485">
                  <c:v>6250</c:v>
                </c:pt>
                <c:pt idx="486">
                  <c:v>8750</c:v>
                </c:pt>
                <c:pt idx="487">
                  <c:v>3750</c:v>
                </c:pt>
                <c:pt idx="488">
                  <c:v>8750</c:v>
                </c:pt>
                <c:pt idx="489">
                  <c:v>7500</c:v>
                </c:pt>
                <c:pt idx="490">
                  <c:v>5000</c:v>
                </c:pt>
                <c:pt idx="491">
                  <c:v>7500</c:v>
                </c:pt>
                <c:pt idx="492">
                  <c:v>3750</c:v>
                </c:pt>
                <c:pt idx="493">
                  <c:v>5000</c:v>
                </c:pt>
                <c:pt idx="494">
                  <c:v>8750</c:v>
                </c:pt>
                <c:pt idx="495">
                  <c:v>7500</c:v>
                </c:pt>
                <c:pt idx="496">
                  <c:v>5000</c:v>
                </c:pt>
                <c:pt idx="497">
                  <c:v>7500</c:v>
                </c:pt>
                <c:pt idx="498">
                  <c:v>3750</c:v>
                </c:pt>
                <c:pt idx="499">
                  <c:v>7500</c:v>
                </c:pt>
                <c:pt idx="500">
                  <c:v>6250</c:v>
                </c:pt>
                <c:pt idx="501">
                  <c:v>8750</c:v>
                </c:pt>
                <c:pt idx="502">
                  <c:v>7500</c:v>
                </c:pt>
                <c:pt idx="503">
                  <c:v>5000</c:v>
                </c:pt>
                <c:pt idx="504">
                  <c:v>6250</c:v>
                </c:pt>
                <c:pt idx="505">
                  <c:v>8750</c:v>
                </c:pt>
                <c:pt idx="506">
                  <c:v>7500</c:v>
                </c:pt>
                <c:pt idx="507">
                  <c:v>7500</c:v>
                </c:pt>
                <c:pt idx="508">
                  <c:v>7500</c:v>
                </c:pt>
                <c:pt idx="509">
                  <c:v>8750</c:v>
                </c:pt>
                <c:pt idx="510" formatCode="General">
                  <c:v>900</c:v>
                </c:pt>
                <c:pt idx="511">
                  <c:v>1175</c:v>
                </c:pt>
                <c:pt idx="512">
                  <c:v>1550</c:v>
                </c:pt>
                <c:pt idx="513">
                  <c:v>1150</c:v>
                </c:pt>
                <c:pt idx="514">
                  <c:v>1625</c:v>
                </c:pt>
                <c:pt idx="515">
                  <c:v>1325</c:v>
                </c:pt>
                <c:pt idx="516">
                  <c:v>1562</c:v>
                </c:pt>
                <c:pt idx="517">
                  <c:v>1538</c:v>
                </c:pt>
                <c:pt idx="518">
                  <c:v>1587</c:v>
                </c:pt>
                <c:pt idx="519">
                  <c:v>1290</c:v>
                </c:pt>
                <c:pt idx="520">
                  <c:v>1042</c:v>
                </c:pt>
                <c:pt idx="521">
                  <c:v>1438</c:v>
                </c:pt>
                <c:pt idx="522" formatCode="General">
                  <c:v>719</c:v>
                </c:pt>
                <c:pt idx="523">
                  <c:v>1265</c:v>
                </c:pt>
                <c:pt idx="524" formatCode="General">
                  <c:v>794</c:v>
                </c:pt>
                <c:pt idx="525" formatCode="General">
                  <c:v>719</c:v>
                </c:pt>
                <c:pt idx="526" formatCode="General">
                  <c:v>818</c:v>
                </c:pt>
                <c:pt idx="527">
                  <c:v>1265</c:v>
                </c:pt>
                <c:pt idx="528" formatCode="General">
                  <c:v>967</c:v>
                </c:pt>
                <c:pt idx="529" formatCode="General">
                  <c:v>769</c:v>
                </c:pt>
                <c:pt idx="530" formatCode="General">
                  <c:v>546</c:v>
                </c:pt>
                <c:pt idx="531" formatCode="General">
                  <c:v>843</c:v>
                </c:pt>
                <c:pt idx="532" formatCode="General">
                  <c:v>967</c:v>
                </c:pt>
                <c:pt idx="533" formatCode="General">
                  <c:v>967</c:v>
                </c:pt>
                <c:pt idx="534" formatCode="General">
                  <c:v>992</c:v>
                </c:pt>
                <c:pt idx="535">
                  <c:v>1835</c:v>
                </c:pt>
                <c:pt idx="536">
                  <c:v>1215</c:v>
                </c:pt>
                <c:pt idx="537" formatCode="General">
                  <c:v>694</c:v>
                </c:pt>
                <c:pt idx="538" formatCode="General">
                  <c:v>670</c:v>
                </c:pt>
                <c:pt idx="539">
                  <c:v>1984</c:v>
                </c:pt>
                <c:pt idx="540">
                  <c:v>1662</c:v>
                </c:pt>
                <c:pt idx="541">
                  <c:v>1290</c:v>
                </c:pt>
                <c:pt idx="542" formatCode="General">
                  <c:v>967</c:v>
                </c:pt>
                <c:pt idx="543">
                  <c:v>1017</c:v>
                </c:pt>
                <c:pt idx="544" formatCode="General">
                  <c:v>521</c:v>
                </c:pt>
                <c:pt idx="545">
                  <c:v>1013</c:v>
                </c:pt>
                <c:pt idx="546" formatCode="General">
                  <c:v>963</c:v>
                </c:pt>
                <c:pt idx="547">
                  <c:v>1136</c:v>
                </c:pt>
                <c:pt idx="548">
                  <c:v>1260</c:v>
                </c:pt>
                <c:pt idx="549">
                  <c:v>1235</c:v>
                </c:pt>
                <c:pt idx="550">
                  <c:v>1013</c:v>
                </c:pt>
                <c:pt idx="551">
                  <c:v>1457</c:v>
                </c:pt>
                <c:pt idx="552">
                  <c:v>1136</c:v>
                </c:pt>
                <c:pt idx="553" formatCode="General">
                  <c:v>988</c:v>
                </c:pt>
                <c:pt idx="554">
                  <c:v>1136</c:v>
                </c:pt>
                <c:pt idx="555" formatCode="General">
                  <c:v>963</c:v>
                </c:pt>
                <c:pt idx="556" formatCode="General">
                  <c:v>988</c:v>
                </c:pt>
                <c:pt idx="557" formatCode="General">
                  <c:v>296</c:v>
                </c:pt>
                <c:pt idx="558" formatCode="General">
                  <c:v>543</c:v>
                </c:pt>
                <c:pt idx="559" formatCode="General">
                  <c:v>865</c:v>
                </c:pt>
                <c:pt idx="560" formatCode="General">
                  <c:v>667</c:v>
                </c:pt>
                <c:pt idx="561" formatCode="General">
                  <c:v>935</c:v>
                </c:pt>
                <c:pt idx="562">
                  <c:v>1107</c:v>
                </c:pt>
                <c:pt idx="563">
                  <c:v>1009</c:v>
                </c:pt>
                <c:pt idx="564">
                  <c:v>6125</c:v>
                </c:pt>
                <c:pt idx="565">
                  <c:v>8575</c:v>
                </c:pt>
                <c:pt idx="566">
                  <c:v>1446</c:v>
                </c:pt>
                <c:pt idx="567">
                  <c:v>1446</c:v>
                </c:pt>
                <c:pt idx="568">
                  <c:v>1225</c:v>
                </c:pt>
                <c:pt idx="569">
                  <c:v>1446</c:v>
                </c:pt>
                <c:pt idx="570">
                  <c:v>1029</c:v>
                </c:pt>
                <c:pt idx="571" formatCode="General">
                  <c:v>760</c:v>
                </c:pt>
                <c:pt idx="572">
                  <c:v>1005</c:v>
                </c:pt>
                <c:pt idx="573">
                  <c:v>1519</c:v>
                </c:pt>
                <c:pt idx="574">
                  <c:v>1054</c:v>
                </c:pt>
                <c:pt idx="575">
                  <c:v>1152</c:v>
                </c:pt>
                <c:pt idx="576">
                  <c:v>1635</c:v>
                </c:pt>
                <c:pt idx="577">
                  <c:v>1366</c:v>
                </c:pt>
                <c:pt idx="578">
                  <c:v>1610</c:v>
                </c:pt>
                <c:pt idx="579">
                  <c:v>1220</c:v>
                </c:pt>
                <c:pt idx="580">
                  <c:v>1562</c:v>
                </c:pt>
                <c:pt idx="581">
                  <c:v>1409</c:v>
                </c:pt>
                <c:pt idx="582">
                  <c:v>1118</c:v>
                </c:pt>
                <c:pt idx="583">
                  <c:v>1045</c:v>
                </c:pt>
                <c:pt idx="584">
                  <c:v>1215</c:v>
                </c:pt>
                <c:pt idx="585">
                  <c:v>1312</c:v>
                </c:pt>
                <c:pt idx="586">
                  <c:v>1133</c:v>
                </c:pt>
                <c:pt idx="587">
                  <c:v>1229</c:v>
                </c:pt>
                <c:pt idx="588">
                  <c:v>1109</c:v>
                </c:pt>
                <c:pt idx="589">
                  <c:v>1056</c:v>
                </c:pt>
                <c:pt idx="590">
                  <c:v>1032</c:v>
                </c:pt>
                <c:pt idx="591" formatCode="General">
                  <c:v>768</c:v>
                </c:pt>
                <c:pt idx="592">
                  <c:v>1224</c:v>
                </c:pt>
                <c:pt idx="593">
                  <c:v>1344</c:v>
                </c:pt>
                <c:pt idx="594">
                  <c:v>1992</c:v>
                </c:pt>
                <c:pt idx="595">
                  <c:v>1656</c:v>
                </c:pt>
                <c:pt idx="596">
                  <c:v>1536</c:v>
                </c:pt>
                <c:pt idx="597" formatCode="General">
                  <c:v>744</c:v>
                </c:pt>
                <c:pt idx="598" formatCode="General">
                  <c:v>552</c:v>
                </c:pt>
                <c:pt idx="599">
                  <c:v>1056</c:v>
                </c:pt>
                <c:pt idx="600" formatCode="General">
                  <c:v>672</c:v>
                </c:pt>
                <c:pt idx="601" formatCode="General">
                  <c:v>768</c:v>
                </c:pt>
                <c:pt idx="602" formatCode="General">
                  <c:v>792</c:v>
                </c:pt>
                <c:pt idx="603">
                  <c:v>1032</c:v>
                </c:pt>
                <c:pt idx="604" formatCode="General">
                  <c:v>480</c:v>
                </c:pt>
                <c:pt idx="605" formatCode="General">
                  <c:v>768</c:v>
                </c:pt>
                <c:pt idx="606">
                  <c:v>1104</c:v>
                </c:pt>
                <c:pt idx="607">
                  <c:v>1272</c:v>
                </c:pt>
                <c:pt idx="608">
                  <c:v>1032</c:v>
                </c:pt>
                <c:pt idx="609" formatCode="General">
                  <c:v>792</c:v>
                </c:pt>
                <c:pt idx="610" formatCode="General">
                  <c:v>960</c:v>
                </c:pt>
                <c:pt idx="611" formatCode="General">
                  <c:v>984</c:v>
                </c:pt>
                <c:pt idx="612" formatCode="General">
                  <c:v>980</c:v>
                </c:pt>
                <c:pt idx="613">
                  <c:v>1745</c:v>
                </c:pt>
                <c:pt idx="614">
                  <c:v>1840</c:v>
                </c:pt>
                <c:pt idx="615" formatCode="General">
                  <c:v>884</c:v>
                </c:pt>
                <c:pt idx="616" formatCode="General">
                  <c:v>860</c:v>
                </c:pt>
                <c:pt idx="617">
                  <c:v>1099</c:v>
                </c:pt>
                <c:pt idx="618">
                  <c:v>1052</c:v>
                </c:pt>
                <c:pt idx="619">
                  <c:v>1071</c:v>
                </c:pt>
                <c:pt idx="620">
                  <c:v>1166</c:v>
                </c:pt>
                <c:pt idx="621" formatCode="General">
                  <c:v>928</c:v>
                </c:pt>
                <c:pt idx="622">
                  <c:v>1000</c:v>
                </c:pt>
                <c:pt idx="623" formatCode="General">
                  <c:v>881</c:v>
                </c:pt>
                <c:pt idx="624">
                  <c:v>1000</c:v>
                </c:pt>
                <c:pt idx="625" formatCode="General">
                  <c:v>976</c:v>
                </c:pt>
                <c:pt idx="626" formatCode="General">
                  <c:v>976</c:v>
                </c:pt>
                <c:pt idx="627">
                  <c:v>1190</c:v>
                </c:pt>
                <c:pt idx="628" formatCode="General">
                  <c:v>881</c:v>
                </c:pt>
                <c:pt idx="629">
                  <c:v>1095</c:v>
                </c:pt>
                <c:pt idx="630" formatCode="General">
                  <c:v>643</c:v>
                </c:pt>
                <c:pt idx="631">
                  <c:v>1166</c:v>
                </c:pt>
                <c:pt idx="632">
                  <c:v>1047</c:v>
                </c:pt>
                <c:pt idx="633">
                  <c:v>1428</c:v>
                </c:pt>
                <c:pt idx="634">
                  <c:v>1714</c:v>
                </c:pt>
                <c:pt idx="635">
                  <c:v>1047</c:v>
                </c:pt>
                <c:pt idx="636" formatCode="General">
                  <c:v>643</c:v>
                </c:pt>
                <c:pt idx="637">
                  <c:v>1309</c:v>
                </c:pt>
                <c:pt idx="638">
                  <c:v>1023</c:v>
                </c:pt>
                <c:pt idx="639">
                  <c:v>1510</c:v>
                </c:pt>
                <c:pt idx="640" formatCode="General">
                  <c:v>920</c:v>
                </c:pt>
                <c:pt idx="641">
                  <c:v>1204</c:v>
                </c:pt>
                <c:pt idx="642">
                  <c:v>1369</c:v>
                </c:pt>
                <c:pt idx="643">
                  <c:v>1156</c:v>
                </c:pt>
                <c:pt idx="644" formatCode="General">
                  <c:v>637</c:v>
                </c:pt>
                <c:pt idx="645" formatCode="General">
                  <c:v>732</c:v>
                </c:pt>
                <c:pt idx="646" formatCode="General">
                  <c:v>779</c:v>
                </c:pt>
                <c:pt idx="647">
                  <c:v>1204</c:v>
                </c:pt>
                <c:pt idx="648" formatCode="General">
                  <c:v>661</c:v>
                </c:pt>
                <c:pt idx="649">
                  <c:v>1287</c:v>
                </c:pt>
                <c:pt idx="650">
                  <c:v>1100</c:v>
                </c:pt>
                <c:pt idx="651" formatCode="General">
                  <c:v>562</c:v>
                </c:pt>
                <c:pt idx="652" formatCode="General">
                  <c:v>632</c:v>
                </c:pt>
                <c:pt idx="653">
                  <c:v>1076</c:v>
                </c:pt>
                <c:pt idx="654">
                  <c:v>1006</c:v>
                </c:pt>
                <c:pt idx="655">
                  <c:v>1030</c:v>
                </c:pt>
                <c:pt idx="656">
                  <c:v>1142</c:v>
                </c:pt>
                <c:pt idx="657">
                  <c:v>1491</c:v>
                </c:pt>
                <c:pt idx="658">
                  <c:v>1678</c:v>
                </c:pt>
                <c:pt idx="659">
                  <c:v>1212</c:v>
                </c:pt>
                <c:pt idx="660">
                  <c:v>1305</c:v>
                </c:pt>
                <c:pt idx="661">
                  <c:v>1515</c:v>
                </c:pt>
                <c:pt idx="662">
                  <c:v>1445</c:v>
                </c:pt>
                <c:pt idx="663">
                  <c:v>1235</c:v>
                </c:pt>
                <c:pt idx="664">
                  <c:v>1025</c:v>
                </c:pt>
                <c:pt idx="665" formatCode="General">
                  <c:v>955</c:v>
                </c:pt>
                <c:pt idx="666">
                  <c:v>1258</c:v>
                </c:pt>
                <c:pt idx="667">
                  <c:v>1305</c:v>
                </c:pt>
                <c:pt idx="668">
                  <c:v>1235</c:v>
                </c:pt>
                <c:pt idx="669">
                  <c:v>1771</c:v>
                </c:pt>
                <c:pt idx="670">
                  <c:v>1258</c:v>
                </c:pt>
                <c:pt idx="671">
                  <c:v>1025</c:v>
                </c:pt>
                <c:pt idx="672">
                  <c:v>1165</c:v>
                </c:pt>
                <c:pt idx="673">
                  <c:v>1002</c:v>
                </c:pt>
                <c:pt idx="674" formatCode="General">
                  <c:v>839</c:v>
                </c:pt>
                <c:pt idx="675">
                  <c:v>1188</c:v>
                </c:pt>
                <c:pt idx="676" formatCode="General">
                  <c:v>816</c:v>
                </c:pt>
                <c:pt idx="677" formatCode="General">
                  <c:v>303</c:v>
                </c:pt>
                <c:pt idx="678">
                  <c:v>1118</c:v>
                </c:pt>
                <c:pt idx="679" formatCode="General">
                  <c:v>676</c:v>
                </c:pt>
                <c:pt idx="680" formatCode="General">
                  <c:v>816</c:v>
                </c:pt>
                <c:pt idx="681" formatCode="General">
                  <c:v>629</c:v>
                </c:pt>
                <c:pt idx="682" formatCode="General">
                  <c:v>909</c:v>
                </c:pt>
                <c:pt idx="683" formatCode="General">
                  <c:v>862</c:v>
                </c:pt>
                <c:pt idx="684" formatCode="General">
                  <c:v>536</c:v>
                </c:pt>
                <c:pt idx="685">
                  <c:v>1305</c:v>
                </c:pt>
                <c:pt idx="686" formatCode="General">
                  <c:v>722</c:v>
                </c:pt>
                <c:pt idx="687" formatCode="General">
                  <c:v>885</c:v>
                </c:pt>
                <c:pt idx="688">
                  <c:v>1002</c:v>
                </c:pt>
                <c:pt idx="689" formatCode="General">
                  <c:v>905</c:v>
                </c:pt>
                <c:pt idx="690" formatCode="General">
                  <c:v>858</c:v>
                </c:pt>
                <c:pt idx="691">
                  <c:v>1183</c:v>
                </c:pt>
                <c:pt idx="692" formatCode="General">
                  <c:v>974</c:v>
                </c:pt>
                <c:pt idx="693">
                  <c:v>1206</c:v>
                </c:pt>
                <c:pt idx="694">
                  <c:v>1137</c:v>
                </c:pt>
                <c:pt idx="695" formatCode="General">
                  <c:v>557</c:v>
                </c:pt>
                <c:pt idx="696" formatCode="General">
                  <c:v>789</c:v>
                </c:pt>
                <c:pt idx="697">
                  <c:v>1021</c:v>
                </c:pt>
                <c:pt idx="698" formatCode="General">
                  <c:v>882</c:v>
                </c:pt>
                <c:pt idx="699" formatCode="General">
                  <c:v>928</c:v>
                </c:pt>
                <c:pt idx="700">
                  <c:v>1090</c:v>
                </c:pt>
                <c:pt idx="701" formatCode="General">
                  <c:v>928</c:v>
                </c:pt>
                <c:pt idx="702">
                  <c:v>1340</c:v>
                </c:pt>
                <c:pt idx="703">
                  <c:v>1132</c:v>
                </c:pt>
                <c:pt idx="704" formatCode="General">
                  <c:v>947</c:v>
                </c:pt>
                <c:pt idx="705">
                  <c:v>1294</c:v>
                </c:pt>
                <c:pt idx="706">
                  <c:v>1224</c:v>
                </c:pt>
                <c:pt idx="707">
                  <c:v>1271</c:v>
                </c:pt>
                <c:pt idx="708">
                  <c:v>1155</c:v>
                </c:pt>
                <c:pt idx="709" formatCode="General">
                  <c:v>762</c:v>
                </c:pt>
                <c:pt idx="710">
                  <c:v>1548</c:v>
                </c:pt>
                <c:pt idx="711">
                  <c:v>1247</c:v>
                </c:pt>
                <c:pt idx="712" formatCode="General">
                  <c:v>739</c:v>
                </c:pt>
                <c:pt idx="713" formatCode="General">
                  <c:v>624</c:v>
                </c:pt>
                <c:pt idx="714">
                  <c:v>1617</c:v>
                </c:pt>
                <c:pt idx="715" formatCode="General">
                  <c:v>601</c:v>
                </c:pt>
                <c:pt idx="716" formatCode="General">
                  <c:v>901</c:v>
                </c:pt>
                <c:pt idx="717" formatCode="General">
                  <c:v>901</c:v>
                </c:pt>
                <c:pt idx="718" formatCode="General">
                  <c:v>300</c:v>
                </c:pt>
                <c:pt idx="719">
                  <c:v>1432</c:v>
                </c:pt>
                <c:pt idx="720">
                  <c:v>1063</c:v>
                </c:pt>
                <c:pt idx="721">
                  <c:v>1894</c:v>
                </c:pt>
                <c:pt idx="722" formatCode="General">
                  <c:v>670</c:v>
                </c:pt>
                <c:pt idx="723">
                  <c:v>1709</c:v>
                </c:pt>
                <c:pt idx="724">
                  <c:v>1357</c:v>
                </c:pt>
                <c:pt idx="725">
                  <c:v>1058</c:v>
                </c:pt>
                <c:pt idx="726">
                  <c:v>1127</c:v>
                </c:pt>
                <c:pt idx="727" formatCode="General">
                  <c:v>782</c:v>
                </c:pt>
                <c:pt idx="728" formatCode="General">
                  <c:v>828</c:v>
                </c:pt>
                <c:pt idx="729" formatCode="General">
                  <c:v>989</c:v>
                </c:pt>
                <c:pt idx="730" formatCode="General">
                  <c:v>437</c:v>
                </c:pt>
                <c:pt idx="731" formatCode="General">
                  <c:v>943</c:v>
                </c:pt>
                <c:pt idx="732" formatCode="General">
                  <c:v>943</c:v>
                </c:pt>
                <c:pt idx="733">
                  <c:v>1277</c:v>
                </c:pt>
                <c:pt idx="734">
                  <c:v>1094</c:v>
                </c:pt>
                <c:pt idx="735">
                  <c:v>1550</c:v>
                </c:pt>
                <c:pt idx="736">
                  <c:v>1391</c:v>
                </c:pt>
                <c:pt idx="737" formatCode="General">
                  <c:v>661</c:v>
                </c:pt>
                <c:pt idx="738" formatCode="General">
                  <c:v>798</c:v>
                </c:pt>
                <c:pt idx="739" formatCode="General">
                  <c:v>958</c:v>
                </c:pt>
                <c:pt idx="740">
                  <c:v>1163</c:v>
                </c:pt>
                <c:pt idx="741" formatCode="General">
                  <c:v>821</c:v>
                </c:pt>
                <c:pt idx="742" formatCode="General">
                  <c:v>661</c:v>
                </c:pt>
                <c:pt idx="743">
                  <c:v>1163</c:v>
                </c:pt>
                <c:pt idx="744" formatCode="General">
                  <c:v>798</c:v>
                </c:pt>
                <c:pt idx="745" formatCode="General">
                  <c:v>456</c:v>
                </c:pt>
                <c:pt idx="746" formatCode="General">
                  <c:v>616</c:v>
                </c:pt>
                <c:pt idx="747" formatCode="General">
                  <c:v>524</c:v>
                </c:pt>
                <c:pt idx="748" formatCode="General">
                  <c:v>593</c:v>
                </c:pt>
                <c:pt idx="749">
                  <c:v>7875</c:v>
                </c:pt>
                <c:pt idx="750">
                  <c:v>9000</c:v>
                </c:pt>
                <c:pt idx="751">
                  <c:v>9000</c:v>
                </c:pt>
                <c:pt idx="752">
                  <c:v>7875</c:v>
                </c:pt>
                <c:pt idx="753">
                  <c:v>7875</c:v>
                </c:pt>
                <c:pt idx="754">
                  <c:v>9000</c:v>
                </c:pt>
                <c:pt idx="755">
                  <c:v>9000</c:v>
                </c:pt>
                <c:pt idx="756">
                  <c:v>7875</c:v>
                </c:pt>
                <c:pt idx="757">
                  <c:v>5625</c:v>
                </c:pt>
                <c:pt idx="758">
                  <c:v>7875</c:v>
                </c:pt>
                <c:pt idx="759">
                  <c:v>7875</c:v>
                </c:pt>
                <c:pt idx="760">
                  <c:v>9000</c:v>
                </c:pt>
                <c:pt idx="761">
                  <c:v>9000</c:v>
                </c:pt>
                <c:pt idx="762">
                  <c:v>6750</c:v>
                </c:pt>
                <c:pt idx="763">
                  <c:v>5625</c:v>
                </c:pt>
                <c:pt idx="764">
                  <c:v>7875</c:v>
                </c:pt>
                <c:pt idx="765">
                  <c:v>9000</c:v>
                </c:pt>
                <c:pt idx="766">
                  <c:v>9000</c:v>
                </c:pt>
                <c:pt idx="767">
                  <c:v>6750</c:v>
                </c:pt>
                <c:pt idx="768">
                  <c:v>9000</c:v>
                </c:pt>
                <c:pt idx="769">
                  <c:v>7875</c:v>
                </c:pt>
                <c:pt idx="770">
                  <c:v>4500</c:v>
                </c:pt>
                <c:pt idx="771">
                  <c:v>4500</c:v>
                </c:pt>
                <c:pt idx="772">
                  <c:v>5625</c:v>
                </c:pt>
                <c:pt idx="773">
                  <c:v>3375</c:v>
                </c:pt>
                <c:pt idx="774">
                  <c:v>7875</c:v>
                </c:pt>
                <c:pt idx="775">
                  <c:v>4500</c:v>
                </c:pt>
                <c:pt idx="776">
                  <c:v>7875</c:v>
                </c:pt>
                <c:pt idx="777">
                  <c:v>4500</c:v>
                </c:pt>
                <c:pt idx="778">
                  <c:v>3375</c:v>
                </c:pt>
                <c:pt idx="779">
                  <c:v>5625</c:v>
                </c:pt>
                <c:pt idx="780">
                  <c:v>6750</c:v>
                </c:pt>
                <c:pt idx="781">
                  <c:v>6750</c:v>
                </c:pt>
                <c:pt idx="782">
                  <c:v>9000</c:v>
                </c:pt>
                <c:pt idx="783">
                  <c:v>9000</c:v>
                </c:pt>
                <c:pt idx="784">
                  <c:v>9000</c:v>
                </c:pt>
                <c:pt idx="785">
                  <c:v>5625</c:v>
                </c:pt>
                <c:pt idx="786">
                  <c:v>4500</c:v>
                </c:pt>
                <c:pt idx="787">
                  <c:v>6750</c:v>
                </c:pt>
                <c:pt idx="788">
                  <c:v>9000</c:v>
                </c:pt>
                <c:pt idx="789">
                  <c:v>9000</c:v>
                </c:pt>
                <c:pt idx="790">
                  <c:v>2250</c:v>
                </c:pt>
                <c:pt idx="791">
                  <c:v>9000</c:v>
                </c:pt>
                <c:pt idx="792">
                  <c:v>9000</c:v>
                </c:pt>
                <c:pt idx="793">
                  <c:v>9000</c:v>
                </c:pt>
                <c:pt idx="794">
                  <c:v>9000</c:v>
                </c:pt>
                <c:pt idx="795">
                  <c:v>2250</c:v>
                </c:pt>
                <c:pt idx="796">
                  <c:v>4500</c:v>
                </c:pt>
                <c:pt idx="797">
                  <c:v>9000</c:v>
                </c:pt>
                <c:pt idx="798">
                  <c:v>9000</c:v>
                </c:pt>
                <c:pt idx="799">
                  <c:v>7875</c:v>
                </c:pt>
                <c:pt idx="800">
                  <c:v>7875</c:v>
                </c:pt>
                <c:pt idx="801">
                  <c:v>5625</c:v>
                </c:pt>
                <c:pt idx="802">
                  <c:v>7875</c:v>
                </c:pt>
                <c:pt idx="803">
                  <c:v>9000</c:v>
                </c:pt>
                <c:pt idx="804">
                  <c:v>9000</c:v>
                </c:pt>
                <c:pt idx="805">
                  <c:v>9000</c:v>
                </c:pt>
                <c:pt idx="806">
                  <c:v>5625</c:v>
                </c:pt>
                <c:pt idx="807">
                  <c:v>7875</c:v>
                </c:pt>
                <c:pt idx="808">
                  <c:v>7875</c:v>
                </c:pt>
                <c:pt idx="809">
                  <c:v>5625</c:v>
                </c:pt>
                <c:pt idx="810">
                  <c:v>7875</c:v>
                </c:pt>
                <c:pt idx="811">
                  <c:v>7875</c:v>
                </c:pt>
                <c:pt idx="812">
                  <c:v>9000</c:v>
                </c:pt>
                <c:pt idx="813">
                  <c:v>9000</c:v>
                </c:pt>
                <c:pt idx="814">
                  <c:v>6750</c:v>
                </c:pt>
                <c:pt idx="815">
                  <c:v>5625</c:v>
                </c:pt>
                <c:pt idx="816">
                  <c:v>5625</c:v>
                </c:pt>
                <c:pt idx="817">
                  <c:v>7875</c:v>
                </c:pt>
                <c:pt idx="818">
                  <c:v>9000</c:v>
                </c:pt>
                <c:pt idx="819">
                  <c:v>7875</c:v>
                </c:pt>
                <c:pt idx="820">
                  <c:v>5625</c:v>
                </c:pt>
                <c:pt idx="821">
                  <c:v>7875</c:v>
                </c:pt>
                <c:pt idx="822">
                  <c:v>7875</c:v>
                </c:pt>
                <c:pt idx="823">
                  <c:v>9000</c:v>
                </c:pt>
                <c:pt idx="824">
                  <c:v>7875</c:v>
                </c:pt>
                <c:pt idx="825">
                  <c:v>1215</c:v>
                </c:pt>
                <c:pt idx="826" formatCode="General">
                  <c:v>765</c:v>
                </c:pt>
                <c:pt idx="827" formatCode="General">
                  <c:v>855</c:v>
                </c:pt>
                <c:pt idx="828" formatCode="General">
                  <c:v>743</c:v>
                </c:pt>
                <c:pt idx="829">
                  <c:v>1035</c:v>
                </c:pt>
                <c:pt idx="830">
                  <c:v>1440</c:v>
                </c:pt>
                <c:pt idx="831">
                  <c:v>1170</c:v>
                </c:pt>
                <c:pt idx="832" formatCode="General">
                  <c:v>765</c:v>
                </c:pt>
                <c:pt idx="833">
                  <c:v>1058</c:v>
                </c:pt>
                <c:pt idx="834">
                  <c:v>1103</c:v>
                </c:pt>
                <c:pt idx="835" formatCode="General">
                  <c:v>945</c:v>
                </c:pt>
                <c:pt idx="836" formatCode="General">
                  <c:v>945</c:v>
                </c:pt>
                <c:pt idx="837">
                  <c:v>1283</c:v>
                </c:pt>
                <c:pt idx="838">
                  <c:v>1170</c:v>
                </c:pt>
                <c:pt idx="839" formatCode="General">
                  <c:v>923</c:v>
                </c:pt>
                <c:pt idx="840">
                  <c:v>1373</c:v>
                </c:pt>
                <c:pt idx="841" formatCode="General">
                  <c:v>855</c:v>
                </c:pt>
                <c:pt idx="842">
                  <c:v>1305</c:v>
                </c:pt>
                <c:pt idx="843">
                  <c:v>1980</c:v>
                </c:pt>
                <c:pt idx="844">
                  <c:v>1350</c:v>
                </c:pt>
                <c:pt idx="845">
                  <c:v>1665</c:v>
                </c:pt>
                <c:pt idx="846">
                  <c:v>1283</c:v>
                </c:pt>
                <c:pt idx="847">
                  <c:v>1103</c:v>
                </c:pt>
                <c:pt idx="848">
                  <c:v>1148</c:v>
                </c:pt>
                <c:pt idx="849">
                  <c:v>1148</c:v>
                </c:pt>
                <c:pt idx="850">
                  <c:v>1260</c:v>
                </c:pt>
                <c:pt idx="851">
                  <c:v>1193</c:v>
                </c:pt>
                <c:pt idx="852">
                  <c:v>1485</c:v>
                </c:pt>
                <c:pt idx="853">
                  <c:v>1553</c:v>
                </c:pt>
                <c:pt idx="854">
                  <c:v>1125</c:v>
                </c:pt>
                <c:pt idx="855" formatCode="General">
                  <c:v>630</c:v>
                </c:pt>
                <c:pt idx="856">
                  <c:v>1035</c:v>
                </c:pt>
                <c:pt idx="857">
                  <c:v>1305</c:v>
                </c:pt>
                <c:pt idx="858" formatCode="General">
                  <c:v>968</c:v>
                </c:pt>
                <c:pt idx="859" formatCode="General">
                  <c:v>788</c:v>
                </c:pt>
                <c:pt idx="860" formatCode="General">
                  <c:v>698</c:v>
                </c:pt>
                <c:pt idx="861">
                  <c:v>1103</c:v>
                </c:pt>
                <c:pt idx="862" formatCode="General">
                  <c:v>675</c:v>
                </c:pt>
                <c:pt idx="863">
                  <c:v>1260</c:v>
                </c:pt>
                <c:pt idx="864">
                  <c:v>1215</c:v>
                </c:pt>
                <c:pt idx="865">
                  <c:v>1148</c:v>
                </c:pt>
                <c:pt idx="866">
                  <c:v>1098</c:v>
                </c:pt>
                <c:pt idx="867" formatCode="General">
                  <c:v>963</c:v>
                </c:pt>
                <c:pt idx="868" formatCode="General">
                  <c:v>918</c:v>
                </c:pt>
                <c:pt idx="869">
                  <c:v>1098</c:v>
                </c:pt>
                <c:pt idx="870">
                  <c:v>1030</c:v>
                </c:pt>
                <c:pt idx="871">
                  <c:v>1165</c:v>
                </c:pt>
                <c:pt idx="872" formatCode="General">
                  <c:v>762</c:v>
                </c:pt>
                <c:pt idx="873">
                  <c:v>1299</c:v>
                </c:pt>
                <c:pt idx="874" formatCode="General">
                  <c:v>560</c:v>
                </c:pt>
                <c:pt idx="875" formatCode="General">
                  <c:v>515</c:v>
                </c:pt>
                <c:pt idx="876" formatCode="General">
                  <c:v>627</c:v>
                </c:pt>
                <c:pt idx="877" formatCode="General">
                  <c:v>918</c:v>
                </c:pt>
                <c:pt idx="878">
                  <c:v>1030</c:v>
                </c:pt>
                <c:pt idx="879" formatCode="General">
                  <c:v>582</c:v>
                </c:pt>
                <c:pt idx="880" formatCode="General">
                  <c:v>784</c:v>
                </c:pt>
                <c:pt idx="881" formatCode="General">
                  <c:v>851</c:v>
                </c:pt>
                <c:pt idx="882">
                  <c:v>1142</c:v>
                </c:pt>
                <c:pt idx="883" formatCode="General">
                  <c:v>784</c:v>
                </c:pt>
                <c:pt idx="884" formatCode="General">
                  <c:v>157</c:v>
                </c:pt>
                <c:pt idx="885">
                  <c:v>1187</c:v>
                </c:pt>
                <c:pt idx="886">
                  <c:v>1344</c:v>
                </c:pt>
                <c:pt idx="887">
                  <c:v>1232</c:v>
                </c:pt>
                <c:pt idx="888" formatCode="General">
                  <c:v>784</c:v>
                </c:pt>
                <c:pt idx="889" formatCode="General">
                  <c:v>829</c:v>
                </c:pt>
                <c:pt idx="890" formatCode="General">
                  <c:v>896</c:v>
                </c:pt>
                <c:pt idx="891">
                  <c:v>1098</c:v>
                </c:pt>
                <c:pt idx="892" formatCode="General">
                  <c:v>825</c:v>
                </c:pt>
                <c:pt idx="893">
                  <c:v>1316</c:v>
                </c:pt>
                <c:pt idx="894">
                  <c:v>1227</c:v>
                </c:pt>
                <c:pt idx="895">
                  <c:v>1316</c:v>
                </c:pt>
                <c:pt idx="896">
                  <c:v>1160</c:v>
                </c:pt>
                <c:pt idx="897">
                  <c:v>1360</c:v>
                </c:pt>
                <c:pt idx="898">
                  <c:v>1070</c:v>
                </c:pt>
                <c:pt idx="899" formatCode="General">
                  <c:v>937</c:v>
                </c:pt>
                <c:pt idx="900" formatCode="General">
                  <c:v>736</c:v>
                </c:pt>
                <c:pt idx="901" formatCode="General">
                  <c:v>803</c:v>
                </c:pt>
                <c:pt idx="902" formatCode="General">
                  <c:v>781</c:v>
                </c:pt>
                <c:pt idx="903" formatCode="General">
                  <c:v>468</c:v>
                </c:pt>
                <c:pt idx="904" formatCode="General">
                  <c:v>312</c:v>
                </c:pt>
                <c:pt idx="905" formatCode="General">
                  <c:v>624</c:v>
                </c:pt>
                <c:pt idx="906">
                  <c:v>1048</c:v>
                </c:pt>
                <c:pt idx="907" formatCode="General">
                  <c:v>870</c:v>
                </c:pt>
                <c:pt idx="908" formatCode="General">
                  <c:v>446</c:v>
                </c:pt>
                <c:pt idx="909" formatCode="General">
                  <c:v>424</c:v>
                </c:pt>
                <c:pt idx="910">
                  <c:v>1127</c:v>
                </c:pt>
                <c:pt idx="911" formatCode="General">
                  <c:v>906</c:v>
                </c:pt>
                <c:pt idx="912" formatCode="General">
                  <c:v>906</c:v>
                </c:pt>
                <c:pt idx="913">
                  <c:v>1282</c:v>
                </c:pt>
                <c:pt idx="914" formatCode="General">
                  <c:v>641</c:v>
                </c:pt>
                <c:pt idx="915">
                  <c:v>1105</c:v>
                </c:pt>
                <c:pt idx="916" formatCode="General">
                  <c:v>729</c:v>
                </c:pt>
                <c:pt idx="917" formatCode="General">
                  <c:v>751</c:v>
                </c:pt>
                <c:pt idx="918" formatCode="General">
                  <c:v>729</c:v>
                </c:pt>
                <c:pt idx="919" formatCode="General">
                  <c:v>442</c:v>
                </c:pt>
                <c:pt idx="920" formatCode="General">
                  <c:v>796</c:v>
                </c:pt>
                <c:pt idx="921" formatCode="General">
                  <c:v>774</c:v>
                </c:pt>
                <c:pt idx="922" formatCode="General">
                  <c:v>995</c:v>
                </c:pt>
                <c:pt idx="923" formatCode="General">
                  <c:v>751</c:v>
                </c:pt>
                <c:pt idx="924">
                  <c:v>1459</c:v>
                </c:pt>
                <c:pt idx="925">
                  <c:v>1613</c:v>
                </c:pt>
                <c:pt idx="926" formatCode="General">
                  <c:v>774</c:v>
                </c:pt>
                <c:pt idx="927">
                  <c:v>5500</c:v>
                </c:pt>
                <c:pt idx="928">
                  <c:v>7700</c:v>
                </c:pt>
                <c:pt idx="929">
                  <c:v>1577</c:v>
                </c:pt>
                <c:pt idx="930">
                  <c:v>1292</c:v>
                </c:pt>
                <c:pt idx="931">
                  <c:v>1402</c:v>
                </c:pt>
                <c:pt idx="932">
                  <c:v>1270</c:v>
                </c:pt>
                <c:pt idx="933" formatCode="General">
                  <c:v>767</c:v>
                </c:pt>
                <c:pt idx="934" formatCode="General">
                  <c:v>942</c:v>
                </c:pt>
                <c:pt idx="935" formatCode="General">
                  <c:v>635</c:v>
                </c:pt>
                <c:pt idx="936" formatCode="General">
                  <c:v>504</c:v>
                </c:pt>
                <c:pt idx="937" formatCode="General">
                  <c:v>657</c:v>
                </c:pt>
                <c:pt idx="938" formatCode="General">
                  <c:v>613</c:v>
                </c:pt>
                <c:pt idx="939" formatCode="General">
                  <c:v>832</c:v>
                </c:pt>
                <c:pt idx="940">
                  <c:v>1117</c:v>
                </c:pt>
                <c:pt idx="941">
                  <c:v>1308</c:v>
                </c:pt>
                <c:pt idx="942">
                  <c:v>1199</c:v>
                </c:pt>
                <c:pt idx="943">
                  <c:v>1373</c:v>
                </c:pt>
                <c:pt idx="944">
                  <c:v>1025</c:v>
                </c:pt>
                <c:pt idx="945">
                  <c:v>1046</c:v>
                </c:pt>
                <c:pt idx="946" formatCode="General">
                  <c:v>807</c:v>
                </c:pt>
                <c:pt idx="947">
                  <c:v>1264</c:v>
                </c:pt>
                <c:pt idx="948">
                  <c:v>1155</c:v>
                </c:pt>
                <c:pt idx="949" formatCode="General">
                  <c:v>501</c:v>
                </c:pt>
                <c:pt idx="950">
                  <c:v>1548</c:v>
                </c:pt>
                <c:pt idx="951">
                  <c:v>1199</c:v>
                </c:pt>
                <c:pt idx="952">
                  <c:v>1155</c:v>
                </c:pt>
                <c:pt idx="953" formatCode="General">
                  <c:v>545</c:v>
                </c:pt>
                <c:pt idx="954">
                  <c:v>1570</c:v>
                </c:pt>
                <c:pt idx="955" formatCode="General">
                  <c:v>916</c:v>
                </c:pt>
                <c:pt idx="956" formatCode="General">
                  <c:v>850</c:v>
                </c:pt>
                <c:pt idx="957">
                  <c:v>1025</c:v>
                </c:pt>
                <c:pt idx="958">
                  <c:v>1199</c:v>
                </c:pt>
                <c:pt idx="959" formatCode="General">
                  <c:v>610</c:v>
                </c:pt>
                <c:pt idx="960" formatCode="General">
                  <c:v>589</c:v>
                </c:pt>
                <c:pt idx="961" formatCode="General">
                  <c:v>349</c:v>
                </c:pt>
                <c:pt idx="962" formatCode="General">
                  <c:v>807</c:v>
                </c:pt>
                <c:pt idx="963" formatCode="General">
                  <c:v>998</c:v>
                </c:pt>
                <c:pt idx="964">
                  <c:v>1411</c:v>
                </c:pt>
                <c:pt idx="965">
                  <c:v>1736</c:v>
                </c:pt>
                <c:pt idx="966" formatCode="General">
                  <c:v>694</c:v>
                </c:pt>
                <c:pt idx="967">
                  <c:v>1020</c:v>
                </c:pt>
                <c:pt idx="968" formatCode="General">
                  <c:v>781</c:v>
                </c:pt>
                <c:pt idx="969">
                  <c:v>1215</c:v>
                </c:pt>
                <c:pt idx="970">
                  <c:v>1042</c:v>
                </c:pt>
                <c:pt idx="971" formatCode="General">
                  <c:v>629</c:v>
                </c:pt>
                <c:pt idx="972" formatCode="General">
                  <c:v>716</c:v>
                </c:pt>
                <c:pt idx="973" formatCode="General">
                  <c:v>781</c:v>
                </c:pt>
                <c:pt idx="974">
                  <c:v>1020</c:v>
                </c:pt>
                <c:pt idx="975">
                  <c:v>1432</c:v>
                </c:pt>
                <c:pt idx="976">
                  <c:v>1085</c:v>
                </c:pt>
                <c:pt idx="977">
                  <c:v>1020</c:v>
                </c:pt>
                <c:pt idx="978" formatCode="General">
                  <c:v>929</c:v>
                </c:pt>
                <c:pt idx="979" formatCode="General">
                  <c:v>929</c:v>
                </c:pt>
                <c:pt idx="980" formatCode="General">
                  <c:v>691</c:v>
                </c:pt>
                <c:pt idx="981" formatCode="General">
                  <c:v>994</c:v>
                </c:pt>
                <c:pt idx="982">
                  <c:v>1555</c:v>
                </c:pt>
                <c:pt idx="983" formatCode="General">
                  <c:v>842</c:v>
                </c:pt>
                <c:pt idx="984" formatCode="General">
                  <c:v>734</c:v>
                </c:pt>
                <c:pt idx="985">
                  <c:v>1555</c:v>
                </c:pt>
                <c:pt idx="986" formatCode="General">
                  <c:v>734</c:v>
                </c:pt>
                <c:pt idx="987">
                  <c:v>1102</c:v>
                </c:pt>
                <c:pt idx="988">
                  <c:v>1015</c:v>
                </c:pt>
                <c:pt idx="989" formatCode="General">
                  <c:v>864</c:v>
                </c:pt>
                <c:pt idx="990" formatCode="General">
                  <c:v>518</c:v>
                </c:pt>
                <c:pt idx="991" formatCode="General">
                  <c:v>950</c:v>
                </c:pt>
                <c:pt idx="992">
                  <c:v>1204</c:v>
                </c:pt>
                <c:pt idx="993">
                  <c:v>1161</c:v>
                </c:pt>
                <c:pt idx="994">
                  <c:v>1032</c:v>
                </c:pt>
                <c:pt idx="995">
                  <c:v>1075</c:v>
                </c:pt>
                <c:pt idx="996">
                  <c:v>1011</c:v>
                </c:pt>
                <c:pt idx="997" formatCode="General">
                  <c:v>774</c:v>
                </c:pt>
                <c:pt idx="998">
                  <c:v>1054</c:v>
                </c:pt>
                <c:pt idx="999">
                  <c:v>1204</c:v>
                </c:pt>
                <c:pt idx="1000" formatCode="General">
                  <c:v>946</c:v>
                </c:pt>
                <c:pt idx="1001">
                  <c:v>1204</c:v>
                </c:pt>
                <c:pt idx="1002" formatCode="General">
                  <c:v>645</c:v>
                </c:pt>
                <c:pt idx="1003" formatCode="General">
                  <c:v>645</c:v>
                </c:pt>
                <c:pt idx="1004" formatCode="General">
                  <c:v>774</c:v>
                </c:pt>
                <c:pt idx="1005" formatCode="General">
                  <c:v>495</c:v>
                </c:pt>
                <c:pt idx="1006" formatCode="General">
                  <c:v>645</c:v>
                </c:pt>
                <c:pt idx="1007" formatCode="General">
                  <c:v>323</c:v>
                </c:pt>
                <c:pt idx="1008">
                  <c:v>1140</c:v>
                </c:pt>
                <c:pt idx="1009">
                  <c:v>1075</c:v>
                </c:pt>
                <c:pt idx="1010" formatCode="General">
                  <c:v>323</c:v>
                </c:pt>
                <c:pt idx="1011" formatCode="General">
                  <c:v>452</c:v>
                </c:pt>
                <c:pt idx="1012" formatCode="General">
                  <c:v>366</c:v>
                </c:pt>
                <c:pt idx="1013" formatCode="General">
                  <c:v>903</c:v>
                </c:pt>
                <c:pt idx="1014" formatCode="General">
                  <c:v>490</c:v>
                </c:pt>
                <c:pt idx="1015" formatCode="General">
                  <c:v>873</c:v>
                </c:pt>
                <c:pt idx="1016">
                  <c:v>1065</c:v>
                </c:pt>
                <c:pt idx="1017">
                  <c:v>1001</c:v>
                </c:pt>
                <c:pt idx="1018">
                  <c:v>1363</c:v>
                </c:pt>
                <c:pt idx="1019">
                  <c:v>1853</c:v>
                </c:pt>
                <c:pt idx="1020" formatCode="General">
                  <c:v>554</c:v>
                </c:pt>
                <c:pt idx="1021" formatCode="General">
                  <c:v>596</c:v>
                </c:pt>
                <c:pt idx="1022" formatCode="General">
                  <c:v>703</c:v>
                </c:pt>
                <c:pt idx="1023" formatCode="General">
                  <c:v>639</c:v>
                </c:pt>
                <c:pt idx="1024" formatCode="General">
                  <c:v>703</c:v>
                </c:pt>
                <c:pt idx="1025">
                  <c:v>1001</c:v>
                </c:pt>
                <c:pt idx="1026" formatCode="General">
                  <c:v>703</c:v>
                </c:pt>
                <c:pt idx="1027" formatCode="General">
                  <c:v>693</c:v>
                </c:pt>
                <c:pt idx="1028" formatCode="General">
                  <c:v>756</c:v>
                </c:pt>
                <c:pt idx="1029">
                  <c:v>1113</c:v>
                </c:pt>
                <c:pt idx="1030">
                  <c:v>1029</c:v>
                </c:pt>
                <c:pt idx="1031">
                  <c:v>1134</c:v>
                </c:pt>
                <c:pt idx="1032">
                  <c:v>1344</c:v>
                </c:pt>
                <c:pt idx="1033">
                  <c:v>1239</c:v>
                </c:pt>
                <c:pt idx="1034">
                  <c:v>1050</c:v>
                </c:pt>
                <c:pt idx="1035">
                  <c:v>1113</c:v>
                </c:pt>
                <c:pt idx="1036">
                  <c:v>1029</c:v>
                </c:pt>
                <c:pt idx="1037">
                  <c:v>1302</c:v>
                </c:pt>
                <c:pt idx="1038">
                  <c:v>1617</c:v>
                </c:pt>
                <c:pt idx="1039" formatCode="General">
                  <c:v>861</c:v>
                </c:pt>
                <c:pt idx="1040" formatCode="General">
                  <c:v>882</c:v>
                </c:pt>
                <c:pt idx="1041">
                  <c:v>1050</c:v>
                </c:pt>
                <c:pt idx="1042" formatCode="General">
                  <c:v>378</c:v>
                </c:pt>
                <c:pt idx="1043">
                  <c:v>1134</c:v>
                </c:pt>
                <c:pt idx="1044">
                  <c:v>1092</c:v>
                </c:pt>
                <c:pt idx="1045">
                  <c:v>1407</c:v>
                </c:pt>
                <c:pt idx="1046">
                  <c:v>1659</c:v>
                </c:pt>
                <c:pt idx="1047">
                  <c:v>1680</c:v>
                </c:pt>
                <c:pt idx="1048">
                  <c:v>1155</c:v>
                </c:pt>
                <c:pt idx="1049">
                  <c:v>1302</c:v>
                </c:pt>
                <c:pt idx="1050">
                  <c:v>1365</c:v>
                </c:pt>
                <c:pt idx="1051" formatCode="General">
                  <c:v>882</c:v>
                </c:pt>
                <c:pt idx="1052" formatCode="General">
                  <c:v>966</c:v>
                </c:pt>
                <c:pt idx="1053">
                  <c:v>1155</c:v>
                </c:pt>
                <c:pt idx="1054" formatCode="General">
                  <c:v>672</c:v>
                </c:pt>
                <c:pt idx="1055" formatCode="General">
                  <c:v>861</c:v>
                </c:pt>
                <c:pt idx="1056" formatCode="General">
                  <c:v>819</c:v>
                </c:pt>
                <c:pt idx="1057">
                  <c:v>1134</c:v>
                </c:pt>
                <c:pt idx="1058">
                  <c:v>1512</c:v>
                </c:pt>
                <c:pt idx="1059" formatCode="General">
                  <c:v>756</c:v>
                </c:pt>
                <c:pt idx="1060" formatCode="General">
                  <c:v>924</c:v>
                </c:pt>
                <c:pt idx="1061">
                  <c:v>1155</c:v>
                </c:pt>
                <c:pt idx="1062" formatCode="General">
                  <c:v>567</c:v>
                </c:pt>
                <c:pt idx="1063" formatCode="General">
                  <c:v>756</c:v>
                </c:pt>
                <c:pt idx="1064" formatCode="General">
                  <c:v>693</c:v>
                </c:pt>
                <c:pt idx="1065" formatCode="General">
                  <c:v>987</c:v>
                </c:pt>
                <c:pt idx="1066" formatCode="General">
                  <c:v>882</c:v>
                </c:pt>
                <c:pt idx="1067" formatCode="General">
                  <c:v>777</c:v>
                </c:pt>
                <c:pt idx="1068" formatCode="General">
                  <c:v>609</c:v>
                </c:pt>
                <c:pt idx="1069" formatCode="General">
                  <c:v>714</c:v>
                </c:pt>
                <c:pt idx="1070" formatCode="General">
                  <c:v>798</c:v>
                </c:pt>
                <c:pt idx="1071">
                  <c:v>1029</c:v>
                </c:pt>
                <c:pt idx="1072" formatCode="General">
                  <c:v>966</c:v>
                </c:pt>
                <c:pt idx="1073" formatCode="General">
                  <c:v>441</c:v>
                </c:pt>
                <c:pt idx="1074" formatCode="General">
                  <c:v>462</c:v>
                </c:pt>
                <c:pt idx="1075" formatCode="General">
                  <c:v>924</c:v>
                </c:pt>
                <c:pt idx="1076" formatCode="General">
                  <c:v>651</c:v>
                </c:pt>
                <c:pt idx="1077">
                  <c:v>1512</c:v>
                </c:pt>
                <c:pt idx="1078">
                  <c:v>1155</c:v>
                </c:pt>
                <c:pt idx="1079">
                  <c:v>1449</c:v>
                </c:pt>
                <c:pt idx="1080" formatCode="General">
                  <c:v>294</c:v>
                </c:pt>
                <c:pt idx="1081" formatCode="General">
                  <c:v>882</c:v>
                </c:pt>
                <c:pt idx="1082" formatCode="General">
                  <c:v>945</c:v>
                </c:pt>
                <c:pt idx="1083" formatCode="General">
                  <c:v>357</c:v>
                </c:pt>
                <c:pt idx="1084" formatCode="General">
                  <c:v>773</c:v>
                </c:pt>
                <c:pt idx="1085">
                  <c:v>1129</c:v>
                </c:pt>
                <c:pt idx="1086">
                  <c:v>1066</c:v>
                </c:pt>
                <c:pt idx="1087" formatCode="General">
                  <c:v>815</c:v>
                </c:pt>
                <c:pt idx="1088" formatCode="General">
                  <c:v>982</c:v>
                </c:pt>
                <c:pt idx="1089">
                  <c:v>1045</c:v>
                </c:pt>
                <c:pt idx="1090" formatCode="General">
                  <c:v>836</c:v>
                </c:pt>
                <c:pt idx="1091" formatCode="General">
                  <c:v>418</c:v>
                </c:pt>
                <c:pt idx="1092" formatCode="General">
                  <c:v>815</c:v>
                </c:pt>
                <c:pt idx="1093" formatCode="General">
                  <c:v>878</c:v>
                </c:pt>
                <c:pt idx="1094" formatCode="General">
                  <c:v>523</c:v>
                </c:pt>
                <c:pt idx="1095">
                  <c:v>1024</c:v>
                </c:pt>
                <c:pt idx="1096" formatCode="General">
                  <c:v>941</c:v>
                </c:pt>
                <c:pt idx="1097">
                  <c:v>1394</c:v>
                </c:pt>
                <c:pt idx="1098" formatCode="General">
                  <c:v>853</c:v>
                </c:pt>
                <c:pt idx="1099">
                  <c:v>1019</c:v>
                </c:pt>
                <c:pt idx="1100">
                  <c:v>1102</c:v>
                </c:pt>
                <c:pt idx="1101" formatCode="General">
                  <c:v>915</c:v>
                </c:pt>
                <c:pt idx="1102">
                  <c:v>1019</c:v>
                </c:pt>
                <c:pt idx="1103">
                  <c:v>1269</c:v>
                </c:pt>
                <c:pt idx="1104">
                  <c:v>1539</c:v>
                </c:pt>
                <c:pt idx="1105">
                  <c:v>1186</c:v>
                </c:pt>
                <c:pt idx="1106" formatCode="General">
                  <c:v>811</c:v>
                </c:pt>
                <c:pt idx="1107" formatCode="General">
                  <c:v>998</c:v>
                </c:pt>
                <c:pt idx="1108">
                  <c:v>1331</c:v>
                </c:pt>
                <c:pt idx="1109" formatCode="General">
                  <c:v>874</c:v>
                </c:pt>
                <c:pt idx="1110" formatCode="General">
                  <c:v>624</c:v>
                </c:pt>
                <c:pt idx="1111" formatCode="General">
                  <c:v>666</c:v>
                </c:pt>
                <c:pt idx="1112" formatCode="General">
                  <c:v>957</c:v>
                </c:pt>
                <c:pt idx="1113" formatCode="General">
                  <c:v>686</c:v>
                </c:pt>
                <c:pt idx="1114" formatCode="General">
                  <c:v>957</c:v>
                </c:pt>
                <c:pt idx="1115">
                  <c:v>1165</c:v>
                </c:pt>
                <c:pt idx="1116">
                  <c:v>1414</c:v>
                </c:pt>
                <c:pt idx="1117">
                  <c:v>1206</c:v>
                </c:pt>
                <c:pt idx="1118">
                  <c:v>1290</c:v>
                </c:pt>
                <c:pt idx="1119" formatCode="General">
                  <c:v>437</c:v>
                </c:pt>
                <c:pt idx="1120">
                  <c:v>1102</c:v>
                </c:pt>
                <c:pt idx="1121">
                  <c:v>1685</c:v>
                </c:pt>
                <c:pt idx="1122" formatCode="General">
                  <c:v>915</c:v>
                </c:pt>
                <c:pt idx="1123" formatCode="General">
                  <c:v>994</c:v>
                </c:pt>
                <c:pt idx="1124" formatCode="General">
                  <c:v>869</c:v>
                </c:pt>
                <c:pt idx="1125" formatCode="General">
                  <c:v>906</c:v>
                </c:pt>
                <c:pt idx="1126" formatCode="General">
                  <c:v>968</c:v>
                </c:pt>
                <c:pt idx="1127">
                  <c:v>1318</c:v>
                </c:pt>
                <c:pt idx="1128">
                  <c:v>1112</c:v>
                </c:pt>
                <c:pt idx="1129" formatCode="General">
                  <c:v>886</c:v>
                </c:pt>
                <c:pt idx="1130" formatCode="General">
                  <c:v>906</c:v>
                </c:pt>
                <c:pt idx="1131">
                  <c:v>1586</c:v>
                </c:pt>
                <c:pt idx="1132">
                  <c:v>1071</c:v>
                </c:pt>
                <c:pt idx="1133" formatCode="General">
                  <c:v>762</c:v>
                </c:pt>
                <c:pt idx="1134">
                  <c:v>1524</c:v>
                </c:pt>
                <c:pt idx="1135" formatCode="General">
                  <c:v>742</c:v>
                </c:pt>
                <c:pt idx="1136" formatCode="General">
                  <c:v>783</c:v>
                </c:pt>
                <c:pt idx="1137" formatCode="General">
                  <c:v>886</c:v>
                </c:pt>
                <c:pt idx="1138" formatCode="General">
                  <c:v>330</c:v>
                </c:pt>
                <c:pt idx="1139" formatCode="General">
                  <c:v>783</c:v>
                </c:pt>
                <c:pt idx="1140" formatCode="General">
                  <c:v>762</c:v>
                </c:pt>
                <c:pt idx="1141" formatCode="General">
                  <c:v>865</c:v>
                </c:pt>
                <c:pt idx="1142" formatCode="General">
                  <c:v>453</c:v>
                </c:pt>
                <c:pt idx="1143" formatCode="General">
                  <c:v>309</c:v>
                </c:pt>
                <c:pt idx="1144" formatCode="General">
                  <c:v>371</c:v>
                </c:pt>
                <c:pt idx="1145" formatCode="General">
                  <c:v>824</c:v>
                </c:pt>
                <c:pt idx="1146" formatCode="General">
                  <c:v>612</c:v>
                </c:pt>
                <c:pt idx="1147" formatCode="General">
                  <c:v>734</c:v>
                </c:pt>
                <c:pt idx="1148" formatCode="General">
                  <c:v>979</c:v>
                </c:pt>
                <c:pt idx="1149" formatCode="General">
                  <c:v>938</c:v>
                </c:pt>
                <c:pt idx="1150" formatCode="General">
                  <c:v>938</c:v>
                </c:pt>
                <c:pt idx="1151" formatCode="General">
                  <c:v>286</c:v>
                </c:pt>
                <c:pt idx="1152" formatCode="General">
                  <c:v>755</c:v>
                </c:pt>
                <c:pt idx="1153">
                  <c:v>1306</c:v>
                </c:pt>
                <c:pt idx="1154">
                  <c:v>1183</c:v>
                </c:pt>
                <c:pt idx="1155" formatCode="General">
                  <c:v>469</c:v>
                </c:pt>
                <c:pt idx="1156" formatCode="General">
                  <c:v>653</c:v>
                </c:pt>
                <c:pt idx="1157">
                  <c:v>1591</c:v>
                </c:pt>
                <c:pt idx="1158" formatCode="General">
                  <c:v>632</c:v>
                </c:pt>
                <c:pt idx="1159" formatCode="General">
                  <c:v>388</c:v>
                </c:pt>
                <c:pt idx="1160" formatCode="General">
                  <c:v>367</c:v>
                </c:pt>
                <c:pt idx="1161" formatCode="General">
                  <c:v>690</c:v>
                </c:pt>
                <c:pt idx="1162" formatCode="General">
                  <c:v>690</c:v>
                </c:pt>
                <c:pt idx="1163" formatCode="General">
                  <c:v>771</c:v>
                </c:pt>
                <c:pt idx="1164" formatCode="General">
                  <c:v>974</c:v>
                </c:pt>
                <c:pt idx="1165">
                  <c:v>1117</c:v>
                </c:pt>
                <c:pt idx="1166">
                  <c:v>1259</c:v>
                </c:pt>
                <c:pt idx="1167">
                  <c:v>1462</c:v>
                </c:pt>
                <c:pt idx="1168">
                  <c:v>1076</c:v>
                </c:pt>
                <c:pt idx="1169">
                  <c:v>1035</c:v>
                </c:pt>
                <c:pt idx="1170" formatCode="General">
                  <c:v>650</c:v>
                </c:pt>
                <c:pt idx="1171" formatCode="General">
                  <c:v>974</c:v>
                </c:pt>
                <c:pt idx="1172">
                  <c:v>1198</c:v>
                </c:pt>
                <c:pt idx="1173">
                  <c:v>1198</c:v>
                </c:pt>
                <c:pt idx="1174" formatCode="General">
                  <c:v>974</c:v>
                </c:pt>
                <c:pt idx="1175">
                  <c:v>1198</c:v>
                </c:pt>
                <c:pt idx="1176" formatCode="General">
                  <c:v>650</c:v>
                </c:pt>
                <c:pt idx="1177" formatCode="General">
                  <c:v>954</c:v>
                </c:pt>
                <c:pt idx="1178" formatCode="General">
                  <c:v>751</c:v>
                </c:pt>
                <c:pt idx="1179" formatCode="General">
                  <c:v>853</c:v>
                </c:pt>
                <c:pt idx="1180" formatCode="General">
                  <c:v>386</c:v>
                </c:pt>
                <c:pt idx="1181" formatCode="General">
                  <c:v>183</c:v>
                </c:pt>
                <c:pt idx="1182" formatCode="General">
                  <c:v>873</c:v>
                </c:pt>
                <c:pt idx="1183" formatCode="General">
                  <c:v>873</c:v>
                </c:pt>
                <c:pt idx="1184" formatCode="General">
                  <c:v>995</c:v>
                </c:pt>
                <c:pt idx="1185">
                  <c:v>1380</c:v>
                </c:pt>
                <c:pt idx="1186">
                  <c:v>1299</c:v>
                </c:pt>
                <c:pt idx="1187">
                  <c:v>1644</c:v>
                </c:pt>
                <c:pt idx="1188" formatCode="General">
                  <c:v>690</c:v>
                </c:pt>
                <c:pt idx="1189" formatCode="General">
                  <c:v>731</c:v>
                </c:pt>
                <c:pt idx="1190" formatCode="General">
                  <c:v>771</c:v>
                </c:pt>
                <c:pt idx="1191" formatCode="General">
                  <c:v>670</c:v>
                </c:pt>
                <c:pt idx="1192" formatCode="General">
                  <c:v>792</c:v>
                </c:pt>
                <c:pt idx="1193">
                  <c:v>1685</c:v>
                </c:pt>
                <c:pt idx="1194">
                  <c:v>1868</c:v>
                </c:pt>
                <c:pt idx="1195" formatCode="General">
                  <c:v>365</c:v>
                </c:pt>
                <c:pt idx="1196">
                  <c:v>1056</c:v>
                </c:pt>
                <c:pt idx="1197">
                  <c:v>1096</c:v>
                </c:pt>
                <c:pt idx="1198">
                  <c:v>1015</c:v>
                </c:pt>
                <c:pt idx="1199" formatCode="General">
                  <c:v>690</c:v>
                </c:pt>
                <c:pt idx="1200" formatCode="General">
                  <c:v>589</c:v>
                </c:pt>
                <c:pt idx="1201">
                  <c:v>1035</c:v>
                </c:pt>
                <c:pt idx="1202">
                  <c:v>1056</c:v>
                </c:pt>
                <c:pt idx="1203" formatCode="General">
                  <c:v>832</c:v>
                </c:pt>
                <c:pt idx="1204" formatCode="General">
                  <c:v>954</c:v>
                </c:pt>
                <c:pt idx="1205" formatCode="General">
                  <c:v>731</c:v>
                </c:pt>
                <c:pt idx="1206">
                  <c:v>1360</c:v>
                </c:pt>
                <c:pt idx="1207" formatCode="General">
                  <c:v>426</c:v>
                </c:pt>
                <c:pt idx="1208" formatCode="General">
                  <c:v>771</c:v>
                </c:pt>
                <c:pt idx="1209" formatCode="General">
                  <c:v>264</c:v>
                </c:pt>
                <c:pt idx="1210" formatCode="General">
                  <c:v>345</c:v>
                </c:pt>
                <c:pt idx="1211" formatCode="General">
                  <c:v>812</c:v>
                </c:pt>
                <c:pt idx="1212" formatCode="General">
                  <c:v>487</c:v>
                </c:pt>
                <c:pt idx="1213" formatCode="General">
                  <c:v>792</c:v>
                </c:pt>
                <c:pt idx="1214" formatCode="General">
                  <c:v>873</c:v>
                </c:pt>
                <c:pt idx="1215" formatCode="General">
                  <c:v>548</c:v>
                </c:pt>
                <c:pt idx="1216" formatCode="General">
                  <c:v>711</c:v>
                </c:pt>
                <c:pt idx="1217" formatCode="General">
                  <c:v>974</c:v>
                </c:pt>
                <c:pt idx="1218">
                  <c:v>1353</c:v>
                </c:pt>
                <c:pt idx="1219">
                  <c:v>1293</c:v>
                </c:pt>
                <c:pt idx="1220" formatCode="General">
                  <c:v>990</c:v>
                </c:pt>
                <c:pt idx="1221">
                  <c:v>1212</c:v>
                </c:pt>
                <c:pt idx="1222" formatCode="General">
                  <c:v>768</c:v>
                </c:pt>
                <c:pt idx="1223" formatCode="General">
                  <c:v>848</c:v>
                </c:pt>
                <c:pt idx="1224">
                  <c:v>1010</c:v>
                </c:pt>
                <c:pt idx="1225">
                  <c:v>1535</c:v>
                </c:pt>
                <c:pt idx="1226">
                  <c:v>1050</c:v>
                </c:pt>
                <c:pt idx="1227">
                  <c:v>1050</c:v>
                </c:pt>
                <c:pt idx="1228" formatCode="General">
                  <c:v>869</c:v>
                </c:pt>
                <c:pt idx="1229">
                  <c:v>1111</c:v>
                </c:pt>
                <c:pt idx="1230" formatCode="General">
                  <c:v>364</c:v>
                </c:pt>
                <c:pt idx="1231" formatCode="General">
                  <c:v>525</c:v>
                </c:pt>
                <c:pt idx="1232" formatCode="General">
                  <c:v>869</c:v>
                </c:pt>
                <c:pt idx="1233" formatCode="General">
                  <c:v>323</c:v>
                </c:pt>
                <c:pt idx="1234" formatCode="General">
                  <c:v>525</c:v>
                </c:pt>
                <c:pt idx="1235" formatCode="General">
                  <c:v>949</c:v>
                </c:pt>
                <c:pt idx="1236" formatCode="General">
                  <c:v>747</c:v>
                </c:pt>
                <c:pt idx="1237" formatCode="General">
                  <c:v>643</c:v>
                </c:pt>
                <c:pt idx="1238">
                  <c:v>1045</c:v>
                </c:pt>
                <c:pt idx="1239" formatCode="General">
                  <c:v>563</c:v>
                </c:pt>
                <c:pt idx="1240" formatCode="General">
                  <c:v>884</c:v>
                </c:pt>
                <c:pt idx="1241" formatCode="General">
                  <c:v>482</c:v>
                </c:pt>
                <c:pt idx="1242">
                  <c:v>1106</c:v>
                </c:pt>
                <c:pt idx="1243" formatCode="General">
                  <c:v>603</c:v>
                </c:pt>
                <c:pt idx="1244" formatCode="General">
                  <c:v>683</c:v>
                </c:pt>
                <c:pt idx="1245" formatCode="General">
                  <c:v>884</c:v>
                </c:pt>
                <c:pt idx="1246">
                  <c:v>8000</c:v>
                </c:pt>
                <c:pt idx="1247">
                  <c:v>8000</c:v>
                </c:pt>
                <c:pt idx="1248">
                  <c:v>8000</c:v>
                </c:pt>
                <c:pt idx="1249">
                  <c:v>9000</c:v>
                </c:pt>
                <c:pt idx="1250">
                  <c:v>9000</c:v>
                </c:pt>
                <c:pt idx="1251">
                  <c:v>5000</c:v>
                </c:pt>
                <c:pt idx="1252">
                  <c:v>8000</c:v>
                </c:pt>
                <c:pt idx="1253">
                  <c:v>7000</c:v>
                </c:pt>
                <c:pt idx="1254">
                  <c:v>8000</c:v>
                </c:pt>
                <c:pt idx="1255">
                  <c:v>9000</c:v>
                </c:pt>
                <c:pt idx="1256">
                  <c:v>7000</c:v>
                </c:pt>
                <c:pt idx="1257">
                  <c:v>8000</c:v>
                </c:pt>
                <c:pt idx="1258">
                  <c:v>7000</c:v>
                </c:pt>
                <c:pt idx="1259">
                  <c:v>8000</c:v>
                </c:pt>
                <c:pt idx="1260">
                  <c:v>6000</c:v>
                </c:pt>
                <c:pt idx="1261">
                  <c:v>6000</c:v>
                </c:pt>
                <c:pt idx="1262">
                  <c:v>8000</c:v>
                </c:pt>
                <c:pt idx="1263">
                  <c:v>9000</c:v>
                </c:pt>
                <c:pt idx="1264">
                  <c:v>8000</c:v>
                </c:pt>
                <c:pt idx="1265">
                  <c:v>8000</c:v>
                </c:pt>
                <c:pt idx="1266">
                  <c:v>6000</c:v>
                </c:pt>
                <c:pt idx="1267">
                  <c:v>5000</c:v>
                </c:pt>
                <c:pt idx="1268">
                  <c:v>8000</c:v>
                </c:pt>
                <c:pt idx="1269">
                  <c:v>8000</c:v>
                </c:pt>
                <c:pt idx="1270">
                  <c:v>8000</c:v>
                </c:pt>
                <c:pt idx="1271">
                  <c:v>8000</c:v>
                </c:pt>
                <c:pt idx="1272">
                  <c:v>6000</c:v>
                </c:pt>
                <c:pt idx="1273">
                  <c:v>7000</c:v>
                </c:pt>
                <c:pt idx="1274">
                  <c:v>9000</c:v>
                </c:pt>
                <c:pt idx="1275">
                  <c:v>4000</c:v>
                </c:pt>
                <c:pt idx="1276">
                  <c:v>4000</c:v>
                </c:pt>
                <c:pt idx="1277">
                  <c:v>6000</c:v>
                </c:pt>
                <c:pt idx="1278">
                  <c:v>4000</c:v>
                </c:pt>
                <c:pt idx="1279">
                  <c:v>5000</c:v>
                </c:pt>
                <c:pt idx="1280">
                  <c:v>3000</c:v>
                </c:pt>
                <c:pt idx="1281">
                  <c:v>7000</c:v>
                </c:pt>
                <c:pt idx="1282">
                  <c:v>4000</c:v>
                </c:pt>
                <c:pt idx="1283">
                  <c:v>8000</c:v>
                </c:pt>
                <c:pt idx="1284">
                  <c:v>7000</c:v>
                </c:pt>
                <c:pt idx="1285">
                  <c:v>8000</c:v>
                </c:pt>
                <c:pt idx="1286">
                  <c:v>6000</c:v>
                </c:pt>
                <c:pt idx="1287">
                  <c:v>9000</c:v>
                </c:pt>
                <c:pt idx="1288">
                  <c:v>6000</c:v>
                </c:pt>
                <c:pt idx="1289">
                  <c:v>8000</c:v>
                </c:pt>
                <c:pt idx="1290">
                  <c:v>4000</c:v>
                </c:pt>
                <c:pt idx="1291">
                  <c:v>7000</c:v>
                </c:pt>
                <c:pt idx="1292">
                  <c:v>5000</c:v>
                </c:pt>
                <c:pt idx="1293">
                  <c:v>8000</c:v>
                </c:pt>
                <c:pt idx="1294">
                  <c:v>7000</c:v>
                </c:pt>
                <c:pt idx="1295">
                  <c:v>4000</c:v>
                </c:pt>
                <c:pt idx="1296">
                  <c:v>8000</c:v>
                </c:pt>
                <c:pt idx="1297">
                  <c:v>5000</c:v>
                </c:pt>
                <c:pt idx="1298">
                  <c:v>8000</c:v>
                </c:pt>
                <c:pt idx="1299">
                  <c:v>8000</c:v>
                </c:pt>
                <c:pt idx="1300">
                  <c:v>9000</c:v>
                </c:pt>
                <c:pt idx="1301">
                  <c:v>7000</c:v>
                </c:pt>
                <c:pt idx="1302">
                  <c:v>9000</c:v>
                </c:pt>
                <c:pt idx="1303">
                  <c:v>5000</c:v>
                </c:pt>
                <c:pt idx="1304">
                  <c:v>3000</c:v>
                </c:pt>
                <c:pt idx="1305">
                  <c:v>9000</c:v>
                </c:pt>
                <c:pt idx="1306">
                  <c:v>6000</c:v>
                </c:pt>
                <c:pt idx="1307">
                  <c:v>8000</c:v>
                </c:pt>
                <c:pt idx="1308">
                  <c:v>9000</c:v>
                </c:pt>
                <c:pt idx="1309">
                  <c:v>8000</c:v>
                </c:pt>
                <c:pt idx="1310">
                  <c:v>7000</c:v>
                </c:pt>
                <c:pt idx="1311">
                  <c:v>7000</c:v>
                </c:pt>
                <c:pt idx="1312">
                  <c:v>8000</c:v>
                </c:pt>
                <c:pt idx="1313">
                  <c:v>8000</c:v>
                </c:pt>
                <c:pt idx="1314">
                  <c:v>9000</c:v>
                </c:pt>
                <c:pt idx="1315">
                  <c:v>7000</c:v>
                </c:pt>
                <c:pt idx="1316">
                  <c:v>8000</c:v>
                </c:pt>
                <c:pt idx="1317">
                  <c:v>8000</c:v>
                </c:pt>
                <c:pt idx="1318">
                  <c:v>8000</c:v>
                </c:pt>
                <c:pt idx="1319">
                  <c:v>8000</c:v>
                </c:pt>
                <c:pt idx="1320">
                  <c:v>6000</c:v>
                </c:pt>
                <c:pt idx="1321">
                  <c:v>9000</c:v>
                </c:pt>
                <c:pt idx="1322">
                  <c:v>7000</c:v>
                </c:pt>
                <c:pt idx="1323">
                  <c:v>8000</c:v>
                </c:pt>
                <c:pt idx="1324">
                  <c:v>8000</c:v>
                </c:pt>
                <c:pt idx="1325">
                  <c:v>8000</c:v>
                </c:pt>
                <c:pt idx="1326">
                  <c:v>6000</c:v>
                </c:pt>
                <c:pt idx="1327">
                  <c:v>6000</c:v>
                </c:pt>
                <c:pt idx="1328">
                  <c:v>8000</c:v>
                </c:pt>
                <c:pt idx="1329">
                  <c:v>9000</c:v>
                </c:pt>
                <c:pt idx="1330">
                  <c:v>1200</c:v>
                </c:pt>
                <c:pt idx="1331">
                  <c:v>1200</c:v>
                </c:pt>
                <c:pt idx="1332" formatCode="General">
                  <c:v>980</c:v>
                </c:pt>
                <c:pt idx="1333">
                  <c:v>1060</c:v>
                </c:pt>
                <c:pt idx="1334">
                  <c:v>1640</c:v>
                </c:pt>
                <c:pt idx="1335" formatCode="General">
                  <c:v>680</c:v>
                </c:pt>
                <c:pt idx="1336">
                  <c:v>1620</c:v>
                </c:pt>
                <c:pt idx="1337">
                  <c:v>1180</c:v>
                </c:pt>
                <c:pt idx="1338" formatCode="General">
                  <c:v>980</c:v>
                </c:pt>
                <c:pt idx="1339">
                  <c:v>1160</c:v>
                </c:pt>
                <c:pt idx="1340" formatCode="General">
                  <c:v>740</c:v>
                </c:pt>
                <c:pt idx="1341" formatCode="General">
                  <c:v>380</c:v>
                </c:pt>
                <c:pt idx="1342" formatCode="General">
                  <c:v>280</c:v>
                </c:pt>
                <c:pt idx="1343">
                  <c:v>1280</c:v>
                </c:pt>
                <c:pt idx="1344" formatCode="General">
                  <c:v>360</c:v>
                </c:pt>
                <c:pt idx="1345" formatCode="General">
                  <c:v>420</c:v>
                </c:pt>
                <c:pt idx="1346" formatCode="General">
                  <c:v>720</c:v>
                </c:pt>
                <c:pt idx="1347" formatCode="General">
                  <c:v>880</c:v>
                </c:pt>
                <c:pt idx="1348">
                  <c:v>1100</c:v>
                </c:pt>
                <c:pt idx="1349" formatCode="General">
                  <c:v>980</c:v>
                </c:pt>
                <c:pt idx="1350" formatCode="General">
                  <c:v>970</c:v>
                </c:pt>
                <c:pt idx="1351" formatCode="General">
                  <c:v>574</c:v>
                </c:pt>
                <c:pt idx="1352">
                  <c:v>1307</c:v>
                </c:pt>
                <c:pt idx="1353">
                  <c:v>1346</c:v>
                </c:pt>
                <c:pt idx="1354">
                  <c:v>1228</c:v>
                </c:pt>
                <c:pt idx="1355" formatCode="General">
                  <c:v>752</c:v>
                </c:pt>
                <c:pt idx="1356" formatCode="General">
                  <c:v>871</c:v>
                </c:pt>
                <c:pt idx="1357" formatCode="General">
                  <c:v>990</c:v>
                </c:pt>
                <c:pt idx="1358" formatCode="General">
                  <c:v>666</c:v>
                </c:pt>
                <c:pt idx="1359" formatCode="General">
                  <c:v>804</c:v>
                </c:pt>
                <c:pt idx="1360" formatCode="General">
                  <c:v>960</c:v>
                </c:pt>
                <c:pt idx="1361">
                  <c:v>1235</c:v>
                </c:pt>
                <c:pt idx="1362" formatCode="General">
                  <c:v>804</c:v>
                </c:pt>
                <c:pt idx="1363" formatCode="General">
                  <c:v>902</c:v>
                </c:pt>
                <c:pt idx="1364">
                  <c:v>1156</c:v>
                </c:pt>
                <c:pt idx="1365" formatCode="General">
                  <c:v>549</c:v>
                </c:pt>
                <c:pt idx="1366">
                  <c:v>1137</c:v>
                </c:pt>
                <c:pt idx="1367">
                  <c:v>1235</c:v>
                </c:pt>
                <c:pt idx="1368">
                  <c:v>1019</c:v>
                </c:pt>
                <c:pt idx="1369">
                  <c:v>1137</c:v>
                </c:pt>
                <c:pt idx="1370" formatCode="General">
                  <c:v>804</c:v>
                </c:pt>
                <c:pt idx="1371" formatCode="General">
                  <c:v>568</c:v>
                </c:pt>
                <c:pt idx="1372" formatCode="General">
                  <c:v>568</c:v>
                </c:pt>
                <c:pt idx="1373">
                  <c:v>1098</c:v>
                </c:pt>
                <c:pt idx="1374">
                  <c:v>1000</c:v>
                </c:pt>
                <c:pt idx="1375">
                  <c:v>1019</c:v>
                </c:pt>
                <c:pt idx="1376" formatCode="General">
                  <c:v>960</c:v>
                </c:pt>
                <c:pt idx="1377" formatCode="General">
                  <c:v>451</c:v>
                </c:pt>
                <c:pt idx="1378">
                  <c:v>1666</c:v>
                </c:pt>
                <c:pt idx="1379">
                  <c:v>1764</c:v>
                </c:pt>
                <c:pt idx="1380" formatCode="General">
                  <c:v>549</c:v>
                </c:pt>
                <c:pt idx="1381" formatCode="General">
                  <c:v>549</c:v>
                </c:pt>
                <c:pt idx="1382">
                  <c:v>1058</c:v>
                </c:pt>
                <c:pt idx="1383">
                  <c:v>1176</c:v>
                </c:pt>
                <c:pt idx="1384" formatCode="General">
                  <c:v>960</c:v>
                </c:pt>
                <c:pt idx="1385" formatCode="General">
                  <c:v>921</c:v>
                </c:pt>
                <c:pt idx="1386">
                  <c:v>1039</c:v>
                </c:pt>
                <c:pt idx="1387" formatCode="General">
                  <c:v>745</c:v>
                </c:pt>
                <c:pt idx="1388">
                  <c:v>1294</c:v>
                </c:pt>
                <c:pt idx="1389" formatCode="General">
                  <c:v>666</c:v>
                </c:pt>
                <c:pt idx="1390">
                  <c:v>1039</c:v>
                </c:pt>
                <c:pt idx="1391" formatCode="General">
                  <c:v>647</c:v>
                </c:pt>
                <c:pt idx="1392">
                  <c:v>1078</c:v>
                </c:pt>
                <c:pt idx="1393">
                  <c:v>1254</c:v>
                </c:pt>
                <c:pt idx="1394">
                  <c:v>1254</c:v>
                </c:pt>
                <c:pt idx="1395">
                  <c:v>1176</c:v>
                </c:pt>
                <c:pt idx="1396" formatCode="General">
                  <c:v>862</c:v>
                </c:pt>
                <c:pt idx="1397" formatCode="General">
                  <c:v>921</c:v>
                </c:pt>
                <c:pt idx="1398" formatCode="General">
                  <c:v>353</c:v>
                </c:pt>
                <c:pt idx="1399" formatCode="General">
                  <c:v>627</c:v>
                </c:pt>
                <c:pt idx="1400" formatCode="General">
                  <c:v>706</c:v>
                </c:pt>
                <c:pt idx="1401" formatCode="General">
                  <c:v>647</c:v>
                </c:pt>
                <c:pt idx="1402">
                  <c:v>1294</c:v>
                </c:pt>
                <c:pt idx="1403" formatCode="General">
                  <c:v>686</c:v>
                </c:pt>
                <c:pt idx="1404" formatCode="General">
                  <c:v>764</c:v>
                </c:pt>
                <c:pt idx="1405" formatCode="General">
                  <c:v>784</c:v>
                </c:pt>
                <c:pt idx="1406" formatCode="General">
                  <c:v>921</c:v>
                </c:pt>
                <c:pt idx="1407">
                  <c:v>8775</c:v>
                </c:pt>
                <c:pt idx="1408">
                  <c:v>7800</c:v>
                </c:pt>
                <c:pt idx="1409" formatCode="General">
                  <c:v>819</c:v>
                </c:pt>
                <c:pt idx="1410" formatCode="General">
                  <c:v>839</c:v>
                </c:pt>
                <c:pt idx="1411" formatCode="General">
                  <c:v>800</c:v>
                </c:pt>
                <c:pt idx="1412" formatCode="General">
                  <c:v>371</c:v>
                </c:pt>
                <c:pt idx="1413">
                  <c:v>1385</c:v>
                </c:pt>
                <c:pt idx="1414">
                  <c:v>1502</c:v>
                </c:pt>
                <c:pt idx="1415" formatCode="General">
                  <c:v>975</c:v>
                </c:pt>
                <c:pt idx="1416" formatCode="General">
                  <c:v>839</c:v>
                </c:pt>
                <c:pt idx="1417">
                  <c:v>1248</c:v>
                </c:pt>
                <c:pt idx="1418" formatCode="General">
                  <c:v>371</c:v>
                </c:pt>
                <c:pt idx="1419">
                  <c:v>1736</c:v>
                </c:pt>
                <c:pt idx="1420">
                  <c:v>1424</c:v>
                </c:pt>
                <c:pt idx="1421" formatCode="General">
                  <c:v>975</c:v>
                </c:pt>
                <c:pt idx="1422">
                  <c:v>1326</c:v>
                </c:pt>
                <c:pt idx="1423" formatCode="General">
                  <c:v>936</c:v>
                </c:pt>
                <c:pt idx="1424">
                  <c:v>1950</c:v>
                </c:pt>
                <c:pt idx="1425" formatCode="General">
                  <c:v>371</c:v>
                </c:pt>
                <c:pt idx="1426" formatCode="General">
                  <c:v>566</c:v>
                </c:pt>
                <c:pt idx="1427" formatCode="General">
                  <c:v>819</c:v>
                </c:pt>
                <c:pt idx="1428">
                  <c:v>1034</c:v>
                </c:pt>
                <c:pt idx="1429">
                  <c:v>1209</c:v>
                </c:pt>
                <c:pt idx="1430" formatCode="General">
                  <c:v>624</c:v>
                </c:pt>
                <c:pt idx="1431">
                  <c:v>1092</c:v>
                </c:pt>
                <c:pt idx="1432">
                  <c:v>1131</c:v>
                </c:pt>
                <c:pt idx="1433" formatCode="General">
                  <c:v>585</c:v>
                </c:pt>
                <c:pt idx="1434" formatCode="General">
                  <c:v>761</c:v>
                </c:pt>
                <c:pt idx="1435" formatCode="General">
                  <c:v>858</c:v>
                </c:pt>
                <c:pt idx="1436" formatCode="General">
                  <c:v>605</c:v>
                </c:pt>
                <c:pt idx="1437">
                  <c:v>1463</c:v>
                </c:pt>
                <c:pt idx="1438" formatCode="General">
                  <c:v>819</c:v>
                </c:pt>
                <c:pt idx="1439" formatCode="General">
                  <c:v>917</c:v>
                </c:pt>
                <c:pt idx="1440" formatCode="General">
                  <c:v>951</c:v>
                </c:pt>
                <c:pt idx="1441" formatCode="General">
                  <c:v>989</c:v>
                </c:pt>
                <c:pt idx="1442" formatCode="General">
                  <c:v>563</c:v>
                </c:pt>
                <c:pt idx="1443">
                  <c:v>1048</c:v>
                </c:pt>
                <c:pt idx="1444">
                  <c:v>1280</c:v>
                </c:pt>
                <c:pt idx="1445">
                  <c:v>1145</c:v>
                </c:pt>
                <c:pt idx="1446" formatCode="General">
                  <c:v>621</c:v>
                </c:pt>
                <c:pt idx="1447" formatCode="General">
                  <c:v>757</c:v>
                </c:pt>
                <c:pt idx="1448">
                  <c:v>1319</c:v>
                </c:pt>
                <c:pt idx="1449" formatCode="General">
                  <c:v>640</c:v>
                </c:pt>
                <c:pt idx="1450" formatCode="General">
                  <c:v>621</c:v>
                </c:pt>
                <c:pt idx="1451" formatCode="General">
                  <c:v>446</c:v>
                </c:pt>
                <c:pt idx="1452" formatCode="General">
                  <c:v>621</c:v>
                </c:pt>
                <c:pt idx="1453" formatCode="General">
                  <c:v>388</c:v>
                </c:pt>
                <c:pt idx="1454">
                  <c:v>1145</c:v>
                </c:pt>
                <c:pt idx="1455" formatCode="General">
                  <c:v>989</c:v>
                </c:pt>
                <c:pt idx="1456" formatCode="General">
                  <c:v>718</c:v>
                </c:pt>
                <c:pt idx="1457" formatCode="General">
                  <c:v>795</c:v>
                </c:pt>
                <c:pt idx="1458" formatCode="General">
                  <c:v>679</c:v>
                </c:pt>
                <c:pt idx="1459" formatCode="General">
                  <c:v>776</c:v>
                </c:pt>
                <c:pt idx="1460" formatCode="General">
                  <c:v>637</c:v>
                </c:pt>
                <c:pt idx="1461" formatCode="General">
                  <c:v>965</c:v>
                </c:pt>
                <c:pt idx="1462">
                  <c:v>1004</c:v>
                </c:pt>
                <c:pt idx="1463" formatCode="General">
                  <c:v>695</c:v>
                </c:pt>
                <c:pt idx="1464" formatCode="General">
                  <c:v>483</c:v>
                </c:pt>
                <c:pt idx="1465" formatCode="General">
                  <c:v>926</c:v>
                </c:pt>
                <c:pt idx="1466" formatCode="General">
                  <c:v>791</c:v>
                </c:pt>
                <c:pt idx="1467" formatCode="General">
                  <c:v>772</c:v>
                </c:pt>
                <c:pt idx="1468" formatCode="General">
                  <c:v>984</c:v>
                </c:pt>
                <c:pt idx="1469" formatCode="General">
                  <c:v>557</c:v>
                </c:pt>
                <c:pt idx="1470">
                  <c:v>1094</c:v>
                </c:pt>
                <c:pt idx="1471" formatCode="General">
                  <c:v>499</c:v>
                </c:pt>
                <c:pt idx="1472">
                  <c:v>1018</c:v>
                </c:pt>
                <c:pt idx="1473">
                  <c:v>1018</c:v>
                </c:pt>
                <c:pt idx="1474" formatCode="General">
                  <c:v>960</c:v>
                </c:pt>
                <c:pt idx="1475" formatCode="General">
                  <c:v>806</c:v>
                </c:pt>
                <c:pt idx="1476" formatCode="General">
                  <c:v>614</c:v>
                </c:pt>
                <c:pt idx="1477" formatCode="General">
                  <c:v>764</c:v>
                </c:pt>
                <c:pt idx="1478" formatCode="General">
                  <c:v>741</c:v>
                </c:pt>
                <c:pt idx="1479" formatCode="General">
                  <c:v>608</c:v>
                </c:pt>
                <c:pt idx="1480" formatCode="General">
                  <c:v>741</c:v>
                </c:pt>
                <c:pt idx="1481" formatCode="General">
                  <c:v>836</c:v>
                </c:pt>
                <c:pt idx="1482" formatCode="General">
                  <c:v>209</c:v>
                </c:pt>
                <c:pt idx="1483" formatCode="General">
                  <c:v>494</c:v>
                </c:pt>
                <c:pt idx="1484" formatCode="General">
                  <c:v>817</c:v>
                </c:pt>
                <c:pt idx="1485">
                  <c:v>1235</c:v>
                </c:pt>
                <c:pt idx="1486" formatCode="General">
                  <c:v>608</c:v>
                </c:pt>
                <c:pt idx="1487" formatCode="General">
                  <c:v>646</c:v>
                </c:pt>
                <c:pt idx="1488" formatCode="General">
                  <c:v>513</c:v>
                </c:pt>
                <c:pt idx="1489" formatCode="General">
                  <c:v>874</c:v>
                </c:pt>
                <c:pt idx="1490">
                  <c:v>1007</c:v>
                </c:pt>
                <c:pt idx="1491" formatCode="General">
                  <c:v>737</c:v>
                </c:pt>
                <c:pt idx="1492" formatCode="General">
                  <c:v>737</c:v>
                </c:pt>
                <c:pt idx="1493" formatCode="General">
                  <c:v>718</c:v>
                </c:pt>
                <c:pt idx="1494">
                  <c:v>1361</c:v>
                </c:pt>
                <c:pt idx="1495" formatCode="General">
                  <c:v>775</c:v>
                </c:pt>
                <c:pt idx="1496" formatCode="General">
                  <c:v>832</c:v>
                </c:pt>
                <c:pt idx="1497" formatCode="General">
                  <c:v>869</c:v>
                </c:pt>
                <c:pt idx="1498">
                  <c:v>1153</c:v>
                </c:pt>
                <c:pt idx="1499">
                  <c:v>1115</c:v>
                </c:pt>
                <c:pt idx="1500">
                  <c:v>1115</c:v>
                </c:pt>
                <c:pt idx="1501" formatCode="General">
                  <c:v>378</c:v>
                </c:pt>
                <c:pt idx="1502">
                  <c:v>1172</c:v>
                </c:pt>
                <c:pt idx="1503">
                  <c:v>1058</c:v>
                </c:pt>
                <c:pt idx="1504">
                  <c:v>1172</c:v>
                </c:pt>
                <c:pt idx="1505">
                  <c:v>1021</c:v>
                </c:pt>
                <c:pt idx="1506">
                  <c:v>1380</c:v>
                </c:pt>
                <c:pt idx="1507" formatCode="General">
                  <c:v>718</c:v>
                </c:pt>
                <c:pt idx="1508">
                  <c:v>1077</c:v>
                </c:pt>
                <c:pt idx="1509" formatCode="General">
                  <c:v>510</c:v>
                </c:pt>
                <c:pt idx="1510" formatCode="General">
                  <c:v>265</c:v>
                </c:pt>
                <c:pt idx="1511" formatCode="General">
                  <c:v>548</c:v>
                </c:pt>
                <c:pt idx="1512" formatCode="General">
                  <c:v>359</c:v>
                </c:pt>
                <c:pt idx="1513" formatCode="General">
                  <c:v>359</c:v>
                </c:pt>
                <c:pt idx="1514" formatCode="General">
                  <c:v>832</c:v>
                </c:pt>
                <c:pt idx="1515">
                  <c:v>1115</c:v>
                </c:pt>
                <c:pt idx="1516">
                  <c:v>1285</c:v>
                </c:pt>
                <c:pt idx="1517">
                  <c:v>1625</c:v>
                </c:pt>
                <c:pt idx="1518">
                  <c:v>1474</c:v>
                </c:pt>
                <c:pt idx="1519" formatCode="General">
                  <c:v>832</c:v>
                </c:pt>
                <c:pt idx="1520">
                  <c:v>1304</c:v>
                </c:pt>
                <c:pt idx="1521">
                  <c:v>1002</c:v>
                </c:pt>
                <c:pt idx="1522">
                  <c:v>1474</c:v>
                </c:pt>
                <c:pt idx="1523">
                  <c:v>1796</c:v>
                </c:pt>
                <c:pt idx="1524">
                  <c:v>1625</c:v>
                </c:pt>
                <c:pt idx="1525">
                  <c:v>1323</c:v>
                </c:pt>
                <c:pt idx="1526" formatCode="General">
                  <c:v>605</c:v>
                </c:pt>
                <c:pt idx="1527">
                  <c:v>1096</c:v>
                </c:pt>
                <c:pt idx="1528" formatCode="General">
                  <c:v>888</c:v>
                </c:pt>
                <c:pt idx="1529" formatCode="General">
                  <c:v>926</c:v>
                </c:pt>
                <c:pt idx="1530" formatCode="General">
                  <c:v>605</c:v>
                </c:pt>
                <c:pt idx="1531" formatCode="General">
                  <c:v>983</c:v>
                </c:pt>
                <c:pt idx="1532" formatCode="General">
                  <c:v>454</c:v>
                </c:pt>
                <c:pt idx="1533" formatCode="General">
                  <c:v>605</c:v>
                </c:pt>
                <c:pt idx="1534" formatCode="General">
                  <c:v>548</c:v>
                </c:pt>
                <c:pt idx="1535" formatCode="General">
                  <c:v>454</c:v>
                </c:pt>
                <c:pt idx="1536">
                  <c:v>1058</c:v>
                </c:pt>
                <c:pt idx="1537">
                  <c:v>1058</c:v>
                </c:pt>
                <c:pt idx="1538" formatCode="General">
                  <c:v>964</c:v>
                </c:pt>
                <c:pt idx="1539">
                  <c:v>1021</c:v>
                </c:pt>
                <c:pt idx="1540" formatCode="General">
                  <c:v>902</c:v>
                </c:pt>
                <c:pt idx="1541">
                  <c:v>1015</c:v>
                </c:pt>
                <c:pt idx="1542">
                  <c:v>1109</c:v>
                </c:pt>
                <c:pt idx="1543">
                  <c:v>1297</c:v>
                </c:pt>
                <c:pt idx="1544" formatCode="General">
                  <c:v>771</c:v>
                </c:pt>
                <c:pt idx="1545">
                  <c:v>1260</c:v>
                </c:pt>
                <c:pt idx="1546">
                  <c:v>1391</c:v>
                </c:pt>
                <c:pt idx="1547">
                  <c:v>1128</c:v>
                </c:pt>
                <c:pt idx="1548">
                  <c:v>1466</c:v>
                </c:pt>
                <c:pt idx="1549" formatCode="General">
                  <c:v>884</c:v>
                </c:pt>
                <c:pt idx="1550">
                  <c:v>1015</c:v>
                </c:pt>
                <c:pt idx="1551" formatCode="General">
                  <c:v>677</c:v>
                </c:pt>
                <c:pt idx="1552">
                  <c:v>1109</c:v>
                </c:pt>
                <c:pt idx="1553">
                  <c:v>1053</c:v>
                </c:pt>
                <c:pt idx="1554" formatCode="General">
                  <c:v>959</c:v>
                </c:pt>
                <c:pt idx="1555">
                  <c:v>1147</c:v>
                </c:pt>
                <c:pt idx="1556" formatCode="General">
                  <c:v>733</c:v>
                </c:pt>
                <c:pt idx="1557" formatCode="General">
                  <c:v>865</c:v>
                </c:pt>
                <c:pt idx="1558" formatCode="General">
                  <c:v>940</c:v>
                </c:pt>
                <c:pt idx="1559" formatCode="General">
                  <c:v>884</c:v>
                </c:pt>
                <c:pt idx="1560" formatCode="General">
                  <c:v>846</c:v>
                </c:pt>
                <c:pt idx="1561" formatCode="General">
                  <c:v>827</c:v>
                </c:pt>
                <c:pt idx="1562" formatCode="General">
                  <c:v>639</c:v>
                </c:pt>
                <c:pt idx="1563">
                  <c:v>1128</c:v>
                </c:pt>
                <c:pt idx="1564" formatCode="General">
                  <c:v>884</c:v>
                </c:pt>
                <c:pt idx="1565" formatCode="General">
                  <c:v>902</c:v>
                </c:pt>
                <c:pt idx="1566" formatCode="General">
                  <c:v>263</c:v>
                </c:pt>
                <c:pt idx="1567" formatCode="General">
                  <c:v>846</c:v>
                </c:pt>
                <c:pt idx="1568" formatCode="General">
                  <c:v>771</c:v>
                </c:pt>
                <c:pt idx="1569" formatCode="General">
                  <c:v>508</c:v>
                </c:pt>
                <c:pt idx="1570" formatCode="General">
                  <c:v>733</c:v>
                </c:pt>
                <c:pt idx="1571" formatCode="General">
                  <c:v>733</c:v>
                </c:pt>
                <c:pt idx="1572" formatCode="General">
                  <c:v>430</c:v>
                </c:pt>
                <c:pt idx="1573">
                  <c:v>1216</c:v>
                </c:pt>
                <c:pt idx="1574" formatCode="General">
                  <c:v>524</c:v>
                </c:pt>
                <c:pt idx="1575" formatCode="General">
                  <c:v>617</c:v>
                </c:pt>
                <c:pt idx="1576" formatCode="General">
                  <c:v>561</c:v>
                </c:pt>
                <c:pt idx="1577" formatCode="General">
                  <c:v>879</c:v>
                </c:pt>
                <c:pt idx="1578" formatCode="General">
                  <c:v>692</c:v>
                </c:pt>
                <c:pt idx="1579" formatCode="General">
                  <c:v>617</c:v>
                </c:pt>
                <c:pt idx="1580" formatCode="General">
                  <c:v>632</c:v>
                </c:pt>
                <c:pt idx="1581" formatCode="General">
                  <c:v>763</c:v>
                </c:pt>
                <c:pt idx="1582">
                  <c:v>1097</c:v>
                </c:pt>
                <c:pt idx="1583">
                  <c:v>1525</c:v>
                </c:pt>
                <c:pt idx="1584" formatCode="General">
                  <c:v>632</c:v>
                </c:pt>
                <c:pt idx="1585" formatCode="General">
                  <c:v>893</c:v>
                </c:pt>
                <c:pt idx="1586" formatCode="General">
                  <c:v>632</c:v>
                </c:pt>
                <c:pt idx="1587" formatCode="General">
                  <c:v>648</c:v>
                </c:pt>
                <c:pt idx="1588" formatCode="General">
                  <c:v>644</c:v>
                </c:pt>
                <c:pt idx="1589" formatCode="General">
                  <c:v>718</c:v>
                </c:pt>
                <c:pt idx="1590" formatCode="General">
                  <c:v>368</c:v>
                </c:pt>
                <c:pt idx="1591">
                  <c:v>1122</c:v>
                </c:pt>
                <c:pt idx="1592" formatCode="General">
                  <c:v>497</c:v>
                </c:pt>
                <c:pt idx="1593">
                  <c:v>1086</c:v>
                </c:pt>
                <c:pt idx="1594" formatCode="General">
                  <c:v>626</c:v>
                </c:pt>
                <c:pt idx="1595" formatCode="General">
                  <c:v>331</c:v>
                </c:pt>
                <c:pt idx="1596" formatCode="General">
                  <c:v>810</c:v>
                </c:pt>
                <c:pt idx="1597" formatCode="General">
                  <c:v>699</c:v>
                </c:pt>
                <c:pt idx="1598" formatCode="General">
                  <c:v>644</c:v>
                </c:pt>
                <c:pt idx="1599" formatCode="General">
                  <c:v>791</c:v>
                </c:pt>
                <c:pt idx="1600" formatCode="General">
                  <c:v>754</c:v>
                </c:pt>
                <c:pt idx="1601" formatCode="General">
                  <c:v>736</c:v>
                </c:pt>
                <c:pt idx="1602" formatCode="General">
                  <c:v>368</c:v>
                </c:pt>
                <c:pt idx="1603" formatCode="General">
                  <c:v>607</c:v>
                </c:pt>
                <c:pt idx="1604" formatCode="General">
                  <c:v>754</c:v>
                </c:pt>
                <c:pt idx="1605" formatCode="General">
                  <c:v>582</c:v>
                </c:pt>
                <c:pt idx="1606" formatCode="General">
                  <c:v>855</c:v>
                </c:pt>
                <c:pt idx="1607" formatCode="General">
                  <c:v>837</c:v>
                </c:pt>
                <c:pt idx="1608">
                  <c:v>1019</c:v>
                </c:pt>
                <c:pt idx="1609" formatCode="General">
                  <c:v>910</c:v>
                </c:pt>
                <c:pt idx="1610">
                  <c:v>1074</c:v>
                </c:pt>
                <c:pt idx="1611" formatCode="General">
                  <c:v>746</c:v>
                </c:pt>
                <c:pt idx="1612">
                  <c:v>1056</c:v>
                </c:pt>
                <c:pt idx="1613" formatCode="General">
                  <c:v>837</c:v>
                </c:pt>
                <c:pt idx="1614" formatCode="General">
                  <c:v>528</c:v>
                </c:pt>
                <c:pt idx="1615" formatCode="General">
                  <c:v>328</c:v>
                </c:pt>
                <c:pt idx="1616">
                  <c:v>1165</c:v>
                </c:pt>
                <c:pt idx="1617">
                  <c:v>1165</c:v>
                </c:pt>
                <c:pt idx="1618">
                  <c:v>1784</c:v>
                </c:pt>
                <c:pt idx="1619">
                  <c:v>1492</c:v>
                </c:pt>
                <c:pt idx="1620" formatCode="General">
                  <c:v>965</c:v>
                </c:pt>
                <c:pt idx="1621" formatCode="General">
                  <c:v>819</c:v>
                </c:pt>
                <c:pt idx="1622" formatCode="General">
                  <c:v>819</c:v>
                </c:pt>
                <c:pt idx="1623" formatCode="General">
                  <c:v>528</c:v>
                </c:pt>
                <c:pt idx="1624" formatCode="General">
                  <c:v>892</c:v>
                </c:pt>
                <c:pt idx="1625" formatCode="General">
                  <c:v>983</c:v>
                </c:pt>
                <c:pt idx="1626">
                  <c:v>1074</c:v>
                </c:pt>
                <c:pt idx="1627">
                  <c:v>1147</c:v>
                </c:pt>
                <c:pt idx="1628">
                  <c:v>1474</c:v>
                </c:pt>
                <c:pt idx="1629">
                  <c:v>1401</c:v>
                </c:pt>
                <c:pt idx="1630" formatCode="General">
                  <c:v>764</c:v>
                </c:pt>
                <c:pt idx="1631">
                  <c:v>1256</c:v>
                </c:pt>
                <c:pt idx="1632">
                  <c:v>1747</c:v>
                </c:pt>
                <c:pt idx="1633">
                  <c:v>1565</c:v>
                </c:pt>
                <c:pt idx="1634" formatCode="General">
                  <c:v>528</c:v>
                </c:pt>
                <c:pt idx="1635" formatCode="General">
                  <c:v>510</c:v>
                </c:pt>
                <c:pt idx="1636" formatCode="General">
                  <c:v>346</c:v>
                </c:pt>
                <c:pt idx="1637">
                  <c:v>1019</c:v>
                </c:pt>
                <c:pt idx="1638" formatCode="General">
                  <c:v>601</c:v>
                </c:pt>
                <c:pt idx="1639">
                  <c:v>1110</c:v>
                </c:pt>
                <c:pt idx="1640" formatCode="General">
                  <c:v>965</c:v>
                </c:pt>
                <c:pt idx="1641" formatCode="General">
                  <c:v>619</c:v>
                </c:pt>
                <c:pt idx="1642" formatCode="General">
                  <c:v>437</c:v>
                </c:pt>
                <c:pt idx="1643" formatCode="General">
                  <c:v>783</c:v>
                </c:pt>
                <c:pt idx="1644" formatCode="General">
                  <c:v>764</c:v>
                </c:pt>
                <c:pt idx="1645" formatCode="General">
                  <c:v>764</c:v>
                </c:pt>
                <c:pt idx="1646">
                  <c:v>1074</c:v>
                </c:pt>
                <c:pt idx="1647" formatCode="General">
                  <c:v>801</c:v>
                </c:pt>
                <c:pt idx="1648" formatCode="General">
                  <c:v>874</c:v>
                </c:pt>
                <c:pt idx="1649" formatCode="General">
                  <c:v>910</c:v>
                </c:pt>
                <c:pt idx="1650" formatCode="General">
                  <c:v>928</c:v>
                </c:pt>
                <c:pt idx="1651">
                  <c:v>1001</c:v>
                </c:pt>
                <c:pt idx="1652" formatCode="General">
                  <c:v>965</c:v>
                </c:pt>
                <c:pt idx="1653" formatCode="General">
                  <c:v>983</c:v>
                </c:pt>
                <c:pt idx="1654" formatCode="General">
                  <c:v>892</c:v>
                </c:pt>
                <c:pt idx="1655" formatCode="General">
                  <c:v>601</c:v>
                </c:pt>
                <c:pt idx="1656" formatCode="General">
                  <c:v>491</c:v>
                </c:pt>
                <c:pt idx="1657" formatCode="General">
                  <c:v>564</c:v>
                </c:pt>
                <c:pt idx="1658" formatCode="General">
                  <c:v>928</c:v>
                </c:pt>
                <c:pt idx="1659" formatCode="General">
                  <c:v>601</c:v>
                </c:pt>
                <c:pt idx="1660" formatCode="General">
                  <c:v>364</c:v>
                </c:pt>
                <c:pt idx="1661" formatCode="General">
                  <c:v>692</c:v>
                </c:pt>
                <c:pt idx="1662" formatCode="General">
                  <c:v>255</c:v>
                </c:pt>
                <c:pt idx="1663" formatCode="General">
                  <c:v>473</c:v>
                </c:pt>
                <c:pt idx="1664" formatCode="General">
                  <c:v>692</c:v>
                </c:pt>
                <c:pt idx="1665" formatCode="General">
                  <c:v>851</c:v>
                </c:pt>
                <c:pt idx="1666">
                  <c:v>1376</c:v>
                </c:pt>
                <c:pt idx="1667">
                  <c:v>1158</c:v>
                </c:pt>
                <c:pt idx="1668" formatCode="General">
                  <c:v>959</c:v>
                </c:pt>
                <c:pt idx="1669" formatCode="General">
                  <c:v>688</c:v>
                </c:pt>
                <c:pt idx="1670">
                  <c:v>1502</c:v>
                </c:pt>
                <c:pt idx="1671" formatCode="General">
                  <c:v>597</c:v>
                </c:pt>
                <c:pt idx="1672" formatCode="General">
                  <c:v>959</c:v>
                </c:pt>
                <c:pt idx="1673">
                  <c:v>1249</c:v>
                </c:pt>
                <c:pt idx="1674" formatCode="General">
                  <c:v>579</c:v>
                </c:pt>
                <c:pt idx="1675" formatCode="General">
                  <c:v>489</c:v>
                </c:pt>
                <c:pt idx="1676" formatCode="General">
                  <c:v>887</c:v>
                </c:pt>
                <c:pt idx="1677" formatCode="General">
                  <c:v>796</c:v>
                </c:pt>
                <c:pt idx="1678" formatCode="General">
                  <c:v>434</c:v>
                </c:pt>
                <c:pt idx="1679" formatCode="General">
                  <c:v>742</c:v>
                </c:pt>
                <c:pt idx="1680" formatCode="General">
                  <c:v>615</c:v>
                </c:pt>
                <c:pt idx="1681" formatCode="General">
                  <c:v>344</c:v>
                </c:pt>
                <c:pt idx="1682" formatCode="General">
                  <c:v>887</c:v>
                </c:pt>
                <c:pt idx="1683">
                  <c:v>1249</c:v>
                </c:pt>
                <c:pt idx="1684">
                  <c:v>1086</c:v>
                </c:pt>
                <c:pt idx="1685" formatCode="General">
                  <c:v>326</c:v>
                </c:pt>
                <c:pt idx="1686" formatCode="General">
                  <c:v>706</c:v>
                </c:pt>
                <c:pt idx="1687" formatCode="General">
                  <c:v>738</c:v>
                </c:pt>
                <c:pt idx="1688" formatCode="General">
                  <c:v>342</c:v>
                </c:pt>
                <c:pt idx="1689" formatCode="General">
                  <c:v>738</c:v>
                </c:pt>
                <c:pt idx="1690">
                  <c:v>1278</c:v>
                </c:pt>
                <c:pt idx="1691">
                  <c:v>1476</c:v>
                </c:pt>
                <c:pt idx="1692">
                  <c:v>1404</c:v>
                </c:pt>
                <c:pt idx="1693">
                  <c:v>1728</c:v>
                </c:pt>
                <c:pt idx="1694" formatCode="General">
                  <c:v>702</c:v>
                </c:pt>
                <c:pt idx="1695">
                  <c:v>1008</c:v>
                </c:pt>
                <c:pt idx="1696" formatCode="General">
                  <c:v>774</c:v>
                </c:pt>
                <c:pt idx="1697" formatCode="General">
                  <c:v>486</c:v>
                </c:pt>
                <c:pt idx="1698" formatCode="General">
                  <c:v>792</c:v>
                </c:pt>
                <c:pt idx="1699" formatCode="General">
                  <c:v>846</c:v>
                </c:pt>
                <c:pt idx="1700" formatCode="General">
                  <c:v>882</c:v>
                </c:pt>
                <c:pt idx="1701" formatCode="General">
                  <c:v>630</c:v>
                </c:pt>
                <c:pt idx="1702" formatCode="General">
                  <c:v>918</c:v>
                </c:pt>
                <c:pt idx="1703">
                  <c:v>1152</c:v>
                </c:pt>
                <c:pt idx="1704" formatCode="General">
                  <c:v>504</c:v>
                </c:pt>
                <c:pt idx="1705" formatCode="General">
                  <c:v>792</c:v>
                </c:pt>
                <c:pt idx="1706" formatCode="General">
                  <c:v>378</c:v>
                </c:pt>
                <c:pt idx="1707" formatCode="General">
                  <c:v>666</c:v>
                </c:pt>
                <c:pt idx="1708">
                  <c:v>1038</c:v>
                </c:pt>
                <c:pt idx="1709" formatCode="General">
                  <c:v>609</c:v>
                </c:pt>
                <c:pt idx="1710" formatCode="General">
                  <c:v>609</c:v>
                </c:pt>
                <c:pt idx="1711" formatCode="General">
                  <c:v>358</c:v>
                </c:pt>
                <c:pt idx="1712" formatCode="General">
                  <c:v>913</c:v>
                </c:pt>
                <c:pt idx="1713" formatCode="General">
                  <c:v>788</c:v>
                </c:pt>
                <c:pt idx="1714" formatCode="General">
                  <c:v>358</c:v>
                </c:pt>
                <c:pt idx="1715" formatCode="General">
                  <c:v>519</c:v>
                </c:pt>
                <c:pt idx="1716" formatCode="General">
                  <c:v>627</c:v>
                </c:pt>
                <c:pt idx="1717">
                  <c:v>1146</c:v>
                </c:pt>
                <c:pt idx="1718" formatCode="General">
                  <c:v>501</c:v>
                </c:pt>
                <c:pt idx="1719">
                  <c:v>1110</c:v>
                </c:pt>
                <c:pt idx="1720" formatCode="General">
                  <c:v>662</c:v>
                </c:pt>
                <c:pt idx="1721" formatCode="General">
                  <c:v>519</c:v>
                </c:pt>
                <c:pt idx="1722" formatCode="General">
                  <c:v>555</c:v>
                </c:pt>
                <c:pt idx="1723" formatCode="General">
                  <c:v>609</c:v>
                </c:pt>
                <c:pt idx="1724" formatCode="General">
                  <c:v>662</c:v>
                </c:pt>
                <c:pt idx="1725" formatCode="General">
                  <c:v>662</c:v>
                </c:pt>
                <c:pt idx="1726" formatCode="General">
                  <c:v>501</c:v>
                </c:pt>
                <c:pt idx="1727" formatCode="General">
                  <c:v>627</c:v>
                </c:pt>
                <c:pt idx="1728" formatCode="General">
                  <c:v>788</c:v>
                </c:pt>
                <c:pt idx="1729" formatCode="General">
                  <c:v>445</c:v>
                </c:pt>
                <c:pt idx="1730" formatCode="General">
                  <c:v>819</c:v>
                </c:pt>
                <c:pt idx="1731" formatCode="General">
                  <c:v>943</c:v>
                </c:pt>
                <c:pt idx="1732" formatCode="General">
                  <c:v>303</c:v>
                </c:pt>
                <c:pt idx="1733" formatCode="General">
                  <c:v>908</c:v>
                </c:pt>
                <c:pt idx="1734" formatCode="General">
                  <c:v>850</c:v>
                </c:pt>
                <c:pt idx="1735" formatCode="General">
                  <c:v>563</c:v>
                </c:pt>
                <c:pt idx="1736" formatCode="General">
                  <c:v>722</c:v>
                </c:pt>
                <c:pt idx="1737" formatCode="General">
                  <c:v>810</c:v>
                </c:pt>
                <c:pt idx="1738" formatCode="General">
                  <c:v>862</c:v>
                </c:pt>
                <c:pt idx="1739">
                  <c:v>1091</c:v>
                </c:pt>
                <c:pt idx="1740" formatCode="General">
                  <c:v>827</c:v>
                </c:pt>
                <c:pt idx="1741" formatCode="General">
                  <c:v>405</c:v>
                </c:pt>
                <c:pt idx="1742" formatCode="General">
                  <c:v>774</c:v>
                </c:pt>
                <c:pt idx="1743" formatCode="General">
                  <c:v>950</c:v>
                </c:pt>
                <c:pt idx="1744">
                  <c:v>1109</c:v>
                </c:pt>
                <c:pt idx="1745">
                  <c:v>1179</c:v>
                </c:pt>
                <c:pt idx="1746" formatCode="General">
                  <c:v>422</c:v>
                </c:pt>
                <c:pt idx="1747" formatCode="General">
                  <c:v>774</c:v>
                </c:pt>
                <c:pt idx="1748">
                  <c:v>1197</c:v>
                </c:pt>
                <c:pt idx="1749">
                  <c:v>1091</c:v>
                </c:pt>
                <c:pt idx="1750" formatCode="General">
                  <c:v>792</c:v>
                </c:pt>
                <c:pt idx="1751" formatCode="General">
                  <c:v>810</c:v>
                </c:pt>
                <c:pt idx="1752" formatCode="General">
                  <c:v>880</c:v>
                </c:pt>
                <c:pt idx="1753" formatCode="General">
                  <c:v>986</c:v>
                </c:pt>
                <c:pt idx="1754">
                  <c:v>1056</c:v>
                </c:pt>
                <c:pt idx="1755" formatCode="General">
                  <c:v>810</c:v>
                </c:pt>
                <c:pt idx="1756" formatCode="General">
                  <c:v>722</c:v>
                </c:pt>
                <c:pt idx="1757" formatCode="General">
                  <c:v>722</c:v>
                </c:pt>
                <c:pt idx="1758" formatCode="General">
                  <c:v>933</c:v>
                </c:pt>
                <c:pt idx="1759" formatCode="General">
                  <c:v>845</c:v>
                </c:pt>
                <c:pt idx="1760">
                  <c:v>1074</c:v>
                </c:pt>
                <c:pt idx="1761" formatCode="General">
                  <c:v>563</c:v>
                </c:pt>
                <c:pt idx="1762" formatCode="General">
                  <c:v>422</c:v>
                </c:pt>
                <c:pt idx="1763">
                  <c:v>1056</c:v>
                </c:pt>
                <c:pt idx="1764">
                  <c:v>1021</c:v>
                </c:pt>
                <c:pt idx="1765" formatCode="General">
                  <c:v>458</c:v>
                </c:pt>
                <c:pt idx="1766" formatCode="General">
                  <c:v>634</c:v>
                </c:pt>
                <c:pt idx="1767" formatCode="General">
                  <c:v>810</c:v>
                </c:pt>
                <c:pt idx="1768" formatCode="General">
                  <c:v>774</c:v>
                </c:pt>
                <c:pt idx="1769">
                  <c:v>1056</c:v>
                </c:pt>
                <c:pt idx="1770" formatCode="General">
                  <c:v>898</c:v>
                </c:pt>
                <c:pt idx="1771" formatCode="General">
                  <c:v>317</c:v>
                </c:pt>
                <c:pt idx="1772" formatCode="General">
                  <c:v>563</c:v>
                </c:pt>
                <c:pt idx="1773" formatCode="General">
                  <c:v>405</c:v>
                </c:pt>
                <c:pt idx="1774" formatCode="General">
                  <c:v>827</c:v>
                </c:pt>
                <c:pt idx="1775" formatCode="General">
                  <c:v>317</c:v>
                </c:pt>
                <c:pt idx="1776" formatCode="General">
                  <c:v>299</c:v>
                </c:pt>
                <c:pt idx="1777" formatCode="General">
                  <c:v>634</c:v>
                </c:pt>
                <c:pt idx="1778">
                  <c:v>7875</c:v>
                </c:pt>
                <c:pt idx="1779">
                  <c:v>8750</c:v>
                </c:pt>
                <c:pt idx="1780">
                  <c:v>7000</c:v>
                </c:pt>
                <c:pt idx="1781">
                  <c:v>8750</c:v>
                </c:pt>
                <c:pt idx="1782">
                  <c:v>7000</c:v>
                </c:pt>
                <c:pt idx="1783">
                  <c:v>8750</c:v>
                </c:pt>
                <c:pt idx="1784">
                  <c:v>8750</c:v>
                </c:pt>
                <c:pt idx="1785">
                  <c:v>6125</c:v>
                </c:pt>
                <c:pt idx="1786">
                  <c:v>7000</c:v>
                </c:pt>
                <c:pt idx="1787">
                  <c:v>8750</c:v>
                </c:pt>
                <c:pt idx="1788">
                  <c:v>7875</c:v>
                </c:pt>
                <c:pt idx="1789">
                  <c:v>5250</c:v>
                </c:pt>
                <c:pt idx="1790">
                  <c:v>7000</c:v>
                </c:pt>
                <c:pt idx="1791">
                  <c:v>7000</c:v>
                </c:pt>
                <c:pt idx="1792">
                  <c:v>7000</c:v>
                </c:pt>
                <c:pt idx="1793">
                  <c:v>6125</c:v>
                </c:pt>
                <c:pt idx="1794">
                  <c:v>7000</c:v>
                </c:pt>
                <c:pt idx="1795">
                  <c:v>6125</c:v>
                </c:pt>
                <c:pt idx="1796">
                  <c:v>7875</c:v>
                </c:pt>
                <c:pt idx="1797">
                  <c:v>4375</c:v>
                </c:pt>
                <c:pt idx="1798">
                  <c:v>5250</c:v>
                </c:pt>
                <c:pt idx="1799">
                  <c:v>6125</c:v>
                </c:pt>
                <c:pt idx="1800">
                  <c:v>7875</c:v>
                </c:pt>
                <c:pt idx="1801">
                  <c:v>7000</c:v>
                </c:pt>
                <c:pt idx="1802">
                  <c:v>7875</c:v>
                </c:pt>
                <c:pt idx="1803">
                  <c:v>7875</c:v>
                </c:pt>
                <c:pt idx="1804">
                  <c:v>7875</c:v>
                </c:pt>
                <c:pt idx="1805">
                  <c:v>7875</c:v>
                </c:pt>
                <c:pt idx="1806">
                  <c:v>8750</c:v>
                </c:pt>
                <c:pt idx="1807">
                  <c:v>8750</c:v>
                </c:pt>
                <c:pt idx="1808">
                  <c:v>7875</c:v>
                </c:pt>
                <c:pt idx="1809">
                  <c:v>7875</c:v>
                </c:pt>
                <c:pt idx="1810">
                  <c:v>8750</c:v>
                </c:pt>
                <c:pt idx="1811">
                  <c:v>7875</c:v>
                </c:pt>
                <c:pt idx="1812">
                  <c:v>7875</c:v>
                </c:pt>
                <c:pt idx="1813">
                  <c:v>7875</c:v>
                </c:pt>
                <c:pt idx="1814">
                  <c:v>7000</c:v>
                </c:pt>
                <c:pt idx="1815">
                  <c:v>7875</c:v>
                </c:pt>
                <c:pt idx="1816">
                  <c:v>3500</c:v>
                </c:pt>
                <c:pt idx="1817">
                  <c:v>6125</c:v>
                </c:pt>
                <c:pt idx="1818">
                  <c:v>7000</c:v>
                </c:pt>
                <c:pt idx="1819">
                  <c:v>3500</c:v>
                </c:pt>
                <c:pt idx="1820">
                  <c:v>5250</c:v>
                </c:pt>
                <c:pt idx="1821">
                  <c:v>8750</c:v>
                </c:pt>
                <c:pt idx="1822">
                  <c:v>7000</c:v>
                </c:pt>
                <c:pt idx="1823">
                  <c:v>8750</c:v>
                </c:pt>
                <c:pt idx="1824">
                  <c:v>7875</c:v>
                </c:pt>
                <c:pt idx="1825">
                  <c:v>6125</c:v>
                </c:pt>
                <c:pt idx="1826">
                  <c:v>7875</c:v>
                </c:pt>
                <c:pt idx="1827">
                  <c:v>7000</c:v>
                </c:pt>
                <c:pt idx="1828">
                  <c:v>8750</c:v>
                </c:pt>
                <c:pt idx="1829">
                  <c:v>6125</c:v>
                </c:pt>
                <c:pt idx="1830">
                  <c:v>7875</c:v>
                </c:pt>
                <c:pt idx="1831">
                  <c:v>7875</c:v>
                </c:pt>
                <c:pt idx="1832">
                  <c:v>6125</c:v>
                </c:pt>
                <c:pt idx="1833">
                  <c:v>7875</c:v>
                </c:pt>
                <c:pt idx="1834">
                  <c:v>7000</c:v>
                </c:pt>
                <c:pt idx="1835">
                  <c:v>5250</c:v>
                </c:pt>
                <c:pt idx="1836">
                  <c:v>7000</c:v>
                </c:pt>
                <c:pt idx="1837">
                  <c:v>7000</c:v>
                </c:pt>
                <c:pt idx="1838">
                  <c:v>8750</c:v>
                </c:pt>
                <c:pt idx="1839">
                  <c:v>5250</c:v>
                </c:pt>
                <c:pt idx="1840">
                  <c:v>7000</c:v>
                </c:pt>
                <c:pt idx="1841">
                  <c:v>3500</c:v>
                </c:pt>
                <c:pt idx="1842">
                  <c:v>3500</c:v>
                </c:pt>
                <c:pt idx="1843">
                  <c:v>1750</c:v>
                </c:pt>
                <c:pt idx="1844">
                  <c:v>4375</c:v>
                </c:pt>
                <c:pt idx="1845">
                  <c:v>6125</c:v>
                </c:pt>
                <c:pt idx="1846">
                  <c:v>7000</c:v>
                </c:pt>
                <c:pt idx="1847">
                  <c:v>8750</c:v>
                </c:pt>
                <c:pt idx="1848">
                  <c:v>4375</c:v>
                </c:pt>
                <c:pt idx="1849">
                  <c:v>3500</c:v>
                </c:pt>
                <c:pt idx="1850">
                  <c:v>6125</c:v>
                </c:pt>
                <c:pt idx="1851">
                  <c:v>7875</c:v>
                </c:pt>
                <c:pt idx="1852">
                  <c:v>4375</c:v>
                </c:pt>
                <c:pt idx="1853">
                  <c:v>6125</c:v>
                </c:pt>
                <c:pt idx="1854">
                  <c:v>7000</c:v>
                </c:pt>
                <c:pt idx="1855">
                  <c:v>8750</c:v>
                </c:pt>
                <c:pt idx="1856">
                  <c:v>6125</c:v>
                </c:pt>
                <c:pt idx="1857">
                  <c:v>6125</c:v>
                </c:pt>
                <c:pt idx="1858">
                  <c:v>5250</c:v>
                </c:pt>
                <c:pt idx="1859">
                  <c:v>7000</c:v>
                </c:pt>
                <c:pt idx="1860">
                  <c:v>7875</c:v>
                </c:pt>
                <c:pt idx="1861">
                  <c:v>8750</c:v>
                </c:pt>
                <c:pt idx="1862">
                  <c:v>4375</c:v>
                </c:pt>
                <c:pt idx="1863">
                  <c:v>6125</c:v>
                </c:pt>
                <c:pt idx="1864">
                  <c:v>4375</c:v>
                </c:pt>
                <c:pt idx="1865">
                  <c:v>4375</c:v>
                </c:pt>
                <c:pt idx="1866">
                  <c:v>6125</c:v>
                </c:pt>
                <c:pt idx="1867">
                  <c:v>6125</c:v>
                </c:pt>
                <c:pt idx="1868">
                  <c:v>7875</c:v>
                </c:pt>
                <c:pt idx="1869">
                  <c:v>4375</c:v>
                </c:pt>
                <c:pt idx="1870">
                  <c:v>4375</c:v>
                </c:pt>
                <c:pt idx="1871">
                  <c:v>6125</c:v>
                </c:pt>
                <c:pt idx="1872">
                  <c:v>7875</c:v>
                </c:pt>
                <c:pt idx="1873">
                  <c:v>7000</c:v>
                </c:pt>
                <c:pt idx="1874">
                  <c:v>8750</c:v>
                </c:pt>
                <c:pt idx="1875">
                  <c:v>8750</c:v>
                </c:pt>
                <c:pt idx="1876">
                  <c:v>8750</c:v>
                </c:pt>
                <c:pt idx="1877">
                  <c:v>6125</c:v>
                </c:pt>
                <c:pt idx="1878">
                  <c:v>8750</c:v>
                </c:pt>
                <c:pt idx="1879">
                  <c:v>7875</c:v>
                </c:pt>
                <c:pt idx="1880">
                  <c:v>6125</c:v>
                </c:pt>
                <c:pt idx="1881">
                  <c:v>7875</c:v>
                </c:pt>
                <c:pt idx="1882">
                  <c:v>6125</c:v>
                </c:pt>
                <c:pt idx="1883">
                  <c:v>4375</c:v>
                </c:pt>
                <c:pt idx="1884">
                  <c:v>8750</c:v>
                </c:pt>
                <c:pt idx="1885">
                  <c:v>7000</c:v>
                </c:pt>
                <c:pt idx="1886">
                  <c:v>7875</c:v>
                </c:pt>
                <c:pt idx="1887">
                  <c:v>4375</c:v>
                </c:pt>
                <c:pt idx="1888">
                  <c:v>4375</c:v>
                </c:pt>
                <c:pt idx="1889">
                  <c:v>6125</c:v>
                </c:pt>
                <c:pt idx="1890">
                  <c:v>7875</c:v>
                </c:pt>
                <c:pt idx="1891">
                  <c:v>8750</c:v>
                </c:pt>
                <c:pt idx="1892">
                  <c:v>7000</c:v>
                </c:pt>
                <c:pt idx="1893">
                  <c:v>7875</c:v>
                </c:pt>
                <c:pt idx="1894">
                  <c:v>7875</c:v>
                </c:pt>
                <c:pt idx="1895">
                  <c:v>7000</c:v>
                </c:pt>
                <c:pt idx="1896">
                  <c:v>7875</c:v>
                </c:pt>
                <c:pt idx="1897">
                  <c:v>7875</c:v>
                </c:pt>
                <c:pt idx="1898" formatCode="General">
                  <c:v>595</c:v>
                </c:pt>
                <c:pt idx="1899" formatCode="General">
                  <c:v>595</c:v>
                </c:pt>
                <c:pt idx="1900" formatCode="General">
                  <c:v>770</c:v>
                </c:pt>
                <c:pt idx="1901" formatCode="General">
                  <c:v>840</c:v>
                </c:pt>
                <c:pt idx="1902">
                  <c:v>1015</c:v>
                </c:pt>
                <c:pt idx="1903">
                  <c:v>1033</c:v>
                </c:pt>
                <c:pt idx="1904" formatCode="General">
                  <c:v>858</c:v>
                </c:pt>
                <c:pt idx="1905" formatCode="General">
                  <c:v>770</c:v>
                </c:pt>
                <c:pt idx="1906" formatCode="General">
                  <c:v>840</c:v>
                </c:pt>
                <c:pt idx="1907" formatCode="General">
                  <c:v>490</c:v>
                </c:pt>
                <c:pt idx="1908" formatCode="General">
                  <c:v>420</c:v>
                </c:pt>
                <c:pt idx="1909">
                  <c:v>1365</c:v>
                </c:pt>
                <c:pt idx="1910" formatCode="General">
                  <c:v>665</c:v>
                </c:pt>
                <c:pt idx="1911" formatCode="General">
                  <c:v>630</c:v>
                </c:pt>
                <c:pt idx="1912" formatCode="General">
                  <c:v>858</c:v>
                </c:pt>
                <c:pt idx="1913" formatCode="General">
                  <c:v>893</c:v>
                </c:pt>
                <c:pt idx="1914">
                  <c:v>1120</c:v>
                </c:pt>
                <c:pt idx="1915" formatCode="General">
                  <c:v>945</c:v>
                </c:pt>
                <c:pt idx="1916" formatCode="General">
                  <c:v>945</c:v>
                </c:pt>
                <c:pt idx="1917">
                  <c:v>1523</c:v>
                </c:pt>
                <c:pt idx="1918" formatCode="General">
                  <c:v>858</c:v>
                </c:pt>
                <c:pt idx="1919" formatCode="General">
                  <c:v>980</c:v>
                </c:pt>
                <c:pt idx="1920">
                  <c:v>1015</c:v>
                </c:pt>
                <c:pt idx="1921" formatCode="General">
                  <c:v>840</c:v>
                </c:pt>
                <c:pt idx="1922" formatCode="General">
                  <c:v>490</c:v>
                </c:pt>
                <c:pt idx="1923" formatCode="General">
                  <c:v>875</c:v>
                </c:pt>
                <c:pt idx="1924" formatCode="General">
                  <c:v>858</c:v>
                </c:pt>
                <c:pt idx="1925" formatCode="General">
                  <c:v>683</c:v>
                </c:pt>
                <c:pt idx="1926" formatCode="General">
                  <c:v>420</c:v>
                </c:pt>
                <c:pt idx="1927" formatCode="General">
                  <c:v>578</c:v>
                </c:pt>
                <c:pt idx="1928" formatCode="General">
                  <c:v>700</c:v>
                </c:pt>
                <c:pt idx="1929" formatCode="General">
                  <c:v>700</c:v>
                </c:pt>
                <c:pt idx="1930" formatCode="General">
                  <c:v>578</c:v>
                </c:pt>
                <c:pt idx="1931" formatCode="General">
                  <c:v>858</c:v>
                </c:pt>
                <c:pt idx="1932" formatCode="General">
                  <c:v>644</c:v>
                </c:pt>
                <c:pt idx="1933">
                  <c:v>1009</c:v>
                </c:pt>
                <c:pt idx="1934">
                  <c:v>1079</c:v>
                </c:pt>
                <c:pt idx="1935" formatCode="General">
                  <c:v>974</c:v>
                </c:pt>
                <c:pt idx="1936" formatCode="General">
                  <c:v>957</c:v>
                </c:pt>
                <c:pt idx="1937" formatCode="General">
                  <c:v>748</c:v>
                </c:pt>
                <c:pt idx="1938">
                  <c:v>1270</c:v>
                </c:pt>
                <c:pt idx="1939">
                  <c:v>1061</c:v>
                </c:pt>
                <c:pt idx="1940" formatCode="General">
                  <c:v>974</c:v>
                </c:pt>
                <c:pt idx="1941">
                  <c:v>1235</c:v>
                </c:pt>
                <c:pt idx="1942" formatCode="General">
                  <c:v>626</c:v>
                </c:pt>
                <c:pt idx="1943" formatCode="General">
                  <c:v>870</c:v>
                </c:pt>
                <c:pt idx="1944" formatCode="General">
                  <c:v>574</c:v>
                </c:pt>
                <c:pt idx="1945">
                  <c:v>1201</c:v>
                </c:pt>
                <c:pt idx="1946">
                  <c:v>1305</c:v>
                </c:pt>
                <c:pt idx="1947" formatCode="General">
                  <c:v>574</c:v>
                </c:pt>
                <c:pt idx="1948" formatCode="General">
                  <c:v>661</c:v>
                </c:pt>
                <c:pt idx="1949" formatCode="General">
                  <c:v>905</c:v>
                </c:pt>
                <c:pt idx="1950" formatCode="General">
                  <c:v>766</c:v>
                </c:pt>
                <c:pt idx="1951" formatCode="General">
                  <c:v>974</c:v>
                </c:pt>
                <c:pt idx="1952" formatCode="General">
                  <c:v>644</c:v>
                </c:pt>
                <c:pt idx="1953" formatCode="General">
                  <c:v>557</c:v>
                </c:pt>
                <c:pt idx="1954" formatCode="General">
                  <c:v>557</c:v>
                </c:pt>
                <c:pt idx="1955">
                  <c:v>1409</c:v>
                </c:pt>
                <c:pt idx="1956" formatCode="General">
                  <c:v>557</c:v>
                </c:pt>
                <c:pt idx="1957" formatCode="General">
                  <c:v>818</c:v>
                </c:pt>
                <c:pt idx="1958" formatCode="General">
                  <c:v>400</c:v>
                </c:pt>
                <c:pt idx="1959">
                  <c:v>1021</c:v>
                </c:pt>
                <c:pt idx="1960" formatCode="General">
                  <c:v>554</c:v>
                </c:pt>
                <c:pt idx="1961" formatCode="General">
                  <c:v>727</c:v>
                </c:pt>
                <c:pt idx="1962" formatCode="General">
                  <c:v>571</c:v>
                </c:pt>
                <c:pt idx="1963" formatCode="General">
                  <c:v>260</c:v>
                </c:pt>
                <c:pt idx="1964" formatCode="General">
                  <c:v>761</c:v>
                </c:pt>
                <c:pt idx="1965" formatCode="General">
                  <c:v>882</c:v>
                </c:pt>
                <c:pt idx="1966">
                  <c:v>1159</c:v>
                </c:pt>
                <c:pt idx="1967" formatCode="General">
                  <c:v>796</c:v>
                </c:pt>
                <c:pt idx="1968" formatCode="General">
                  <c:v>830</c:v>
                </c:pt>
                <c:pt idx="1969" formatCode="General">
                  <c:v>484</c:v>
                </c:pt>
                <c:pt idx="1970" formatCode="General">
                  <c:v>761</c:v>
                </c:pt>
                <c:pt idx="1971">
                  <c:v>1332</c:v>
                </c:pt>
                <c:pt idx="1972" formatCode="General">
                  <c:v>640</c:v>
                </c:pt>
                <c:pt idx="1973" formatCode="General">
                  <c:v>882</c:v>
                </c:pt>
                <c:pt idx="1974">
                  <c:v>1003</c:v>
                </c:pt>
                <c:pt idx="1975" formatCode="General">
                  <c:v>502</c:v>
                </c:pt>
                <c:pt idx="1976" formatCode="General">
                  <c:v>554</c:v>
                </c:pt>
                <c:pt idx="1977" formatCode="General">
                  <c:v>882</c:v>
                </c:pt>
                <c:pt idx="1978" formatCode="General">
                  <c:v>813</c:v>
                </c:pt>
                <c:pt idx="1979">
                  <c:v>1107</c:v>
                </c:pt>
                <c:pt idx="1980" formatCode="General">
                  <c:v>900</c:v>
                </c:pt>
                <c:pt idx="1981" formatCode="General">
                  <c:v>657</c:v>
                </c:pt>
                <c:pt idx="1982" formatCode="General">
                  <c:v>536</c:v>
                </c:pt>
                <c:pt idx="1983" formatCode="General">
                  <c:v>467</c:v>
                </c:pt>
                <c:pt idx="1984" formatCode="General">
                  <c:v>623</c:v>
                </c:pt>
                <c:pt idx="1985" formatCode="General">
                  <c:v>398</c:v>
                </c:pt>
                <c:pt idx="1986" formatCode="General">
                  <c:v>830</c:v>
                </c:pt>
                <c:pt idx="1987" formatCode="General">
                  <c:v>761</c:v>
                </c:pt>
                <c:pt idx="1988" formatCode="General">
                  <c:v>675</c:v>
                </c:pt>
                <c:pt idx="1989" formatCode="General">
                  <c:v>588</c:v>
                </c:pt>
                <c:pt idx="1990" formatCode="General">
                  <c:v>796</c:v>
                </c:pt>
                <c:pt idx="1991" formatCode="General">
                  <c:v>744</c:v>
                </c:pt>
                <c:pt idx="1992" formatCode="General">
                  <c:v>467</c:v>
                </c:pt>
                <c:pt idx="1993" formatCode="General">
                  <c:v>969</c:v>
                </c:pt>
                <c:pt idx="1994" formatCode="General">
                  <c:v>640</c:v>
                </c:pt>
                <c:pt idx="1995" formatCode="General">
                  <c:v>588</c:v>
                </c:pt>
                <c:pt idx="1996" formatCode="General">
                  <c:v>588</c:v>
                </c:pt>
                <c:pt idx="1997" formatCode="General">
                  <c:v>623</c:v>
                </c:pt>
                <c:pt idx="1998" formatCode="General">
                  <c:v>346</c:v>
                </c:pt>
                <c:pt idx="1999" formatCode="General">
                  <c:v>779</c:v>
                </c:pt>
                <c:pt idx="2000" formatCode="General">
                  <c:v>657</c:v>
                </c:pt>
                <c:pt idx="2001" formatCode="General">
                  <c:v>709</c:v>
                </c:pt>
                <c:pt idx="2002" formatCode="General">
                  <c:v>588</c:v>
                </c:pt>
                <c:pt idx="2003" formatCode="General">
                  <c:v>701</c:v>
                </c:pt>
                <c:pt idx="2004" formatCode="General">
                  <c:v>735</c:v>
                </c:pt>
                <c:pt idx="2005" formatCode="General">
                  <c:v>804</c:v>
                </c:pt>
                <c:pt idx="2006" formatCode="General">
                  <c:v>804</c:v>
                </c:pt>
                <c:pt idx="2007" formatCode="General">
                  <c:v>599</c:v>
                </c:pt>
                <c:pt idx="2008" formatCode="General">
                  <c:v>804</c:v>
                </c:pt>
                <c:pt idx="2009">
                  <c:v>1043</c:v>
                </c:pt>
                <c:pt idx="2010" formatCode="General">
                  <c:v>667</c:v>
                </c:pt>
                <c:pt idx="2011" formatCode="General">
                  <c:v>599</c:v>
                </c:pt>
                <c:pt idx="2012">
                  <c:v>8500</c:v>
                </c:pt>
                <c:pt idx="2013" formatCode="General">
                  <c:v>867</c:v>
                </c:pt>
                <c:pt idx="2014" formatCode="General">
                  <c:v>833</c:v>
                </c:pt>
                <c:pt idx="2015">
                  <c:v>1037</c:v>
                </c:pt>
                <c:pt idx="2016" formatCode="General">
                  <c:v>952</c:v>
                </c:pt>
                <c:pt idx="2017" formatCode="General">
                  <c:v>408</c:v>
                </c:pt>
                <c:pt idx="2018" formatCode="General">
                  <c:v>255</c:v>
                </c:pt>
                <c:pt idx="2019" formatCode="General">
                  <c:v>799</c:v>
                </c:pt>
                <c:pt idx="2020" formatCode="General">
                  <c:v>510</c:v>
                </c:pt>
                <c:pt idx="2021" formatCode="General">
                  <c:v>289</c:v>
                </c:pt>
                <c:pt idx="2022" formatCode="General">
                  <c:v>374</c:v>
                </c:pt>
                <c:pt idx="2023" formatCode="General">
                  <c:v>493</c:v>
                </c:pt>
                <c:pt idx="2024" formatCode="General">
                  <c:v>612</c:v>
                </c:pt>
                <c:pt idx="2025" formatCode="General">
                  <c:v>952</c:v>
                </c:pt>
                <c:pt idx="2026" formatCode="General">
                  <c:v>935</c:v>
                </c:pt>
                <c:pt idx="2027" formatCode="General">
                  <c:v>731</c:v>
                </c:pt>
                <c:pt idx="2028" formatCode="General">
                  <c:v>693</c:v>
                </c:pt>
                <c:pt idx="2029" formatCode="General">
                  <c:v>693</c:v>
                </c:pt>
                <c:pt idx="2030" formatCode="General">
                  <c:v>710</c:v>
                </c:pt>
                <c:pt idx="2031" formatCode="General">
                  <c:v>744</c:v>
                </c:pt>
                <c:pt idx="2032" formatCode="General">
                  <c:v>710</c:v>
                </c:pt>
                <c:pt idx="2033" formatCode="General">
                  <c:v>794</c:v>
                </c:pt>
                <c:pt idx="2034" formatCode="General">
                  <c:v>794</c:v>
                </c:pt>
                <c:pt idx="2035" formatCode="General">
                  <c:v>794</c:v>
                </c:pt>
                <c:pt idx="2036" formatCode="General">
                  <c:v>659</c:v>
                </c:pt>
                <c:pt idx="2037" formatCode="General">
                  <c:v>642</c:v>
                </c:pt>
                <c:pt idx="2038" formatCode="General">
                  <c:v>642</c:v>
                </c:pt>
                <c:pt idx="2039" formatCode="General">
                  <c:v>608</c:v>
                </c:pt>
                <c:pt idx="2040" formatCode="General">
                  <c:v>406</c:v>
                </c:pt>
                <c:pt idx="2041" formatCode="General">
                  <c:v>321</c:v>
                </c:pt>
                <c:pt idx="2042" formatCode="General">
                  <c:v>608</c:v>
                </c:pt>
                <c:pt idx="2043" formatCode="General">
                  <c:v>794</c:v>
                </c:pt>
                <c:pt idx="2044" formatCode="General">
                  <c:v>997</c:v>
                </c:pt>
                <c:pt idx="2045" formatCode="General">
                  <c:v>304</c:v>
                </c:pt>
                <c:pt idx="2046" formatCode="General">
                  <c:v>321</c:v>
                </c:pt>
                <c:pt idx="2047">
                  <c:v>1639</c:v>
                </c:pt>
                <c:pt idx="2048" formatCode="General">
                  <c:v>879</c:v>
                </c:pt>
                <c:pt idx="2049" formatCode="General">
                  <c:v>541</c:v>
                </c:pt>
                <c:pt idx="2050" formatCode="General">
                  <c:v>997</c:v>
                </c:pt>
                <c:pt idx="2051" formatCode="General">
                  <c:v>862</c:v>
                </c:pt>
                <c:pt idx="2052" formatCode="General">
                  <c:v>862</c:v>
                </c:pt>
                <c:pt idx="2053" formatCode="General">
                  <c:v>794</c:v>
                </c:pt>
                <c:pt idx="2054">
                  <c:v>1014</c:v>
                </c:pt>
                <c:pt idx="2055" formatCode="General">
                  <c:v>997</c:v>
                </c:pt>
                <c:pt idx="2056" formatCode="General">
                  <c:v>490</c:v>
                </c:pt>
                <c:pt idx="2057">
                  <c:v>1048</c:v>
                </c:pt>
                <c:pt idx="2058" formatCode="General">
                  <c:v>608</c:v>
                </c:pt>
                <c:pt idx="2059" formatCode="General">
                  <c:v>558</c:v>
                </c:pt>
                <c:pt idx="2060" formatCode="General">
                  <c:v>389</c:v>
                </c:pt>
                <c:pt idx="2061" formatCode="General">
                  <c:v>456</c:v>
                </c:pt>
                <c:pt idx="2062" formatCode="General">
                  <c:v>625</c:v>
                </c:pt>
                <c:pt idx="2063" formatCode="General">
                  <c:v>794</c:v>
                </c:pt>
                <c:pt idx="2064" formatCode="General">
                  <c:v>828</c:v>
                </c:pt>
                <c:pt idx="2065">
                  <c:v>1099</c:v>
                </c:pt>
                <c:pt idx="2066" formatCode="General">
                  <c:v>913</c:v>
                </c:pt>
                <c:pt idx="2067" formatCode="General">
                  <c:v>575</c:v>
                </c:pt>
                <c:pt idx="2068" formatCode="General">
                  <c:v>389</c:v>
                </c:pt>
                <c:pt idx="2069" formatCode="General">
                  <c:v>896</c:v>
                </c:pt>
                <c:pt idx="2070" formatCode="General">
                  <c:v>406</c:v>
                </c:pt>
                <c:pt idx="2071">
                  <c:v>1082</c:v>
                </c:pt>
                <c:pt idx="2072" formatCode="General">
                  <c:v>997</c:v>
                </c:pt>
                <c:pt idx="2073">
                  <c:v>1200</c:v>
                </c:pt>
                <c:pt idx="2074" formatCode="General">
                  <c:v>706</c:v>
                </c:pt>
                <c:pt idx="2075" formatCode="General">
                  <c:v>756</c:v>
                </c:pt>
                <c:pt idx="2076">
                  <c:v>1159</c:v>
                </c:pt>
                <c:pt idx="2077" formatCode="General">
                  <c:v>941</c:v>
                </c:pt>
                <c:pt idx="2078">
                  <c:v>1042</c:v>
                </c:pt>
                <c:pt idx="2079" formatCode="General">
                  <c:v>487</c:v>
                </c:pt>
                <c:pt idx="2080" formatCode="General">
                  <c:v>706</c:v>
                </c:pt>
                <c:pt idx="2081" formatCode="General">
                  <c:v>739</c:v>
                </c:pt>
                <c:pt idx="2082" formatCode="General">
                  <c:v>806</c:v>
                </c:pt>
                <c:pt idx="2083" formatCode="General">
                  <c:v>538</c:v>
                </c:pt>
                <c:pt idx="2084" formatCode="General">
                  <c:v>487</c:v>
                </c:pt>
                <c:pt idx="2085">
                  <c:v>1445</c:v>
                </c:pt>
                <c:pt idx="2086" formatCode="General">
                  <c:v>790</c:v>
                </c:pt>
                <c:pt idx="2087" formatCode="General">
                  <c:v>840</c:v>
                </c:pt>
                <c:pt idx="2088">
                  <c:v>1042</c:v>
                </c:pt>
                <c:pt idx="2089">
                  <c:v>1075</c:v>
                </c:pt>
                <c:pt idx="2090" formatCode="General">
                  <c:v>790</c:v>
                </c:pt>
                <c:pt idx="2091" formatCode="General">
                  <c:v>739</c:v>
                </c:pt>
                <c:pt idx="2092" formatCode="General">
                  <c:v>638</c:v>
                </c:pt>
                <c:pt idx="2093" formatCode="General">
                  <c:v>924</c:v>
                </c:pt>
                <c:pt idx="2094" formatCode="General">
                  <c:v>622</c:v>
                </c:pt>
                <c:pt idx="2095" formatCode="General">
                  <c:v>857</c:v>
                </c:pt>
                <c:pt idx="2096" formatCode="General">
                  <c:v>504</c:v>
                </c:pt>
                <c:pt idx="2097" formatCode="General">
                  <c:v>785</c:v>
                </c:pt>
                <c:pt idx="2098" formatCode="General">
                  <c:v>768</c:v>
                </c:pt>
                <c:pt idx="2099" formatCode="General">
                  <c:v>635</c:v>
                </c:pt>
                <c:pt idx="2100" formatCode="General">
                  <c:v>701</c:v>
                </c:pt>
                <c:pt idx="2101" formatCode="General">
                  <c:v>768</c:v>
                </c:pt>
                <c:pt idx="2102" formatCode="General">
                  <c:v>618</c:v>
                </c:pt>
                <c:pt idx="2103" formatCode="General">
                  <c:v>985</c:v>
                </c:pt>
                <c:pt idx="2104" formatCode="General">
                  <c:v>384</c:v>
                </c:pt>
                <c:pt idx="2105" formatCode="General">
                  <c:v>601</c:v>
                </c:pt>
                <c:pt idx="2106" formatCode="General">
                  <c:v>685</c:v>
                </c:pt>
                <c:pt idx="2107" formatCode="General">
                  <c:v>635</c:v>
                </c:pt>
                <c:pt idx="2108" formatCode="General">
                  <c:v>401</c:v>
                </c:pt>
                <c:pt idx="2109">
                  <c:v>1236</c:v>
                </c:pt>
                <c:pt idx="2110" formatCode="General">
                  <c:v>768</c:v>
                </c:pt>
                <c:pt idx="2111" formatCode="General">
                  <c:v>401</c:v>
                </c:pt>
                <c:pt idx="2112" formatCode="General">
                  <c:v>601</c:v>
                </c:pt>
                <c:pt idx="2113" formatCode="General">
                  <c:v>768</c:v>
                </c:pt>
                <c:pt idx="2114" formatCode="General">
                  <c:v>685</c:v>
                </c:pt>
                <c:pt idx="2115" formatCode="General">
                  <c:v>531</c:v>
                </c:pt>
                <c:pt idx="2116" formatCode="General">
                  <c:v>598</c:v>
                </c:pt>
                <c:pt idx="2117" formatCode="General">
                  <c:v>780</c:v>
                </c:pt>
                <c:pt idx="2118" formatCode="General">
                  <c:v>664</c:v>
                </c:pt>
                <c:pt idx="2119" formatCode="General">
                  <c:v>365</c:v>
                </c:pt>
                <c:pt idx="2120" formatCode="General">
                  <c:v>398</c:v>
                </c:pt>
                <c:pt idx="2121">
                  <c:v>1046</c:v>
                </c:pt>
                <c:pt idx="2122" formatCode="General">
                  <c:v>730</c:v>
                </c:pt>
                <c:pt idx="2123" formatCode="General">
                  <c:v>432</c:v>
                </c:pt>
                <c:pt idx="2124" formatCode="General">
                  <c:v>647</c:v>
                </c:pt>
                <c:pt idx="2125" formatCode="General">
                  <c:v>598</c:v>
                </c:pt>
                <c:pt idx="2126" formatCode="General">
                  <c:v>664</c:v>
                </c:pt>
                <c:pt idx="2127" formatCode="General">
                  <c:v>266</c:v>
                </c:pt>
                <c:pt idx="2128">
                  <c:v>1023</c:v>
                </c:pt>
                <c:pt idx="2129">
                  <c:v>1023</c:v>
                </c:pt>
                <c:pt idx="2130" formatCode="General">
                  <c:v>974</c:v>
                </c:pt>
                <c:pt idx="2131" formatCode="General">
                  <c:v>611</c:v>
                </c:pt>
                <c:pt idx="2132" formatCode="General">
                  <c:v>908</c:v>
                </c:pt>
                <c:pt idx="2133" formatCode="General">
                  <c:v>726</c:v>
                </c:pt>
                <c:pt idx="2134" formatCode="General">
                  <c:v>710</c:v>
                </c:pt>
                <c:pt idx="2135" formatCode="General">
                  <c:v>710</c:v>
                </c:pt>
                <c:pt idx="2136" formatCode="General">
                  <c:v>842</c:v>
                </c:pt>
                <c:pt idx="2137" formatCode="General">
                  <c:v>726</c:v>
                </c:pt>
                <c:pt idx="2138" formatCode="General">
                  <c:v>611</c:v>
                </c:pt>
                <c:pt idx="2139" formatCode="General">
                  <c:v>726</c:v>
                </c:pt>
                <c:pt idx="2140">
                  <c:v>1353</c:v>
                </c:pt>
                <c:pt idx="2141">
                  <c:v>1106</c:v>
                </c:pt>
                <c:pt idx="2142" formatCode="General">
                  <c:v>726</c:v>
                </c:pt>
                <c:pt idx="2143" formatCode="General">
                  <c:v>792</c:v>
                </c:pt>
                <c:pt idx="2144" formatCode="General">
                  <c:v>776</c:v>
                </c:pt>
                <c:pt idx="2145" formatCode="General">
                  <c:v>462</c:v>
                </c:pt>
                <c:pt idx="2146" formatCode="General">
                  <c:v>809</c:v>
                </c:pt>
                <c:pt idx="2147" formatCode="General">
                  <c:v>693</c:v>
                </c:pt>
                <c:pt idx="2148" formatCode="General">
                  <c:v>644</c:v>
                </c:pt>
                <c:pt idx="2149" formatCode="General">
                  <c:v>231</c:v>
                </c:pt>
                <c:pt idx="2150" formatCode="General">
                  <c:v>429</c:v>
                </c:pt>
                <c:pt idx="2151" formatCode="General">
                  <c:v>627</c:v>
                </c:pt>
                <c:pt idx="2152" formatCode="General">
                  <c:v>512</c:v>
                </c:pt>
                <c:pt idx="2153" formatCode="General">
                  <c:v>875</c:v>
                </c:pt>
                <c:pt idx="2154" formatCode="General">
                  <c:v>363</c:v>
                </c:pt>
                <c:pt idx="2155" formatCode="General">
                  <c:v>875</c:v>
                </c:pt>
                <c:pt idx="2156" formatCode="General">
                  <c:v>875</c:v>
                </c:pt>
                <c:pt idx="2157" formatCode="General">
                  <c:v>677</c:v>
                </c:pt>
                <c:pt idx="2158" formatCode="General">
                  <c:v>281</c:v>
                </c:pt>
                <c:pt idx="2159" formatCode="General">
                  <c:v>792</c:v>
                </c:pt>
                <c:pt idx="2160" formatCode="General">
                  <c:v>594</c:v>
                </c:pt>
                <c:pt idx="2161" formatCode="General">
                  <c:v>886</c:v>
                </c:pt>
                <c:pt idx="2162" formatCode="General">
                  <c:v>587</c:v>
                </c:pt>
                <c:pt idx="2163">
                  <c:v>1027</c:v>
                </c:pt>
                <c:pt idx="2164" formatCode="General">
                  <c:v>734</c:v>
                </c:pt>
                <c:pt idx="2165" formatCode="General">
                  <c:v>945</c:v>
                </c:pt>
                <c:pt idx="2166" formatCode="General">
                  <c:v>522</c:v>
                </c:pt>
                <c:pt idx="2167">
                  <c:v>1174</c:v>
                </c:pt>
                <c:pt idx="2168">
                  <c:v>1190</c:v>
                </c:pt>
                <c:pt idx="2169" formatCode="General">
                  <c:v>603</c:v>
                </c:pt>
                <c:pt idx="2170" formatCode="General">
                  <c:v>685</c:v>
                </c:pt>
                <c:pt idx="2171" formatCode="General">
                  <c:v>456</c:v>
                </c:pt>
                <c:pt idx="2172" formatCode="General">
                  <c:v>962</c:v>
                </c:pt>
                <c:pt idx="2173">
                  <c:v>1646</c:v>
                </c:pt>
                <c:pt idx="2174" formatCode="General">
                  <c:v>782</c:v>
                </c:pt>
                <c:pt idx="2175" formatCode="General">
                  <c:v>848</c:v>
                </c:pt>
                <c:pt idx="2176" formatCode="General">
                  <c:v>815</c:v>
                </c:pt>
                <c:pt idx="2177" formatCode="General">
                  <c:v>717</c:v>
                </c:pt>
                <c:pt idx="2178" formatCode="General">
                  <c:v>701</c:v>
                </c:pt>
                <c:pt idx="2179" formatCode="General">
                  <c:v>962</c:v>
                </c:pt>
                <c:pt idx="2180" formatCode="General">
                  <c:v>668</c:v>
                </c:pt>
                <c:pt idx="2181">
                  <c:v>1402</c:v>
                </c:pt>
                <c:pt idx="2182" formatCode="General">
                  <c:v>375</c:v>
                </c:pt>
                <c:pt idx="2183">
                  <c:v>1027</c:v>
                </c:pt>
                <c:pt idx="2184" formatCode="General">
                  <c:v>815</c:v>
                </c:pt>
                <c:pt idx="2185" formatCode="General">
                  <c:v>799</c:v>
                </c:pt>
                <c:pt idx="2186" formatCode="General">
                  <c:v>994</c:v>
                </c:pt>
                <c:pt idx="2187" formatCode="General">
                  <c:v>897</c:v>
                </c:pt>
                <c:pt idx="2188">
                  <c:v>1174</c:v>
                </c:pt>
                <c:pt idx="2189" formatCode="General">
                  <c:v>456</c:v>
                </c:pt>
                <c:pt idx="2190" formatCode="General">
                  <c:v>815</c:v>
                </c:pt>
                <c:pt idx="2191" formatCode="General">
                  <c:v>831</c:v>
                </c:pt>
                <c:pt idx="2192" formatCode="General">
                  <c:v>945</c:v>
                </c:pt>
                <c:pt idx="2193" formatCode="General">
                  <c:v>391</c:v>
                </c:pt>
                <c:pt idx="2194" formatCode="General">
                  <c:v>440</c:v>
                </c:pt>
                <c:pt idx="2195" formatCode="General">
                  <c:v>652</c:v>
                </c:pt>
                <c:pt idx="2196" formatCode="General">
                  <c:v>619</c:v>
                </c:pt>
                <c:pt idx="2197" formatCode="General">
                  <c:v>750</c:v>
                </c:pt>
                <c:pt idx="2198" formatCode="General">
                  <c:v>489</c:v>
                </c:pt>
                <c:pt idx="2199" formatCode="General">
                  <c:v>668</c:v>
                </c:pt>
                <c:pt idx="2200" formatCode="General">
                  <c:v>587</c:v>
                </c:pt>
                <c:pt idx="2201" formatCode="General">
                  <c:v>685</c:v>
                </c:pt>
                <c:pt idx="2202" formatCode="General">
                  <c:v>734</c:v>
                </c:pt>
                <c:pt idx="2203" formatCode="General">
                  <c:v>766</c:v>
                </c:pt>
                <c:pt idx="2204" formatCode="General">
                  <c:v>988</c:v>
                </c:pt>
                <c:pt idx="2205" formatCode="General">
                  <c:v>956</c:v>
                </c:pt>
                <c:pt idx="2206" formatCode="General">
                  <c:v>875</c:v>
                </c:pt>
                <c:pt idx="2207">
                  <c:v>1037</c:v>
                </c:pt>
                <c:pt idx="2208">
                  <c:v>1393</c:v>
                </c:pt>
                <c:pt idx="2209" formatCode="General">
                  <c:v>794</c:v>
                </c:pt>
                <c:pt idx="2210">
                  <c:v>1377</c:v>
                </c:pt>
                <c:pt idx="2211">
                  <c:v>1118</c:v>
                </c:pt>
                <c:pt idx="2212">
                  <c:v>1199</c:v>
                </c:pt>
                <c:pt idx="2213" formatCode="General">
                  <c:v>373</c:v>
                </c:pt>
                <c:pt idx="2214" formatCode="General">
                  <c:v>745</c:v>
                </c:pt>
                <c:pt idx="2215" formatCode="General">
                  <c:v>745</c:v>
                </c:pt>
                <c:pt idx="2216" formatCode="General">
                  <c:v>826</c:v>
                </c:pt>
                <c:pt idx="2217" formatCode="General">
                  <c:v>518</c:v>
                </c:pt>
                <c:pt idx="2218" formatCode="General">
                  <c:v>486</c:v>
                </c:pt>
                <c:pt idx="2219" formatCode="General">
                  <c:v>340</c:v>
                </c:pt>
                <c:pt idx="2220" formatCode="General">
                  <c:v>308</c:v>
                </c:pt>
                <c:pt idx="2221" formatCode="General">
                  <c:v>535</c:v>
                </c:pt>
                <c:pt idx="2222" formatCode="General">
                  <c:v>340</c:v>
                </c:pt>
                <c:pt idx="2223" formatCode="General">
                  <c:v>778</c:v>
                </c:pt>
                <c:pt idx="2224" formatCode="General">
                  <c:v>632</c:v>
                </c:pt>
                <c:pt idx="2225" formatCode="General">
                  <c:v>437</c:v>
                </c:pt>
                <c:pt idx="2226" formatCode="General">
                  <c:v>389</c:v>
                </c:pt>
                <c:pt idx="2227" formatCode="General">
                  <c:v>810</c:v>
                </c:pt>
                <c:pt idx="2228" formatCode="General">
                  <c:v>842</c:v>
                </c:pt>
                <c:pt idx="2229" formatCode="General">
                  <c:v>821</c:v>
                </c:pt>
                <c:pt idx="2230" formatCode="General">
                  <c:v>757</c:v>
                </c:pt>
                <c:pt idx="2231" formatCode="General">
                  <c:v>725</c:v>
                </c:pt>
                <c:pt idx="2232">
                  <c:v>1079</c:v>
                </c:pt>
                <c:pt idx="2233" formatCode="General">
                  <c:v>708</c:v>
                </c:pt>
                <c:pt idx="2234" formatCode="General">
                  <c:v>386</c:v>
                </c:pt>
                <c:pt idx="2235" formatCode="General">
                  <c:v>596</c:v>
                </c:pt>
                <c:pt idx="2236" formatCode="General">
                  <c:v>531</c:v>
                </c:pt>
                <c:pt idx="2237" formatCode="General">
                  <c:v>692</c:v>
                </c:pt>
                <c:pt idx="2238" formatCode="General">
                  <c:v>853</c:v>
                </c:pt>
                <c:pt idx="2239" formatCode="General">
                  <c:v>886</c:v>
                </c:pt>
                <c:pt idx="2240">
                  <c:v>1320</c:v>
                </c:pt>
                <c:pt idx="2241" formatCode="General">
                  <c:v>918</c:v>
                </c:pt>
                <c:pt idx="2242" formatCode="General">
                  <c:v>725</c:v>
                </c:pt>
                <c:pt idx="2243" formatCode="General">
                  <c:v>950</c:v>
                </c:pt>
                <c:pt idx="2244" formatCode="General">
                  <c:v>805</c:v>
                </c:pt>
                <c:pt idx="2245" formatCode="General">
                  <c:v>656</c:v>
                </c:pt>
                <c:pt idx="2246" formatCode="General">
                  <c:v>688</c:v>
                </c:pt>
                <c:pt idx="2247">
                  <c:v>1088</c:v>
                </c:pt>
                <c:pt idx="2248" formatCode="General">
                  <c:v>784</c:v>
                </c:pt>
                <c:pt idx="2249" formatCode="General">
                  <c:v>704</c:v>
                </c:pt>
                <c:pt idx="2250" formatCode="General">
                  <c:v>784</c:v>
                </c:pt>
                <c:pt idx="2251" formatCode="General">
                  <c:v>944</c:v>
                </c:pt>
                <c:pt idx="2252" formatCode="General">
                  <c:v>736</c:v>
                </c:pt>
                <c:pt idx="2253" formatCode="General">
                  <c:v>784</c:v>
                </c:pt>
                <c:pt idx="2254">
                  <c:v>1072</c:v>
                </c:pt>
                <c:pt idx="2255" formatCode="General">
                  <c:v>656</c:v>
                </c:pt>
                <c:pt idx="2256" formatCode="General">
                  <c:v>464</c:v>
                </c:pt>
                <c:pt idx="2257" formatCode="General">
                  <c:v>688</c:v>
                </c:pt>
                <c:pt idx="2258" formatCode="General">
                  <c:v>928</c:v>
                </c:pt>
                <c:pt idx="2259" formatCode="General">
                  <c:v>928</c:v>
                </c:pt>
                <c:pt idx="2260" formatCode="General">
                  <c:v>752</c:v>
                </c:pt>
                <c:pt idx="2261" formatCode="General">
                  <c:v>544</c:v>
                </c:pt>
                <c:pt idx="2262" formatCode="General">
                  <c:v>864</c:v>
                </c:pt>
                <c:pt idx="2263" formatCode="General">
                  <c:v>768</c:v>
                </c:pt>
                <c:pt idx="2264" formatCode="General">
                  <c:v>512</c:v>
                </c:pt>
                <c:pt idx="2265" formatCode="General">
                  <c:v>544</c:v>
                </c:pt>
                <c:pt idx="2266" formatCode="General">
                  <c:v>816</c:v>
                </c:pt>
                <c:pt idx="2267" formatCode="General">
                  <c:v>448</c:v>
                </c:pt>
                <c:pt idx="2268" formatCode="General">
                  <c:v>800</c:v>
                </c:pt>
                <c:pt idx="2269" formatCode="General">
                  <c:v>608</c:v>
                </c:pt>
                <c:pt idx="2270" formatCode="General">
                  <c:v>464</c:v>
                </c:pt>
                <c:pt idx="2271" formatCode="General">
                  <c:v>640</c:v>
                </c:pt>
                <c:pt idx="2272" formatCode="General">
                  <c:v>784</c:v>
                </c:pt>
                <c:pt idx="2273" formatCode="General">
                  <c:v>720</c:v>
                </c:pt>
                <c:pt idx="2274" formatCode="General">
                  <c:v>752</c:v>
                </c:pt>
                <c:pt idx="2275" formatCode="General">
                  <c:v>320</c:v>
                </c:pt>
                <c:pt idx="2276" formatCode="General">
                  <c:v>416</c:v>
                </c:pt>
                <c:pt idx="2277" formatCode="General">
                  <c:v>768</c:v>
                </c:pt>
                <c:pt idx="2278" formatCode="General">
                  <c:v>695</c:v>
                </c:pt>
                <c:pt idx="2279" formatCode="General">
                  <c:v>427</c:v>
                </c:pt>
                <c:pt idx="2280" formatCode="General">
                  <c:v>916</c:v>
                </c:pt>
                <c:pt idx="2281" formatCode="General">
                  <c:v>948</c:v>
                </c:pt>
                <c:pt idx="2282" formatCode="General">
                  <c:v>537</c:v>
                </c:pt>
                <c:pt idx="2283" formatCode="General">
                  <c:v>537</c:v>
                </c:pt>
                <c:pt idx="2284" formatCode="General">
                  <c:v>458</c:v>
                </c:pt>
                <c:pt idx="2285" formatCode="General">
                  <c:v>853</c:v>
                </c:pt>
                <c:pt idx="2286" formatCode="General">
                  <c:v>806</c:v>
                </c:pt>
                <c:pt idx="2287" formatCode="General">
                  <c:v>806</c:v>
                </c:pt>
                <c:pt idx="2288" formatCode="General">
                  <c:v>679</c:v>
                </c:pt>
                <c:pt idx="2289" formatCode="General">
                  <c:v>743</c:v>
                </c:pt>
                <c:pt idx="2290" formatCode="General">
                  <c:v>853</c:v>
                </c:pt>
                <c:pt idx="2291">
                  <c:v>1169</c:v>
                </c:pt>
                <c:pt idx="2292" formatCode="General">
                  <c:v>585</c:v>
                </c:pt>
                <c:pt idx="2293" formatCode="General">
                  <c:v>363</c:v>
                </c:pt>
                <c:pt idx="2294" formatCode="General">
                  <c:v>648</c:v>
                </c:pt>
                <c:pt idx="2295" formatCode="General">
                  <c:v>932</c:v>
                </c:pt>
                <c:pt idx="2296" formatCode="General">
                  <c:v>284</c:v>
                </c:pt>
                <c:pt idx="2297" formatCode="General">
                  <c:v>458</c:v>
                </c:pt>
                <c:pt idx="2298">
                  <c:v>1074</c:v>
                </c:pt>
                <c:pt idx="2299" formatCode="General">
                  <c:v>585</c:v>
                </c:pt>
                <c:pt idx="2300" formatCode="General">
                  <c:v>727</c:v>
                </c:pt>
                <c:pt idx="2301" formatCode="General">
                  <c:v>569</c:v>
                </c:pt>
                <c:pt idx="2302" formatCode="General">
                  <c:v>743</c:v>
                </c:pt>
                <c:pt idx="2303" formatCode="General">
                  <c:v>600</c:v>
                </c:pt>
                <c:pt idx="2304" formatCode="General">
                  <c:v>679</c:v>
                </c:pt>
                <c:pt idx="2305" formatCode="General">
                  <c:v>427</c:v>
                </c:pt>
                <c:pt idx="2306" formatCode="General">
                  <c:v>363</c:v>
                </c:pt>
                <c:pt idx="2307" formatCode="General">
                  <c:v>300</c:v>
                </c:pt>
                <c:pt idx="2308" formatCode="General">
                  <c:v>553</c:v>
                </c:pt>
                <c:pt idx="2309" formatCode="General">
                  <c:v>679</c:v>
                </c:pt>
                <c:pt idx="2310" formatCode="General">
                  <c:v>474</c:v>
                </c:pt>
                <c:pt idx="2311" formatCode="General">
                  <c:v>679</c:v>
                </c:pt>
                <c:pt idx="2312" formatCode="General">
                  <c:v>600</c:v>
                </c:pt>
                <c:pt idx="2313" formatCode="General">
                  <c:v>679</c:v>
                </c:pt>
                <c:pt idx="2314" formatCode="General">
                  <c:v>727</c:v>
                </c:pt>
                <c:pt idx="2315" formatCode="General">
                  <c:v>616</c:v>
                </c:pt>
                <c:pt idx="2316" formatCode="General">
                  <c:v>553</c:v>
                </c:pt>
                <c:pt idx="2317" formatCode="General">
                  <c:v>521</c:v>
                </c:pt>
                <c:pt idx="2318" formatCode="General">
                  <c:v>679</c:v>
                </c:pt>
                <c:pt idx="2319" formatCode="General">
                  <c:v>284</c:v>
                </c:pt>
                <c:pt idx="2320" formatCode="General">
                  <c:v>774</c:v>
                </c:pt>
                <c:pt idx="2321" formatCode="General">
                  <c:v>597</c:v>
                </c:pt>
                <c:pt idx="2322" formatCode="General">
                  <c:v>926</c:v>
                </c:pt>
                <c:pt idx="2323" formatCode="General">
                  <c:v>298</c:v>
                </c:pt>
                <c:pt idx="2324" formatCode="General">
                  <c:v>848</c:v>
                </c:pt>
                <c:pt idx="2325" formatCode="General">
                  <c:v>612</c:v>
                </c:pt>
                <c:pt idx="2326" formatCode="General">
                  <c:v>502</c:v>
                </c:pt>
                <c:pt idx="2327" formatCode="General">
                  <c:v>754</c:v>
                </c:pt>
                <c:pt idx="2328" formatCode="General">
                  <c:v>801</c:v>
                </c:pt>
                <c:pt idx="2329" formatCode="General">
                  <c:v>722</c:v>
                </c:pt>
                <c:pt idx="2330" formatCode="General">
                  <c:v>518</c:v>
                </c:pt>
                <c:pt idx="2331" formatCode="General">
                  <c:v>848</c:v>
                </c:pt>
                <c:pt idx="2332" formatCode="General">
                  <c:v>691</c:v>
                </c:pt>
                <c:pt idx="2333" formatCode="General">
                  <c:v>764</c:v>
                </c:pt>
                <c:pt idx="2334" formatCode="General">
                  <c:v>858</c:v>
                </c:pt>
                <c:pt idx="2335" formatCode="General">
                  <c:v>452</c:v>
                </c:pt>
                <c:pt idx="2336" formatCode="General">
                  <c:v>608</c:v>
                </c:pt>
                <c:pt idx="2337" formatCode="General">
                  <c:v>998</c:v>
                </c:pt>
                <c:pt idx="2338" formatCode="General">
                  <c:v>640</c:v>
                </c:pt>
                <c:pt idx="2339" formatCode="General">
                  <c:v>749</c:v>
                </c:pt>
                <c:pt idx="2340" formatCode="General">
                  <c:v>374</c:v>
                </c:pt>
                <c:pt idx="2341">
                  <c:v>1123</c:v>
                </c:pt>
                <c:pt idx="2342">
                  <c:v>1357</c:v>
                </c:pt>
                <c:pt idx="2343" formatCode="General">
                  <c:v>640</c:v>
                </c:pt>
                <c:pt idx="2344" formatCode="General">
                  <c:v>920</c:v>
                </c:pt>
                <c:pt idx="2345" formatCode="General">
                  <c:v>718</c:v>
                </c:pt>
                <c:pt idx="2346" formatCode="General">
                  <c:v>998</c:v>
                </c:pt>
                <c:pt idx="2347" formatCode="General">
                  <c:v>608</c:v>
                </c:pt>
                <c:pt idx="2348" formatCode="General">
                  <c:v>593</c:v>
                </c:pt>
                <c:pt idx="2349" formatCode="General">
                  <c:v>811</c:v>
                </c:pt>
                <c:pt idx="2350" formatCode="General">
                  <c:v>421</c:v>
                </c:pt>
                <c:pt idx="2351">
                  <c:v>1310</c:v>
                </c:pt>
                <c:pt idx="2352">
                  <c:v>1123</c:v>
                </c:pt>
                <c:pt idx="2353" formatCode="General">
                  <c:v>437</c:v>
                </c:pt>
                <c:pt idx="2354" formatCode="General">
                  <c:v>749</c:v>
                </c:pt>
                <c:pt idx="2355" formatCode="General">
                  <c:v>796</c:v>
                </c:pt>
                <c:pt idx="2356" formatCode="General">
                  <c:v>733</c:v>
                </c:pt>
                <c:pt idx="2357" formatCode="General">
                  <c:v>655</c:v>
                </c:pt>
                <c:pt idx="2358" formatCode="General">
                  <c:v>593</c:v>
                </c:pt>
                <c:pt idx="2359">
                  <c:v>1154</c:v>
                </c:pt>
                <c:pt idx="2360" formatCode="General">
                  <c:v>640</c:v>
                </c:pt>
                <c:pt idx="2361" formatCode="General">
                  <c:v>764</c:v>
                </c:pt>
                <c:pt idx="2362" formatCode="General">
                  <c:v>827</c:v>
                </c:pt>
                <c:pt idx="2363" formatCode="General">
                  <c:v>593</c:v>
                </c:pt>
                <c:pt idx="2364" formatCode="General">
                  <c:v>702</c:v>
                </c:pt>
                <c:pt idx="2365" formatCode="General">
                  <c:v>608</c:v>
                </c:pt>
                <c:pt idx="2366" formatCode="General">
                  <c:v>406</c:v>
                </c:pt>
                <c:pt idx="2367" formatCode="General">
                  <c:v>961</c:v>
                </c:pt>
                <c:pt idx="2368" formatCode="General">
                  <c:v>884</c:v>
                </c:pt>
                <c:pt idx="2369">
                  <c:v>1473</c:v>
                </c:pt>
                <c:pt idx="2370">
                  <c:v>1147</c:v>
                </c:pt>
                <c:pt idx="2371">
                  <c:v>1101</c:v>
                </c:pt>
                <c:pt idx="2372" formatCode="General">
                  <c:v>899</c:v>
                </c:pt>
                <c:pt idx="2373">
                  <c:v>1194</c:v>
                </c:pt>
                <c:pt idx="2374" formatCode="General">
                  <c:v>837</c:v>
                </c:pt>
                <c:pt idx="2375" formatCode="General">
                  <c:v>930</c:v>
                </c:pt>
                <c:pt idx="2376" formatCode="General">
                  <c:v>651</c:v>
                </c:pt>
                <c:pt idx="2377" formatCode="General">
                  <c:v>698</c:v>
                </c:pt>
                <c:pt idx="2378" formatCode="General">
                  <c:v>434</c:v>
                </c:pt>
                <c:pt idx="2379" formatCode="General">
                  <c:v>899</c:v>
                </c:pt>
                <c:pt idx="2380" formatCode="General">
                  <c:v>558</c:v>
                </c:pt>
                <c:pt idx="2381" formatCode="General">
                  <c:v>791</c:v>
                </c:pt>
                <c:pt idx="2382" formatCode="General">
                  <c:v>543</c:v>
                </c:pt>
                <c:pt idx="2383" formatCode="General">
                  <c:v>558</c:v>
                </c:pt>
                <c:pt idx="2384" formatCode="General">
                  <c:v>403</c:v>
                </c:pt>
                <c:pt idx="2385" formatCode="General">
                  <c:v>310</c:v>
                </c:pt>
                <c:pt idx="2386" formatCode="General">
                  <c:v>620</c:v>
                </c:pt>
                <c:pt idx="2387" formatCode="General">
                  <c:v>682</c:v>
                </c:pt>
                <c:pt idx="2388" formatCode="General">
                  <c:v>605</c:v>
                </c:pt>
                <c:pt idx="2389" formatCode="General">
                  <c:v>620</c:v>
                </c:pt>
                <c:pt idx="2390" formatCode="General">
                  <c:v>372</c:v>
                </c:pt>
                <c:pt idx="2391" formatCode="General">
                  <c:v>713</c:v>
                </c:pt>
                <c:pt idx="2392" formatCode="General">
                  <c:v>434</c:v>
                </c:pt>
                <c:pt idx="2393" formatCode="General">
                  <c:v>403</c:v>
                </c:pt>
                <c:pt idx="2394" formatCode="General">
                  <c:v>434</c:v>
                </c:pt>
                <c:pt idx="2395" formatCode="General">
                  <c:v>554</c:v>
                </c:pt>
                <c:pt idx="2396" formatCode="General">
                  <c:v>924</c:v>
                </c:pt>
                <c:pt idx="2397" formatCode="General">
                  <c:v>631</c:v>
                </c:pt>
                <c:pt idx="2398" formatCode="General">
                  <c:v>631</c:v>
                </c:pt>
                <c:pt idx="2399" formatCode="General">
                  <c:v>524</c:v>
                </c:pt>
                <c:pt idx="2400">
                  <c:v>1478</c:v>
                </c:pt>
                <c:pt idx="2401" formatCode="General">
                  <c:v>770</c:v>
                </c:pt>
                <c:pt idx="2402" formatCode="General">
                  <c:v>955</c:v>
                </c:pt>
                <c:pt idx="2403" formatCode="General">
                  <c:v>986</c:v>
                </c:pt>
                <c:pt idx="2404" formatCode="General">
                  <c:v>524</c:v>
                </c:pt>
                <c:pt idx="2405" formatCode="General">
                  <c:v>785</c:v>
                </c:pt>
                <c:pt idx="2406" formatCode="General">
                  <c:v>832</c:v>
                </c:pt>
                <c:pt idx="2407" formatCode="General">
                  <c:v>909</c:v>
                </c:pt>
                <c:pt idx="2408" formatCode="General">
                  <c:v>293</c:v>
                </c:pt>
                <c:pt idx="2409" formatCode="General">
                  <c:v>724</c:v>
                </c:pt>
                <c:pt idx="2410" formatCode="General">
                  <c:v>524</c:v>
                </c:pt>
                <c:pt idx="2411" formatCode="General">
                  <c:v>847</c:v>
                </c:pt>
                <c:pt idx="2412" formatCode="General">
                  <c:v>739</c:v>
                </c:pt>
                <c:pt idx="2413" formatCode="General">
                  <c:v>909</c:v>
                </c:pt>
                <c:pt idx="2414" formatCode="General">
                  <c:v>811</c:v>
                </c:pt>
                <c:pt idx="2415" formatCode="General">
                  <c:v>306</c:v>
                </c:pt>
                <c:pt idx="2416" formatCode="General">
                  <c:v>413</c:v>
                </c:pt>
                <c:pt idx="2417" formatCode="General">
                  <c:v>581</c:v>
                </c:pt>
                <c:pt idx="2418">
                  <c:v>1086</c:v>
                </c:pt>
                <c:pt idx="2419" formatCode="General">
                  <c:v>658</c:v>
                </c:pt>
                <c:pt idx="2420" formatCode="General">
                  <c:v>413</c:v>
                </c:pt>
                <c:pt idx="2421" formatCode="General">
                  <c:v>306</c:v>
                </c:pt>
                <c:pt idx="2422" formatCode="General">
                  <c:v>337</c:v>
                </c:pt>
                <c:pt idx="2423">
                  <c:v>1071</c:v>
                </c:pt>
                <c:pt idx="2424" formatCode="General">
                  <c:v>566</c:v>
                </c:pt>
                <c:pt idx="2425" formatCode="General">
                  <c:v>765</c:v>
                </c:pt>
                <c:pt idx="2426" formatCode="General">
                  <c:v>230</c:v>
                </c:pt>
                <c:pt idx="2427" formatCode="General">
                  <c:v>658</c:v>
                </c:pt>
                <c:pt idx="2428" formatCode="General">
                  <c:v>704</c:v>
                </c:pt>
                <c:pt idx="2429" formatCode="General">
                  <c:v>551</c:v>
                </c:pt>
                <c:pt idx="2430" formatCode="General">
                  <c:v>897</c:v>
                </c:pt>
                <c:pt idx="2431" formatCode="General">
                  <c:v>623</c:v>
                </c:pt>
                <c:pt idx="2432" formatCode="General">
                  <c:v>654</c:v>
                </c:pt>
                <c:pt idx="2433" formatCode="General">
                  <c:v>517</c:v>
                </c:pt>
                <c:pt idx="2434" formatCode="General">
                  <c:v>380</c:v>
                </c:pt>
                <c:pt idx="2435" formatCode="General">
                  <c:v>912</c:v>
                </c:pt>
                <c:pt idx="2436" formatCode="General">
                  <c:v>821</c:v>
                </c:pt>
                <c:pt idx="2437" formatCode="General">
                  <c:v>517</c:v>
                </c:pt>
                <c:pt idx="2438" formatCode="General">
                  <c:v>623</c:v>
                </c:pt>
                <c:pt idx="2439" formatCode="General">
                  <c:v>851</c:v>
                </c:pt>
                <c:pt idx="2440" formatCode="General">
                  <c:v>562</c:v>
                </c:pt>
                <c:pt idx="2441" formatCode="General">
                  <c:v>866</c:v>
                </c:pt>
                <c:pt idx="2442" formatCode="General">
                  <c:v>486</c:v>
                </c:pt>
                <c:pt idx="2443" formatCode="General">
                  <c:v>806</c:v>
                </c:pt>
                <c:pt idx="2444" formatCode="General">
                  <c:v>760</c:v>
                </c:pt>
                <c:pt idx="2445" formatCode="General">
                  <c:v>365</c:v>
                </c:pt>
                <c:pt idx="2446" formatCode="General">
                  <c:v>517</c:v>
                </c:pt>
                <c:pt idx="2447" formatCode="General">
                  <c:v>714</c:v>
                </c:pt>
                <c:pt idx="2448" formatCode="General">
                  <c:v>669</c:v>
                </c:pt>
                <c:pt idx="2449" formatCode="General">
                  <c:v>638</c:v>
                </c:pt>
                <c:pt idx="2450" formatCode="General">
                  <c:v>760</c:v>
                </c:pt>
                <c:pt idx="2451" formatCode="General">
                  <c:v>365</c:v>
                </c:pt>
                <c:pt idx="2452" formatCode="General">
                  <c:v>167</c:v>
                </c:pt>
                <c:pt idx="2453" formatCode="General">
                  <c:v>486</c:v>
                </c:pt>
                <c:pt idx="2454" formatCode="General">
                  <c:v>714</c:v>
                </c:pt>
                <c:pt idx="2455" formatCode="General">
                  <c:v>410</c:v>
                </c:pt>
                <c:pt idx="2456" formatCode="General">
                  <c:v>699</c:v>
                </c:pt>
                <c:pt idx="2457" formatCode="General">
                  <c:v>608</c:v>
                </c:pt>
                <c:pt idx="2458" formatCode="General">
                  <c:v>347</c:v>
                </c:pt>
                <c:pt idx="2459">
                  <c:v>7500</c:v>
                </c:pt>
                <c:pt idx="2460">
                  <c:v>7500</c:v>
                </c:pt>
                <c:pt idx="2461">
                  <c:v>9000</c:v>
                </c:pt>
                <c:pt idx="2462">
                  <c:v>7500</c:v>
                </c:pt>
                <c:pt idx="2463">
                  <c:v>7500</c:v>
                </c:pt>
                <c:pt idx="2464">
                  <c:v>6000</c:v>
                </c:pt>
                <c:pt idx="2465">
                  <c:v>8250</c:v>
                </c:pt>
                <c:pt idx="2466">
                  <c:v>8250</c:v>
                </c:pt>
                <c:pt idx="2467">
                  <c:v>9000</c:v>
                </c:pt>
                <c:pt idx="2468">
                  <c:v>6750</c:v>
                </c:pt>
                <c:pt idx="2469">
                  <c:v>5250</c:v>
                </c:pt>
                <c:pt idx="2470">
                  <c:v>6750</c:v>
                </c:pt>
                <c:pt idx="2471">
                  <c:v>6750</c:v>
                </c:pt>
                <c:pt idx="2472">
                  <c:v>5250</c:v>
                </c:pt>
                <c:pt idx="2473">
                  <c:v>7500</c:v>
                </c:pt>
                <c:pt idx="2474">
                  <c:v>6750</c:v>
                </c:pt>
                <c:pt idx="2475">
                  <c:v>3750</c:v>
                </c:pt>
                <c:pt idx="2476">
                  <c:v>6000</c:v>
                </c:pt>
                <c:pt idx="2477">
                  <c:v>4500</c:v>
                </c:pt>
                <c:pt idx="2478">
                  <c:v>6000</c:v>
                </c:pt>
                <c:pt idx="2479">
                  <c:v>5250</c:v>
                </c:pt>
                <c:pt idx="2480">
                  <c:v>8250</c:v>
                </c:pt>
                <c:pt idx="2481">
                  <c:v>5250</c:v>
                </c:pt>
                <c:pt idx="2482">
                  <c:v>4500</c:v>
                </c:pt>
                <c:pt idx="2483">
                  <c:v>6750</c:v>
                </c:pt>
                <c:pt idx="2484">
                  <c:v>5250</c:v>
                </c:pt>
                <c:pt idx="2485">
                  <c:v>4500</c:v>
                </c:pt>
                <c:pt idx="2486">
                  <c:v>6750</c:v>
                </c:pt>
                <c:pt idx="2487">
                  <c:v>4500</c:v>
                </c:pt>
                <c:pt idx="2488">
                  <c:v>6000</c:v>
                </c:pt>
                <c:pt idx="2489">
                  <c:v>7500</c:v>
                </c:pt>
                <c:pt idx="2490">
                  <c:v>7500</c:v>
                </c:pt>
                <c:pt idx="2491">
                  <c:v>6000</c:v>
                </c:pt>
                <c:pt idx="2492">
                  <c:v>7500</c:v>
                </c:pt>
                <c:pt idx="2493">
                  <c:v>6000</c:v>
                </c:pt>
                <c:pt idx="2494">
                  <c:v>4500</c:v>
                </c:pt>
                <c:pt idx="2495">
                  <c:v>8250</c:v>
                </c:pt>
                <c:pt idx="2496">
                  <c:v>8250</c:v>
                </c:pt>
                <c:pt idx="2497">
                  <c:v>6750</c:v>
                </c:pt>
                <c:pt idx="2498">
                  <c:v>7500</c:v>
                </c:pt>
                <c:pt idx="2499">
                  <c:v>9000</c:v>
                </c:pt>
                <c:pt idx="2500">
                  <c:v>7500</c:v>
                </c:pt>
                <c:pt idx="2501">
                  <c:v>8250</c:v>
                </c:pt>
                <c:pt idx="2502">
                  <c:v>6750</c:v>
                </c:pt>
                <c:pt idx="2503">
                  <c:v>6750</c:v>
                </c:pt>
                <c:pt idx="2504">
                  <c:v>9000</c:v>
                </c:pt>
                <c:pt idx="2505">
                  <c:v>6750</c:v>
                </c:pt>
                <c:pt idx="2506">
                  <c:v>8250</c:v>
                </c:pt>
                <c:pt idx="2507">
                  <c:v>8250</c:v>
                </c:pt>
                <c:pt idx="2508">
                  <c:v>5250</c:v>
                </c:pt>
                <c:pt idx="2509">
                  <c:v>8250</c:v>
                </c:pt>
                <c:pt idx="2510">
                  <c:v>7500</c:v>
                </c:pt>
                <c:pt idx="2511">
                  <c:v>6750</c:v>
                </c:pt>
                <c:pt idx="2512">
                  <c:v>8250</c:v>
                </c:pt>
                <c:pt idx="2513">
                  <c:v>3000</c:v>
                </c:pt>
                <c:pt idx="2514">
                  <c:v>3000</c:v>
                </c:pt>
                <c:pt idx="2515">
                  <c:v>5250</c:v>
                </c:pt>
                <c:pt idx="2516">
                  <c:v>6000</c:v>
                </c:pt>
                <c:pt idx="2517">
                  <c:v>6000</c:v>
                </c:pt>
                <c:pt idx="2518">
                  <c:v>4500</c:v>
                </c:pt>
                <c:pt idx="2519">
                  <c:v>5250</c:v>
                </c:pt>
                <c:pt idx="2520">
                  <c:v>6750</c:v>
                </c:pt>
                <c:pt idx="2521">
                  <c:v>6750</c:v>
                </c:pt>
                <c:pt idx="2522">
                  <c:v>9000</c:v>
                </c:pt>
                <c:pt idx="2523">
                  <c:v>4500</c:v>
                </c:pt>
                <c:pt idx="2524">
                  <c:v>3000</c:v>
                </c:pt>
                <c:pt idx="2525">
                  <c:v>4500</c:v>
                </c:pt>
                <c:pt idx="2526">
                  <c:v>6000</c:v>
                </c:pt>
                <c:pt idx="2527">
                  <c:v>6000</c:v>
                </c:pt>
                <c:pt idx="2528">
                  <c:v>9000</c:v>
                </c:pt>
                <c:pt idx="2529">
                  <c:v>6000</c:v>
                </c:pt>
                <c:pt idx="2530">
                  <c:v>4500</c:v>
                </c:pt>
                <c:pt idx="2531">
                  <c:v>6000</c:v>
                </c:pt>
                <c:pt idx="2532">
                  <c:v>4500</c:v>
                </c:pt>
                <c:pt idx="2533">
                  <c:v>6750</c:v>
                </c:pt>
                <c:pt idx="2534">
                  <c:v>3750</c:v>
                </c:pt>
                <c:pt idx="2535">
                  <c:v>5250</c:v>
                </c:pt>
                <c:pt idx="2536">
                  <c:v>5250</c:v>
                </c:pt>
                <c:pt idx="2537">
                  <c:v>6000</c:v>
                </c:pt>
                <c:pt idx="2538">
                  <c:v>4500</c:v>
                </c:pt>
                <c:pt idx="2539">
                  <c:v>6000</c:v>
                </c:pt>
                <c:pt idx="2540">
                  <c:v>3000</c:v>
                </c:pt>
                <c:pt idx="2541">
                  <c:v>1500</c:v>
                </c:pt>
                <c:pt idx="2542">
                  <c:v>5250</c:v>
                </c:pt>
                <c:pt idx="2543">
                  <c:v>3750</c:v>
                </c:pt>
                <c:pt idx="2544">
                  <c:v>4500</c:v>
                </c:pt>
                <c:pt idx="2545">
                  <c:v>3750</c:v>
                </c:pt>
                <c:pt idx="2546">
                  <c:v>5250</c:v>
                </c:pt>
                <c:pt idx="2547">
                  <c:v>5250</c:v>
                </c:pt>
                <c:pt idx="2548">
                  <c:v>5250</c:v>
                </c:pt>
                <c:pt idx="2549">
                  <c:v>6750</c:v>
                </c:pt>
                <c:pt idx="2550">
                  <c:v>4500</c:v>
                </c:pt>
                <c:pt idx="2551">
                  <c:v>5250</c:v>
                </c:pt>
                <c:pt idx="2552">
                  <c:v>6000</c:v>
                </c:pt>
                <c:pt idx="2553">
                  <c:v>6000</c:v>
                </c:pt>
                <c:pt idx="2554">
                  <c:v>7500</c:v>
                </c:pt>
                <c:pt idx="2555">
                  <c:v>6000</c:v>
                </c:pt>
                <c:pt idx="2556">
                  <c:v>6000</c:v>
                </c:pt>
                <c:pt idx="2557">
                  <c:v>7500</c:v>
                </c:pt>
                <c:pt idx="2558">
                  <c:v>5250</c:v>
                </c:pt>
                <c:pt idx="2559">
                  <c:v>5250</c:v>
                </c:pt>
                <c:pt idx="2560">
                  <c:v>7500</c:v>
                </c:pt>
                <c:pt idx="2561">
                  <c:v>6000</c:v>
                </c:pt>
                <c:pt idx="2562">
                  <c:v>7500</c:v>
                </c:pt>
                <c:pt idx="2563">
                  <c:v>7500</c:v>
                </c:pt>
                <c:pt idx="2564">
                  <c:v>5250</c:v>
                </c:pt>
                <c:pt idx="2565">
                  <c:v>7500</c:v>
                </c:pt>
                <c:pt idx="2566">
                  <c:v>8250</c:v>
                </c:pt>
                <c:pt idx="2567">
                  <c:v>5250</c:v>
                </c:pt>
                <c:pt idx="2568">
                  <c:v>6000</c:v>
                </c:pt>
                <c:pt idx="2569">
                  <c:v>6000</c:v>
                </c:pt>
                <c:pt idx="2570">
                  <c:v>7500</c:v>
                </c:pt>
                <c:pt idx="2571">
                  <c:v>6000</c:v>
                </c:pt>
                <c:pt idx="2572">
                  <c:v>7500</c:v>
                </c:pt>
                <c:pt idx="2573">
                  <c:v>6000</c:v>
                </c:pt>
                <c:pt idx="2574">
                  <c:v>4500</c:v>
                </c:pt>
                <c:pt idx="2575">
                  <c:v>8250</c:v>
                </c:pt>
                <c:pt idx="2576">
                  <c:v>6750</c:v>
                </c:pt>
                <c:pt idx="2577">
                  <c:v>6000</c:v>
                </c:pt>
                <c:pt idx="2578">
                  <c:v>6000</c:v>
                </c:pt>
                <c:pt idx="2579">
                  <c:v>8250</c:v>
                </c:pt>
                <c:pt idx="2580">
                  <c:v>6750</c:v>
                </c:pt>
                <c:pt idx="2581">
                  <c:v>7500</c:v>
                </c:pt>
                <c:pt idx="2582" formatCode="General">
                  <c:v>630</c:v>
                </c:pt>
                <c:pt idx="2583" formatCode="General">
                  <c:v>705</c:v>
                </c:pt>
                <c:pt idx="2584" formatCode="General">
                  <c:v>855</c:v>
                </c:pt>
                <c:pt idx="2585" formatCode="General">
                  <c:v>645</c:v>
                </c:pt>
                <c:pt idx="2586" formatCode="General">
                  <c:v>960</c:v>
                </c:pt>
                <c:pt idx="2587">
                  <c:v>1110</c:v>
                </c:pt>
                <c:pt idx="2588" formatCode="General">
                  <c:v>960</c:v>
                </c:pt>
                <c:pt idx="2589" formatCode="General">
                  <c:v>780</c:v>
                </c:pt>
                <c:pt idx="2590" formatCode="General">
                  <c:v>825</c:v>
                </c:pt>
                <c:pt idx="2591">
                  <c:v>1290</c:v>
                </c:pt>
                <c:pt idx="2592" formatCode="General">
                  <c:v>585</c:v>
                </c:pt>
                <c:pt idx="2593" formatCode="General">
                  <c:v>825</c:v>
                </c:pt>
                <c:pt idx="2594" formatCode="General">
                  <c:v>480</c:v>
                </c:pt>
                <c:pt idx="2595" formatCode="General">
                  <c:v>555</c:v>
                </c:pt>
                <c:pt idx="2596">
                  <c:v>1185</c:v>
                </c:pt>
                <c:pt idx="2597" formatCode="General">
                  <c:v>960</c:v>
                </c:pt>
                <c:pt idx="2598" formatCode="General">
                  <c:v>720</c:v>
                </c:pt>
                <c:pt idx="2599" formatCode="General">
                  <c:v>930</c:v>
                </c:pt>
                <c:pt idx="2600" formatCode="General">
                  <c:v>795</c:v>
                </c:pt>
                <c:pt idx="2601" formatCode="General">
                  <c:v>615</c:v>
                </c:pt>
                <c:pt idx="2602" formatCode="General">
                  <c:v>885</c:v>
                </c:pt>
                <c:pt idx="2603" formatCode="General">
                  <c:v>585</c:v>
                </c:pt>
                <c:pt idx="2604" formatCode="General">
                  <c:v>660</c:v>
                </c:pt>
                <c:pt idx="2605" formatCode="General">
                  <c:v>825</c:v>
                </c:pt>
                <c:pt idx="2606">
                  <c:v>1230</c:v>
                </c:pt>
                <c:pt idx="2607" formatCode="General">
                  <c:v>345</c:v>
                </c:pt>
                <c:pt idx="2608" formatCode="General">
                  <c:v>705</c:v>
                </c:pt>
                <c:pt idx="2609" formatCode="General">
                  <c:v>825</c:v>
                </c:pt>
                <c:pt idx="2610" formatCode="General">
                  <c:v>510</c:v>
                </c:pt>
                <c:pt idx="2611" formatCode="General">
                  <c:v>570</c:v>
                </c:pt>
                <c:pt idx="2612" formatCode="General">
                  <c:v>570</c:v>
                </c:pt>
                <c:pt idx="2613">
                  <c:v>1455</c:v>
                </c:pt>
                <c:pt idx="2614" formatCode="General">
                  <c:v>870</c:v>
                </c:pt>
                <c:pt idx="2615" formatCode="General">
                  <c:v>765</c:v>
                </c:pt>
                <c:pt idx="2616" formatCode="General">
                  <c:v>885</c:v>
                </c:pt>
                <c:pt idx="2617">
                  <c:v>1005</c:v>
                </c:pt>
                <c:pt idx="2618" formatCode="General">
                  <c:v>810</c:v>
                </c:pt>
                <c:pt idx="2619" formatCode="General">
                  <c:v>435</c:v>
                </c:pt>
                <c:pt idx="2620" formatCode="General">
                  <c:v>570</c:v>
                </c:pt>
                <c:pt idx="2621" formatCode="General">
                  <c:v>690</c:v>
                </c:pt>
                <c:pt idx="2622" formatCode="General">
                  <c:v>420</c:v>
                </c:pt>
                <c:pt idx="2623" formatCode="General">
                  <c:v>510</c:v>
                </c:pt>
                <c:pt idx="2624" formatCode="General">
                  <c:v>495</c:v>
                </c:pt>
                <c:pt idx="2625" formatCode="General">
                  <c:v>930</c:v>
                </c:pt>
                <c:pt idx="2626" formatCode="General">
                  <c:v>795</c:v>
                </c:pt>
                <c:pt idx="2627" formatCode="General">
                  <c:v>885</c:v>
                </c:pt>
                <c:pt idx="2628" formatCode="General">
                  <c:v>945</c:v>
                </c:pt>
                <c:pt idx="2629" formatCode="General">
                  <c:v>405</c:v>
                </c:pt>
                <c:pt idx="2630">
                  <c:v>1050</c:v>
                </c:pt>
                <c:pt idx="2631" formatCode="General">
                  <c:v>735</c:v>
                </c:pt>
                <c:pt idx="2632" formatCode="General">
                  <c:v>360</c:v>
                </c:pt>
                <c:pt idx="2633" formatCode="General">
                  <c:v>990</c:v>
                </c:pt>
                <c:pt idx="2634" formatCode="General">
                  <c:v>825</c:v>
                </c:pt>
                <c:pt idx="2635" formatCode="General">
                  <c:v>870</c:v>
                </c:pt>
                <c:pt idx="2636" formatCode="General">
                  <c:v>645</c:v>
                </c:pt>
                <c:pt idx="2637" formatCode="General">
                  <c:v>540</c:v>
                </c:pt>
                <c:pt idx="2638" formatCode="General">
                  <c:v>885</c:v>
                </c:pt>
                <c:pt idx="2639" formatCode="General">
                  <c:v>780</c:v>
                </c:pt>
                <c:pt idx="2640" formatCode="General">
                  <c:v>960</c:v>
                </c:pt>
                <c:pt idx="2641" formatCode="General">
                  <c:v>600</c:v>
                </c:pt>
                <c:pt idx="2642" formatCode="General">
                  <c:v>660</c:v>
                </c:pt>
                <c:pt idx="2643" formatCode="General">
                  <c:v>705</c:v>
                </c:pt>
                <c:pt idx="2644" formatCode="General">
                  <c:v>450</c:v>
                </c:pt>
                <c:pt idx="2645" formatCode="General">
                  <c:v>675</c:v>
                </c:pt>
                <c:pt idx="2646" formatCode="General">
                  <c:v>465</c:v>
                </c:pt>
                <c:pt idx="2647" formatCode="General">
                  <c:v>660</c:v>
                </c:pt>
                <c:pt idx="2648" formatCode="General">
                  <c:v>345</c:v>
                </c:pt>
                <c:pt idx="2649" formatCode="General">
                  <c:v>630</c:v>
                </c:pt>
                <c:pt idx="2650" formatCode="General">
                  <c:v>525</c:v>
                </c:pt>
                <c:pt idx="2651" formatCode="General">
                  <c:v>435</c:v>
                </c:pt>
                <c:pt idx="2652" formatCode="General">
                  <c:v>690</c:v>
                </c:pt>
                <c:pt idx="2653" formatCode="General">
                  <c:v>585</c:v>
                </c:pt>
                <c:pt idx="2654" formatCode="General">
                  <c:v>730</c:v>
                </c:pt>
                <c:pt idx="2655" formatCode="General">
                  <c:v>864</c:v>
                </c:pt>
                <c:pt idx="2656" formatCode="General">
                  <c:v>864</c:v>
                </c:pt>
                <c:pt idx="2657" formatCode="General">
                  <c:v>805</c:v>
                </c:pt>
                <c:pt idx="2658" formatCode="General">
                  <c:v>298</c:v>
                </c:pt>
                <c:pt idx="2659">
                  <c:v>1192</c:v>
                </c:pt>
                <c:pt idx="2660" formatCode="General">
                  <c:v>924</c:v>
                </c:pt>
                <c:pt idx="2661">
                  <c:v>1028</c:v>
                </c:pt>
                <c:pt idx="2662" formatCode="General">
                  <c:v>775</c:v>
                </c:pt>
                <c:pt idx="2663" formatCode="General">
                  <c:v>402</c:v>
                </c:pt>
                <c:pt idx="2664" formatCode="General">
                  <c:v>536</c:v>
                </c:pt>
                <c:pt idx="2665" formatCode="General">
                  <c:v>566</c:v>
                </c:pt>
                <c:pt idx="2666">
                  <c:v>1222</c:v>
                </c:pt>
                <c:pt idx="2667">
                  <c:v>1103</c:v>
                </c:pt>
                <c:pt idx="2668" formatCode="General">
                  <c:v>343</c:v>
                </c:pt>
                <c:pt idx="2669" formatCode="General">
                  <c:v>432</c:v>
                </c:pt>
                <c:pt idx="2670">
                  <c:v>1132</c:v>
                </c:pt>
                <c:pt idx="2671" formatCode="General">
                  <c:v>805</c:v>
                </c:pt>
                <c:pt idx="2672" formatCode="General">
                  <c:v>745</c:v>
                </c:pt>
                <c:pt idx="2673" formatCode="General">
                  <c:v>626</c:v>
                </c:pt>
                <c:pt idx="2674" formatCode="General">
                  <c:v>343</c:v>
                </c:pt>
                <c:pt idx="2675" formatCode="General">
                  <c:v>671</c:v>
                </c:pt>
                <c:pt idx="2676" formatCode="General">
                  <c:v>760</c:v>
                </c:pt>
                <c:pt idx="2677" formatCode="General">
                  <c:v>492</c:v>
                </c:pt>
                <c:pt idx="2678" formatCode="General">
                  <c:v>820</c:v>
                </c:pt>
                <c:pt idx="2679" formatCode="General">
                  <c:v>581</c:v>
                </c:pt>
                <c:pt idx="2680" formatCode="General">
                  <c:v>566</c:v>
                </c:pt>
                <c:pt idx="2681" formatCode="General">
                  <c:v>298</c:v>
                </c:pt>
                <c:pt idx="2682" formatCode="General">
                  <c:v>551</c:v>
                </c:pt>
                <c:pt idx="2683" formatCode="General">
                  <c:v>298</c:v>
                </c:pt>
                <c:pt idx="2684" formatCode="General">
                  <c:v>551</c:v>
                </c:pt>
                <c:pt idx="2685" formatCode="General">
                  <c:v>700</c:v>
                </c:pt>
                <c:pt idx="2686" formatCode="General">
                  <c:v>522</c:v>
                </c:pt>
                <c:pt idx="2687" formatCode="General">
                  <c:v>268</c:v>
                </c:pt>
                <c:pt idx="2688" formatCode="General">
                  <c:v>507</c:v>
                </c:pt>
                <c:pt idx="2689" formatCode="General">
                  <c:v>581</c:v>
                </c:pt>
                <c:pt idx="2690" formatCode="General">
                  <c:v>611</c:v>
                </c:pt>
                <c:pt idx="2691" formatCode="General">
                  <c:v>581</c:v>
                </c:pt>
                <c:pt idx="2692" formatCode="General">
                  <c:v>685</c:v>
                </c:pt>
                <c:pt idx="2693" formatCode="General">
                  <c:v>358</c:v>
                </c:pt>
                <c:pt idx="2694" formatCode="General">
                  <c:v>626</c:v>
                </c:pt>
                <c:pt idx="2695" formatCode="General">
                  <c:v>507</c:v>
                </c:pt>
                <c:pt idx="2696" formatCode="General">
                  <c:v>373</c:v>
                </c:pt>
                <c:pt idx="2697" formatCode="General">
                  <c:v>596</c:v>
                </c:pt>
                <c:pt idx="2698" formatCode="General">
                  <c:v>641</c:v>
                </c:pt>
                <c:pt idx="2699" formatCode="General">
                  <c:v>700</c:v>
                </c:pt>
                <c:pt idx="2700" formatCode="General">
                  <c:v>760</c:v>
                </c:pt>
                <c:pt idx="2701" formatCode="General">
                  <c:v>343</c:v>
                </c:pt>
                <c:pt idx="2702" formatCode="General">
                  <c:v>417</c:v>
                </c:pt>
                <c:pt idx="2703" formatCode="General">
                  <c:v>641</c:v>
                </c:pt>
                <c:pt idx="2704" formatCode="General">
                  <c:v>700</c:v>
                </c:pt>
                <c:pt idx="2705" formatCode="General">
                  <c:v>879</c:v>
                </c:pt>
                <c:pt idx="2706" formatCode="General">
                  <c:v>617</c:v>
                </c:pt>
                <c:pt idx="2707" formatCode="General">
                  <c:v>485</c:v>
                </c:pt>
                <c:pt idx="2708" formatCode="General">
                  <c:v>691</c:v>
                </c:pt>
                <c:pt idx="2709" formatCode="General">
                  <c:v>617</c:v>
                </c:pt>
                <c:pt idx="2710" formatCode="General">
                  <c:v>529</c:v>
                </c:pt>
                <c:pt idx="2711" formatCode="General">
                  <c:v>735</c:v>
                </c:pt>
                <c:pt idx="2712">
                  <c:v>1014</c:v>
                </c:pt>
                <c:pt idx="2713" formatCode="General">
                  <c:v>779</c:v>
                </c:pt>
                <c:pt idx="2714">
                  <c:v>1264</c:v>
                </c:pt>
                <c:pt idx="2715" formatCode="General">
                  <c:v>632</c:v>
                </c:pt>
                <c:pt idx="2716" formatCode="General">
                  <c:v>662</c:v>
                </c:pt>
                <c:pt idx="2717" formatCode="General">
                  <c:v>559</c:v>
                </c:pt>
                <c:pt idx="2718" formatCode="General">
                  <c:v>647</c:v>
                </c:pt>
                <c:pt idx="2719" formatCode="General">
                  <c:v>691</c:v>
                </c:pt>
                <c:pt idx="2720" formatCode="General">
                  <c:v>676</c:v>
                </c:pt>
                <c:pt idx="2721" formatCode="General">
                  <c:v>485</c:v>
                </c:pt>
                <c:pt idx="2722" formatCode="General">
                  <c:v>794</c:v>
                </c:pt>
                <c:pt idx="2723" formatCode="General">
                  <c:v>559</c:v>
                </c:pt>
                <c:pt idx="2724" formatCode="General">
                  <c:v>926</c:v>
                </c:pt>
                <c:pt idx="2725" formatCode="General">
                  <c:v>706</c:v>
                </c:pt>
                <c:pt idx="2726" formatCode="General">
                  <c:v>617</c:v>
                </c:pt>
                <c:pt idx="2727" formatCode="General">
                  <c:v>691</c:v>
                </c:pt>
                <c:pt idx="2728" formatCode="General">
                  <c:v>676</c:v>
                </c:pt>
                <c:pt idx="2729" formatCode="General">
                  <c:v>794</c:v>
                </c:pt>
                <c:pt idx="2730" formatCode="General">
                  <c:v>500</c:v>
                </c:pt>
                <c:pt idx="2731" formatCode="General">
                  <c:v>529</c:v>
                </c:pt>
                <c:pt idx="2732" formatCode="General">
                  <c:v>382</c:v>
                </c:pt>
                <c:pt idx="2733" formatCode="General">
                  <c:v>941</c:v>
                </c:pt>
                <c:pt idx="2734" formatCode="General">
                  <c:v>853</c:v>
                </c:pt>
                <c:pt idx="2735" formatCode="General">
                  <c:v>559</c:v>
                </c:pt>
                <c:pt idx="2736" formatCode="General">
                  <c:v>779</c:v>
                </c:pt>
                <c:pt idx="2737" formatCode="General">
                  <c:v>338</c:v>
                </c:pt>
                <c:pt idx="2738" formatCode="General">
                  <c:v>632</c:v>
                </c:pt>
                <c:pt idx="2739" formatCode="General">
                  <c:v>603</c:v>
                </c:pt>
                <c:pt idx="2740" formatCode="General">
                  <c:v>441</c:v>
                </c:pt>
                <c:pt idx="2741" formatCode="General">
                  <c:v>573</c:v>
                </c:pt>
                <c:pt idx="2742" formatCode="General">
                  <c:v>529</c:v>
                </c:pt>
                <c:pt idx="2743" formatCode="General">
                  <c:v>323</c:v>
                </c:pt>
                <c:pt idx="2744" formatCode="General">
                  <c:v>470</c:v>
                </c:pt>
                <c:pt idx="2745" formatCode="General">
                  <c:v>613</c:v>
                </c:pt>
                <c:pt idx="2746" formatCode="General">
                  <c:v>832</c:v>
                </c:pt>
                <c:pt idx="2747">
                  <c:v>5800</c:v>
                </c:pt>
                <c:pt idx="2748" formatCode="General">
                  <c:v>899</c:v>
                </c:pt>
                <c:pt idx="2749" formatCode="General">
                  <c:v>711</c:v>
                </c:pt>
                <c:pt idx="2750" formatCode="General">
                  <c:v>406</c:v>
                </c:pt>
                <c:pt idx="2751" formatCode="General">
                  <c:v>653</c:v>
                </c:pt>
                <c:pt idx="2752" formatCode="General">
                  <c:v>856</c:v>
                </c:pt>
                <c:pt idx="2753" formatCode="General">
                  <c:v>870</c:v>
                </c:pt>
                <c:pt idx="2754">
                  <c:v>1131</c:v>
                </c:pt>
                <c:pt idx="2755" formatCode="General">
                  <c:v>624</c:v>
                </c:pt>
                <c:pt idx="2756" formatCode="General">
                  <c:v>595</c:v>
                </c:pt>
                <c:pt idx="2757" formatCode="General">
                  <c:v>711</c:v>
                </c:pt>
                <c:pt idx="2758" formatCode="General">
                  <c:v>841</c:v>
                </c:pt>
                <c:pt idx="2759">
                  <c:v>1059</c:v>
                </c:pt>
                <c:pt idx="2760" formatCode="General">
                  <c:v>537</c:v>
                </c:pt>
                <c:pt idx="2761" formatCode="General">
                  <c:v>711</c:v>
                </c:pt>
                <c:pt idx="2762" formatCode="General">
                  <c:v>537</c:v>
                </c:pt>
                <c:pt idx="2763" formatCode="General">
                  <c:v>682</c:v>
                </c:pt>
                <c:pt idx="2764" formatCode="General">
                  <c:v>406</c:v>
                </c:pt>
                <c:pt idx="2765" formatCode="General">
                  <c:v>566</c:v>
                </c:pt>
                <c:pt idx="2766" formatCode="General">
                  <c:v>783</c:v>
                </c:pt>
                <c:pt idx="2767" formatCode="General">
                  <c:v>493</c:v>
                </c:pt>
                <c:pt idx="2768" formatCode="General">
                  <c:v>609</c:v>
                </c:pt>
                <c:pt idx="2769" formatCode="General">
                  <c:v>406</c:v>
                </c:pt>
                <c:pt idx="2770" formatCode="General">
                  <c:v>696</c:v>
                </c:pt>
                <c:pt idx="2771" formatCode="General">
                  <c:v>624</c:v>
                </c:pt>
                <c:pt idx="2772" formatCode="General">
                  <c:v>537</c:v>
                </c:pt>
                <c:pt idx="2773" formatCode="General">
                  <c:v>682</c:v>
                </c:pt>
                <c:pt idx="2774" formatCode="General">
                  <c:v>827</c:v>
                </c:pt>
                <c:pt idx="2775" formatCode="General">
                  <c:v>798</c:v>
                </c:pt>
                <c:pt idx="2776" formatCode="General">
                  <c:v>421</c:v>
                </c:pt>
                <c:pt idx="2777" formatCode="General">
                  <c:v>363</c:v>
                </c:pt>
                <c:pt idx="2778" formatCode="General">
                  <c:v>421</c:v>
                </c:pt>
                <c:pt idx="2779" formatCode="General">
                  <c:v>406</c:v>
                </c:pt>
                <c:pt idx="2780" formatCode="General">
                  <c:v>798</c:v>
                </c:pt>
                <c:pt idx="2781" formatCode="General">
                  <c:v>754</c:v>
                </c:pt>
                <c:pt idx="2782" formatCode="General">
                  <c:v>435</c:v>
                </c:pt>
                <c:pt idx="2783" formatCode="General">
                  <c:v>508</c:v>
                </c:pt>
                <c:pt idx="2784" formatCode="General">
                  <c:v>682</c:v>
                </c:pt>
                <c:pt idx="2785" formatCode="General">
                  <c:v>450</c:v>
                </c:pt>
                <c:pt idx="2786" formatCode="General">
                  <c:v>363</c:v>
                </c:pt>
                <c:pt idx="2787" formatCode="General">
                  <c:v>725</c:v>
                </c:pt>
                <c:pt idx="2788" formatCode="General">
                  <c:v>450</c:v>
                </c:pt>
                <c:pt idx="2789" formatCode="General">
                  <c:v>580</c:v>
                </c:pt>
                <c:pt idx="2790" formatCode="General">
                  <c:v>667</c:v>
                </c:pt>
                <c:pt idx="2791" formatCode="General">
                  <c:v>493</c:v>
                </c:pt>
                <c:pt idx="2792" formatCode="General">
                  <c:v>537</c:v>
                </c:pt>
                <c:pt idx="2793" formatCode="General">
                  <c:v>580</c:v>
                </c:pt>
                <c:pt idx="2794" formatCode="General">
                  <c:v>580</c:v>
                </c:pt>
                <c:pt idx="2795" formatCode="General">
                  <c:v>566</c:v>
                </c:pt>
                <c:pt idx="2796" formatCode="General">
                  <c:v>218</c:v>
                </c:pt>
                <c:pt idx="2797" formatCode="General">
                  <c:v>232</c:v>
                </c:pt>
                <c:pt idx="2798" formatCode="General">
                  <c:v>479</c:v>
                </c:pt>
                <c:pt idx="2799" formatCode="General">
                  <c:v>609</c:v>
                </c:pt>
                <c:pt idx="2800" formatCode="General">
                  <c:v>870</c:v>
                </c:pt>
                <c:pt idx="2801" formatCode="General">
                  <c:v>667</c:v>
                </c:pt>
                <c:pt idx="2802" formatCode="General">
                  <c:v>677</c:v>
                </c:pt>
                <c:pt idx="2803" formatCode="General">
                  <c:v>590</c:v>
                </c:pt>
                <c:pt idx="2804" formatCode="General">
                  <c:v>850</c:v>
                </c:pt>
                <c:pt idx="2805">
                  <c:v>1109</c:v>
                </c:pt>
                <c:pt idx="2806" formatCode="General">
                  <c:v>720</c:v>
                </c:pt>
                <c:pt idx="2807" formatCode="General">
                  <c:v>619</c:v>
                </c:pt>
                <c:pt idx="2808" formatCode="General">
                  <c:v>749</c:v>
                </c:pt>
                <c:pt idx="2809" formatCode="General">
                  <c:v>850</c:v>
                </c:pt>
                <c:pt idx="2810" formatCode="General">
                  <c:v>706</c:v>
                </c:pt>
                <c:pt idx="2811" formatCode="General">
                  <c:v>677</c:v>
                </c:pt>
                <c:pt idx="2812" formatCode="General">
                  <c:v>605</c:v>
                </c:pt>
                <c:pt idx="2813" formatCode="General">
                  <c:v>475</c:v>
                </c:pt>
                <c:pt idx="2814" formatCode="General">
                  <c:v>389</c:v>
                </c:pt>
                <c:pt idx="2815" formatCode="General">
                  <c:v>288</c:v>
                </c:pt>
                <c:pt idx="2816">
                  <c:v>1022</c:v>
                </c:pt>
                <c:pt idx="2817" formatCode="General">
                  <c:v>533</c:v>
                </c:pt>
                <c:pt idx="2818" formatCode="General">
                  <c:v>562</c:v>
                </c:pt>
                <c:pt idx="2819" formatCode="General">
                  <c:v>461</c:v>
                </c:pt>
                <c:pt idx="2820" formatCode="General">
                  <c:v>662</c:v>
                </c:pt>
                <c:pt idx="2821" formatCode="General">
                  <c:v>389</c:v>
                </c:pt>
                <c:pt idx="2822" formatCode="General">
                  <c:v>288</c:v>
                </c:pt>
                <c:pt idx="2823" formatCode="General">
                  <c:v>518</c:v>
                </c:pt>
                <c:pt idx="2824" formatCode="General">
                  <c:v>878</c:v>
                </c:pt>
                <c:pt idx="2825" formatCode="General">
                  <c:v>887</c:v>
                </c:pt>
                <c:pt idx="2826" formatCode="General">
                  <c:v>829</c:v>
                </c:pt>
                <c:pt idx="2827" formatCode="General">
                  <c:v>872</c:v>
                </c:pt>
                <c:pt idx="2828" formatCode="General">
                  <c:v>872</c:v>
                </c:pt>
                <c:pt idx="2829" formatCode="General">
                  <c:v>958</c:v>
                </c:pt>
                <c:pt idx="2830" formatCode="General">
                  <c:v>629</c:v>
                </c:pt>
                <c:pt idx="2831" formatCode="General">
                  <c:v>829</c:v>
                </c:pt>
                <c:pt idx="2832" formatCode="General">
                  <c:v>615</c:v>
                </c:pt>
                <c:pt idx="2833" formatCode="General">
                  <c:v>515</c:v>
                </c:pt>
                <c:pt idx="2834" formatCode="General">
                  <c:v>901</c:v>
                </c:pt>
                <c:pt idx="2835" formatCode="General">
                  <c:v>729</c:v>
                </c:pt>
                <c:pt idx="2836" formatCode="General">
                  <c:v>472</c:v>
                </c:pt>
                <c:pt idx="2837" formatCode="General">
                  <c:v>987</c:v>
                </c:pt>
                <c:pt idx="2838">
                  <c:v>1101</c:v>
                </c:pt>
                <c:pt idx="2839">
                  <c:v>1058</c:v>
                </c:pt>
                <c:pt idx="2840" formatCode="General">
                  <c:v>415</c:v>
                </c:pt>
                <c:pt idx="2841" formatCode="General">
                  <c:v>543</c:v>
                </c:pt>
                <c:pt idx="2842" formatCode="General">
                  <c:v>729</c:v>
                </c:pt>
                <c:pt idx="2843" formatCode="General">
                  <c:v>543</c:v>
                </c:pt>
                <c:pt idx="2844" formatCode="General">
                  <c:v>472</c:v>
                </c:pt>
                <c:pt idx="2845" formatCode="General">
                  <c:v>772</c:v>
                </c:pt>
                <c:pt idx="2846" formatCode="General">
                  <c:v>787</c:v>
                </c:pt>
                <c:pt idx="2847" formatCode="General">
                  <c:v>543</c:v>
                </c:pt>
                <c:pt idx="2848" formatCode="General">
                  <c:v>200</c:v>
                </c:pt>
                <c:pt idx="2849" formatCode="General">
                  <c:v>958</c:v>
                </c:pt>
                <c:pt idx="2850" formatCode="General">
                  <c:v>486</c:v>
                </c:pt>
                <c:pt idx="2851" formatCode="General">
                  <c:v>686</c:v>
                </c:pt>
                <c:pt idx="2852" formatCode="General">
                  <c:v>415</c:v>
                </c:pt>
                <c:pt idx="2853" formatCode="General">
                  <c:v>787</c:v>
                </c:pt>
                <c:pt idx="2854" formatCode="General">
                  <c:v>658</c:v>
                </c:pt>
                <c:pt idx="2855" formatCode="General">
                  <c:v>958</c:v>
                </c:pt>
                <c:pt idx="2856" formatCode="General">
                  <c:v>472</c:v>
                </c:pt>
                <c:pt idx="2857" formatCode="General">
                  <c:v>415</c:v>
                </c:pt>
                <c:pt idx="2858" formatCode="General">
                  <c:v>558</c:v>
                </c:pt>
                <c:pt idx="2859" formatCode="General">
                  <c:v>758</c:v>
                </c:pt>
                <c:pt idx="2860" formatCode="General">
                  <c:v>586</c:v>
                </c:pt>
                <c:pt idx="2861" formatCode="General">
                  <c:v>715</c:v>
                </c:pt>
                <c:pt idx="2862" formatCode="General">
                  <c:v>343</c:v>
                </c:pt>
                <c:pt idx="2863" formatCode="General">
                  <c:v>515</c:v>
                </c:pt>
                <c:pt idx="2864" formatCode="General">
                  <c:v>472</c:v>
                </c:pt>
                <c:pt idx="2865" formatCode="General">
                  <c:v>386</c:v>
                </c:pt>
                <c:pt idx="2866" formatCode="General">
                  <c:v>801</c:v>
                </c:pt>
                <c:pt idx="2867" formatCode="General">
                  <c:v>658</c:v>
                </c:pt>
                <c:pt idx="2868" formatCode="General">
                  <c:v>386</c:v>
                </c:pt>
                <c:pt idx="2869" formatCode="General">
                  <c:v>758</c:v>
                </c:pt>
                <c:pt idx="2870" formatCode="General">
                  <c:v>400</c:v>
                </c:pt>
                <c:pt idx="2871" formatCode="General">
                  <c:v>501</c:v>
                </c:pt>
                <c:pt idx="2872" formatCode="General">
                  <c:v>472</c:v>
                </c:pt>
                <c:pt idx="2873" formatCode="General">
                  <c:v>400</c:v>
                </c:pt>
                <c:pt idx="2874" formatCode="General">
                  <c:v>787</c:v>
                </c:pt>
                <c:pt idx="2875" formatCode="General">
                  <c:v>515</c:v>
                </c:pt>
                <c:pt idx="2876" formatCode="General">
                  <c:v>572</c:v>
                </c:pt>
                <c:pt idx="2877" formatCode="General">
                  <c:v>472</c:v>
                </c:pt>
                <c:pt idx="2878" formatCode="General">
                  <c:v>586</c:v>
                </c:pt>
                <c:pt idx="2879" formatCode="General">
                  <c:v>572</c:v>
                </c:pt>
                <c:pt idx="2880" formatCode="General">
                  <c:v>753</c:v>
                </c:pt>
                <c:pt idx="2881" formatCode="General">
                  <c:v>383</c:v>
                </c:pt>
                <c:pt idx="2882" formatCode="General">
                  <c:v>951</c:v>
                </c:pt>
                <c:pt idx="2883">
                  <c:v>1264</c:v>
                </c:pt>
                <c:pt idx="2884">
                  <c:v>1022</c:v>
                </c:pt>
                <c:pt idx="2885" formatCode="General">
                  <c:v>724</c:v>
                </c:pt>
                <c:pt idx="2886" formatCode="General">
                  <c:v>483</c:v>
                </c:pt>
                <c:pt idx="2887" formatCode="General">
                  <c:v>596</c:v>
                </c:pt>
                <c:pt idx="2888" formatCode="General">
                  <c:v>710</c:v>
                </c:pt>
                <c:pt idx="2889" formatCode="General">
                  <c:v>682</c:v>
                </c:pt>
                <c:pt idx="2890" formatCode="General">
                  <c:v>596</c:v>
                </c:pt>
                <c:pt idx="2891" formatCode="General">
                  <c:v>838</c:v>
                </c:pt>
                <c:pt idx="2892" formatCode="General">
                  <c:v>710</c:v>
                </c:pt>
                <c:pt idx="2893" formatCode="General">
                  <c:v>824</c:v>
                </c:pt>
                <c:pt idx="2894" formatCode="General">
                  <c:v>639</c:v>
                </c:pt>
                <c:pt idx="2895" formatCode="General">
                  <c:v>738</c:v>
                </c:pt>
                <c:pt idx="2896" formatCode="General">
                  <c:v>667</c:v>
                </c:pt>
                <c:pt idx="2897" formatCode="General">
                  <c:v>412</c:v>
                </c:pt>
                <c:pt idx="2898" formatCode="General">
                  <c:v>696</c:v>
                </c:pt>
                <c:pt idx="2899" formatCode="General">
                  <c:v>966</c:v>
                </c:pt>
                <c:pt idx="2900" formatCode="General">
                  <c:v>511</c:v>
                </c:pt>
                <c:pt idx="2901" formatCode="General">
                  <c:v>412</c:v>
                </c:pt>
                <c:pt idx="2902" formatCode="General">
                  <c:v>682</c:v>
                </c:pt>
                <c:pt idx="2903" formatCode="General">
                  <c:v>866</c:v>
                </c:pt>
                <c:pt idx="2904" formatCode="General">
                  <c:v>710</c:v>
                </c:pt>
                <c:pt idx="2905" formatCode="General">
                  <c:v>767</c:v>
                </c:pt>
                <c:pt idx="2906" formatCode="General">
                  <c:v>625</c:v>
                </c:pt>
                <c:pt idx="2907" formatCode="General">
                  <c:v>268</c:v>
                </c:pt>
                <c:pt idx="2908" formatCode="General">
                  <c:v>700</c:v>
                </c:pt>
                <c:pt idx="2909" formatCode="General">
                  <c:v>448</c:v>
                </c:pt>
                <c:pt idx="2910">
                  <c:v>1036</c:v>
                </c:pt>
                <c:pt idx="2911" formatCode="General">
                  <c:v>700</c:v>
                </c:pt>
                <c:pt idx="2912" formatCode="General">
                  <c:v>532</c:v>
                </c:pt>
                <c:pt idx="2913">
                  <c:v>1148</c:v>
                </c:pt>
                <c:pt idx="2914" formatCode="General">
                  <c:v>812</c:v>
                </c:pt>
                <c:pt idx="2915" formatCode="General">
                  <c:v>546</c:v>
                </c:pt>
                <c:pt idx="2916" formatCode="General">
                  <c:v>532</c:v>
                </c:pt>
                <c:pt idx="2917" formatCode="General">
                  <c:v>658</c:v>
                </c:pt>
                <c:pt idx="2918" formatCode="General">
                  <c:v>462</c:v>
                </c:pt>
                <c:pt idx="2919" formatCode="General">
                  <c:v>966</c:v>
                </c:pt>
                <c:pt idx="2920">
                  <c:v>1008</c:v>
                </c:pt>
                <c:pt idx="2921" formatCode="General">
                  <c:v>336</c:v>
                </c:pt>
                <c:pt idx="2922" formatCode="General">
                  <c:v>686</c:v>
                </c:pt>
                <c:pt idx="2923" formatCode="General">
                  <c:v>336</c:v>
                </c:pt>
                <c:pt idx="2924" formatCode="General">
                  <c:v>658</c:v>
                </c:pt>
                <c:pt idx="2925" formatCode="General">
                  <c:v>756</c:v>
                </c:pt>
                <c:pt idx="2926" formatCode="General">
                  <c:v>840</c:v>
                </c:pt>
                <c:pt idx="2927" formatCode="General">
                  <c:v>812</c:v>
                </c:pt>
                <c:pt idx="2928" formatCode="General">
                  <c:v>406</c:v>
                </c:pt>
                <c:pt idx="2929" formatCode="General">
                  <c:v>448</c:v>
                </c:pt>
                <c:pt idx="2930" formatCode="General">
                  <c:v>504</c:v>
                </c:pt>
                <c:pt idx="2931" formatCode="General">
                  <c:v>560</c:v>
                </c:pt>
                <c:pt idx="2932" formatCode="General">
                  <c:v>532</c:v>
                </c:pt>
                <c:pt idx="2933" formatCode="General">
                  <c:v>364</c:v>
                </c:pt>
                <c:pt idx="2934" formatCode="General">
                  <c:v>490</c:v>
                </c:pt>
                <c:pt idx="2935" formatCode="General">
                  <c:v>504</c:v>
                </c:pt>
                <c:pt idx="2936" formatCode="General">
                  <c:v>434</c:v>
                </c:pt>
                <c:pt idx="2937" formatCode="General">
                  <c:v>434</c:v>
                </c:pt>
                <c:pt idx="2938" formatCode="General">
                  <c:v>756</c:v>
                </c:pt>
                <c:pt idx="2939" formatCode="General">
                  <c:v>644</c:v>
                </c:pt>
                <c:pt idx="2940" formatCode="General">
                  <c:v>756</c:v>
                </c:pt>
                <c:pt idx="2941" formatCode="General">
                  <c:v>616</c:v>
                </c:pt>
                <c:pt idx="2942" formatCode="General">
                  <c:v>322</c:v>
                </c:pt>
                <c:pt idx="2943" formatCode="General">
                  <c:v>602</c:v>
                </c:pt>
                <c:pt idx="2944" formatCode="General">
                  <c:v>378</c:v>
                </c:pt>
                <c:pt idx="2945" formatCode="General">
                  <c:v>518</c:v>
                </c:pt>
                <c:pt idx="2946" formatCode="General">
                  <c:v>588</c:v>
                </c:pt>
                <c:pt idx="2947" formatCode="General">
                  <c:v>378</c:v>
                </c:pt>
                <c:pt idx="2948" formatCode="General">
                  <c:v>546</c:v>
                </c:pt>
                <c:pt idx="2949" formatCode="General">
                  <c:v>742</c:v>
                </c:pt>
                <c:pt idx="2950" formatCode="General">
                  <c:v>420</c:v>
                </c:pt>
                <c:pt idx="2951" formatCode="General">
                  <c:v>224</c:v>
                </c:pt>
                <c:pt idx="2952" formatCode="General">
                  <c:v>294</c:v>
                </c:pt>
                <c:pt idx="2953" formatCode="General">
                  <c:v>392</c:v>
                </c:pt>
                <c:pt idx="2954" formatCode="General">
                  <c:v>350</c:v>
                </c:pt>
                <c:pt idx="2955" formatCode="General">
                  <c:v>938</c:v>
                </c:pt>
                <c:pt idx="2956" formatCode="General">
                  <c:v>476</c:v>
                </c:pt>
                <c:pt idx="2957" formatCode="General">
                  <c:v>616</c:v>
                </c:pt>
                <c:pt idx="2958" formatCode="General">
                  <c:v>588</c:v>
                </c:pt>
                <c:pt idx="2959" formatCode="General">
                  <c:v>420</c:v>
                </c:pt>
                <c:pt idx="2960" formatCode="General">
                  <c:v>378</c:v>
                </c:pt>
                <c:pt idx="2961" formatCode="General">
                  <c:v>546</c:v>
                </c:pt>
                <c:pt idx="2962" formatCode="General">
                  <c:v>490</c:v>
                </c:pt>
                <c:pt idx="2963" formatCode="General">
                  <c:v>616</c:v>
                </c:pt>
                <c:pt idx="2964" formatCode="General">
                  <c:v>378</c:v>
                </c:pt>
                <c:pt idx="2965" formatCode="General">
                  <c:v>448</c:v>
                </c:pt>
                <c:pt idx="2966" formatCode="General">
                  <c:v>392</c:v>
                </c:pt>
                <c:pt idx="2967" formatCode="General">
                  <c:v>714</c:v>
                </c:pt>
                <c:pt idx="2968" formatCode="General">
                  <c:v>518</c:v>
                </c:pt>
                <c:pt idx="2969" formatCode="General">
                  <c:v>392</c:v>
                </c:pt>
                <c:pt idx="2970" formatCode="General">
                  <c:v>154</c:v>
                </c:pt>
                <c:pt idx="2971" formatCode="General">
                  <c:v>448</c:v>
                </c:pt>
                <c:pt idx="2972" formatCode="General">
                  <c:v>308</c:v>
                </c:pt>
                <c:pt idx="2973" formatCode="General">
                  <c:v>518</c:v>
                </c:pt>
                <c:pt idx="2974" formatCode="General">
                  <c:v>392</c:v>
                </c:pt>
                <c:pt idx="2975" formatCode="General">
                  <c:v>756</c:v>
                </c:pt>
                <c:pt idx="2976" formatCode="General">
                  <c:v>644</c:v>
                </c:pt>
                <c:pt idx="2977" formatCode="General">
                  <c:v>560</c:v>
                </c:pt>
                <c:pt idx="2978" formatCode="General">
                  <c:v>806</c:v>
                </c:pt>
                <c:pt idx="2979" formatCode="General">
                  <c:v>773</c:v>
                </c:pt>
                <c:pt idx="2980" formatCode="General">
                  <c:v>938</c:v>
                </c:pt>
                <c:pt idx="2981" formatCode="General">
                  <c:v>773</c:v>
                </c:pt>
                <c:pt idx="2982" formatCode="General">
                  <c:v>497</c:v>
                </c:pt>
                <c:pt idx="2983" formatCode="General">
                  <c:v>883</c:v>
                </c:pt>
                <c:pt idx="2984">
                  <c:v>1214</c:v>
                </c:pt>
                <c:pt idx="2985">
                  <c:v>1007</c:v>
                </c:pt>
                <c:pt idx="2986">
                  <c:v>1049</c:v>
                </c:pt>
                <c:pt idx="2987" formatCode="General">
                  <c:v>593</c:v>
                </c:pt>
                <c:pt idx="2988" formatCode="General">
                  <c:v>386</c:v>
                </c:pt>
                <c:pt idx="2989" formatCode="General">
                  <c:v>455</c:v>
                </c:pt>
                <c:pt idx="2990" formatCode="General">
                  <c:v>442</c:v>
                </c:pt>
                <c:pt idx="2991" formatCode="General">
                  <c:v>856</c:v>
                </c:pt>
                <c:pt idx="2992" formatCode="General">
                  <c:v>842</c:v>
                </c:pt>
                <c:pt idx="2993" formatCode="General">
                  <c:v>856</c:v>
                </c:pt>
                <c:pt idx="2994" formatCode="General">
                  <c:v>580</c:v>
                </c:pt>
                <c:pt idx="2995" formatCode="General">
                  <c:v>566</c:v>
                </c:pt>
                <c:pt idx="2996" formatCode="General">
                  <c:v>593</c:v>
                </c:pt>
                <c:pt idx="2997" formatCode="General">
                  <c:v>455</c:v>
                </c:pt>
                <c:pt idx="2998" formatCode="General">
                  <c:v>455</c:v>
                </c:pt>
                <c:pt idx="2999" formatCode="General">
                  <c:v>566</c:v>
                </c:pt>
                <c:pt idx="3000" formatCode="General">
                  <c:v>566</c:v>
                </c:pt>
                <c:pt idx="3001" formatCode="General">
                  <c:v>662</c:v>
                </c:pt>
                <c:pt idx="3002" formatCode="General">
                  <c:v>331</c:v>
                </c:pt>
                <c:pt idx="3003" formatCode="General">
                  <c:v>331</c:v>
                </c:pt>
                <c:pt idx="3004" formatCode="General">
                  <c:v>883</c:v>
                </c:pt>
                <c:pt idx="3005" formatCode="General">
                  <c:v>331</c:v>
                </c:pt>
                <c:pt idx="3006" formatCode="General">
                  <c:v>386</c:v>
                </c:pt>
                <c:pt idx="3007" formatCode="General">
                  <c:v>704</c:v>
                </c:pt>
                <c:pt idx="3008" formatCode="General">
                  <c:v>704</c:v>
                </c:pt>
                <c:pt idx="3009" formatCode="General">
                  <c:v>580</c:v>
                </c:pt>
                <c:pt idx="3010" formatCode="General">
                  <c:v>580</c:v>
                </c:pt>
                <c:pt idx="3011" formatCode="General">
                  <c:v>745</c:v>
                </c:pt>
                <c:pt idx="3012" formatCode="General">
                  <c:v>731</c:v>
                </c:pt>
                <c:pt idx="3013" formatCode="General">
                  <c:v>566</c:v>
                </c:pt>
                <c:pt idx="3014" formatCode="General">
                  <c:v>317</c:v>
                </c:pt>
                <c:pt idx="3015" formatCode="General">
                  <c:v>511</c:v>
                </c:pt>
                <c:pt idx="3016" formatCode="General">
                  <c:v>400</c:v>
                </c:pt>
                <c:pt idx="3017">
                  <c:v>1049</c:v>
                </c:pt>
                <c:pt idx="3018" formatCode="General">
                  <c:v>524</c:v>
                </c:pt>
                <c:pt idx="3019" formatCode="General">
                  <c:v>524</c:v>
                </c:pt>
                <c:pt idx="3020" formatCode="General">
                  <c:v>580</c:v>
                </c:pt>
                <c:pt idx="3021" formatCode="General">
                  <c:v>676</c:v>
                </c:pt>
                <c:pt idx="3022" formatCode="General">
                  <c:v>800</c:v>
                </c:pt>
                <c:pt idx="3023" formatCode="General">
                  <c:v>442</c:v>
                </c:pt>
                <c:pt idx="3024" formatCode="General">
                  <c:v>442</c:v>
                </c:pt>
                <c:pt idx="3025" formatCode="General">
                  <c:v>649</c:v>
                </c:pt>
                <c:pt idx="3026" formatCode="General">
                  <c:v>911</c:v>
                </c:pt>
                <c:pt idx="3027">
                  <c:v>1069</c:v>
                </c:pt>
                <c:pt idx="3028" formatCode="General">
                  <c:v>699</c:v>
                </c:pt>
                <c:pt idx="3029">
                  <c:v>1028</c:v>
                </c:pt>
                <c:pt idx="3030">
                  <c:v>1069</c:v>
                </c:pt>
                <c:pt idx="3031" formatCode="General">
                  <c:v>644</c:v>
                </c:pt>
                <c:pt idx="3032" formatCode="General">
                  <c:v>493</c:v>
                </c:pt>
                <c:pt idx="3033" formatCode="General">
                  <c:v>767</c:v>
                </c:pt>
                <c:pt idx="3034" formatCode="General">
                  <c:v>603</c:v>
                </c:pt>
                <c:pt idx="3035" formatCode="General">
                  <c:v>630</c:v>
                </c:pt>
                <c:pt idx="3036" formatCode="General">
                  <c:v>658</c:v>
                </c:pt>
                <c:pt idx="3037" formatCode="General">
                  <c:v>521</c:v>
                </c:pt>
                <c:pt idx="3038" formatCode="General">
                  <c:v>712</c:v>
                </c:pt>
                <c:pt idx="3039" formatCode="General">
                  <c:v>521</c:v>
                </c:pt>
                <c:pt idx="3040" formatCode="General">
                  <c:v>644</c:v>
                </c:pt>
                <c:pt idx="3041" formatCode="General">
                  <c:v>507</c:v>
                </c:pt>
                <c:pt idx="3042" formatCode="General">
                  <c:v>685</c:v>
                </c:pt>
                <c:pt idx="3043" formatCode="General">
                  <c:v>699</c:v>
                </c:pt>
                <c:pt idx="3044" formatCode="General">
                  <c:v>466</c:v>
                </c:pt>
                <c:pt idx="3045" formatCode="General">
                  <c:v>658</c:v>
                </c:pt>
                <c:pt idx="3046" formatCode="General">
                  <c:v>808</c:v>
                </c:pt>
                <c:pt idx="3047" formatCode="General">
                  <c:v>397</c:v>
                </c:pt>
                <c:pt idx="3048" formatCode="General">
                  <c:v>438</c:v>
                </c:pt>
                <c:pt idx="3049" formatCode="General">
                  <c:v>493</c:v>
                </c:pt>
                <c:pt idx="3050" formatCode="General">
                  <c:v>562</c:v>
                </c:pt>
                <c:pt idx="3051" formatCode="General">
                  <c:v>767</c:v>
                </c:pt>
                <c:pt idx="3052" formatCode="General">
                  <c:v>877</c:v>
                </c:pt>
                <c:pt idx="3053" formatCode="General">
                  <c:v>789</c:v>
                </c:pt>
                <c:pt idx="3054" formatCode="General">
                  <c:v>258</c:v>
                </c:pt>
                <c:pt idx="3055" formatCode="General">
                  <c:v>381</c:v>
                </c:pt>
                <c:pt idx="3056" formatCode="General">
                  <c:v>666</c:v>
                </c:pt>
                <c:pt idx="3057" formatCode="General">
                  <c:v>544</c:v>
                </c:pt>
                <c:pt idx="3058" formatCode="General">
                  <c:v>354</c:v>
                </c:pt>
                <c:pt idx="3059" formatCode="General">
                  <c:v>707</c:v>
                </c:pt>
                <c:pt idx="3060" formatCode="General">
                  <c:v>762</c:v>
                </c:pt>
                <c:pt idx="3061" formatCode="General">
                  <c:v>286</c:v>
                </c:pt>
                <c:pt idx="3062" formatCode="General">
                  <c:v>272</c:v>
                </c:pt>
                <c:pt idx="3063" formatCode="General">
                  <c:v>190</c:v>
                </c:pt>
                <c:pt idx="3064" formatCode="General">
                  <c:v>299</c:v>
                </c:pt>
                <c:pt idx="3065" formatCode="General">
                  <c:v>721</c:v>
                </c:pt>
                <c:pt idx="3066" formatCode="General">
                  <c:v>503</c:v>
                </c:pt>
                <c:pt idx="3067" formatCode="General">
                  <c:v>544</c:v>
                </c:pt>
                <c:pt idx="3068" formatCode="General">
                  <c:v>313</c:v>
                </c:pt>
                <c:pt idx="3069" formatCode="General">
                  <c:v>612</c:v>
                </c:pt>
                <c:pt idx="3070" formatCode="General">
                  <c:v>476</c:v>
                </c:pt>
                <c:pt idx="3071" formatCode="General">
                  <c:v>490</c:v>
                </c:pt>
                <c:pt idx="3072" formatCode="General">
                  <c:v>490</c:v>
                </c:pt>
                <c:pt idx="3073" formatCode="General">
                  <c:v>626</c:v>
                </c:pt>
                <c:pt idx="3074" formatCode="General">
                  <c:v>544</c:v>
                </c:pt>
                <c:pt idx="3075" formatCode="General">
                  <c:v>490</c:v>
                </c:pt>
                <c:pt idx="3076" formatCode="General">
                  <c:v>354</c:v>
                </c:pt>
                <c:pt idx="3077" formatCode="General">
                  <c:v>150</c:v>
                </c:pt>
                <c:pt idx="3078" formatCode="General">
                  <c:v>231</c:v>
                </c:pt>
                <c:pt idx="3079" formatCode="General">
                  <c:v>354</c:v>
                </c:pt>
                <c:pt idx="3080" formatCode="General">
                  <c:v>150</c:v>
                </c:pt>
                <c:pt idx="3081" formatCode="General">
                  <c:v>517</c:v>
                </c:pt>
                <c:pt idx="3082" formatCode="General">
                  <c:v>598</c:v>
                </c:pt>
                <c:pt idx="3083" formatCode="General">
                  <c:v>621</c:v>
                </c:pt>
                <c:pt idx="3084" formatCode="General">
                  <c:v>635</c:v>
                </c:pt>
                <c:pt idx="3085" formatCode="General">
                  <c:v>432</c:v>
                </c:pt>
                <c:pt idx="3086" formatCode="General">
                  <c:v>716</c:v>
                </c:pt>
                <c:pt idx="3087" formatCode="General">
                  <c:v>864</c:v>
                </c:pt>
                <c:pt idx="3088" formatCode="General">
                  <c:v>837</c:v>
                </c:pt>
                <c:pt idx="3089" formatCode="General">
                  <c:v>851</c:v>
                </c:pt>
                <c:pt idx="3090" formatCode="General">
                  <c:v>621</c:v>
                </c:pt>
                <c:pt idx="3091" formatCode="General">
                  <c:v>851</c:v>
                </c:pt>
                <c:pt idx="3092" formatCode="General">
                  <c:v>432</c:v>
                </c:pt>
                <c:pt idx="3093" formatCode="General">
                  <c:v>432</c:v>
                </c:pt>
                <c:pt idx="3094" formatCode="General">
                  <c:v>257</c:v>
                </c:pt>
                <c:pt idx="3095" formatCode="General">
                  <c:v>459</c:v>
                </c:pt>
                <c:pt idx="3096" formatCode="General">
                  <c:v>594</c:v>
                </c:pt>
                <c:pt idx="3097" formatCode="General">
                  <c:v>999</c:v>
                </c:pt>
                <c:pt idx="3098" formatCode="General">
                  <c:v>810</c:v>
                </c:pt>
                <c:pt idx="3099" formatCode="General">
                  <c:v>500</c:v>
                </c:pt>
                <c:pt idx="3100" formatCode="General">
                  <c:v>608</c:v>
                </c:pt>
                <c:pt idx="3101" formatCode="General">
                  <c:v>662</c:v>
                </c:pt>
                <c:pt idx="3102" formatCode="General">
                  <c:v>513</c:v>
                </c:pt>
                <c:pt idx="3103" formatCode="General">
                  <c:v>567</c:v>
                </c:pt>
                <c:pt idx="3104" formatCode="General">
                  <c:v>594</c:v>
                </c:pt>
                <c:pt idx="3105" formatCode="General">
                  <c:v>365</c:v>
                </c:pt>
                <c:pt idx="3106" formatCode="General">
                  <c:v>567</c:v>
                </c:pt>
                <c:pt idx="3107" formatCode="General">
                  <c:v>554</c:v>
                </c:pt>
                <c:pt idx="3108" formatCode="General">
                  <c:v>567</c:v>
                </c:pt>
                <c:pt idx="3109" formatCode="General">
                  <c:v>783</c:v>
                </c:pt>
                <c:pt idx="3110" formatCode="General">
                  <c:v>729</c:v>
                </c:pt>
                <c:pt idx="3111" formatCode="General">
                  <c:v>527</c:v>
                </c:pt>
                <c:pt idx="3112" formatCode="General">
                  <c:v>567</c:v>
                </c:pt>
                <c:pt idx="3113" formatCode="General">
                  <c:v>864</c:v>
                </c:pt>
                <c:pt idx="3114" formatCode="General">
                  <c:v>594</c:v>
                </c:pt>
                <c:pt idx="3115" formatCode="General">
                  <c:v>675</c:v>
                </c:pt>
                <c:pt idx="3116" formatCode="General">
                  <c:v>797</c:v>
                </c:pt>
                <c:pt idx="3117" formatCode="General">
                  <c:v>500</c:v>
                </c:pt>
                <c:pt idx="3118" formatCode="General">
                  <c:v>770</c:v>
                </c:pt>
                <c:pt idx="3119" formatCode="General">
                  <c:v>554</c:v>
                </c:pt>
                <c:pt idx="3120" formatCode="General">
                  <c:v>702</c:v>
                </c:pt>
                <c:pt idx="3121" formatCode="General">
                  <c:v>648</c:v>
                </c:pt>
                <c:pt idx="3122" formatCode="General">
                  <c:v>756</c:v>
                </c:pt>
                <c:pt idx="3123" formatCode="General">
                  <c:v>810</c:v>
                </c:pt>
                <c:pt idx="3124" formatCode="General">
                  <c:v>729</c:v>
                </c:pt>
                <c:pt idx="3125" formatCode="General">
                  <c:v>716</c:v>
                </c:pt>
                <c:pt idx="3126" formatCode="General">
                  <c:v>783</c:v>
                </c:pt>
                <c:pt idx="3127" formatCode="General">
                  <c:v>554</c:v>
                </c:pt>
                <c:pt idx="3128" formatCode="General">
                  <c:v>473</c:v>
                </c:pt>
                <c:pt idx="3129" formatCode="General">
                  <c:v>486</c:v>
                </c:pt>
                <c:pt idx="3130" formatCode="General">
                  <c:v>351</c:v>
                </c:pt>
                <c:pt idx="3131" formatCode="General">
                  <c:v>270</c:v>
                </c:pt>
                <c:pt idx="3132" formatCode="General">
                  <c:v>581</c:v>
                </c:pt>
                <c:pt idx="3133" formatCode="General">
                  <c:v>621</c:v>
                </c:pt>
                <c:pt idx="3134" formatCode="General">
                  <c:v>432</c:v>
                </c:pt>
                <c:pt idx="3135" formatCode="General">
                  <c:v>621</c:v>
                </c:pt>
                <c:pt idx="3136" formatCode="General">
                  <c:v>635</c:v>
                </c:pt>
                <c:pt idx="3137" formatCode="General">
                  <c:v>243</c:v>
                </c:pt>
                <c:pt idx="3138" formatCode="General">
                  <c:v>540</c:v>
                </c:pt>
                <c:pt idx="3139" formatCode="General">
                  <c:v>351</c:v>
                </c:pt>
                <c:pt idx="3140" formatCode="General">
                  <c:v>716</c:v>
                </c:pt>
                <c:pt idx="3141" formatCode="General">
                  <c:v>473</c:v>
                </c:pt>
                <c:pt idx="3142" formatCode="General">
                  <c:v>527</c:v>
                </c:pt>
                <c:pt idx="3143" formatCode="General">
                  <c:v>777</c:v>
                </c:pt>
                <c:pt idx="3144" formatCode="General">
                  <c:v>389</c:v>
                </c:pt>
                <c:pt idx="3145" formatCode="General">
                  <c:v>777</c:v>
                </c:pt>
                <c:pt idx="3146" formatCode="General">
                  <c:v>904</c:v>
                </c:pt>
                <c:pt idx="3147" formatCode="General">
                  <c:v>758</c:v>
                </c:pt>
                <c:pt idx="3148" formatCode="General">
                  <c:v>984</c:v>
                </c:pt>
                <c:pt idx="3149">
                  <c:v>1091</c:v>
                </c:pt>
                <c:pt idx="3150" formatCode="General">
                  <c:v>745</c:v>
                </c:pt>
                <c:pt idx="3151" formatCode="General">
                  <c:v>559</c:v>
                </c:pt>
                <c:pt idx="3152" formatCode="General">
                  <c:v>426</c:v>
                </c:pt>
                <c:pt idx="3153" formatCode="General">
                  <c:v>559</c:v>
                </c:pt>
                <c:pt idx="3154" formatCode="General">
                  <c:v>652</c:v>
                </c:pt>
                <c:pt idx="3155" formatCode="General">
                  <c:v>692</c:v>
                </c:pt>
                <c:pt idx="3156" formatCode="General">
                  <c:v>984</c:v>
                </c:pt>
                <c:pt idx="3157" formatCode="General">
                  <c:v>492</c:v>
                </c:pt>
                <c:pt idx="3158" formatCode="General">
                  <c:v>678</c:v>
                </c:pt>
                <c:pt idx="3159" formatCode="General">
                  <c:v>599</c:v>
                </c:pt>
                <c:pt idx="3160" formatCode="General">
                  <c:v>958</c:v>
                </c:pt>
                <c:pt idx="3161" formatCode="General">
                  <c:v>585</c:v>
                </c:pt>
                <c:pt idx="3162" formatCode="General">
                  <c:v>306</c:v>
                </c:pt>
                <c:pt idx="3163" formatCode="General">
                  <c:v>958</c:v>
                </c:pt>
                <c:pt idx="3164" formatCode="General">
                  <c:v>439</c:v>
                </c:pt>
                <c:pt idx="3165" formatCode="General">
                  <c:v>692</c:v>
                </c:pt>
                <c:pt idx="3166" formatCode="General">
                  <c:v>665</c:v>
                </c:pt>
                <c:pt idx="3167" formatCode="General">
                  <c:v>678</c:v>
                </c:pt>
                <c:pt idx="3168" formatCode="General">
                  <c:v>439</c:v>
                </c:pt>
                <c:pt idx="3169" formatCode="General">
                  <c:v>785</c:v>
                </c:pt>
                <c:pt idx="3170" formatCode="General">
                  <c:v>745</c:v>
                </c:pt>
                <c:pt idx="3171" formatCode="General">
                  <c:v>306</c:v>
                </c:pt>
                <c:pt idx="3172" formatCode="General">
                  <c:v>479</c:v>
                </c:pt>
                <c:pt idx="3173" formatCode="General">
                  <c:v>452</c:v>
                </c:pt>
                <c:pt idx="3174" formatCode="General">
                  <c:v>439</c:v>
                </c:pt>
                <c:pt idx="3175" formatCode="General">
                  <c:v>838</c:v>
                </c:pt>
                <c:pt idx="3176" formatCode="General">
                  <c:v>452</c:v>
                </c:pt>
                <c:pt idx="3177" formatCode="General">
                  <c:v>825</c:v>
                </c:pt>
                <c:pt idx="3178" formatCode="General">
                  <c:v>647</c:v>
                </c:pt>
                <c:pt idx="3179" formatCode="General">
                  <c:v>568</c:v>
                </c:pt>
                <c:pt idx="3180" formatCode="General">
                  <c:v>436</c:v>
                </c:pt>
                <c:pt idx="3181" formatCode="General">
                  <c:v>515</c:v>
                </c:pt>
                <c:pt idx="3182" formatCode="General">
                  <c:v>647</c:v>
                </c:pt>
                <c:pt idx="3183" formatCode="General">
                  <c:v>607</c:v>
                </c:pt>
                <c:pt idx="3184" formatCode="General">
                  <c:v>607</c:v>
                </c:pt>
                <c:pt idx="3185" formatCode="General">
                  <c:v>673</c:v>
                </c:pt>
                <c:pt idx="3186" formatCode="General">
                  <c:v>238</c:v>
                </c:pt>
                <c:pt idx="3187" formatCode="General">
                  <c:v>172</c:v>
                </c:pt>
                <c:pt idx="3188" formatCode="General">
                  <c:v>317</c:v>
                </c:pt>
                <c:pt idx="3189" formatCode="General">
                  <c:v>238</c:v>
                </c:pt>
                <c:pt idx="3190" formatCode="General">
                  <c:v>185</c:v>
                </c:pt>
                <c:pt idx="3191" formatCode="General">
                  <c:v>370</c:v>
                </c:pt>
                <c:pt idx="3192" formatCode="General">
                  <c:v>449</c:v>
                </c:pt>
                <c:pt idx="3193" formatCode="General">
                  <c:v>541</c:v>
                </c:pt>
                <c:pt idx="3194" formatCode="General">
                  <c:v>568</c:v>
                </c:pt>
                <c:pt idx="3195" formatCode="General">
                  <c:v>462</c:v>
                </c:pt>
                <c:pt idx="3196" formatCode="General">
                  <c:v>739</c:v>
                </c:pt>
                <c:pt idx="3197" formatCode="General">
                  <c:v>436</c:v>
                </c:pt>
                <c:pt idx="3198" formatCode="General">
                  <c:v>475</c:v>
                </c:pt>
                <c:pt idx="3199" formatCode="General">
                  <c:v>449</c:v>
                </c:pt>
                <c:pt idx="3200" formatCode="General">
                  <c:v>290</c:v>
                </c:pt>
                <c:pt idx="3201" formatCode="General">
                  <c:v>779</c:v>
                </c:pt>
                <c:pt idx="3202" formatCode="General">
                  <c:v>383</c:v>
                </c:pt>
                <c:pt idx="3203" formatCode="General">
                  <c:v>185</c:v>
                </c:pt>
                <c:pt idx="3204" formatCode="General">
                  <c:v>264</c:v>
                </c:pt>
                <c:pt idx="3205" formatCode="General">
                  <c:v>660</c:v>
                </c:pt>
                <c:pt idx="3206" formatCode="General">
                  <c:v>370</c:v>
                </c:pt>
                <c:pt idx="3207" formatCode="General">
                  <c:v>541</c:v>
                </c:pt>
                <c:pt idx="3208" formatCode="General">
                  <c:v>528</c:v>
                </c:pt>
                <c:pt idx="3209" formatCode="General">
                  <c:v>541</c:v>
                </c:pt>
                <c:pt idx="3210" formatCode="General">
                  <c:v>590</c:v>
                </c:pt>
                <c:pt idx="3211" formatCode="General">
                  <c:v>642</c:v>
                </c:pt>
                <c:pt idx="3212">
                  <c:v>1022</c:v>
                </c:pt>
                <c:pt idx="3213" formatCode="General">
                  <c:v>354</c:v>
                </c:pt>
                <c:pt idx="3214" formatCode="General">
                  <c:v>721</c:v>
                </c:pt>
                <c:pt idx="3215" formatCode="General">
                  <c:v>721</c:v>
                </c:pt>
                <c:pt idx="3216" formatCode="General">
                  <c:v>878</c:v>
                </c:pt>
                <c:pt idx="3217" formatCode="General">
                  <c:v>629</c:v>
                </c:pt>
                <c:pt idx="3218" formatCode="General">
                  <c:v>616</c:v>
                </c:pt>
                <c:pt idx="3219" formatCode="General">
                  <c:v>432</c:v>
                </c:pt>
                <c:pt idx="3220" formatCode="General">
                  <c:v>563</c:v>
                </c:pt>
                <c:pt idx="3221" formatCode="General">
                  <c:v>590</c:v>
                </c:pt>
                <c:pt idx="3222" formatCode="General">
                  <c:v>380</c:v>
                </c:pt>
                <c:pt idx="3223" formatCode="General">
                  <c:v>576</c:v>
                </c:pt>
                <c:pt idx="3224" formatCode="General">
                  <c:v>707</c:v>
                </c:pt>
                <c:pt idx="3225" formatCode="General">
                  <c:v>838</c:v>
                </c:pt>
                <c:pt idx="3226" formatCode="General">
                  <c:v>668</c:v>
                </c:pt>
                <c:pt idx="3227" formatCode="General">
                  <c:v>445</c:v>
                </c:pt>
                <c:pt idx="3228" formatCode="General">
                  <c:v>485</c:v>
                </c:pt>
                <c:pt idx="3229" formatCode="General">
                  <c:v>511</c:v>
                </c:pt>
                <c:pt idx="3230" formatCode="General">
                  <c:v>498</c:v>
                </c:pt>
                <c:pt idx="3231" formatCode="General">
                  <c:v>445</c:v>
                </c:pt>
                <c:pt idx="3232" formatCode="General">
                  <c:v>314</c:v>
                </c:pt>
                <c:pt idx="3233" formatCode="General">
                  <c:v>445</c:v>
                </c:pt>
                <c:pt idx="3234" formatCode="General">
                  <c:v>668</c:v>
                </c:pt>
                <c:pt idx="3235">
                  <c:v>1074</c:v>
                </c:pt>
                <c:pt idx="3236" formatCode="General">
                  <c:v>445</c:v>
                </c:pt>
                <c:pt idx="3237" formatCode="General">
                  <c:v>694</c:v>
                </c:pt>
                <c:pt idx="3238" formatCode="General">
                  <c:v>537</c:v>
                </c:pt>
                <c:pt idx="3239" formatCode="General">
                  <c:v>904</c:v>
                </c:pt>
                <c:pt idx="3240" formatCode="General">
                  <c:v>943</c:v>
                </c:pt>
                <c:pt idx="3241" formatCode="General">
                  <c:v>380</c:v>
                </c:pt>
                <c:pt idx="3242" formatCode="General">
                  <c:v>773</c:v>
                </c:pt>
                <c:pt idx="3243" formatCode="General">
                  <c:v>550</c:v>
                </c:pt>
                <c:pt idx="3244" formatCode="General">
                  <c:v>550</c:v>
                </c:pt>
                <c:pt idx="3245" formatCode="General">
                  <c:v>485</c:v>
                </c:pt>
                <c:pt idx="3246" formatCode="General">
                  <c:v>328</c:v>
                </c:pt>
                <c:pt idx="3247" formatCode="General">
                  <c:v>642</c:v>
                </c:pt>
                <c:pt idx="3248" formatCode="General">
                  <c:v>642</c:v>
                </c:pt>
                <c:pt idx="3249" formatCode="General">
                  <c:v>603</c:v>
                </c:pt>
                <c:pt idx="3250" formatCode="General">
                  <c:v>642</c:v>
                </c:pt>
                <c:pt idx="3251" formatCode="General">
                  <c:v>472</c:v>
                </c:pt>
                <c:pt idx="3252" formatCode="General">
                  <c:v>707</c:v>
                </c:pt>
                <c:pt idx="3253" formatCode="General">
                  <c:v>642</c:v>
                </c:pt>
                <c:pt idx="3254" formatCode="General">
                  <c:v>721</c:v>
                </c:pt>
                <c:pt idx="3255" formatCode="General">
                  <c:v>393</c:v>
                </c:pt>
                <c:pt idx="3256" formatCode="General">
                  <c:v>629</c:v>
                </c:pt>
                <c:pt idx="3257" formatCode="General">
                  <c:v>419</c:v>
                </c:pt>
                <c:pt idx="3258" formatCode="General">
                  <c:v>629</c:v>
                </c:pt>
                <c:pt idx="3259" formatCode="General">
                  <c:v>576</c:v>
                </c:pt>
                <c:pt idx="3260" formatCode="General">
                  <c:v>747</c:v>
                </c:pt>
                <c:pt idx="3261" formatCode="General">
                  <c:v>707</c:v>
                </c:pt>
                <c:pt idx="3262" formatCode="General">
                  <c:v>367</c:v>
                </c:pt>
                <c:pt idx="3263" formatCode="General">
                  <c:v>131</c:v>
                </c:pt>
                <c:pt idx="3264" formatCode="General">
                  <c:v>432</c:v>
                </c:pt>
                <c:pt idx="3265" formatCode="General">
                  <c:v>576</c:v>
                </c:pt>
                <c:pt idx="3266" formatCode="General">
                  <c:v>485</c:v>
                </c:pt>
                <c:pt idx="3267" formatCode="General">
                  <c:v>576</c:v>
                </c:pt>
                <c:pt idx="3268" formatCode="General">
                  <c:v>780</c:v>
                </c:pt>
                <c:pt idx="3269" formatCode="General">
                  <c:v>949</c:v>
                </c:pt>
                <c:pt idx="3270" formatCode="General">
                  <c:v>637</c:v>
                </c:pt>
                <c:pt idx="3271" formatCode="General">
                  <c:v>715</c:v>
                </c:pt>
                <c:pt idx="3272" formatCode="General">
                  <c:v>351</c:v>
                </c:pt>
                <c:pt idx="3273" formatCode="General">
                  <c:v>871</c:v>
                </c:pt>
                <c:pt idx="3274" formatCode="General">
                  <c:v>767</c:v>
                </c:pt>
                <c:pt idx="3275" formatCode="General">
                  <c:v>949</c:v>
                </c:pt>
                <c:pt idx="3276" formatCode="General">
                  <c:v>611</c:v>
                </c:pt>
                <c:pt idx="3277" formatCode="General">
                  <c:v>429</c:v>
                </c:pt>
                <c:pt idx="3278" formatCode="General">
                  <c:v>429</c:v>
                </c:pt>
                <c:pt idx="3279" formatCode="General">
                  <c:v>624</c:v>
                </c:pt>
                <c:pt idx="3280" formatCode="General">
                  <c:v>767</c:v>
                </c:pt>
                <c:pt idx="3281" formatCode="General">
                  <c:v>416</c:v>
                </c:pt>
                <c:pt idx="3282" formatCode="General">
                  <c:v>624</c:v>
                </c:pt>
                <c:pt idx="3283" formatCode="General">
                  <c:v>507</c:v>
                </c:pt>
                <c:pt idx="3284" formatCode="General">
                  <c:v>710</c:v>
                </c:pt>
                <c:pt idx="3285" formatCode="General">
                  <c:v>684</c:v>
                </c:pt>
                <c:pt idx="3286" formatCode="General">
                  <c:v>410</c:v>
                </c:pt>
                <c:pt idx="3287" formatCode="General">
                  <c:v>371</c:v>
                </c:pt>
                <c:pt idx="3288" formatCode="General">
                  <c:v>525</c:v>
                </c:pt>
                <c:pt idx="3289" formatCode="General">
                  <c:v>550</c:v>
                </c:pt>
                <c:pt idx="3290" formatCode="General">
                  <c:v>474</c:v>
                </c:pt>
                <c:pt idx="3291" formatCode="General">
                  <c:v>653</c:v>
                </c:pt>
                <c:pt idx="3292" formatCode="General">
                  <c:v>550</c:v>
                </c:pt>
                <c:pt idx="3293" formatCode="General">
                  <c:v>538</c:v>
                </c:pt>
                <c:pt idx="3294" formatCode="General">
                  <c:v>410</c:v>
                </c:pt>
                <c:pt idx="3295">
                  <c:v>1075</c:v>
                </c:pt>
                <c:pt idx="3296" formatCode="General">
                  <c:v>768</c:v>
                </c:pt>
                <c:pt idx="3297" formatCode="General">
                  <c:v>691</c:v>
                </c:pt>
                <c:pt idx="3298" formatCode="General">
                  <c:v>525</c:v>
                </c:pt>
                <c:pt idx="3299" formatCode="General">
                  <c:v>371</c:v>
                </c:pt>
                <c:pt idx="3300" formatCode="General">
                  <c:v>461</c:v>
                </c:pt>
                <c:pt idx="3301" formatCode="General">
                  <c:v>410</c:v>
                </c:pt>
                <c:pt idx="3302" formatCode="General">
                  <c:v>486</c:v>
                </c:pt>
                <c:pt idx="3303" formatCode="General">
                  <c:v>832</c:v>
                </c:pt>
                <c:pt idx="3304" formatCode="General">
                  <c:v>538</c:v>
                </c:pt>
                <c:pt idx="3305" formatCode="General">
                  <c:v>947</c:v>
                </c:pt>
                <c:pt idx="3306" formatCode="General">
                  <c:v>435</c:v>
                </c:pt>
                <c:pt idx="3307" formatCode="General">
                  <c:v>666</c:v>
                </c:pt>
                <c:pt idx="3308" formatCode="General">
                  <c:v>550</c:v>
                </c:pt>
                <c:pt idx="3309" formatCode="General">
                  <c:v>538</c:v>
                </c:pt>
                <c:pt idx="3310" formatCode="General">
                  <c:v>589</c:v>
                </c:pt>
                <c:pt idx="3311" formatCode="General">
                  <c:v>653</c:v>
                </c:pt>
                <c:pt idx="3312" formatCode="General">
                  <c:v>563</c:v>
                </c:pt>
                <c:pt idx="3313" formatCode="General">
                  <c:v>358</c:v>
                </c:pt>
                <c:pt idx="3314" formatCode="General">
                  <c:v>179</c:v>
                </c:pt>
                <c:pt idx="3315" formatCode="General">
                  <c:v>499</c:v>
                </c:pt>
                <c:pt idx="3316" formatCode="General">
                  <c:v>422</c:v>
                </c:pt>
                <c:pt idx="3317" formatCode="General">
                  <c:v>422</c:v>
                </c:pt>
                <c:pt idx="3318" formatCode="General">
                  <c:v>627</c:v>
                </c:pt>
                <c:pt idx="3319" formatCode="General">
                  <c:v>602</c:v>
                </c:pt>
                <c:pt idx="3320" formatCode="General">
                  <c:v>717</c:v>
                </c:pt>
                <c:pt idx="3321" formatCode="General">
                  <c:v>704</c:v>
                </c:pt>
                <c:pt idx="3322" formatCode="General">
                  <c:v>461</c:v>
                </c:pt>
                <c:pt idx="3323" formatCode="General">
                  <c:v>384</c:v>
                </c:pt>
                <c:pt idx="3324" formatCode="General">
                  <c:v>435</c:v>
                </c:pt>
                <c:pt idx="3325" formatCode="General">
                  <c:v>550</c:v>
                </c:pt>
                <c:pt idx="3326" formatCode="General">
                  <c:v>704</c:v>
                </c:pt>
                <c:pt idx="3327" formatCode="General">
                  <c:v>678</c:v>
                </c:pt>
                <c:pt idx="3328" formatCode="General">
                  <c:v>333</c:v>
                </c:pt>
                <c:pt idx="3329" formatCode="General">
                  <c:v>358</c:v>
                </c:pt>
                <c:pt idx="3330" formatCode="General">
                  <c:v>256</c:v>
                </c:pt>
                <c:pt idx="3331" formatCode="General">
                  <c:v>550</c:v>
                </c:pt>
                <c:pt idx="3332" formatCode="General">
                  <c:v>870</c:v>
                </c:pt>
                <c:pt idx="3333" formatCode="General">
                  <c:v>282</c:v>
                </c:pt>
                <c:pt idx="3334" formatCode="General">
                  <c:v>410</c:v>
                </c:pt>
                <c:pt idx="3335" formatCode="General">
                  <c:v>166</c:v>
                </c:pt>
                <c:pt idx="3336" formatCode="General">
                  <c:v>205</c:v>
                </c:pt>
                <c:pt idx="3337" formatCode="General">
                  <c:v>640</c:v>
                </c:pt>
                <c:pt idx="3338" formatCode="General">
                  <c:v>422</c:v>
                </c:pt>
                <c:pt idx="3339" formatCode="General">
                  <c:v>512</c:v>
                </c:pt>
                <c:pt idx="3340" formatCode="General">
                  <c:v>422</c:v>
                </c:pt>
                <c:pt idx="3341" formatCode="General">
                  <c:v>358</c:v>
                </c:pt>
                <c:pt idx="3342" formatCode="General">
                  <c:v>358</c:v>
                </c:pt>
                <c:pt idx="3343" formatCode="General">
                  <c:v>525</c:v>
                </c:pt>
                <c:pt idx="3344" formatCode="General">
                  <c:v>410</c:v>
                </c:pt>
                <c:pt idx="3345" formatCode="General">
                  <c:v>474</c:v>
                </c:pt>
                <c:pt idx="3346" formatCode="General">
                  <c:v>704</c:v>
                </c:pt>
                <c:pt idx="3347" formatCode="General">
                  <c:v>499</c:v>
                </c:pt>
                <c:pt idx="3348" formatCode="General">
                  <c:v>640</c:v>
                </c:pt>
                <c:pt idx="3349" formatCode="General">
                  <c:v>256</c:v>
                </c:pt>
                <c:pt idx="3350" formatCode="General">
                  <c:v>525</c:v>
                </c:pt>
                <c:pt idx="3351" formatCode="General">
                  <c:v>358</c:v>
                </c:pt>
                <c:pt idx="3352" formatCode="General">
                  <c:v>768</c:v>
                </c:pt>
                <c:pt idx="3353" formatCode="General">
                  <c:v>653</c:v>
                </c:pt>
                <c:pt idx="3354" formatCode="General">
                  <c:v>525</c:v>
                </c:pt>
                <c:pt idx="3355" formatCode="General">
                  <c:v>499</c:v>
                </c:pt>
                <c:pt idx="3356" formatCode="General">
                  <c:v>435</c:v>
                </c:pt>
                <c:pt idx="3357" formatCode="General">
                  <c:v>499</c:v>
                </c:pt>
                <c:pt idx="3358" formatCode="General">
                  <c:v>653</c:v>
                </c:pt>
                <c:pt idx="3359" formatCode="General">
                  <c:v>730</c:v>
                </c:pt>
                <c:pt idx="3360" formatCode="General">
                  <c:v>474</c:v>
                </c:pt>
                <c:pt idx="3361" formatCode="General">
                  <c:v>627</c:v>
                </c:pt>
                <c:pt idx="3362" formatCode="General">
                  <c:v>602</c:v>
                </c:pt>
                <c:pt idx="3363" formatCode="General">
                  <c:v>495</c:v>
                </c:pt>
                <c:pt idx="3364" formatCode="General">
                  <c:v>483</c:v>
                </c:pt>
                <c:pt idx="3365" formatCode="General">
                  <c:v>706</c:v>
                </c:pt>
                <c:pt idx="3366" formatCode="General">
                  <c:v>416</c:v>
                </c:pt>
                <c:pt idx="3367" formatCode="General">
                  <c:v>844</c:v>
                </c:pt>
                <c:pt idx="3368">
                  <c:v>1121</c:v>
                </c:pt>
                <c:pt idx="3369" formatCode="General">
                  <c:v>592</c:v>
                </c:pt>
                <c:pt idx="3370" formatCode="General">
                  <c:v>517</c:v>
                </c:pt>
                <c:pt idx="3371" formatCode="General">
                  <c:v>403</c:v>
                </c:pt>
                <c:pt idx="3372" formatCode="General">
                  <c:v>529</c:v>
                </c:pt>
                <c:pt idx="3373" formatCode="General">
                  <c:v>743</c:v>
                </c:pt>
                <c:pt idx="3374" formatCode="General">
                  <c:v>592</c:v>
                </c:pt>
                <c:pt idx="3375" formatCode="General">
                  <c:v>706</c:v>
                </c:pt>
                <c:pt idx="3376" formatCode="General">
                  <c:v>882</c:v>
                </c:pt>
                <c:pt idx="3377" formatCode="General">
                  <c:v>479</c:v>
                </c:pt>
                <c:pt idx="3378" formatCode="General">
                  <c:v>756</c:v>
                </c:pt>
                <c:pt idx="3379" formatCode="General">
                  <c:v>340</c:v>
                </c:pt>
                <c:pt idx="3380" formatCode="General">
                  <c:v>617</c:v>
                </c:pt>
                <c:pt idx="3381" formatCode="General">
                  <c:v>668</c:v>
                </c:pt>
                <c:pt idx="3382" formatCode="General">
                  <c:v>542</c:v>
                </c:pt>
                <c:pt idx="3383" formatCode="General">
                  <c:v>592</c:v>
                </c:pt>
                <c:pt idx="3384" formatCode="General">
                  <c:v>491</c:v>
                </c:pt>
                <c:pt idx="3385" formatCode="General">
                  <c:v>693</c:v>
                </c:pt>
                <c:pt idx="3386" formatCode="General">
                  <c:v>353</c:v>
                </c:pt>
                <c:pt idx="3387" formatCode="General">
                  <c:v>479</c:v>
                </c:pt>
                <c:pt idx="3388" formatCode="General">
                  <c:v>806</c:v>
                </c:pt>
                <c:pt idx="3389">
                  <c:v>5000</c:v>
                </c:pt>
                <c:pt idx="3390">
                  <c:v>7500</c:v>
                </c:pt>
                <c:pt idx="3391">
                  <c:v>7500</c:v>
                </c:pt>
                <c:pt idx="3392">
                  <c:v>6250</c:v>
                </c:pt>
                <c:pt idx="3393">
                  <c:v>7500</c:v>
                </c:pt>
                <c:pt idx="3394">
                  <c:v>6875</c:v>
                </c:pt>
                <c:pt idx="3395">
                  <c:v>5625</c:v>
                </c:pt>
                <c:pt idx="3396">
                  <c:v>6875</c:v>
                </c:pt>
                <c:pt idx="3397">
                  <c:v>8125</c:v>
                </c:pt>
                <c:pt idx="3398">
                  <c:v>6875</c:v>
                </c:pt>
                <c:pt idx="3399">
                  <c:v>6250</c:v>
                </c:pt>
                <c:pt idx="3400">
                  <c:v>5000</c:v>
                </c:pt>
                <c:pt idx="3401">
                  <c:v>5000</c:v>
                </c:pt>
                <c:pt idx="3402">
                  <c:v>3125</c:v>
                </c:pt>
                <c:pt idx="3403">
                  <c:v>4375</c:v>
                </c:pt>
                <c:pt idx="3404">
                  <c:v>6875</c:v>
                </c:pt>
                <c:pt idx="3405">
                  <c:v>5625</c:v>
                </c:pt>
                <c:pt idx="3406">
                  <c:v>4375</c:v>
                </c:pt>
                <c:pt idx="3407">
                  <c:v>5625</c:v>
                </c:pt>
                <c:pt idx="3408">
                  <c:v>5000</c:v>
                </c:pt>
                <c:pt idx="3409">
                  <c:v>3750</c:v>
                </c:pt>
                <c:pt idx="3410">
                  <c:v>3750</c:v>
                </c:pt>
                <c:pt idx="3411">
                  <c:v>5625</c:v>
                </c:pt>
                <c:pt idx="3412">
                  <c:v>5625</c:v>
                </c:pt>
                <c:pt idx="3413">
                  <c:v>6875</c:v>
                </c:pt>
                <c:pt idx="3414">
                  <c:v>6875</c:v>
                </c:pt>
                <c:pt idx="3415">
                  <c:v>6250</c:v>
                </c:pt>
                <c:pt idx="3416">
                  <c:v>7500</c:v>
                </c:pt>
                <c:pt idx="3417">
                  <c:v>5625</c:v>
                </c:pt>
                <c:pt idx="3418">
                  <c:v>6250</c:v>
                </c:pt>
                <c:pt idx="3419">
                  <c:v>5625</c:v>
                </c:pt>
                <c:pt idx="3420">
                  <c:v>6250</c:v>
                </c:pt>
                <c:pt idx="3421">
                  <c:v>6875</c:v>
                </c:pt>
                <c:pt idx="3422">
                  <c:v>4375</c:v>
                </c:pt>
                <c:pt idx="3423">
                  <c:v>6250</c:v>
                </c:pt>
                <c:pt idx="3424">
                  <c:v>5000</c:v>
                </c:pt>
                <c:pt idx="3425">
                  <c:v>2500</c:v>
                </c:pt>
                <c:pt idx="3426">
                  <c:v>2500</c:v>
                </c:pt>
                <c:pt idx="3427">
                  <c:v>4375</c:v>
                </c:pt>
                <c:pt idx="3428">
                  <c:v>6250</c:v>
                </c:pt>
                <c:pt idx="3429">
                  <c:v>6875</c:v>
                </c:pt>
                <c:pt idx="3430">
                  <c:v>5625</c:v>
                </c:pt>
                <c:pt idx="3431">
                  <c:v>6875</c:v>
                </c:pt>
                <c:pt idx="3432">
                  <c:v>3750</c:v>
                </c:pt>
                <c:pt idx="3433">
                  <c:v>5000</c:v>
                </c:pt>
                <c:pt idx="3434">
                  <c:v>6250</c:v>
                </c:pt>
                <c:pt idx="3435">
                  <c:v>5000</c:v>
                </c:pt>
                <c:pt idx="3436">
                  <c:v>6250</c:v>
                </c:pt>
                <c:pt idx="3437">
                  <c:v>7500</c:v>
                </c:pt>
                <c:pt idx="3438">
                  <c:v>4375</c:v>
                </c:pt>
                <c:pt idx="3439">
                  <c:v>4375</c:v>
                </c:pt>
                <c:pt idx="3440">
                  <c:v>5625</c:v>
                </c:pt>
                <c:pt idx="3441">
                  <c:v>3750</c:v>
                </c:pt>
                <c:pt idx="3442">
                  <c:v>3125</c:v>
                </c:pt>
                <c:pt idx="3443">
                  <c:v>4375</c:v>
                </c:pt>
                <c:pt idx="3444">
                  <c:v>4375</c:v>
                </c:pt>
                <c:pt idx="3445">
                  <c:v>4375</c:v>
                </c:pt>
                <c:pt idx="3446">
                  <c:v>5625</c:v>
                </c:pt>
                <c:pt idx="3447">
                  <c:v>3750</c:v>
                </c:pt>
                <c:pt idx="3448">
                  <c:v>2500</c:v>
                </c:pt>
                <c:pt idx="3449">
                  <c:v>2500</c:v>
                </c:pt>
                <c:pt idx="3450">
                  <c:v>5625</c:v>
                </c:pt>
                <c:pt idx="3451">
                  <c:v>4375</c:v>
                </c:pt>
                <c:pt idx="3452">
                  <c:v>5625</c:v>
                </c:pt>
                <c:pt idx="3453">
                  <c:v>4375</c:v>
                </c:pt>
                <c:pt idx="3454">
                  <c:v>3125</c:v>
                </c:pt>
                <c:pt idx="3455">
                  <c:v>6250</c:v>
                </c:pt>
                <c:pt idx="3456">
                  <c:v>6250</c:v>
                </c:pt>
                <c:pt idx="3457">
                  <c:v>5000</c:v>
                </c:pt>
                <c:pt idx="3458">
                  <c:v>7500</c:v>
                </c:pt>
                <c:pt idx="3459">
                  <c:v>4375</c:v>
                </c:pt>
                <c:pt idx="3460">
                  <c:v>3750</c:v>
                </c:pt>
                <c:pt idx="3461">
                  <c:v>5625</c:v>
                </c:pt>
                <c:pt idx="3462">
                  <c:v>6250</c:v>
                </c:pt>
                <c:pt idx="3463">
                  <c:v>7500</c:v>
                </c:pt>
                <c:pt idx="3464">
                  <c:v>4375</c:v>
                </c:pt>
                <c:pt idx="3465">
                  <c:v>4375</c:v>
                </c:pt>
                <c:pt idx="3466">
                  <c:v>6250</c:v>
                </c:pt>
                <c:pt idx="3467">
                  <c:v>5625</c:v>
                </c:pt>
                <c:pt idx="3468">
                  <c:v>4375</c:v>
                </c:pt>
                <c:pt idx="3469">
                  <c:v>5625</c:v>
                </c:pt>
                <c:pt idx="3470">
                  <c:v>4375</c:v>
                </c:pt>
                <c:pt idx="3471">
                  <c:v>3125</c:v>
                </c:pt>
                <c:pt idx="3472">
                  <c:v>6250</c:v>
                </c:pt>
                <c:pt idx="3473">
                  <c:v>5000</c:v>
                </c:pt>
                <c:pt idx="3474">
                  <c:v>4375</c:v>
                </c:pt>
                <c:pt idx="3475">
                  <c:v>6250</c:v>
                </c:pt>
                <c:pt idx="3476">
                  <c:v>5625</c:v>
                </c:pt>
                <c:pt idx="3477">
                  <c:v>6875</c:v>
                </c:pt>
                <c:pt idx="3478">
                  <c:v>6875</c:v>
                </c:pt>
                <c:pt idx="3479">
                  <c:v>5000</c:v>
                </c:pt>
                <c:pt idx="3480" formatCode="General">
                  <c:v>475</c:v>
                </c:pt>
                <c:pt idx="3481" formatCode="General">
                  <c:v>513</c:v>
                </c:pt>
                <c:pt idx="3482" formatCode="General">
                  <c:v>563</c:v>
                </c:pt>
                <c:pt idx="3483" formatCode="General">
                  <c:v>750</c:v>
                </c:pt>
                <c:pt idx="3484" formatCode="General">
                  <c:v>788</c:v>
                </c:pt>
                <c:pt idx="3485" formatCode="General">
                  <c:v>575</c:v>
                </c:pt>
                <c:pt idx="3486" formatCode="General">
                  <c:v>938</c:v>
                </c:pt>
                <c:pt idx="3487" formatCode="General">
                  <c:v>938</c:v>
                </c:pt>
                <c:pt idx="3488" formatCode="General">
                  <c:v>413</c:v>
                </c:pt>
                <c:pt idx="3489" formatCode="General">
                  <c:v>600</c:v>
                </c:pt>
                <c:pt idx="3490" formatCode="General">
                  <c:v>525</c:v>
                </c:pt>
                <c:pt idx="3491" formatCode="General">
                  <c:v>575</c:v>
                </c:pt>
                <c:pt idx="3492" formatCode="General">
                  <c:v>525</c:v>
                </c:pt>
                <c:pt idx="3493" formatCode="General">
                  <c:v>575</c:v>
                </c:pt>
                <c:pt idx="3494" formatCode="General">
                  <c:v>600</c:v>
                </c:pt>
                <c:pt idx="3495" formatCode="General">
                  <c:v>300</c:v>
                </c:pt>
                <c:pt idx="3496" formatCode="General">
                  <c:v>463</c:v>
                </c:pt>
                <c:pt idx="3497" formatCode="General">
                  <c:v>450</c:v>
                </c:pt>
                <c:pt idx="3498" formatCode="General">
                  <c:v>288</c:v>
                </c:pt>
                <c:pt idx="3499" formatCode="General">
                  <c:v>400</c:v>
                </c:pt>
                <c:pt idx="3500" formatCode="General">
                  <c:v>400</c:v>
                </c:pt>
                <c:pt idx="3501" formatCode="General">
                  <c:v>588</c:v>
                </c:pt>
                <c:pt idx="3502" formatCode="General">
                  <c:v>475</c:v>
                </c:pt>
                <c:pt idx="3503" formatCode="General">
                  <c:v>650</c:v>
                </c:pt>
                <c:pt idx="3504" formatCode="General">
                  <c:v>763</c:v>
                </c:pt>
                <c:pt idx="3505" formatCode="General">
                  <c:v>546</c:v>
                </c:pt>
                <c:pt idx="3506" formatCode="General">
                  <c:v>831</c:v>
                </c:pt>
                <c:pt idx="3507" formatCode="General">
                  <c:v>794</c:v>
                </c:pt>
                <c:pt idx="3508" formatCode="General">
                  <c:v>670</c:v>
                </c:pt>
                <c:pt idx="3509" formatCode="General">
                  <c:v>620</c:v>
                </c:pt>
                <c:pt idx="3510" formatCode="General">
                  <c:v>521</c:v>
                </c:pt>
                <c:pt idx="3511" formatCode="General">
                  <c:v>347</c:v>
                </c:pt>
                <c:pt idx="3512" formatCode="General">
                  <c:v>397</c:v>
                </c:pt>
                <c:pt idx="3513" formatCode="General">
                  <c:v>645</c:v>
                </c:pt>
                <c:pt idx="3514" formatCode="General">
                  <c:v>608</c:v>
                </c:pt>
                <c:pt idx="3515" formatCode="General">
                  <c:v>955</c:v>
                </c:pt>
                <c:pt idx="3516" formatCode="General">
                  <c:v>620</c:v>
                </c:pt>
                <c:pt idx="3517" formatCode="General">
                  <c:v>645</c:v>
                </c:pt>
                <c:pt idx="3518" formatCode="General">
                  <c:v>310</c:v>
                </c:pt>
                <c:pt idx="3519" formatCode="General">
                  <c:v>645</c:v>
                </c:pt>
                <c:pt idx="3520" formatCode="General">
                  <c:v>632</c:v>
                </c:pt>
                <c:pt idx="3521" formatCode="General">
                  <c:v>595</c:v>
                </c:pt>
                <c:pt idx="3522" formatCode="General">
                  <c:v>831</c:v>
                </c:pt>
                <c:pt idx="3523" formatCode="General">
                  <c:v>806</c:v>
                </c:pt>
                <c:pt idx="3524" formatCode="General">
                  <c:v>310</c:v>
                </c:pt>
                <c:pt idx="3525" formatCode="General">
                  <c:v>248</c:v>
                </c:pt>
                <c:pt idx="3526" formatCode="General">
                  <c:v>223</c:v>
                </c:pt>
                <c:pt idx="3527" formatCode="General">
                  <c:v>347</c:v>
                </c:pt>
                <c:pt idx="3528" formatCode="General">
                  <c:v>595</c:v>
                </c:pt>
                <c:pt idx="3529" formatCode="General">
                  <c:v>409</c:v>
                </c:pt>
                <c:pt idx="3530" formatCode="General">
                  <c:v>806</c:v>
                </c:pt>
                <c:pt idx="3531" formatCode="General">
                  <c:v>682</c:v>
                </c:pt>
                <c:pt idx="3532" formatCode="General">
                  <c:v>620</c:v>
                </c:pt>
                <c:pt idx="3533" formatCode="General">
                  <c:v>484</c:v>
                </c:pt>
                <c:pt idx="3534" formatCode="General">
                  <c:v>248</c:v>
                </c:pt>
                <c:pt idx="3535" formatCode="General">
                  <c:v>570</c:v>
                </c:pt>
                <c:pt idx="3536" formatCode="General">
                  <c:v>583</c:v>
                </c:pt>
                <c:pt idx="3537" formatCode="General">
                  <c:v>595</c:v>
                </c:pt>
                <c:pt idx="3538" formatCode="General">
                  <c:v>521</c:v>
                </c:pt>
                <c:pt idx="3539" formatCode="General">
                  <c:v>484</c:v>
                </c:pt>
                <c:pt idx="3540" formatCode="General">
                  <c:v>533</c:v>
                </c:pt>
                <c:pt idx="3541" formatCode="General">
                  <c:v>310</c:v>
                </c:pt>
                <c:pt idx="3542" formatCode="General">
                  <c:v>409</c:v>
                </c:pt>
                <c:pt idx="3543" formatCode="General">
                  <c:v>546</c:v>
                </c:pt>
                <c:pt idx="3544" formatCode="General">
                  <c:v>174</c:v>
                </c:pt>
                <c:pt idx="3545" formatCode="General">
                  <c:v>186</c:v>
                </c:pt>
                <c:pt idx="3546" formatCode="General">
                  <c:v>335</c:v>
                </c:pt>
                <c:pt idx="3547" formatCode="General">
                  <c:v>384</c:v>
                </c:pt>
                <c:pt idx="3548" formatCode="General">
                  <c:v>384</c:v>
                </c:pt>
                <c:pt idx="3549" formatCode="General">
                  <c:v>310</c:v>
                </c:pt>
                <c:pt idx="3550" formatCode="General">
                  <c:v>310</c:v>
                </c:pt>
                <c:pt idx="3551" formatCode="General">
                  <c:v>347</c:v>
                </c:pt>
                <c:pt idx="3552" formatCode="General">
                  <c:v>657</c:v>
                </c:pt>
                <c:pt idx="3553" formatCode="General">
                  <c:v>409</c:v>
                </c:pt>
                <c:pt idx="3554" formatCode="General">
                  <c:v>409</c:v>
                </c:pt>
                <c:pt idx="3555" formatCode="General">
                  <c:v>546</c:v>
                </c:pt>
                <c:pt idx="3556" formatCode="General">
                  <c:v>335</c:v>
                </c:pt>
                <c:pt idx="3557" formatCode="General">
                  <c:v>484</c:v>
                </c:pt>
                <c:pt idx="3558" formatCode="General">
                  <c:v>657</c:v>
                </c:pt>
                <c:pt idx="3559" formatCode="General">
                  <c:v>136</c:v>
                </c:pt>
                <c:pt idx="3560" formatCode="General">
                  <c:v>347</c:v>
                </c:pt>
                <c:pt idx="3561" formatCode="General">
                  <c:v>360</c:v>
                </c:pt>
                <c:pt idx="3562" formatCode="General">
                  <c:v>496</c:v>
                </c:pt>
                <c:pt idx="3563" formatCode="General">
                  <c:v>223</c:v>
                </c:pt>
                <c:pt idx="3564" formatCode="General">
                  <c:v>223</c:v>
                </c:pt>
                <c:pt idx="3565" formatCode="General">
                  <c:v>471</c:v>
                </c:pt>
                <c:pt idx="3566" formatCode="General">
                  <c:v>546</c:v>
                </c:pt>
                <c:pt idx="3567" formatCode="General">
                  <c:v>446</c:v>
                </c:pt>
                <c:pt idx="3568" formatCode="General">
                  <c:v>344</c:v>
                </c:pt>
                <c:pt idx="3569" formatCode="General">
                  <c:v>467</c:v>
                </c:pt>
                <c:pt idx="3570" formatCode="General">
                  <c:v>467</c:v>
                </c:pt>
                <c:pt idx="3571" formatCode="General">
                  <c:v>566</c:v>
                </c:pt>
                <c:pt idx="3572" formatCode="General">
                  <c:v>517</c:v>
                </c:pt>
                <c:pt idx="3573" formatCode="General">
                  <c:v>455</c:v>
                </c:pt>
                <c:pt idx="3574" formatCode="General">
                  <c:v>615</c:v>
                </c:pt>
                <c:pt idx="3575" formatCode="General">
                  <c:v>836</c:v>
                </c:pt>
                <c:pt idx="3576" formatCode="General">
                  <c:v>517</c:v>
                </c:pt>
                <c:pt idx="3577" formatCode="General">
                  <c:v>615</c:v>
                </c:pt>
                <c:pt idx="3578" formatCode="General">
                  <c:v>590</c:v>
                </c:pt>
                <c:pt idx="3579" formatCode="General">
                  <c:v>554</c:v>
                </c:pt>
                <c:pt idx="3580" formatCode="General">
                  <c:v>394</c:v>
                </c:pt>
                <c:pt idx="3581" formatCode="General">
                  <c:v>455</c:v>
                </c:pt>
                <c:pt idx="3582" formatCode="General">
                  <c:v>357</c:v>
                </c:pt>
                <c:pt idx="3583" formatCode="General">
                  <c:v>234</c:v>
                </c:pt>
                <c:pt idx="3584" formatCode="General">
                  <c:v>357</c:v>
                </c:pt>
                <c:pt idx="3585" formatCode="General">
                  <c:v>824</c:v>
                </c:pt>
                <c:pt idx="3586" formatCode="General">
                  <c:v>529</c:v>
                </c:pt>
                <c:pt idx="3587" formatCode="General">
                  <c:v>603</c:v>
                </c:pt>
                <c:pt idx="3588" formatCode="General">
                  <c:v>640</c:v>
                </c:pt>
                <c:pt idx="3589" formatCode="General">
                  <c:v>357</c:v>
                </c:pt>
                <c:pt idx="3590" formatCode="General">
                  <c:v>467</c:v>
                </c:pt>
                <c:pt idx="3591" formatCode="General">
                  <c:v>590</c:v>
                </c:pt>
                <c:pt idx="3592" formatCode="General">
                  <c:v>295</c:v>
                </c:pt>
                <c:pt idx="3593" formatCode="General">
                  <c:v>234</c:v>
                </c:pt>
                <c:pt idx="3594" formatCode="General">
                  <c:v>873</c:v>
                </c:pt>
                <c:pt idx="3595" formatCode="General">
                  <c:v>836</c:v>
                </c:pt>
                <c:pt idx="3596" formatCode="General">
                  <c:v>504</c:v>
                </c:pt>
                <c:pt idx="3597" formatCode="General">
                  <c:v>800</c:v>
                </c:pt>
                <c:pt idx="3598" formatCode="General">
                  <c:v>689</c:v>
                </c:pt>
                <c:pt idx="3599" formatCode="General">
                  <c:v>689</c:v>
                </c:pt>
                <c:pt idx="3600" formatCode="General">
                  <c:v>603</c:v>
                </c:pt>
                <c:pt idx="3601" formatCode="General">
                  <c:v>664</c:v>
                </c:pt>
                <c:pt idx="3602" formatCode="General">
                  <c:v>369</c:v>
                </c:pt>
                <c:pt idx="3603" formatCode="General">
                  <c:v>344</c:v>
                </c:pt>
                <c:pt idx="3604" formatCode="General">
                  <c:v>357</c:v>
                </c:pt>
                <c:pt idx="3605" formatCode="General">
                  <c:v>357</c:v>
                </c:pt>
                <c:pt idx="3606" formatCode="General">
                  <c:v>344</c:v>
                </c:pt>
                <c:pt idx="3607" formatCode="General">
                  <c:v>504</c:v>
                </c:pt>
                <c:pt idx="3608" formatCode="General">
                  <c:v>480</c:v>
                </c:pt>
                <c:pt idx="3609" formatCode="General">
                  <c:v>308</c:v>
                </c:pt>
                <c:pt idx="3610" formatCode="General">
                  <c:v>517</c:v>
                </c:pt>
                <c:pt idx="3611" formatCode="General">
                  <c:v>394</c:v>
                </c:pt>
                <c:pt idx="3612" formatCode="General">
                  <c:v>320</c:v>
                </c:pt>
                <c:pt idx="3613" formatCode="General">
                  <c:v>135</c:v>
                </c:pt>
                <c:pt idx="3614" formatCode="General">
                  <c:v>308</c:v>
                </c:pt>
                <c:pt idx="3615" formatCode="General">
                  <c:v>590</c:v>
                </c:pt>
                <c:pt idx="3616" formatCode="General">
                  <c:v>615</c:v>
                </c:pt>
                <c:pt idx="3617" formatCode="General">
                  <c:v>586</c:v>
                </c:pt>
                <c:pt idx="3618" formatCode="General">
                  <c:v>561</c:v>
                </c:pt>
                <c:pt idx="3619" formatCode="General">
                  <c:v>390</c:v>
                </c:pt>
                <c:pt idx="3620" formatCode="General">
                  <c:v>573</c:v>
                </c:pt>
                <c:pt idx="3621" formatCode="General">
                  <c:v>525</c:v>
                </c:pt>
                <c:pt idx="3622" formatCode="General">
                  <c:v>720</c:v>
                </c:pt>
                <c:pt idx="3623" formatCode="General">
                  <c:v>390</c:v>
                </c:pt>
                <c:pt idx="3624" formatCode="General">
                  <c:v>464</c:v>
                </c:pt>
                <c:pt idx="3625" formatCode="General">
                  <c:v>451</c:v>
                </c:pt>
                <c:pt idx="3626" formatCode="General">
                  <c:v>647</c:v>
                </c:pt>
                <c:pt idx="3627" formatCode="General">
                  <c:v>525</c:v>
                </c:pt>
                <c:pt idx="3628" formatCode="General">
                  <c:v>281</c:v>
                </c:pt>
                <c:pt idx="3629" formatCode="General">
                  <c:v>561</c:v>
                </c:pt>
                <c:pt idx="3630" formatCode="General">
                  <c:v>622</c:v>
                </c:pt>
                <c:pt idx="3631" formatCode="General">
                  <c:v>500</c:v>
                </c:pt>
                <c:pt idx="3632" formatCode="General">
                  <c:v>659</c:v>
                </c:pt>
                <c:pt idx="3633" formatCode="General">
                  <c:v>500</c:v>
                </c:pt>
                <c:pt idx="3634" formatCode="General">
                  <c:v>390</c:v>
                </c:pt>
                <c:pt idx="3635" formatCode="General">
                  <c:v>561</c:v>
                </c:pt>
                <c:pt idx="3636" formatCode="General">
                  <c:v>281</c:v>
                </c:pt>
                <c:pt idx="3637" formatCode="General">
                  <c:v>281</c:v>
                </c:pt>
                <c:pt idx="3638" formatCode="General">
                  <c:v>220</c:v>
                </c:pt>
                <c:pt idx="3639" formatCode="General">
                  <c:v>830</c:v>
                </c:pt>
                <c:pt idx="3640" formatCode="General">
                  <c:v>695</c:v>
                </c:pt>
                <c:pt idx="3641" formatCode="General">
                  <c:v>598</c:v>
                </c:pt>
                <c:pt idx="3642" formatCode="General">
                  <c:v>648</c:v>
                </c:pt>
                <c:pt idx="3643" formatCode="General">
                  <c:v>588</c:v>
                </c:pt>
                <c:pt idx="3644" formatCode="General">
                  <c:v>600</c:v>
                </c:pt>
                <c:pt idx="3645" formatCode="General">
                  <c:v>732</c:v>
                </c:pt>
                <c:pt idx="3646" formatCode="General">
                  <c:v>804</c:v>
                </c:pt>
                <c:pt idx="3647" formatCode="General">
                  <c:v>888</c:v>
                </c:pt>
                <c:pt idx="3648" formatCode="General">
                  <c:v>888</c:v>
                </c:pt>
                <c:pt idx="3649" formatCode="General">
                  <c:v>732</c:v>
                </c:pt>
                <c:pt idx="3650" formatCode="General">
                  <c:v>432</c:v>
                </c:pt>
                <c:pt idx="3651" formatCode="General">
                  <c:v>528</c:v>
                </c:pt>
                <c:pt idx="3652" formatCode="General">
                  <c:v>636</c:v>
                </c:pt>
                <c:pt idx="3653" formatCode="General">
                  <c:v>564</c:v>
                </c:pt>
                <c:pt idx="3654" formatCode="General">
                  <c:v>432</c:v>
                </c:pt>
                <c:pt idx="3655" formatCode="General">
                  <c:v>588</c:v>
                </c:pt>
                <c:pt idx="3656" formatCode="General">
                  <c:v>660</c:v>
                </c:pt>
                <c:pt idx="3657" formatCode="General">
                  <c:v>792</c:v>
                </c:pt>
                <c:pt idx="3658" formatCode="General">
                  <c:v>540</c:v>
                </c:pt>
                <c:pt idx="3659" formatCode="General">
                  <c:v>516</c:v>
                </c:pt>
                <c:pt idx="3660" formatCode="General">
                  <c:v>336</c:v>
                </c:pt>
                <c:pt idx="3661" formatCode="General">
                  <c:v>384</c:v>
                </c:pt>
                <c:pt idx="3662" formatCode="General">
                  <c:v>384</c:v>
                </c:pt>
                <c:pt idx="3663" formatCode="General">
                  <c:v>528</c:v>
                </c:pt>
                <c:pt idx="3664" formatCode="General">
                  <c:v>288</c:v>
                </c:pt>
                <c:pt idx="3665" formatCode="General">
                  <c:v>492</c:v>
                </c:pt>
                <c:pt idx="3666" formatCode="General">
                  <c:v>564</c:v>
                </c:pt>
                <c:pt idx="3667" formatCode="General">
                  <c:v>600</c:v>
                </c:pt>
                <c:pt idx="3668" formatCode="General">
                  <c:v>768</c:v>
                </c:pt>
                <c:pt idx="3669" formatCode="General">
                  <c:v>588</c:v>
                </c:pt>
                <c:pt idx="3670" formatCode="General">
                  <c:v>516</c:v>
                </c:pt>
                <c:pt idx="3671" formatCode="General">
                  <c:v>612</c:v>
                </c:pt>
                <c:pt idx="3672" formatCode="General">
                  <c:v>168</c:v>
                </c:pt>
                <c:pt idx="3673" formatCode="General">
                  <c:v>684</c:v>
                </c:pt>
                <c:pt idx="3674" formatCode="General">
                  <c:v>708</c:v>
                </c:pt>
                <c:pt idx="3675" formatCode="General">
                  <c:v>588</c:v>
                </c:pt>
                <c:pt idx="3676" formatCode="General">
                  <c:v>744</c:v>
                </c:pt>
                <c:pt idx="3677" formatCode="General">
                  <c:v>576</c:v>
                </c:pt>
                <c:pt idx="3678" formatCode="General">
                  <c:v>708</c:v>
                </c:pt>
                <c:pt idx="3679" formatCode="General">
                  <c:v>600</c:v>
                </c:pt>
                <c:pt idx="3680" formatCode="General">
                  <c:v>684</c:v>
                </c:pt>
                <c:pt idx="3681" formatCode="General">
                  <c:v>720</c:v>
                </c:pt>
                <c:pt idx="3682" formatCode="General">
                  <c:v>564</c:v>
                </c:pt>
                <c:pt idx="3683" formatCode="General">
                  <c:v>516</c:v>
                </c:pt>
                <c:pt idx="3684" formatCode="General">
                  <c:v>636</c:v>
                </c:pt>
                <c:pt idx="3685" formatCode="General">
                  <c:v>468</c:v>
                </c:pt>
                <c:pt idx="3686" formatCode="General">
                  <c:v>312</c:v>
                </c:pt>
                <c:pt idx="3687" formatCode="General">
                  <c:v>480</c:v>
                </c:pt>
                <c:pt idx="3688" formatCode="General">
                  <c:v>336</c:v>
                </c:pt>
                <c:pt idx="3689" formatCode="General">
                  <c:v>336</c:v>
                </c:pt>
                <c:pt idx="3690" formatCode="General">
                  <c:v>456</c:v>
                </c:pt>
                <c:pt idx="3691" formatCode="General">
                  <c:v>468</c:v>
                </c:pt>
                <c:pt idx="3692" formatCode="General">
                  <c:v>480</c:v>
                </c:pt>
                <c:pt idx="3693" formatCode="General">
                  <c:v>372</c:v>
                </c:pt>
                <c:pt idx="3694" formatCode="General">
                  <c:v>408</c:v>
                </c:pt>
                <c:pt idx="3695" formatCode="General">
                  <c:v>516</c:v>
                </c:pt>
                <c:pt idx="3696" formatCode="General">
                  <c:v>408</c:v>
                </c:pt>
                <c:pt idx="3697" formatCode="General">
                  <c:v>336</c:v>
                </c:pt>
                <c:pt idx="3698" formatCode="General">
                  <c:v>420</c:v>
                </c:pt>
                <c:pt idx="3699" formatCode="General">
                  <c:v>528</c:v>
                </c:pt>
                <c:pt idx="3700" formatCode="General">
                  <c:v>192</c:v>
                </c:pt>
                <c:pt idx="3701" formatCode="General">
                  <c:v>228</c:v>
                </c:pt>
                <c:pt idx="3702" formatCode="General">
                  <c:v>288</c:v>
                </c:pt>
                <c:pt idx="3703" formatCode="General">
                  <c:v>420</c:v>
                </c:pt>
                <c:pt idx="3704" formatCode="General">
                  <c:v>456</c:v>
                </c:pt>
                <c:pt idx="3705" formatCode="General">
                  <c:v>624</c:v>
                </c:pt>
                <c:pt idx="3706" formatCode="General">
                  <c:v>564</c:v>
                </c:pt>
                <c:pt idx="3707" formatCode="General">
                  <c:v>588</c:v>
                </c:pt>
                <c:pt idx="3708" formatCode="General">
                  <c:v>564</c:v>
                </c:pt>
                <c:pt idx="3709" formatCode="General">
                  <c:v>528</c:v>
                </c:pt>
                <c:pt idx="3710" formatCode="General">
                  <c:v>732</c:v>
                </c:pt>
                <c:pt idx="3711" formatCode="General">
                  <c:v>583</c:v>
                </c:pt>
                <c:pt idx="3712" formatCode="General">
                  <c:v>405</c:v>
                </c:pt>
                <c:pt idx="3713" formatCode="General">
                  <c:v>500</c:v>
                </c:pt>
                <c:pt idx="3714" formatCode="General">
                  <c:v>488</c:v>
                </c:pt>
                <c:pt idx="3715" formatCode="General">
                  <c:v>702</c:v>
                </c:pt>
                <c:pt idx="3716" formatCode="General">
                  <c:v>381</c:v>
                </c:pt>
                <c:pt idx="3717" formatCode="General">
                  <c:v>488</c:v>
                </c:pt>
                <c:pt idx="3718" formatCode="General">
                  <c:v>512</c:v>
                </c:pt>
                <c:pt idx="3719" formatCode="General">
                  <c:v>464</c:v>
                </c:pt>
                <c:pt idx="3720" formatCode="General">
                  <c:v>381</c:v>
                </c:pt>
                <c:pt idx="3721" formatCode="General">
                  <c:v>381</c:v>
                </c:pt>
                <c:pt idx="3722" formatCode="General">
                  <c:v>167</c:v>
                </c:pt>
                <c:pt idx="3723" formatCode="General">
                  <c:v>547</c:v>
                </c:pt>
                <c:pt idx="3724" formatCode="General">
                  <c:v>702</c:v>
                </c:pt>
                <c:pt idx="3725" formatCode="General">
                  <c:v>393</c:v>
                </c:pt>
                <c:pt idx="3726" formatCode="General">
                  <c:v>488</c:v>
                </c:pt>
                <c:pt idx="3727" formatCode="General">
                  <c:v>405</c:v>
                </c:pt>
                <c:pt idx="3728" formatCode="General">
                  <c:v>809</c:v>
                </c:pt>
                <c:pt idx="3729" formatCode="General">
                  <c:v>809</c:v>
                </c:pt>
                <c:pt idx="3730" formatCode="General">
                  <c:v>333</c:v>
                </c:pt>
                <c:pt idx="3731" formatCode="General">
                  <c:v>345</c:v>
                </c:pt>
                <c:pt idx="3732" formatCode="General">
                  <c:v>666</c:v>
                </c:pt>
                <c:pt idx="3733" formatCode="General">
                  <c:v>762</c:v>
                </c:pt>
                <c:pt idx="3734" formatCode="General">
                  <c:v>809</c:v>
                </c:pt>
                <c:pt idx="3735" formatCode="General">
                  <c:v>488</c:v>
                </c:pt>
                <c:pt idx="3736" formatCode="General">
                  <c:v>393</c:v>
                </c:pt>
                <c:pt idx="3737" formatCode="General">
                  <c:v>655</c:v>
                </c:pt>
                <c:pt idx="3738" formatCode="General">
                  <c:v>345</c:v>
                </c:pt>
                <c:pt idx="3739" formatCode="General">
                  <c:v>690</c:v>
                </c:pt>
                <c:pt idx="3740" formatCode="General">
                  <c:v>583</c:v>
                </c:pt>
                <c:pt idx="3741" formatCode="General">
                  <c:v>440</c:v>
                </c:pt>
                <c:pt idx="3742" formatCode="General">
                  <c:v>559</c:v>
                </c:pt>
                <c:pt idx="3743" formatCode="General">
                  <c:v>631</c:v>
                </c:pt>
                <c:pt idx="3744" formatCode="General">
                  <c:v>405</c:v>
                </c:pt>
                <c:pt idx="3745" formatCode="General">
                  <c:v>762</c:v>
                </c:pt>
                <c:pt idx="3746" formatCode="General">
                  <c:v>512</c:v>
                </c:pt>
                <c:pt idx="3747" formatCode="General">
                  <c:v>547</c:v>
                </c:pt>
                <c:pt idx="3748" formatCode="General">
                  <c:v>333</c:v>
                </c:pt>
                <c:pt idx="3749" formatCode="General">
                  <c:v>464</c:v>
                </c:pt>
                <c:pt idx="3750" formatCode="General">
                  <c:v>464</c:v>
                </c:pt>
                <c:pt idx="3751" formatCode="General">
                  <c:v>345</c:v>
                </c:pt>
                <c:pt idx="3752" formatCode="General">
                  <c:v>440</c:v>
                </c:pt>
                <c:pt idx="3753" formatCode="General">
                  <c:v>559</c:v>
                </c:pt>
                <c:pt idx="3754" formatCode="General">
                  <c:v>262</c:v>
                </c:pt>
                <c:pt idx="3755" formatCode="General">
                  <c:v>321</c:v>
                </c:pt>
                <c:pt idx="3756" formatCode="General">
                  <c:v>274</c:v>
                </c:pt>
                <c:pt idx="3757" formatCode="General">
                  <c:v>202</c:v>
                </c:pt>
                <c:pt idx="3758" formatCode="General">
                  <c:v>512</c:v>
                </c:pt>
                <c:pt idx="3759" formatCode="General">
                  <c:v>559</c:v>
                </c:pt>
                <c:pt idx="3760" formatCode="General">
                  <c:v>519</c:v>
                </c:pt>
                <c:pt idx="3761" formatCode="General">
                  <c:v>578</c:v>
                </c:pt>
                <c:pt idx="3762" formatCode="General">
                  <c:v>515</c:v>
                </c:pt>
                <c:pt idx="3763" formatCode="General">
                  <c:v>480</c:v>
                </c:pt>
                <c:pt idx="3764" formatCode="General">
                  <c:v>644</c:v>
                </c:pt>
                <c:pt idx="3765" formatCode="General">
                  <c:v>667</c:v>
                </c:pt>
                <c:pt idx="3766" formatCode="General">
                  <c:v>421</c:v>
                </c:pt>
                <c:pt idx="3767" formatCode="General">
                  <c:v>807</c:v>
                </c:pt>
                <c:pt idx="3768" formatCode="General">
                  <c:v>491</c:v>
                </c:pt>
                <c:pt idx="3769" formatCode="General">
                  <c:v>573</c:v>
                </c:pt>
                <c:pt idx="3770" formatCode="General">
                  <c:v>316</c:v>
                </c:pt>
                <c:pt idx="3771" formatCode="General">
                  <c:v>445</c:v>
                </c:pt>
                <c:pt idx="3772" formatCode="General">
                  <c:v>386</c:v>
                </c:pt>
                <c:pt idx="3773" formatCode="General">
                  <c:v>339</c:v>
                </c:pt>
                <c:pt idx="3774">
                  <c:v>1076</c:v>
                </c:pt>
                <c:pt idx="3775" formatCode="General">
                  <c:v>608</c:v>
                </c:pt>
                <c:pt idx="3776" formatCode="General">
                  <c:v>632</c:v>
                </c:pt>
                <c:pt idx="3777" formatCode="General">
                  <c:v>421</c:v>
                </c:pt>
                <c:pt idx="3778" formatCode="General">
                  <c:v>503</c:v>
                </c:pt>
                <c:pt idx="3779" formatCode="General">
                  <c:v>211</c:v>
                </c:pt>
                <c:pt idx="3780" formatCode="General">
                  <c:v>632</c:v>
                </c:pt>
                <c:pt idx="3781" formatCode="General">
                  <c:v>164</c:v>
                </c:pt>
                <c:pt idx="3782" formatCode="General">
                  <c:v>854</c:v>
                </c:pt>
                <c:pt idx="3783" formatCode="General">
                  <c:v>527</c:v>
                </c:pt>
                <c:pt idx="3784" formatCode="General">
                  <c:v>679</c:v>
                </c:pt>
                <c:pt idx="3785" formatCode="General">
                  <c:v>515</c:v>
                </c:pt>
                <c:pt idx="3786" formatCode="General">
                  <c:v>445</c:v>
                </c:pt>
                <c:pt idx="3787" formatCode="General">
                  <c:v>725</c:v>
                </c:pt>
                <c:pt idx="3788" formatCode="General">
                  <c:v>796</c:v>
                </c:pt>
                <c:pt idx="3789" formatCode="General">
                  <c:v>866</c:v>
                </c:pt>
                <c:pt idx="3790" formatCode="General">
                  <c:v>371</c:v>
                </c:pt>
                <c:pt idx="3791" formatCode="General">
                  <c:v>476</c:v>
                </c:pt>
                <c:pt idx="3792" formatCode="General">
                  <c:v>731</c:v>
                </c:pt>
                <c:pt idx="3793" formatCode="General">
                  <c:v>429</c:v>
                </c:pt>
                <c:pt idx="3794" formatCode="General">
                  <c:v>592</c:v>
                </c:pt>
                <c:pt idx="3795" formatCode="General">
                  <c:v>696</c:v>
                </c:pt>
                <c:pt idx="3796" formatCode="General">
                  <c:v>452</c:v>
                </c:pt>
                <c:pt idx="3797" formatCode="General">
                  <c:v>557</c:v>
                </c:pt>
                <c:pt idx="3798" formatCode="General">
                  <c:v>476</c:v>
                </c:pt>
                <c:pt idx="3799" formatCode="General">
                  <c:v>476</c:v>
                </c:pt>
                <c:pt idx="3800" formatCode="General">
                  <c:v>441</c:v>
                </c:pt>
                <c:pt idx="3801" formatCode="General">
                  <c:v>336</c:v>
                </c:pt>
                <c:pt idx="3802" formatCode="General">
                  <c:v>441</c:v>
                </c:pt>
                <c:pt idx="3803" formatCode="General">
                  <c:v>476</c:v>
                </c:pt>
                <c:pt idx="3804" formatCode="General">
                  <c:v>650</c:v>
                </c:pt>
                <c:pt idx="3805" formatCode="General">
                  <c:v>383</c:v>
                </c:pt>
                <c:pt idx="3806" formatCode="General">
                  <c:v>638</c:v>
                </c:pt>
                <c:pt idx="3807" formatCode="General">
                  <c:v>684</c:v>
                </c:pt>
                <c:pt idx="3808" formatCode="General">
                  <c:v>638</c:v>
                </c:pt>
                <c:pt idx="3809" formatCode="General">
                  <c:v>592</c:v>
                </c:pt>
                <c:pt idx="3810" formatCode="General">
                  <c:v>742</c:v>
                </c:pt>
                <c:pt idx="3811" formatCode="General">
                  <c:v>429</c:v>
                </c:pt>
                <c:pt idx="3812" formatCode="General">
                  <c:v>371</c:v>
                </c:pt>
                <c:pt idx="3813" formatCode="General">
                  <c:v>476</c:v>
                </c:pt>
                <c:pt idx="3814" formatCode="General">
                  <c:v>325</c:v>
                </c:pt>
                <c:pt idx="3815" formatCode="General">
                  <c:v>476</c:v>
                </c:pt>
                <c:pt idx="3816" formatCode="General">
                  <c:v>568</c:v>
                </c:pt>
                <c:pt idx="3817" formatCode="General">
                  <c:v>476</c:v>
                </c:pt>
                <c:pt idx="3818" formatCode="General">
                  <c:v>580</c:v>
                </c:pt>
                <c:pt idx="3819" formatCode="General">
                  <c:v>580</c:v>
                </c:pt>
                <c:pt idx="3820" formatCode="General">
                  <c:v>615</c:v>
                </c:pt>
                <c:pt idx="3821" formatCode="General">
                  <c:v>905</c:v>
                </c:pt>
                <c:pt idx="3822" formatCode="General">
                  <c:v>580</c:v>
                </c:pt>
                <c:pt idx="3823" formatCode="General">
                  <c:v>534</c:v>
                </c:pt>
                <c:pt idx="3824" formatCode="General">
                  <c:v>267</c:v>
                </c:pt>
                <c:pt idx="3825" formatCode="General">
                  <c:v>174</c:v>
                </c:pt>
                <c:pt idx="3826" formatCode="General">
                  <c:v>406</c:v>
                </c:pt>
                <c:pt idx="3827" formatCode="General">
                  <c:v>545</c:v>
                </c:pt>
                <c:pt idx="3828" formatCode="General">
                  <c:v>313</c:v>
                </c:pt>
                <c:pt idx="3829" formatCode="General">
                  <c:v>232</c:v>
                </c:pt>
                <c:pt idx="3830" formatCode="General">
                  <c:v>406</c:v>
                </c:pt>
                <c:pt idx="3831" formatCode="General">
                  <c:v>360</c:v>
                </c:pt>
                <c:pt idx="3832" formatCode="General">
                  <c:v>441</c:v>
                </c:pt>
                <c:pt idx="3833" formatCode="General">
                  <c:v>418</c:v>
                </c:pt>
                <c:pt idx="3834" formatCode="General">
                  <c:v>383</c:v>
                </c:pt>
                <c:pt idx="3835" formatCode="General">
                  <c:v>650</c:v>
                </c:pt>
                <c:pt idx="3836" formatCode="General">
                  <c:v>232</c:v>
                </c:pt>
                <c:pt idx="3837" formatCode="General">
                  <c:v>278</c:v>
                </c:pt>
                <c:pt idx="3838" formatCode="General">
                  <c:v>325</c:v>
                </c:pt>
                <c:pt idx="3839" formatCode="General">
                  <c:v>429</c:v>
                </c:pt>
                <c:pt idx="3840" formatCode="General">
                  <c:v>128</c:v>
                </c:pt>
                <c:pt idx="3841" formatCode="General">
                  <c:v>383</c:v>
                </c:pt>
                <c:pt idx="3842" formatCode="General">
                  <c:v>499</c:v>
                </c:pt>
                <c:pt idx="3843" formatCode="General">
                  <c:v>139</c:v>
                </c:pt>
                <c:pt idx="3844" formatCode="General">
                  <c:v>603</c:v>
                </c:pt>
                <c:pt idx="3845" formatCode="General">
                  <c:v>499</c:v>
                </c:pt>
                <c:pt idx="3846" formatCode="General">
                  <c:v>394</c:v>
                </c:pt>
                <c:pt idx="3847" formatCode="General">
                  <c:v>499</c:v>
                </c:pt>
                <c:pt idx="3848" formatCode="General">
                  <c:v>568</c:v>
                </c:pt>
                <c:pt idx="3849" formatCode="General">
                  <c:v>644</c:v>
                </c:pt>
                <c:pt idx="3850" formatCode="General">
                  <c:v>449</c:v>
                </c:pt>
                <c:pt idx="3851" formatCode="General">
                  <c:v>782</c:v>
                </c:pt>
                <c:pt idx="3852" formatCode="General">
                  <c:v>667</c:v>
                </c:pt>
                <c:pt idx="3853" formatCode="General">
                  <c:v>690</c:v>
                </c:pt>
                <c:pt idx="3854" formatCode="General">
                  <c:v>978</c:v>
                </c:pt>
                <c:pt idx="3855" formatCode="General">
                  <c:v>472</c:v>
                </c:pt>
                <c:pt idx="3856" formatCode="General">
                  <c:v>437</c:v>
                </c:pt>
                <c:pt idx="3857" formatCode="General">
                  <c:v>679</c:v>
                </c:pt>
                <c:pt idx="3858" formatCode="General">
                  <c:v>161</c:v>
                </c:pt>
                <c:pt idx="3859" formatCode="General">
                  <c:v>219</c:v>
                </c:pt>
                <c:pt idx="3860" formatCode="General">
                  <c:v>265</c:v>
                </c:pt>
                <c:pt idx="3861" formatCode="General">
                  <c:v>506</c:v>
                </c:pt>
                <c:pt idx="3862" formatCode="General">
                  <c:v>794</c:v>
                </c:pt>
                <c:pt idx="3863" formatCode="General">
                  <c:v>633</c:v>
                </c:pt>
                <c:pt idx="3864" formatCode="General">
                  <c:v>621</c:v>
                </c:pt>
                <c:pt idx="3865" formatCode="General">
                  <c:v>575</c:v>
                </c:pt>
                <c:pt idx="3866" formatCode="General">
                  <c:v>437</c:v>
                </c:pt>
                <c:pt idx="3867" formatCode="General">
                  <c:v>219</c:v>
                </c:pt>
                <c:pt idx="3868" formatCode="General">
                  <c:v>679</c:v>
                </c:pt>
                <c:pt idx="3869" formatCode="General">
                  <c:v>621</c:v>
                </c:pt>
                <c:pt idx="3870" formatCode="General">
                  <c:v>472</c:v>
                </c:pt>
                <c:pt idx="3871" formatCode="General">
                  <c:v>391</c:v>
                </c:pt>
                <c:pt idx="3872" formatCode="General">
                  <c:v>587</c:v>
                </c:pt>
                <c:pt idx="3873" formatCode="General">
                  <c:v>748</c:v>
                </c:pt>
                <c:pt idx="3874" formatCode="General">
                  <c:v>679</c:v>
                </c:pt>
                <c:pt idx="3875" formatCode="General">
                  <c:v>353</c:v>
                </c:pt>
                <c:pt idx="3876" formatCode="General">
                  <c:v>479</c:v>
                </c:pt>
                <c:pt idx="3877" formatCode="General">
                  <c:v>467</c:v>
                </c:pt>
                <c:pt idx="3878" formatCode="General">
                  <c:v>182</c:v>
                </c:pt>
                <c:pt idx="3879" formatCode="General">
                  <c:v>536</c:v>
                </c:pt>
                <c:pt idx="3880" formatCode="General">
                  <c:v>388</c:v>
                </c:pt>
                <c:pt idx="3881" formatCode="General">
                  <c:v>467</c:v>
                </c:pt>
                <c:pt idx="3882" formatCode="General">
                  <c:v>388</c:v>
                </c:pt>
                <c:pt idx="3883" formatCode="General">
                  <c:v>365</c:v>
                </c:pt>
                <c:pt idx="3884" formatCode="General">
                  <c:v>513</c:v>
                </c:pt>
                <c:pt idx="3885" formatCode="General">
                  <c:v>365</c:v>
                </c:pt>
                <c:pt idx="3886" formatCode="General">
                  <c:v>410</c:v>
                </c:pt>
                <c:pt idx="3887" formatCode="General">
                  <c:v>445</c:v>
                </c:pt>
                <c:pt idx="3888" formatCode="General">
                  <c:v>536</c:v>
                </c:pt>
                <c:pt idx="3889" formatCode="General">
                  <c:v>479</c:v>
                </c:pt>
                <c:pt idx="3890" formatCode="General">
                  <c:v>581</c:v>
                </c:pt>
                <c:pt idx="3891" formatCode="General">
                  <c:v>490</c:v>
                </c:pt>
                <c:pt idx="3892" formatCode="General">
                  <c:v>520</c:v>
                </c:pt>
                <c:pt idx="3893" formatCode="General">
                  <c:v>746</c:v>
                </c:pt>
                <c:pt idx="3894" formatCode="General">
                  <c:v>836</c:v>
                </c:pt>
                <c:pt idx="3895" formatCode="General">
                  <c:v>689</c:v>
                </c:pt>
                <c:pt idx="3896" formatCode="General">
                  <c:v>678</c:v>
                </c:pt>
                <c:pt idx="3897" formatCode="General">
                  <c:v>701</c:v>
                </c:pt>
                <c:pt idx="3898" formatCode="General">
                  <c:v>633</c:v>
                </c:pt>
                <c:pt idx="3899" formatCode="General">
                  <c:v>486</c:v>
                </c:pt>
                <c:pt idx="3900" formatCode="General">
                  <c:v>407</c:v>
                </c:pt>
                <c:pt idx="3901" formatCode="General">
                  <c:v>576</c:v>
                </c:pt>
                <c:pt idx="3902" formatCode="General">
                  <c:v>576</c:v>
                </c:pt>
                <c:pt idx="3903" formatCode="General">
                  <c:v>203</c:v>
                </c:pt>
                <c:pt idx="3904" formatCode="General">
                  <c:v>655</c:v>
                </c:pt>
                <c:pt idx="3905" formatCode="General">
                  <c:v>768</c:v>
                </c:pt>
                <c:pt idx="3906" formatCode="General">
                  <c:v>463</c:v>
                </c:pt>
                <c:pt idx="3907" formatCode="General">
                  <c:v>938</c:v>
                </c:pt>
                <c:pt idx="3908" formatCode="General">
                  <c:v>576</c:v>
                </c:pt>
                <c:pt idx="3909" formatCode="General">
                  <c:v>305</c:v>
                </c:pt>
                <c:pt idx="3910" formatCode="General">
                  <c:v>520</c:v>
                </c:pt>
                <c:pt idx="3911" formatCode="General">
                  <c:v>588</c:v>
                </c:pt>
                <c:pt idx="3912" formatCode="General">
                  <c:v>588</c:v>
                </c:pt>
                <c:pt idx="3913" formatCode="General">
                  <c:v>215</c:v>
                </c:pt>
                <c:pt idx="3914" formatCode="General">
                  <c:v>260</c:v>
                </c:pt>
                <c:pt idx="3915" formatCode="General">
                  <c:v>362</c:v>
                </c:pt>
                <c:pt idx="3916" formatCode="General">
                  <c:v>328</c:v>
                </c:pt>
                <c:pt idx="3917" formatCode="General">
                  <c:v>215</c:v>
                </c:pt>
                <c:pt idx="3918" formatCode="General">
                  <c:v>486</c:v>
                </c:pt>
                <c:pt idx="3919" formatCode="General">
                  <c:v>328</c:v>
                </c:pt>
                <c:pt idx="3920" formatCode="General">
                  <c:v>316</c:v>
                </c:pt>
                <c:pt idx="3921" formatCode="General">
                  <c:v>328</c:v>
                </c:pt>
                <c:pt idx="3922" formatCode="General">
                  <c:v>429</c:v>
                </c:pt>
                <c:pt idx="3923" formatCode="General">
                  <c:v>599</c:v>
                </c:pt>
                <c:pt idx="3924" formatCode="General">
                  <c:v>610</c:v>
                </c:pt>
                <c:pt idx="3925" formatCode="General">
                  <c:v>463</c:v>
                </c:pt>
                <c:pt idx="3926" formatCode="General">
                  <c:v>735</c:v>
                </c:pt>
                <c:pt idx="3927" formatCode="General">
                  <c:v>554</c:v>
                </c:pt>
                <c:pt idx="3928" formatCode="General">
                  <c:v>599</c:v>
                </c:pt>
                <c:pt idx="3929" formatCode="General">
                  <c:v>418</c:v>
                </c:pt>
                <c:pt idx="3930" formatCode="General">
                  <c:v>271</c:v>
                </c:pt>
                <c:pt idx="3931" formatCode="General">
                  <c:v>429</c:v>
                </c:pt>
                <c:pt idx="3932" formatCode="General">
                  <c:v>542</c:v>
                </c:pt>
                <c:pt idx="3933" formatCode="General">
                  <c:v>576</c:v>
                </c:pt>
                <c:pt idx="3934" formatCode="General">
                  <c:v>531</c:v>
                </c:pt>
                <c:pt idx="3935" formatCode="General">
                  <c:v>588</c:v>
                </c:pt>
                <c:pt idx="3936" formatCode="General">
                  <c:v>429</c:v>
                </c:pt>
                <c:pt idx="3937" formatCode="General">
                  <c:v>316</c:v>
                </c:pt>
                <c:pt idx="3938" formatCode="General">
                  <c:v>305</c:v>
                </c:pt>
                <c:pt idx="3939" formatCode="General">
                  <c:v>486</c:v>
                </c:pt>
                <c:pt idx="3940" formatCode="General">
                  <c:v>588</c:v>
                </c:pt>
                <c:pt idx="3941" formatCode="General">
                  <c:v>622</c:v>
                </c:pt>
                <c:pt idx="3942" formatCode="General">
                  <c:v>667</c:v>
                </c:pt>
                <c:pt idx="3943" formatCode="General">
                  <c:v>701</c:v>
                </c:pt>
                <c:pt idx="3944" formatCode="General">
                  <c:v>622</c:v>
                </c:pt>
                <c:pt idx="3945" formatCode="General">
                  <c:v>294</c:v>
                </c:pt>
                <c:pt idx="3946" formatCode="General">
                  <c:v>531</c:v>
                </c:pt>
                <c:pt idx="3947" formatCode="General">
                  <c:v>271</c:v>
                </c:pt>
                <c:pt idx="3948" formatCode="General">
                  <c:v>644</c:v>
                </c:pt>
                <c:pt idx="3949" formatCode="General">
                  <c:v>407</c:v>
                </c:pt>
                <c:pt idx="3950" formatCode="General">
                  <c:v>418</c:v>
                </c:pt>
                <c:pt idx="3951" formatCode="General">
                  <c:v>407</c:v>
                </c:pt>
                <c:pt idx="3952" formatCode="General">
                  <c:v>452</c:v>
                </c:pt>
                <c:pt idx="3953" formatCode="General">
                  <c:v>429</c:v>
                </c:pt>
                <c:pt idx="3954" formatCode="General">
                  <c:v>418</c:v>
                </c:pt>
                <c:pt idx="3955" formatCode="General">
                  <c:v>418</c:v>
                </c:pt>
                <c:pt idx="3956" formatCode="General">
                  <c:v>441</c:v>
                </c:pt>
                <c:pt idx="3957" formatCode="General">
                  <c:v>616</c:v>
                </c:pt>
                <c:pt idx="3958" formatCode="General">
                  <c:v>650</c:v>
                </c:pt>
                <c:pt idx="3959" formatCode="General">
                  <c:v>773</c:v>
                </c:pt>
                <c:pt idx="3960" formatCode="General">
                  <c:v>538</c:v>
                </c:pt>
                <c:pt idx="3961" formatCode="General">
                  <c:v>750</c:v>
                </c:pt>
                <c:pt idx="3962" formatCode="General">
                  <c:v>470</c:v>
                </c:pt>
                <c:pt idx="3963" formatCode="General">
                  <c:v>627</c:v>
                </c:pt>
                <c:pt idx="3964" formatCode="General">
                  <c:v>258</c:v>
                </c:pt>
                <c:pt idx="3965" formatCode="General">
                  <c:v>426</c:v>
                </c:pt>
                <c:pt idx="3966" formatCode="General">
                  <c:v>616</c:v>
                </c:pt>
                <c:pt idx="3967" formatCode="General">
                  <c:v>672</c:v>
                </c:pt>
                <c:pt idx="3968" formatCode="General">
                  <c:v>616</c:v>
                </c:pt>
                <c:pt idx="3969" formatCode="General">
                  <c:v>370</c:v>
                </c:pt>
                <c:pt idx="3970" formatCode="General">
                  <c:v>538</c:v>
                </c:pt>
                <c:pt idx="3971" formatCode="General">
                  <c:v>202</c:v>
                </c:pt>
                <c:pt idx="3972" formatCode="General">
                  <c:v>269</c:v>
                </c:pt>
                <c:pt idx="3973" formatCode="General">
                  <c:v>269</c:v>
                </c:pt>
                <c:pt idx="3974" formatCode="General">
                  <c:v>302</c:v>
                </c:pt>
                <c:pt idx="3975" formatCode="General">
                  <c:v>426</c:v>
                </c:pt>
                <c:pt idx="3976" formatCode="General">
                  <c:v>482</c:v>
                </c:pt>
                <c:pt idx="3977" formatCode="General">
                  <c:v>549</c:v>
                </c:pt>
                <c:pt idx="3978" formatCode="General">
                  <c:v>381</c:v>
                </c:pt>
                <c:pt idx="3979" formatCode="General">
                  <c:v>582</c:v>
                </c:pt>
                <c:pt idx="3980" formatCode="General">
                  <c:v>571</c:v>
                </c:pt>
                <c:pt idx="3981" formatCode="General">
                  <c:v>582</c:v>
                </c:pt>
                <c:pt idx="3982" formatCode="General">
                  <c:v>414</c:v>
                </c:pt>
                <c:pt idx="3983" formatCode="General">
                  <c:v>325</c:v>
                </c:pt>
                <c:pt idx="3984" formatCode="General">
                  <c:v>717</c:v>
                </c:pt>
                <c:pt idx="3985" formatCode="General">
                  <c:v>762</c:v>
                </c:pt>
                <c:pt idx="3986" formatCode="General">
                  <c:v>482</c:v>
                </c:pt>
                <c:pt idx="3987" formatCode="General">
                  <c:v>459</c:v>
                </c:pt>
                <c:pt idx="3988" formatCode="General">
                  <c:v>560</c:v>
                </c:pt>
                <c:pt idx="3989" formatCode="General">
                  <c:v>538</c:v>
                </c:pt>
                <c:pt idx="3990" formatCode="General">
                  <c:v>750</c:v>
                </c:pt>
                <c:pt idx="3991" formatCode="General">
                  <c:v>728</c:v>
                </c:pt>
                <c:pt idx="3992" formatCode="General">
                  <c:v>482</c:v>
                </c:pt>
                <c:pt idx="3993" formatCode="General">
                  <c:v>459</c:v>
                </c:pt>
                <c:pt idx="3994" formatCode="General">
                  <c:v>437</c:v>
                </c:pt>
                <c:pt idx="3995" formatCode="General">
                  <c:v>291</c:v>
                </c:pt>
                <c:pt idx="3996" formatCode="General">
                  <c:v>392</c:v>
                </c:pt>
                <c:pt idx="3997" formatCode="General">
                  <c:v>448</c:v>
                </c:pt>
                <c:pt idx="3998" formatCode="General">
                  <c:v>627</c:v>
                </c:pt>
                <c:pt idx="3999" formatCode="General">
                  <c:v>190</c:v>
                </c:pt>
                <c:pt idx="4000" formatCode="General">
                  <c:v>90</c:v>
                </c:pt>
                <c:pt idx="4001" formatCode="General">
                  <c:v>224</c:v>
                </c:pt>
                <c:pt idx="4002" formatCode="General">
                  <c:v>157</c:v>
                </c:pt>
                <c:pt idx="4003" formatCode="General">
                  <c:v>157</c:v>
                </c:pt>
                <c:pt idx="4004" formatCode="General">
                  <c:v>370</c:v>
                </c:pt>
                <c:pt idx="4005" formatCode="General">
                  <c:v>403</c:v>
                </c:pt>
                <c:pt idx="4006" formatCode="General">
                  <c:v>455</c:v>
                </c:pt>
                <c:pt idx="4007" formatCode="General">
                  <c:v>488</c:v>
                </c:pt>
                <c:pt idx="4008" formatCode="General">
                  <c:v>644</c:v>
                </c:pt>
                <c:pt idx="4009" formatCode="General">
                  <c:v>422</c:v>
                </c:pt>
                <c:pt idx="4010" formatCode="General">
                  <c:v>799</c:v>
                </c:pt>
                <c:pt idx="4011" formatCode="General">
                  <c:v>488</c:v>
                </c:pt>
                <c:pt idx="4012" formatCode="General">
                  <c:v>366</c:v>
                </c:pt>
                <c:pt idx="4013" formatCode="General">
                  <c:v>533</c:v>
                </c:pt>
                <c:pt idx="4014" formatCode="General">
                  <c:v>655</c:v>
                </c:pt>
                <c:pt idx="4015" formatCode="General">
                  <c:v>544</c:v>
                </c:pt>
                <c:pt idx="4016" formatCode="General">
                  <c:v>544</c:v>
                </c:pt>
                <c:pt idx="4017" formatCode="General">
                  <c:v>733</c:v>
                </c:pt>
                <c:pt idx="4018" formatCode="General">
                  <c:v>810</c:v>
                </c:pt>
                <c:pt idx="4019" formatCode="General">
                  <c:v>422</c:v>
                </c:pt>
                <c:pt idx="4020" formatCode="General">
                  <c:v>755</c:v>
                </c:pt>
                <c:pt idx="4021" formatCode="General">
                  <c:v>400</c:v>
                </c:pt>
                <c:pt idx="4022" formatCode="General">
                  <c:v>611</c:v>
                </c:pt>
                <c:pt idx="4023" formatCode="General">
                  <c:v>455</c:v>
                </c:pt>
                <c:pt idx="4024" formatCode="General">
                  <c:v>644</c:v>
                </c:pt>
                <c:pt idx="4025" formatCode="General">
                  <c:v>599</c:v>
                </c:pt>
                <c:pt idx="4026" formatCode="General">
                  <c:v>311</c:v>
                </c:pt>
                <c:pt idx="4027" formatCode="General">
                  <c:v>311</c:v>
                </c:pt>
                <c:pt idx="4028" formatCode="General">
                  <c:v>488</c:v>
                </c:pt>
                <c:pt idx="4029" formatCode="General">
                  <c:v>566</c:v>
                </c:pt>
                <c:pt idx="4030" formatCode="General">
                  <c:v>666</c:v>
                </c:pt>
                <c:pt idx="4031" formatCode="General">
                  <c:v>377</c:v>
                </c:pt>
                <c:pt idx="4032" formatCode="General">
                  <c:v>355</c:v>
                </c:pt>
                <c:pt idx="4033" formatCode="General">
                  <c:v>500</c:v>
                </c:pt>
                <c:pt idx="4034" formatCode="General">
                  <c:v>222</c:v>
                </c:pt>
                <c:pt idx="4035" formatCode="General">
                  <c:v>78</c:v>
                </c:pt>
                <c:pt idx="4036" formatCode="General">
                  <c:v>311</c:v>
                </c:pt>
                <c:pt idx="4037" formatCode="General">
                  <c:v>544</c:v>
                </c:pt>
                <c:pt idx="4038" formatCode="General">
                  <c:v>344</c:v>
                </c:pt>
                <c:pt idx="4039" formatCode="General">
                  <c:v>444</c:v>
                </c:pt>
                <c:pt idx="4040" formatCode="General">
                  <c:v>255</c:v>
                </c:pt>
                <c:pt idx="4041" formatCode="General">
                  <c:v>355</c:v>
                </c:pt>
                <c:pt idx="4042" formatCode="General">
                  <c:v>200</c:v>
                </c:pt>
                <c:pt idx="4043" formatCode="General">
                  <c:v>244</c:v>
                </c:pt>
                <c:pt idx="4044" formatCode="General">
                  <c:v>355</c:v>
                </c:pt>
                <c:pt idx="4045" formatCode="General">
                  <c:v>322</c:v>
                </c:pt>
                <c:pt idx="4046" formatCode="General">
                  <c:v>344</c:v>
                </c:pt>
                <c:pt idx="4047" formatCode="General">
                  <c:v>566</c:v>
                </c:pt>
                <c:pt idx="4048" formatCode="General">
                  <c:v>466</c:v>
                </c:pt>
                <c:pt idx="4049" formatCode="General">
                  <c:v>433</c:v>
                </c:pt>
                <c:pt idx="4050" formatCode="General">
                  <c:v>589</c:v>
                </c:pt>
                <c:pt idx="4051" formatCode="General">
                  <c:v>447</c:v>
                </c:pt>
                <c:pt idx="4052" formatCode="General">
                  <c:v>360</c:v>
                </c:pt>
                <c:pt idx="4053" formatCode="General">
                  <c:v>469</c:v>
                </c:pt>
                <c:pt idx="4054" formatCode="General">
                  <c:v>785</c:v>
                </c:pt>
                <c:pt idx="4055" formatCode="General">
                  <c:v>305</c:v>
                </c:pt>
                <c:pt idx="4056" formatCode="General">
                  <c:v>349</c:v>
                </c:pt>
                <c:pt idx="4057" formatCode="General">
                  <c:v>349</c:v>
                </c:pt>
                <c:pt idx="4058" formatCode="General">
                  <c:v>251</c:v>
                </c:pt>
                <c:pt idx="4059" formatCode="General">
                  <c:v>556</c:v>
                </c:pt>
                <c:pt idx="4060" formatCode="General">
                  <c:v>273</c:v>
                </c:pt>
                <c:pt idx="4061" formatCode="General">
                  <c:v>545</c:v>
                </c:pt>
                <c:pt idx="4062" formatCode="General">
                  <c:v>589</c:v>
                </c:pt>
                <c:pt idx="4063" formatCode="General">
                  <c:v>305</c:v>
                </c:pt>
                <c:pt idx="4064" formatCode="General">
                  <c:v>403</c:v>
                </c:pt>
                <c:pt idx="4065" formatCode="General">
                  <c:v>436</c:v>
                </c:pt>
                <c:pt idx="4066" formatCode="General">
                  <c:v>207</c:v>
                </c:pt>
                <c:pt idx="4067" formatCode="General">
                  <c:v>251</c:v>
                </c:pt>
                <c:pt idx="4068" formatCode="General">
                  <c:v>262</c:v>
                </c:pt>
                <c:pt idx="4069" formatCode="General">
                  <c:v>392</c:v>
                </c:pt>
                <c:pt idx="4070" formatCode="General">
                  <c:v>403</c:v>
                </c:pt>
                <c:pt idx="4071" formatCode="General">
                  <c:v>316</c:v>
                </c:pt>
                <c:pt idx="4072" formatCode="General">
                  <c:v>458</c:v>
                </c:pt>
                <c:pt idx="4073" formatCode="General">
                  <c:v>469</c:v>
                </c:pt>
                <c:pt idx="4074" formatCode="General">
                  <c:v>469</c:v>
                </c:pt>
                <c:pt idx="4075" formatCode="General">
                  <c:v>501</c:v>
                </c:pt>
                <c:pt idx="4076" formatCode="General">
                  <c:v>218</c:v>
                </c:pt>
                <c:pt idx="4077" formatCode="General">
                  <c:v>360</c:v>
                </c:pt>
                <c:pt idx="4078" formatCode="General">
                  <c:v>469</c:v>
                </c:pt>
                <c:pt idx="4079" formatCode="General">
                  <c:v>842</c:v>
                </c:pt>
                <c:pt idx="4080" formatCode="General">
                  <c:v>605</c:v>
                </c:pt>
                <c:pt idx="4081" formatCode="General">
                  <c:v>648</c:v>
                </c:pt>
                <c:pt idx="4082" formatCode="General">
                  <c:v>821</c:v>
                </c:pt>
                <c:pt idx="4083" formatCode="General">
                  <c:v>637</c:v>
                </c:pt>
                <c:pt idx="4084" formatCode="General">
                  <c:v>626</c:v>
                </c:pt>
                <c:pt idx="4085" formatCode="General">
                  <c:v>356</c:v>
                </c:pt>
                <c:pt idx="4086" formatCode="General">
                  <c:v>508</c:v>
                </c:pt>
                <c:pt idx="4087" formatCode="General">
                  <c:v>518</c:v>
                </c:pt>
                <c:pt idx="4088" formatCode="General">
                  <c:v>205</c:v>
                </c:pt>
                <c:pt idx="4089" formatCode="General">
                  <c:v>367</c:v>
                </c:pt>
                <c:pt idx="4090" formatCode="General">
                  <c:v>216</c:v>
                </c:pt>
                <c:pt idx="4091" formatCode="General">
                  <c:v>421</c:v>
                </c:pt>
                <c:pt idx="4092" formatCode="General">
                  <c:v>929</c:v>
                </c:pt>
                <c:pt idx="4093" formatCode="General">
                  <c:v>540</c:v>
                </c:pt>
                <c:pt idx="4094" formatCode="General">
                  <c:v>562</c:v>
                </c:pt>
                <c:pt idx="4095" formatCode="General">
                  <c:v>421</c:v>
                </c:pt>
                <c:pt idx="4096" formatCode="General">
                  <c:v>313</c:v>
                </c:pt>
                <c:pt idx="4097" formatCode="General">
                  <c:v>529</c:v>
                </c:pt>
                <c:pt idx="4098" formatCode="General">
                  <c:v>637</c:v>
                </c:pt>
                <c:pt idx="4099" formatCode="General">
                  <c:v>518</c:v>
                </c:pt>
                <c:pt idx="4100" formatCode="General">
                  <c:v>670</c:v>
                </c:pt>
                <c:pt idx="4101" formatCode="General">
                  <c:v>278</c:v>
                </c:pt>
                <c:pt idx="4102" formatCode="General">
                  <c:v>514</c:v>
                </c:pt>
                <c:pt idx="4103" formatCode="General">
                  <c:v>417</c:v>
                </c:pt>
                <c:pt idx="4104" formatCode="General">
                  <c:v>321</c:v>
                </c:pt>
                <c:pt idx="4105" formatCode="General">
                  <c:v>107</c:v>
                </c:pt>
                <c:pt idx="4106" formatCode="General">
                  <c:v>150</c:v>
                </c:pt>
                <c:pt idx="4107" formatCode="General">
                  <c:v>385</c:v>
                </c:pt>
                <c:pt idx="4108" formatCode="General">
                  <c:v>396</c:v>
                </c:pt>
                <c:pt idx="4109" formatCode="General">
                  <c:v>503</c:v>
                </c:pt>
                <c:pt idx="4110" formatCode="General">
                  <c:v>150</c:v>
                </c:pt>
                <c:pt idx="4111" formatCode="General">
                  <c:v>289</c:v>
                </c:pt>
                <c:pt idx="4112" formatCode="General">
                  <c:v>385</c:v>
                </c:pt>
                <c:pt idx="4113" formatCode="General">
                  <c:v>385</c:v>
                </c:pt>
                <c:pt idx="4114" formatCode="General">
                  <c:v>385</c:v>
                </c:pt>
                <c:pt idx="4115" formatCode="General">
                  <c:v>375</c:v>
                </c:pt>
                <c:pt idx="4116" formatCode="General">
                  <c:v>417</c:v>
                </c:pt>
                <c:pt idx="4117" formatCode="General">
                  <c:v>488</c:v>
                </c:pt>
                <c:pt idx="4118" formatCode="General">
                  <c:v>583</c:v>
                </c:pt>
                <c:pt idx="4119" formatCode="General">
                  <c:v>689</c:v>
                </c:pt>
                <c:pt idx="4120" formatCode="General">
                  <c:v>466</c:v>
                </c:pt>
                <c:pt idx="4121" formatCode="General">
                  <c:v>435</c:v>
                </c:pt>
                <c:pt idx="4122" formatCode="General">
                  <c:v>403</c:v>
                </c:pt>
                <c:pt idx="4123" formatCode="General">
                  <c:v>435</c:v>
                </c:pt>
                <c:pt idx="4124" formatCode="General">
                  <c:v>551</c:v>
                </c:pt>
                <c:pt idx="4125" formatCode="General">
                  <c:v>435</c:v>
                </c:pt>
                <c:pt idx="4126" formatCode="General">
                  <c:v>594</c:v>
                </c:pt>
                <c:pt idx="4127" formatCode="General">
                  <c:v>413</c:v>
                </c:pt>
                <c:pt idx="4128" formatCode="General">
                  <c:v>498</c:v>
                </c:pt>
                <c:pt idx="4129" formatCode="General">
                  <c:v>678</c:v>
                </c:pt>
                <c:pt idx="4130" formatCode="General">
                  <c:v>572</c:v>
                </c:pt>
                <c:pt idx="4131" formatCode="General">
                  <c:v>392</c:v>
                </c:pt>
                <c:pt idx="4132" formatCode="General">
                  <c:v>392</c:v>
                </c:pt>
                <c:pt idx="4133" formatCode="General">
                  <c:v>466</c:v>
                </c:pt>
                <c:pt idx="4134" formatCode="General">
                  <c:v>572</c:v>
                </c:pt>
                <c:pt idx="4135" formatCode="General">
                  <c:v>201</c:v>
                </c:pt>
                <c:pt idx="4136" formatCode="General">
                  <c:v>286</c:v>
                </c:pt>
                <c:pt idx="4137" formatCode="General">
                  <c:v>286</c:v>
                </c:pt>
                <c:pt idx="4138" formatCode="General">
                  <c:v>339</c:v>
                </c:pt>
                <c:pt idx="4139" formatCode="General">
                  <c:v>201</c:v>
                </c:pt>
                <c:pt idx="4140" formatCode="General">
                  <c:v>350</c:v>
                </c:pt>
                <c:pt idx="4141" formatCode="General">
                  <c:v>562</c:v>
                </c:pt>
                <c:pt idx="4142" formatCode="General">
                  <c:v>721</c:v>
                </c:pt>
                <c:pt idx="4143" formatCode="General">
                  <c:v>678</c:v>
                </c:pt>
                <c:pt idx="4144" formatCode="General">
                  <c:v>536</c:v>
                </c:pt>
                <c:pt idx="4145" formatCode="General">
                  <c:v>567</c:v>
                </c:pt>
                <c:pt idx="4146" formatCode="General">
                  <c:v>630</c:v>
                </c:pt>
                <c:pt idx="4147" formatCode="General">
                  <c:v>683</c:v>
                </c:pt>
                <c:pt idx="4148" formatCode="General">
                  <c:v>714</c:v>
                </c:pt>
                <c:pt idx="4149" formatCode="General">
                  <c:v>651</c:v>
                </c:pt>
                <c:pt idx="4150" formatCode="General">
                  <c:v>861</c:v>
                </c:pt>
                <c:pt idx="4151" formatCode="General">
                  <c:v>462</c:v>
                </c:pt>
                <c:pt idx="4152" formatCode="General">
                  <c:v>399</c:v>
                </c:pt>
                <c:pt idx="4153" formatCode="General">
                  <c:v>347</c:v>
                </c:pt>
                <c:pt idx="4154" formatCode="General">
                  <c:v>672</c:v>
                </c:pt>
                <c:pt idx="4155" formatCode="General">
                  <c:v>588</c:v>
                </c:pt>
                <c:pt idx="4156" formatCode="General">
                  <c:v>378</c:v>
                </c:pt>
                <c:pt idx="4157" formatCode="General">
                  <c:v>378</c:v>
                </c:pt>
                <c:pt idx="4158" formatCode="General">
                  <c:v>294</c:v>
                </c:pt>
                <c:pt idx="4159" formatCode="General">
                  <c:v>473</c:v>
                </c:pt>
                <c:pt idx="4160" formatCode="General">
                  <c:v>305</c:v>
                </c:pt>
                <c:pt idx="4161" formatCode="General">
                  <c:v>410</c:v>
                </c:pt>
                <c:pt idx="4162" formatCode="General">
                  <c:v>410</c:v>
                </c:pt>
                <c:pt idx="4163" formatCode="General">
                  <c:v>525</c:v>
                </c:pt>
                <c:pt idx="4164" formatCode="General">
                  <c:v>609</c:v>
                </c:pt>
                <c:pt idx="4165" formatCode="General">
                  <c:v>462</c:v>
                </c:pt>
                <c:pt idx="4166" formatCode="General">
                  <c:v>546</c:v>
                </c:pt>
                <c:pt idx="4167" formatCode="General">
                  <c:v>578</c:v>
                </c:pt>
                <c:pt idx="4168" formatCode="General">
                  <c:v>378</c:v>
                </c:pt>
                <c:pt idx="4169" formatCode="General">
                  <c:v>347</c:v>
                </c:pt>
                <c:pt idx="4170" formatCode="General">
                  <c:v>399</c:v>
                </c:pt>
                <c:pt idx="4171" formatCode="General">
                  <c:v>567</c:v>
                </c:pt>
                <c:pt idx="4172" formatCode="General">
                  <c:v>462</c:v>
                </c:pt>
                <c:pt idx="4173" formatCode="General">
                  <c:v>504</c:v>
                </c:pt>
                <c:pt idx="4174" formatCode="General">
                  <c:v>714</c:v>
                </c:pt>
                <c:pt idx="4175" formatCode="General">
                  <c:v>662</c:v>
                </c:pt>
                <c:pt idx="4176" formatCode="General">
                  <c:v>441</c:v>
                </c:pt>
                <c:pt idx="4177" formatCode="General">
                  <c:v>242</c:v>
                </c:pt>
                <c:pt idx="4178" formatCode="General">
                  <c:v>252</c:v>
                </c:pt>
                <c:pt idx="4179" formatCode="General">
                  <c:v>756</c:v>
                </c:pt>
                <c:pt idx="4180" formatCode="General">
                  <c:v>515</c:v>
                </c:pt>
                <c:pt idx="4181" formatCode="General">
                  <c:v>252</c:v>
                </c:pt>
                <c:pt idx="4182" formatCode="General">
                  <c:v>441</c:v>
                </c:pt>
                <c:pt idx="4183" formatCode="General">
                  <c:v>462</c:v>
                </c:pt>
                <c:pt idx="4184" formatCode="General">
                  <c:v>546</c:v>
                </c:pt>
                <c:pt idx="4185" formatCode="General">
                  <c:v>515</c:v>
                </c:pt>
                <c:pt idx="4186" formatCode="General">
                  <c:v>578</c:v>
                </c:pt>
                <c:pt idx="4187" formatCode="General">
                  <c:v>515</c:v>
                </c:pt>
                <c:pt idx="4188" formatCode="General">
                  <c:v>557</c:v>
                </c:pt>
                <c:pt idx="4189" formatCode="General">
                  <c:v>504</c:v>
                </c:pt>
                <c:pt idx="4190" formatCode="General">
                  <c:v>546</c:v>
                </c:pt>
                <c:pt idx="4191" formatCode="General">
                  <c:v>777</c:v>
                </c:pt>
                <c:pt idx="4192" formatCode="General">
                  <c:v>546</c:v>
                </c:pt>
                <c:pt idx="4193" formatCode="General">
                  <c:v>494</c:v>
                </c:pt>
                <c:pt idx="4194" formatCode="General">
                  <c:v>494</c:v>
                </c:pt>
                <c:pt idx="4195" formatCode="General">
                  <c:v>210</c:v>
                </c:pt>
                <c:pt idx="4196" formatCode="General">
                  <c:v>462</c:v>
                </c:pt>
                <c:pt idx="4197" formatCode="General">
                  <c:v>231</c:v>
                </c:pt>
                <c:pt idx="4198" formatCode="General">
                  <c:v>536</c:v>
                </c:pt>
                <c:pt idx="4199" formatCode="General">
                  <c:v>420</c:v>
                </c:pt>
                <c:pt idx="4200" formatCode="General">
                  <c:v>441</c:v>
                </c:pt>
                <c:pt idx="4201" formatCode="General">
                  <c:v>231</c:v>
                </c:pt>
                <c:pt idx="4202" formatCode="General">
                  <c:v>74</c:v>
                </c:pt>
                <c:pt idx="4203" formatCode="General">
                  <c:v>326</c:v>
                </c:pt>
                <c:pt idx="4204" formatCode="General">
                  <c:v>399</c:v>
                </c:pt>
                <c:pt idx="4205" formatCode="General">
                  <c:v>263</c:v>
                </c:pt>
                <c:pt idx="4206" formatCode="General">
                  <c:v>588</c:v>
                </c:pt>
                <c:pt idx="4207" formatCode="General">
                  <c:v>431</c:v>
                </c:pt>
                <c:pt idx="4208" formatCode="General">
                  <c:v>420</c:v>
                </c:pt>
                <c:pt idx="4209" formatCode="General">
                  <c:v>168</c:v>
                </c:pt>
                <c:pt idx="4210" formatCode="General">
                  <c:v>389</c:v>
                </c:pt>
                <c:pt idx="4211" formatCode="General">
                  <c:v>368</c:v>
                </c:pt>
                <c:pt idx="4212" formatCode="General">
                  <c:v>420</c:v>
                </c:pt>
                <c:pt idx="4213" formatCode="General">
                  <c:v>378</c:v>
                </c:pt>
                <c:pt idx="4214" formatCode="General">
                  <c:v>452</c:v>
                </c:pt>
                <c:pt idx="4215" formatCode="General">
                  <c:v>462</c:v>
                </c:pt>
                <c:pt idx="4216" formatCode="General">
                  <c:v>336</c:v>
                </c:pt>
                <c:pt idx="4217" formatCode="General">
                  <c:v>431</c:v>
                </c:pt>
                <c:pt idx="4218" formatCode="General">
                  <c:v>572</c:v>
                </c:pt>
                <c:pt idx="4219" formatCode="General">
                  <c:v>541</c:v>
                </c:pt>
                <c:pt idx="4220" formatCode="General">
                  <c:v>624</c:v>
                </c:pt>
                <c:pt idx="4221" formatCode="General">
                  <c:v>354</c:v>
                </c:pt>
                <c:pt idx="4222" formatCode="General">
                  <c:v>697</c:v>
                </c:pt>
                <c:pt idx="4223" formatCode="General">
                  <c:v>624</c:v>
                </c:pt>
                <c:pt idx="4224" formatCode="General">
                  <c:v>676</c:v>
                </c:pt>
                <c:pt idx="4225" formatCode="General">
                  <c:v>842</c:v>
                </c:pt>
                <c:pt idx="4226" formatCode="General">
                  <c:v>333</c:v>
                </c:pt>
                <c:pt idx="4227" formatCode="General">
                  <c:v>520</c:v>
                </c:pt>
                <c:pt idx="4228" formatCode="General">
                  <c:v>426</c:v>
                </c:pt>
                <c:pt idx="4229" formatCode="General">
                  <c:v>385</c:v>
                </c:pt>
                <c:pt idx="4230" formatCode="General">
                  <c:v>395</c:v>
                </c:pt>
                <c:pt idx="4231" formatCode="General">
                  <c:v>406</c:v>
                </c:pt>
                <c:pt idx="4232" formatCode="General">
                  <c:v>302</c:v>
                </c:pt>
                <c:pt idx="4233" formatCode="General">
                  <c:v>562</c:v>
                </c:pt>
                <c:pt idx="4234" formatCode="General">
                  <c:v>551</c:v>
                </c:pt>
                <c:pt idx="4235" formatCode="General">
                  <c:v>426</c:v>
                </c:pt>
                <c:pt idx="4236" formatCode="General">
                  <c:v>562</c:v>
                </c:pt>
                <c:pt idx="4237" formatCode="General">
                  <c:v>634</c:v>
                </c:pt>
                <c:pt idx="4238" formatCode="General">
                  <c:v>655</c:v>
                </c:pt>
                <c:pt idx="4239" formatCode="General">
                  <c:v>260</c:v>
                </c:pt>
                <c:pt idx="4240" formatCode="General">
                  <c:v>125</c:v>
                </c:pt>
                <c:pt idx="4241" formatCode="General">
                  <c:v>447</c:v>
                </c:pt>
                <c:pt idx="4242" formatCode="General">
                  <c:v>354</c:v>
                </c:pt>
                <c:pt idx="4243" formatCode="General">
                  <c:v>364</c:v>
                </c:pt>
                <c:pt idx="4244" formatCode="General">
                  <c:v>499</c:v>
                </c:pt>
                <c:pt idx="4245" formatCode="General">
                  <c:v>385</c:v>
                </c:pt>
                <c:pt idx="4246" formatCode="General">
                  <c:v>551</c:v>
                </c:pt>
                <c:pt idx="4247" formatCode="General">
                  <c:v>371</c:v>
                </c:pt>
                <c:pt idx="4248" formatCode="General">
                  <c:v>632</c:v>
                </c:pt>
                <c:pt idx="4249" formatCode="General">
                  <c:v>520</c:v>
                </c:pt>
                <c:pt idx="4250" formatCode="General">
                  <c:v>530</c:v>
                </c:pt>
                <c:pt idx="4251" formatCode="General">
                  <c:v>541</c:v>
                </c:pt>
                <c:pt idx="4252" formatCode="General">
                  <c:v>551</c:v>
                </c:pt>
                <c:pt idx="4253" formatCode="General">
                  <c:v>449</c:v>
                </c:pt>
                <c:pt idx="4254" formatCode="General">
                  <c:v>388</c:v>
                </c:pt>
                <c:pt idx="4255" formatCode="General">
                  <c:v>602</c:v>
                </c:pt>
                <c:pt idx="4256" formatCode="General">
                  <c:v>347</c:v>
                </c:pt>
                <c:pt idx="4257" formatCode="General">
                  <c:v>388</c:v>
                </c:pt>
                <c:pt idx="4258" formatCode="General">
                  <c:v>286</c:v>
                </c:pt>
                <c:pt idx="4259" formatCode="General">
                  <c:v>388</c:v>
                </c:pt>
                <c:pt idx="4260" formatCode="General">
                  <c:v>510</c:v>
                </c:pt>
                <c:pt idx="4261" formatCode="General">
                  <c:v>653</c:v>
                </c:pt>
                <c:pt idx="4262" formatCode="General">
                  <c:v>612</c:v>
                </c:pt>
                <c:pt idx="4263" formatCode="General">
                  <c:v>245</c:v>
                </c:pt>
                <c:pt idx="4264" formatCode="General">
                  <c:v>245</c:v>
                </c:pt>
                <c:pt idx="4265" formatCode="General">
                  <c:v>235</c:v>
                </c:pt>
                <c:pt idx="4266" formatCode="General">
                  <c:v>428</c:v>
                </c:pt>
                <c:pt idx="4267" formatCode="General">
                  <c:v>479</c:v>
                </c:pt>
                <c:pt idx="4268" formatCode="General">
                  <c:v>530</c:v>
                </c:pt>
                <c:pt idx="4269" formatCode="General">
                  <c:v>500</c:v>
                </c:pt>
                <c:pt idx="4270" formatCode="General">
                  <c:v>541</c:v>
                </c:pt>
                <c:pt idx="4271" formatCode="General">
                  <c:v>551</c:v>
                </c:pt>
                <c:pt idx="4272" formatCode="General">
                  <c:v>418</c:v>
                </c:pt>
                <c:pt idx="4273" formatCode="General">
                  <c:v>520</c:v>
                </c:pt>
                <c:pt idx="4274" formatCode="General">
                  <c:v>612</c:v>
                </c:pt>
                <c:pt idx="4275" formatCode="General">
                  <c:v>449</c:v>
                </c:pt>
                <c:pt idx="4276" formatCode="General">
                  <c:v>357</c:v>
                </c:pt>
                <c:pt idx="4277" formatCode="General">
                  <c:v>469</c:v>
                </c:pt>
                <c:pt idx="4278" formatCode="General">
                  <c:v>326</c:v>
                </c:pt>
                <c:pt idx="4279" formatCode="General">
                  <c:v>418</c:v>
                </c:pt>
                <c:pt idx="4280" formatCode="General">
                  <c:v>133</c:v>
                </c:pt>
                <c:pt idx="4281" formatCode="General">
                  <c:v>204</c:v>
                </c:pt>
                <c:pt idx="4282" formatCode="General">
                  <c:v>194</c:v>
                </c:pt>
                <c:pt idx="4283" formatCode="General">
                  <c:v>296</c:v>
                </c:pt>
                <c:pt idx="4284" formatCode="General">
                  <c:v>377</c:v>
                </c:pt>
                <c:pt idx="4285" formatCode="General">
                  <c:v>408</c:v>
                </c:pt>
                <c:pt idx="4286" formatCode="General">
                  <c:v>388</c:v>
                </c:pt>
                <c:pt idx="4287" formatCode="General">
                  <c:v>469</c:v>
                </c:pt>
                <c:pt idx="4288" formatCode="General">
                  <c:v>717</c:v>
                </c:pt>
                <c:pt idx="4289" formatCode="General">
                  <c:v>434</c:v>
                </c:pt>
                <c:pt idx="4290" formatCode="General">
                  <c:v>556</c:v>
                </c:pt>
                <c:pt idx="4291" formatCode="General">
                  <c:v>333</c:v>
                </c:pt>
                <c:pt idx="4292" formatCode="General">
                  <c:v>434</c:v>
                </c:pt>
                <c:pt idx="4293" formatCode="General">
                  <c:v>747</c:v>
                </c:pt>
                <c:pt idx="4294" formatCode="General">
                  <c:v>576</c:v>
                </c:pt>
                <c:pt idx="4295" formatCode="General">
                  <c:v>545</c:v>
                </c:pt>
                <c:pt idx="4296" formatCode="General">
                  <c:v>293</c:v>
                </c:pt>
                <c:pt idx="4297" formatCode="General">
                  <c:v>242</c:v>
                </c:pt>
                <c:pt idx="4298" formatCode="General">
                  <c:v>323</c:v>
                </c:pt>
                <c:pt idx="4299" formatCode="General">
                  <c:v>293</c:v>
                </c:pt>
                <c:pt idx="4300" formatCode="General">
                  <c:v>192</c:v>
                </c:pt>
                <c:pt idx="4301" formatCode="General">
                  <c:v>515</c:v>
                </c:pt>
                <c:pt idx="4302" formatCode="General">
                  <c:v>444</c:v>
                </c:pt>
                <c:pt idx="4303" formatCode="General">
                  <c:v>485</c:v>
                </c:pt>
                <c:pt idx="4304" formatCode="General">
                  <c:v>697</c:v>
                </c:pt>
                <c:pt idx="4305" formatCode="General">
                  <c:v>465</c:v>
                </c:pt>
                <c:pt idx="4306" formatCode="General">
                  <c:v>293</c:v>
                </c:pt>
                <c:pt idx="4307" formatCode="General">
                  <c:v>424</c:v>
                </c:pt>
                <c:pt idx="4308" formatCode="General">
                  <c:v>525</c:v>
                </c:pt>
                <c:pt idx="4309" formatCode="General">
                  <c:v>232</c:v>
                </c:pt>
                <c:pt idx="4310" formatCode="General">
                  <c:v>141</c:v>
                </c:pt>
                <c:pt idx="4311" formatCode="General">
                  <c:v>333</c:v>
                </c:pt>
                <c:pt idx="4312" formatCode="General">
                  <c:v>232</c:v>
                </c:pt>
                <c:pt idx="4313" formatCode="General">
                  <c:v>556</c:v>
                </c:pt>
                <c:pt idx="4314" formatCode="General">
                  <c:v>545</c:v>
                </c:pt>
                <c:pt idx="4315" formatCode="General">
                  <c:v>424</c:v>
                </c:pt>
                <c:pt idx="4316" formatCode="General">
                  <c:v>596</c:v>
                </c:pt>
                <c:pt idx="4317" formatCode="General">
                  <c:v>515</c:v>
                </c:pt>
                <c:pt idx="4318" formatCode="General">
                  <c:v>545</c:v>
                </c:pt>
                <c:pt idx="4319" formatCode="General">
                  <c:v>313</c:v>
                </c:pt>
                <c:pt idx="4320" formatCode="General">
                  <c:v>333</c:v>
                </c:pt>
                <c:pt idx="4321" formatCode="General">
                  <c:v>303</c:v>
                </c:pt>
                <c:pt idx="4322" formatCode="General">
                  <c:v>222</c:v>
                </c:pt>
                <c:pt idx="4323" formatCode="General">
                  <c:v>273</c:v>
                </c:pt>
                <c:pt idx="4324" formatCode="General">
                  <c:v>444</c:v>
                </c:pt>
                <c:pt idx="4325" formatCode="General">
                  <c:v>283</c:v>
                </c:pt>
                <c:pt idx="4326" formatCode="General">
                  <c:v>354</c:v>
                </c:pt>
                <c:pt idx="4327" formatCode="General">
                  <c:v>333</c:v>
                </c:pt>
                <c:pt idx="4328" formatCode="General">
                  <c:v>424</c:v>
                </c:pt>
                <c:pt idx="4329">
                  <c:v>6000</c:v>
                </c:pt>
                <c:pt idx="4330">
                  <c:v>5000</c:v>
                </c:pt>
                <c:pt idx="4331">
                  <c:v>5500</c:v>
                </c:pt>
                <c:pt idx="4332">
                  <c:v>5000</c:v>
                </c:pt>
                <c:pt idx="4333">
                  <c:v>6000</c:v>
                </c:pt>
                <c:pt idx="4334">
                  <c:v>3000</c:v>
                </c:pt>
                <c:pt idx="4335">
                  <c:v>4000</c:v>
                </c:pt>
                <c:pt idx="4336">
                  <c:v>3000</c:v>
                </c:pt>
                <c:pt idx="4337">
                  <c:v>3500</c:v>
                </c:pt>
                <c:pt idx="4338">
                  <c:v>4000</c:v>
                </c:pt>
                <c:pt idx="4339">
                  <c:v>3500</c:v>
                </c:pt>
                <c:pt idx="4340">
                  <c:v>4000</c:v>
                </c:pt>
                <c:pt idx="4341">
                  <c:v>2000</c:v>
                </c:pt>
                <c:pt idx="4342">
                  <c:v>5000</c:v>
                </c:pt>
                <c:pt idx="4343">
                  <c:v>3500</c:v>
                </c:pt>
                <c:pt idx="4344">
                  <c:v>5000</c:v>
                </c:pt>
                <c:pt idx="4345">
                  <c:v>5500</c:v>
                </c:pt>
                <c:pt idx="4346">
                  <c:v>6500</c:v>
                </c:pt>
                <c:pt idx="4347">
                  <c:v>5500</c:v>
                </c:pt>
                <c:pt idx="4348">
                  <c:v>5500</c:v>
                </c:pt>
                <c:pt idx="4349">
                  <c:v>4000</c:v>
                </c:pt>
                <c:pt idx="4350">
                  <c:v>4500</c:v>
                </c:pt>
                <c:pt idx="4351">
                  <c:v>2000</c:v>
                </c:pt>
                <c:pt idx="4352">
                  <c:v>3500</c:v>
                </c:pt>
                <c:pt idx="4353">
                  <c:v>6000</c:v>
                </c:pt>
                <c:pt idx="4354">
                  <c:v>4500</c:v>
                </c:pt>
                <c:pt idx="4355">
                  <c:v>3000</c:v>
                </c:pt>
                <c:pt idx="4356">
                  <c:v>6000</c:v>
                </c:pt>
                <c:pt idx="4357">
                  <c:v>4000</c:v>
                </c:pt>
                <c:pt idx="4358">
                  <c:v>2500</c:v>
                </c:pt>
                <c:pt idx="4359">
                  <c:v>1500</c:v>
                </c:pt>
                <c:pt idx="4360">
                  <c:v>1500</c:v>
                </c:pt>
                <c:pt idx="4361">
                  <c:v>2500</c:v>
                </c:pt>
                <c:pt idx="4362">
                  <c:v>6000</c:v>
                </c:pt>
                <c:pt idx="4363">
                  <c:v>4000</c:v>
                </c:pt>
                <c:pt idx="4364">
                  <c:v>4000</c:v>
                </c:pt>
                <c:pt idx="4365">
                  <c:v>5000</c:v>
                </c:pt>
                <c:pt idx="4366">
                  <c:v>5000</c:v>
                </c:pt>
                <c:pt idx="4367">
                  <c:v>3000</c:v>
                </c:pt>
                <c:pt idx="4368">
                  <c:v>3000</c:v>
                </c:pt>
                <c:pt idx="4369">
                  <c:v>4500</c:v>
                </c:pt>
                <c:pt idx="4370">
                  <c:v>3500</c:v>
                </c:pt>
                <c:pt idx="4371">
                  <c:v>4000</c:v>
                </c:pt>
                <c:pt idx="4372">
                  <c:v>5000</c:v>
                </c:pt>
                <c:pt idx="4373">
                  <c:v>5000</c:v>
                </c:pt>
                <c:pt idx="4374">
                  <c:v>3500</c:v>
                </c:pt>
                <c:pt idx="4375">
                  <c:v>5000</c:v>
                </c:pt>
                <c:pt idx="4376">
                  <c:v>5500</c:v>
                </c:pt>
                <c:pt idx="4377">
                  <c:v>6500</c:v>
                </c:pt>
                <c:pt idx="4378" formatCode="General">
                  <c:v>360</c:v>
                </c:pt>
                <c:pt idx="4379" formatCode="General">
                  <c:v>740</c:v>
                </c:pt>
                <c:pt idx="4380" formatCode="General">
                  <c:v>590</c:v>
                </c:pt>
                <c:pt idx="4381" formatCode="General">
                  <c:v>500</c:v>
                </c:pt>
                <c:pt idx="4382" formatCode="General">
                  <c:v>530</c:v>
                </c:pt>
                <c:pt idx="4383" formatCode="General">
                  <c:v>670</c:v>
                </c:pt>
                <c:pt idx="4384" formatCode="General">
                  <c:v>580</c:v>
                </c:pt>
                <c:pt idx="4385" formatCode="General">
                  <c:v>470</c:v>
                </c:pt>
                <c:pt idx="4386" formatCode="General">
                  <c:v>280</c:v>
                </c:pt>
                <c:pt idx="4387" formatCode="General">
                  <c:v>290</c:v>
                </c:pt>
                <c:pt idx="4388" formatCode="General">
                  <c:v>190</c:v>
                </c:pt>
                <c:pt idx="4389" formatCode="General">
                  <c:v>330</c:v>
                </c:pt>
                <c:pt idx="4390" formatCode="General">
                  <c:v>420</c:v>
                </c:pt>
                <c:pt idx="4391" formatCode="General">
                  <c:v>470</c:v>
                </c:pt>
                <c:pt idx="4392" formatCode="General">
                  <c:v>420</c:v>
                </c:pt>
                <c:pt idx="4393" formatCode="General">
                  <c:v>540</c:v>
                </c:pt>
                <c:pt idx="4394" formatCode="General">
                  <c:v>240</c:v>
                </c:pt>
                <c:pt idx="4395" formatCode="General">
                  <c:v>190</c:v>
                </c:pt>
                <c:pt idx="4396" formatCode="General">
                  <c:v>640</c:v>
                </c:pt>
                <c:pt idx="4397" formatCode="General">
                  <c:v>500</c:v>
                </c:pt>
                <c:pt idx="4398" formatCode="General">
                  <c:v>550</c:v>
                </c:pt>
                <c:pt idx="4399" formatCode="General">
                  <c:v>446</c:v>
                </c:pt>
                <c:pt idx="4400" formatCode="General">
                  <c:v>416</c:v>
                </c:pt>
                <c:pt idx="4401" formatCode="General">
                  <c:v>436</c:v>
                </c:pt>
                <c:pt idx="4402" formatCode="General">
                  <c:v>277</c:v>
                </c:pt>
                <c:pt idx="4403" formatCode="General">
                  <c:v>158</c:v>
                </c:pt>
                <c:pt idx="4404" formatCode="General">
                  <c:v>416</c:v>
                </c:pt>
                <c:pt idx="4405" formatCode="General">
                  <c:v>436</c:v>
                </c:pt>
                <c:pt idx="4406" formatCode="General">
                  <c:v>356</c:v>
                </c:pt>
                <c:pt idx="4407" formatCode="General">
                  <c:v>436</c:v>
                </c:pt>
                <c:pt idx="4408" formatCode="General">
                  <c:v>347</c:v>
                </c:pt>
                <c:pt idx="4409" formatCode="General">
                  <c:v>627</c:v>
                </c:pt>
                <c:pt idx="4410" formatCode="General">
                  <c:v>706</c:v>
                </c:pt>
                <c:pt idx="4411" formatCode="General">
                  <c:v>578</c:v>
                </c:pt>
                <c:pt idx="4412" formatCode="General">
                  <c:v>568</c:v>
                </c:pt>
                <c:pt idx="4413" formatCode="General">
                  <c:v>529</c:v>
                </c:pt>
                <c:pt idx="4414" formatCode="General">
                  <c:v>402</c:v>
                </c:pt>
                <c:pt idx="4415" formatCode="General">
                  <c:v>431</c:v>
                </c:pt>
                <c:pt idx="4416" formatCode="General">
                  <c:v>529</c:v>
                </c:pt>
                <c:pt idx="4417" formatCode="General">
                  <c:v>372</c:v>
                </c:pt>
                <c:pt idx="4418" formatCode="General">
                  <c:v>314</c:v>
                </c:pt>
                <c:pt idx="4419" formatCode="General">
                  <c:v>608</c:v>
                </c:pt>
                <c:pt idx="4420" formatCode="General">
                  <c:v>323</c:v>
                </c:pt>
                <c:pt idx="4421" formatCode="General">
                  <c:v>412</c:v>
                </c:pt>
                <c:pt idx="4422" formatCode="General">
                  <c:v>568</c:v>
                </c:pt>
                <c:pt idx="4423" formatCode="General">
                  <c:v>549</c:v>
                </c:pt>
                <c:pt idx="4424" formatCode="General">
                  <c:v>647</c:v>
                </c:pt>
                <c:pt idx="4425" formatCode="General">
                  <c:v>578</c:v>
                </c:pt>
                <c:pt idx="4426" formatCode="General">
                  <c:v>500</c:v>
                </c:pt>
                <c:pt idx="4427" formatCode="General">
                  <c:v>402</c:v>
                </c:pt>
                <c:pt idx="4428" formatCode="General">
                  <c:v>382</c:v>
                </c:pt>
                <c:pt idx="4429" formatCode="General">
                  <c:v>323</c:v>
                </c:pt>
                <c:pt idx="4430" formatCode="General">
                  <c:v>137</c:v>
                </c:pt>
                <c:pt idx="4431" formatCode="General">
                  <c:v>245</c:v>
                </c:pt>
                <c:pt idx="4432" formatCode="General">
                  <c:v>265</c:v>
                </c:pt>
                <c:pt idx="4433" formatCode="General">
                  <c:v>627</c:v>
                </c:pt>
                <c:pt idx="4434" formatCode="General">
                  <c:v>412</c:v>
                </c:pt>
                <c:pt idx="4435" formatCode="General">
                  <c:v>490</c:v>
                </c:pt>
                <c:pt idx="4436" formatCode="General">
                  <c:v>578</c:v>
                </c:pt>
                <c:pt idx="4437" formatCode="General">
                  <c:v>363</c:v>
                </c:pt>
                <c:pt idx="4438" formatCode="General">
                  <c:v>235</c:v>
                </c:pt>
                <c:pt idx="4439" formatCode="General">
                  <c:v>510</c:v>
                </c:pt>
                <c:pt idx="4440" formatCode="General">
                  <c:v>627</c:v>
                </c:pt>
                <c:pt idx="4441" formatCode="General">
                  <c:v>235</c:v>
                </c:pt>
                <c:pt idx="4442" formatCode="General">
                  <c:v>314</c:v>
                </c:pt>
                <c:pt idx="4443" formatCode="General">
                  <c:v>333</c:v>
                </c:pt>
                <c:pt idx="4444" formatCode="General">
                  <c:v>196</c:v>
                </c:pt>
                <c:pt idx="4445" formatCode="General">
                  <c:v>363</c:v>
                </c:pt>
                <c:pt idx="4446" formatCode="General">
                  <c:v>529</c:v>
                </c:pt>
                <c:pt idx="4447" formatCode="General">
                  <c:v>147</c:v>
                </c:pt>
                <c:pt idx="4448" formatCode="General">
                  <c:v>176</c:v>
                </c:pt>
                <c:pt idx="4449" formatCode="General">
                  <c:v>412</c:v>
                </c:pt>
                <c:pt idx="4450" formatCode="General">
                  <c:v>578</c:v>
                </c:pt>
                <c:pt idx="4451" formatCode="General">
                  <c:v>372</c:v>
                </c:pt>
                <c:pt idx="4452" formatCode="General">
                  <c:v>176</c:v>
                </c:pt>
                <c:pt idx="4453" formatCode="General">
                  <c:v>529</c:v>
                </c:pt>
                <c:pt idx="4454" formatCode="General">
                  <c:v>519</c:v>
                </c:pt>
                <c:pt idx="4455" formatCode="General">
                  <c:v>500</c:v>
                </c:pt>
                <c:pt idx="4456" formatCode="General">
                  <c:v>323</c:v>
                </c:pt>
                <c:pt idx="4457" formatCode="General">
                  <c:v>480</c:v>
                </c:pt>
                <c:pt idx="4458" formatCode="General">
                  <c:v>382</c:v>
                </c:pt>
                <c:pt idx="4459" formatCode="General">
                  <c:v>627</c:v>
                </c:pt>
                <c:pt idx="4460" formatCode="General">
                  <c:v>519</c:v>
                </c:pt>
                <c:pt idx="4461" formatCode="General">
                  <c:v>412</c:v>
                </c:pt>
                <c:pt idx="4462" formatCode="General">
                  <c:v>627</c:v>
                </c:pt>
                <c:pt idx="4463" formatCode="General">
                  <c:v>500</c:v>
                </c:pt>
                <c:pt idx="4464" formatCode="General">
                  <c:v>431</c:v>
                </c:pt>
                <c:pt idx="4465" formatCode="General">
                  <c:v>451</c:v>
                </c:pt>
                <c:pt idx="4466" formatCode="General">
                  <c:v>451</c:v>
                </c:pt>
                <c:pt idx="4467" formatCode="General">
                  <c:v>451</c:v>
                </c:pt>
                <c:pt idx="4468" formatCode="General">
                  <c:v>500</c:v>
                </c:pt>
                <c:pt idx="4469" formatCode="General">
                  <c:v>666</c:v>
                </c:pt>
                <c:pt idx="4470" formatCode="General">
                  <c:v>608</c:v>
                </c:pt>
                <c:pt idx="4471" formatCode="General">
                  <c:v>255</c:v>
                </c:pt>
                <c:pt idx="4472" formatCode="General">
                  <c:v>343</c:v>
                </c:pt>
                <c:pt idx="4473" formatCode="General">
                  <c:v>274</c:v>
                </c:pt>
                <c:pt idx="4474" formatCode="General">
                  <c:v>392</c:v>
                </c:pt>
                <c:pt idx="4475" formatCode="General">
                  <c:v>186</c:v>
                </c:pt>
                <c:pt idx="4476" formatCode="General">
                  <c:v>294</c:v>
                </c:pt>
                <c:pt idx="4477" formatCode="General">
                  <c:v>118</c:v>
                </c:pt>
                <c:pt idx="4478" formatCode="General">
                  <c:v>539</c:v>
                </c:pt>
                <c:pt idx="4479" formatCode="General">
                  <c:v>451</c:v>
                </c:pt>
                <c:pt idx="4480" formatCode="General">
                  <c:v>461</c:v>
                </c:pt>
                <c:pt idx="4481" formatCode="General">
                  <c:v>547</c:v>
                </c:pt>
                <c:pt idx="4482" formatCode="General">
                  <c:v>278</c:v>
                </c:pt>
                <c:pt idx="4483" formatCode="General">
                  <c:v>250</c:v>
                </c:pt>
                <c:pt idx="4484" formatCode="General">
                  <c:v>576</c:v>
                </c:pt>
                <c:pt idx="4485" formatCode="General">
                  <c:v>374</c:v>
                </c:pt>
                <c:pt idx="4486" formatCode="General">
                  <c:v>413</c:v>
                </c:pt>
                <c:pt idx="4487" formatCode="General">
                  <c:v>288</c:v>
                </c:pt>
                <c:pt idx="4488" formatCode="General">
                  <c:v>355</c:v>
                </c:pt>
                <c:pt idx="4489" formatCode="General">
                  <c:v>384</c:v>
                </c:pt>
                <c:pt idx="4490" formatCode="General">
                  <c:v>154</c:v>
                </c:pt>
                <c:pt idx="4491" formatCode="General">
                  <c:v>106</c:v>
                </c:pt>
                <c:pt idx="4492" formatCode="General">
                  <c:v>106</c:v>
                </c:pt>
                <c:pt idx="4493" formatCode="General">
                  <c:v>307</c:v>
                </c:pt>
                <c:pt idx="4494" formatCode="General">
                  <c:v>336</c:v>
                </c:pt>
                <c:pt idx="4495" formatCode="General">
                  <c:v>365</c:v>
                </c:pt>
                <c:pt idx="4496" formatCode="General">
                  <c:v>365</c:v>
                </c:pt>
                <c:pt idx="4497" formatCode="General">
                  <c:v>278</c:v>
                </c:pt>
                <c:pt idx="4498" formatCode="General">
                  <c:v>355</c:v>
                </c:pt>
                <c:pt idx="4499" formatCode="General">
                  <c:v>346</c:v>
                </c:pt>
                <c:pt idx="4500" formatCode="General">
                  <c:v>403</c:v>
                </c:pt>
                <c:pt idx="4501" formatCode="General">
                  <c:v>298</c:v>
                </c:pt>
                <c:pt idx="4502" formatCode="General">
                  <c:v>394</c:v>
                </c:pt>
                <c:pt idx="4503" formatCode="General">
                  <c:v>566</c:v>
                </c:pt>
                <c:pt idx="4504">
                  <c:v>2850</c:v>
                </c:pt>
                <c:pt idx="4505" formatCode="General">
                  <c:v>608</c:v>
                </c:pt>
                <c:pt idx="4506" formatCode="General">
                  <c:v>741</c:v>
                </c:pt>
                <c:pt idx="4507" formatCode="General">
                  <c:v>494</c:v>
                </c:pt>
                <c:pt idx="4508" formatCode="General">
                  <c:v>371</c:v>
                </c:pt>
                <c:pt idx="4509" formatCode="General">
                  <c:v>551</c:v>
                </c:pt>
                <c:pt idx="4510" formatCode="General">
                  <c:v>437</c:v>
                </c:pt>
                <c:pt idx="4511" formatCode="General">
                  <c:v>219</c:v>
                </c:pt>
                <c:pt idx="4512" formatCode="General">
                  <c:v>266</c:v>
                </c:pt>
                <c:pt idx="4513" formatCode="General">
                  <c:v>475</c:v>
                </c:pt>
                <c:pt idx="4514" formatCode="General">
                  <c:v>390</c:v>
                </c:pt>
                <c:pt idx="4515" formatCode="General">
                  <c:v>447</c:v>
                </c:pt>
                <c:pt idx="4516" formatCode="General">
                  <c:v>456</c:v>
                </c:pt>
                <c:pt idx="4517" formatCode="General">
                  <c:v>437</c:v>
                </c:pt>
                <c:pt idx="4518" formatCode="General">
                  <c:v>437</c:v>
                </c:pt>
                <c:pt idx="4519" formatCode="General">
                  <c:v>456</c:v>
                </c:pt>
                <c:pt idx="4520" formatCode="General">
                  <c:v>418</c:v>
                </c:pt>
                <c:pt idx="4521" formatCode="General">
                  <c:v>323</c:v>
                </c:pt>
                <c:pt idx="4522" formatCode="General">
                  <c:v>551</c:v>
                </c:pt>
                <c:pt idx="4523" formatCode="General">
                  <c:v>513</c:v>
                </c:pt>
                <c:pt idx="4524" formatCode="General">
                  <c:v>494</c:v>
                </c:pt>
                <c:pt idx="4525" formatCode="General">
                  <c:v>314</c:v>
                </c:pt>
                <c:pt idx="4526" formatCode="General">
                  <c:v>580</c:v>
                </c:pt>
                <c:pt idx="4527" formatCode="General">
                  <c:v>637</c:v>
                </c:pt>
                <c:pt idx="4528" formatCode="General">
                  <c:v>523</c:v>
                </c:pt>
                <c:pt idx="4529" formatCode="General">
                  <c:v>513</c:v>
                </c:pt>
                <c:pt idx="4530" formatCode="General">
                  <c:v>385</c:v>
                </c:pt>
                <c:pt idx="4531" formatCode="General">
                  <c:v>470</c:v>
                </c:pt>
                <c:pt idx="4532" formatCode="General">
                  <c:v>348</c:v>
                </c:pt>
                <c:pt idx="4533" formatCode="General">
                  <c:v>508</c:v>
                </c:pt>
                <c:pt idx="4534" formatCode="General">
                  <c:v>639</c:v>
                </c:pt>
                <c:pt idx="4535" formatCode="General">
                  <c:v>555</c:v>
                </c:pt>
                <c:pt idx="4536" formatCode="General">
                  <c:v>649</c:v>
                </c:pt>
                <c:pt idx="4537" formatCode="General">
                  <c:v>338</c:v>
                </c:pt>
                <c:pt idx="4538" formatCode="General">
                  <c:v>414</c:v>
                </c:pt>
                <c:pt idx="4539" formatCode="General">
                  <c:v>620</c:v>
                </c:pt>
                <c:pt idx="4540" formatCode="General">
                  <c:v>404</c:v>
                </c:pt>
                <c:pt idx="4541" formatCode="General">
                  <c:v>263</c:v>
                </c:pt>
                <c:pt idx="4542" formatCode="General">
                  <c:v>348</c:v>
                </c:pt>
                <c:pt idx="4543" formatCode="General">
                  <c:v>235</c:v>
                </c:pt>
                <c:pt idx="4544" formatCode="General">
                  <c:v>630</c:v>
                </c:pt>
                <c:pt idx="4545" formatCode="General">
                  <c:v>611</c:v>
                </c:pt>
                <c:pt idx="4546" formatCode="General">
                  <c:v>470</c:v>
                </c:pt>
                <c:pt idx="4547" formatCode="General">
                  <c:v>414</c:v>
                </c:pt>
                <c:pt idx="4548" formatCode="General">
                  <c:v>216</c:v>
                </c:pt>
                <c:pt idx="4549" formatCode="General">
                  <c:v>132</c:v>
                </c:pt>
                <c:pt idx="4550" formatCode="General">
                  <c:v>263</c:v>
                </c:pt>
                <c:pt idx="4551" formatCode="General">
                  <c:v>414</c:v>
                </c:pt>
                <c:pt idx="4552" formatCode="General">
                  <c:v>508</c:v>
                </c:pt>
                <c:pt idx="4553" formatCode="General">
                  <c:v>395</c:v>
                </c:pt>
                <c:pt idx="4554" formatCode="General">
                  <c:v>301</c:v>
                </c:pt>
                <c:pt idx="4555" formatCode="General">
                  <c:v>273</c:v>
                </c:pt>
                <c:pt idx="4556" formatCode="General">
                  <c:v>470</c:v>
                </c:pt>
                <c:pt idx="4557" formatCode="General">
                  <c:v>498</c:v>
                </c:pt>
                <c:pt idx="4558" formatCode="General">
                  <c:v>479</c:v>
                </c:pt>
                <c:pt idx="4559" formatCode="General">
                  <c:v>489</c:v>
                </c:pt>
                <c:pt idx="4560" formatCode="General">
                  <c:v>301</c:v>
                </c:pt>
                <c:pt idx="4561" formatCode="General">
                  <c:v>442</c:v>
                </c:pt>
                <c:pt idx="4562" formatCode="General">
                  <c:v>479</c:v>
                </c:pt>
                <c:pt idx="4563" formatCode="General">
                  <c:v>451</c:v>
                </c:pt>
                <c:pt idx="4564" formatCode="General">
                  <c:v>498</c:v>
                </c:pt>
                <c:pt idx="4565" formatCode="General">
                  <c:v>442</c:v>
                </c:pt>
                <c:pt idx="4566" formatCode="General">
                  <c:v>395</c:v>
                </c:pt>
                <c:pt idx="4567" formatCode="General">
                  <c:v>508</c:v>
                </c:pt>
                <c:pt idx="4568" formatCode="General">
                  <c:v>658</c:v>
                </c:pt>
                <c:pt idx="4569" formatCode="General">
                  <c:v>564</c:v>
                </c:pt>
                <c:pt idx="4570" formatCode="General">
                  <c:v>226</c:v>
                </c:pt>
                <c:pt idx="4571" formatCode="General">
                  <c:v>273</c:v>
                </c:pt>
                <c:pt idx="4572" formatCode="General">
                  <c:v>338</c:v>
                </c:pt>
                <c:pt idx="4573" formatCode="General">
                  <c:v>508</c:v>
                </c:pt>
                <c:pt idx="4574" formatCode="General">
                  <c:v>179</c:v>
                </c:pt>
                <c:pt idx="4575" formatCode="General">
                  <c:v>122</c:v>
                </c:pt>
                <c:pt idx="4576" formatCode="General">
                  <c:v>310</c:v>
                </c:pt>
                <c:pt idx="4577" formatCode="General">
                  <c:v>310</c:v>
                </c:pt>
                <c:pt idx="4578" formatCode="General">
                  <c:v>395</c:v>
                </c:pt>
                <c:pt idx="4579" formatCode="General">
                  <c:v>141</c:v>
                </c:pt>
                <c:pt idx="4580" formatCode="General">
                  <c:v>244</c:v>
                </c:pt>
                <c:pt idx="4581" formatCode="General">
                  <c:v>320</c:v>
                </c:pt>
                <c:pt idx="4582" formatCode="General">
                  <c:v>367</c:v>
                </c:pt>
                <c:pt idx="4583" formatCode="General">
                  <c:v>432</c:v>
                </c:pt>
                <c:pt idx="4584" formatCode="General">
                  <c:v>282</c:v>
                </c:pt>
                <c:pt idx="4585" formatCode="General">
                  <c:v>385</c:v>
                </c:pt>
                <c:pt idx="4586" formatCode="General">
                  <c:v>549</c:v>
                </c:pt>
                <c:pt idx="4587" formatCode="General">
                  <c:v>177</c:v>
                </c:pt>
                <c:pt idx="4588" formatCode="General">
                  <c:v>242</c:v>
                </c:pt>
                <c:pt idx="4589" formatCode="General">
                  <c:v>381</c:v>
                </c:pt>
                <c:pt idx="4590" formatCode="General">
                  <c:v>149</c:v>
                </c:pt>
                <c:pt idx="4591" formatCode="General">
                  <c:v>372</c:v>
                </c:pt>
                <c:pt idx="4592" formatCode="General">
                  <c:v>363</c:v>
                </c:pt>
                <c:pt idx="4593" formatCode="General">
                  <c:v>409</c:v>
                </c:pt>
                <c:pt idx="4594" formatCode="General">
                  <c:v>270</c:v>
                </c:pt>
                <c:pt idx="4595" formatCode="General">
                  <c:v>400</c:v>
                </c:pt>
                <c:pt idx="4596" formatCode="General">
                  <c:v>372</c:v>
                </c:pt>
                <c:pt idx="4597" formatCode="General">
                  <c:v>335</c:v>
                </c:pt>
                <c:pt idx="4598" formatCode="General">
                  <c:v>233</c:v>
                </c:pt>
                <c:pt idx="4599" formatCode="General">
                  <c:v>419</c:v>
                </c:pt>
                <c:pt idx="4600" formatCode="General">
                  <c:v>372</c:v>
                </c:pt>
                <c:pt idx="4601" formatCode="General">
                  <c:v>335</c:v>
                </c:pt>
                <c:pt idx="4602" formatCode="General">
                  <c:v>601</c:v>
                </c:pt>
                <c:pt idx="4603" formatCode="General">
                  <c:v>419</c:v>
                </c:pt>
                <c:pt idx="4604" formatCode="General">
                  <c:v>400</c:v>
                </c:pt>
                <c:pt idx="4605" formatCode="General">
                  <c:v>446</c:v>
                </c:pt>
                <c:pt idx="4606" formatCode="General">
                  <c:v>291</c:v>
                </c:pt>
                <c:pt idx="4607" formatCode="General">
                  <c:v>491</c:v>
                </c:pt>
                <c:pt idx="4608" formatCode="General">
                  <c:v>555</c:v>
                </c:pt>
                <c:pt idx="4609" formatCode="General">
                  <c:v>501</c:v>
                </c:pt>
                <c:pt idx="4610" formatCode="General">
                  <c:v>491</c:v>
                </c:pt>
                <c:pt idx="4611" formatCode="General">
                  <c:v>546</c:v>
                </c:pt>
                <c:pt idx="4612" formatCode="General">
                  <c:v>646</c:v>
                </c:pt>
                <c:pt idx="4613" formatCode="General">
                  <c:v>528</c:v>
                </c:pt>
                <c:pt idx="4614" formatCode="General">
                  <c:v>264</c:v>
                </c:pt>
                <c:pt idx="4615" formatCode="General">
                  <c:v>355</c:v>
                </c:pt>
                <c:pt idx="4616" formatCode="General">
                  <c:v>473</c:v>
                </c:pt>
                <c:pt idx="4617" formatCode="General">
                  <c:v>264</c:v>
                </c:pt>
                <c:pt idx="4618" formatCode="General">
                  <c:v>246</c:v>
                </c:pt>
                <c:pt idx="4619" formatCode="General">
                  <c:v>209</c:v>
                </c:pt>
                <c:pt idx="4620" formatCode="General">
                  <c:v>218</c:v>
                </c:pt>
                <c:pt idx="4621" formatCode="General">
                  <c:v>218</c:v>
                </c:pt>
                <c:pt idx="4622" formatCode="General">
                  <c:v>82</c:v>
                </c:pt>
                <c:pt idx="4623" formatCode="General">
                  <c:v>355</c:v>
                </c:pt>
                <c:pt idx="4624" formatCode="General">
                  <c:v>355</c:v>
                </c:pt>
                <c:pt idx="4625" formatCode="General">
                  <c:v>419</c:v>
                </c:pt>
                <c:pt idx="4626" formatCode="General">
                  <c:v>291</c:v>
                </c:pt>
                <c:pt idx="4627" formatCode="General">
                  <c:v>446</c:v>
                </c:pt>
                <c:pt idx="4628" formatCode="General">
                  <c:v>400</c:v>
                </c:pt>
                <c:pt idx="4629" formatCode="General">
                  <c:v>464</c:v>
                </c:pt>
                <c:pt idx="4630" formatCode="General">
                  <c:v>510</c:v>
                </c:pt>
                <c:pt idx="4631" formatCode="General">
                  <c:v>428</c:v>
                </c:pt>
                <c:pt idx="4632" formatCode="General">
                  <c:v>373</c:v>
                </c:pt>
                <c:pt idx="4633" formatCode="General">
                  <c:v>228</c:v>
                </c:pt>
                <c:pt idx="4634" formatCode="General">
                  <c:v>309</c:v>
                </c:pt>
                <c:pt idx="4635" formatCode="General">
                  <c:v>628</c:v>
                </c:pt>
                <c:pt idx="4636" formatCode="General">
                  <c:v>137</c:v>
                </c:pt>
                <c:pt idx="4637" formatCode="General">
                  <c:v>255</c:v>
                </c:pt>
                <c:pt idx="4638" formatCode="General">
                  <c:v>264</c:v>
                </c:pt>
                <c:pt idx="4639" formatCode="General">
                  <c:v>209</c:v>
                </c:pt>
                <c:pt idx="4640" formatCode="General">
                  <c:v>510</c:v>
                </c:pt>
                <c:pt idx="4641" formatCode="General">
                  <c:v>346</c:v>
                </c:pt>
                <c:pt idx="4642" formatCode="General">
                  <c:v>464</c:v>
                </c:pt>
                <c:pt idx="4643" formatCode="General">
                  <c:v>428</c:v>
                </c:pt>
                <c:pt idx="4644" formatCode="General">
                  <c:v>482</c:v>
                </c:pt>
                <c:pt idx="4645" formatCode="General">
                  <c:v>510</c:v>
                </c:pt>
                <c:pt idx="4646" formatCode="General">
                  <c:v>491</c:v>
                </c:pt>
                <c:pt idx="4647" formatCode="General">
                  <c:v>555</c:v>
                </c:pt>
                <c:pt idx="4648" formatCode="General">
                  <c:v>173</c:v>
                </c:pt>
                <c:pt idx="4649" formatCode="General">
                  <c:v>264</c:v>
                </c:pt>
                <c:pt idx="4650" formatCode="General">
                  <c:v>346</c:v>
                </c:pt>
                <c:pt idx="4651" formatCode="General">
                  <c:v>264</c:v>
                </c:pt>
                <c:pt idx="4652" formatCode="General">
                  <c:v>555</c:v>
                </c:pt>
                <c:pt idx="4653" formatCode="General">
                  <c:v>537</c:v>
                </c:pt>
                <c:pt idx="4654" formatCode="General">
                  <c:v>446</c:v>
                </c:pt>
                <c:pt idx="4655" formatCode="General">
                  <c:v>382</c:v>
                </c:pt>
                <c:pt idx="4656" formatCode="General">
                  <c:v>528</c:v>
                </c:pt>
                <c:pt idx="4657" formatCode="General">
                  <c:v>291</c:v>
                </c:pt>
                <c:pt idx="4658" formatCode="General">
                  <c:v>410</c:v>
                </c:pt>
                <c:pt idx="4659" formatCode="General">
                  <c:v>473</c:v>
                </c:pt>
                <c:pt idx="4660" formatCode="General">
                  <c:v>282</c:v>
                </c:pt>
                <c:pt idx="4661" formatCode="General">
                  <c:v>364</c:v>
                </c:pt>
                <c:pt idx="4662" formatCode="General">
                  <c:v>246</c:v>
                </c:pt>
                <c:pt idx="4663" formatCode="General">
                  <c:v>246</c:v>
                </c:pt>
                <c:pt idx="4664" formatCode="General">
                  <c:v>264</c:v>
                </c:pt>
                <c:pt idx="4665" formatCode="General">
                  <c:v>191</c:v>
                </c:pt>
                <c:pt idx="4666" formatCode="General">
                  <c:v>209</c:v>
                </c:pt>
                <c:pt idx="4667" formatCode="General">
                  <c:v>109</c:v>
                </c:pt>
                <c:pt idx="4668" formatCode="General">
                  <c:v>328</c:v>
                </c:pt>
                <c:pt idx="4669" formatCode="General">
                  <c:v>400</c:v>
                </c:pt>
                <c:pt idx="4670" formatCode="General">
                  <c:v>419</c:v>
                </c:pt>
                <c:pt idx="4671" formatCode="General">
                  <c:v>455</c:v>
                </c:pt>
                <c:pt idx="4672" formatCode="General">
                  <c:v>373</c:v>
                </c:pt>
                <c:pt idx="4673" formatCode="General">
                  <c:v>495</c:v>
                </c:pt>
                <c:pt idx="4674" formatCode="General">
                  <c:v>513</c:v>
                </c:pt>
                <c:pt idx="4675" formatCode="General">
                  <c:v>459</c:v>
                </c:pt>
                <c:pt idx="4676" formatCode="General">
                  <c:v>495</c:v>
                </c:pt>
                <c:pt idx="4677" formatCode="General">
                  <c:v>531</c:v>
                </c:pt>
                <c:pt idx="4678" formatCode="General">
                  <c:v>441</c:v>
                </c:pt>
                <c:pt idx="4679" formatCode="General">
                  <c:v>477</c:v>
                </c:pt>
                <c:pt idx="4680" formatCode="General">
                  <c:v>558</c:v>
                </c:pt>
                <c:pt idx="4681" formatCode="General">
                  <c:v>567</c:v>
                </c:pt>
                <c:pt idx="4682" formatCode="General">
                  <c:v>477</c:v>
                </c:pt>
                <c:pt idx="4683" formatCode="General">
                  <c:v>441</c:v>
                </c:pt>
                <c:pt idx="4684" formatCode="General">
                  <c:v>387</c:v>
                </c:pt>
                <c:pt idx="4685" formatCode="General">
                  <c:v>450</c:v>
                </c:pt>
                <c:pt idx="4686" formatCode="General">
                  <c:v>207</c:v>
                </c:pt>
                <c:pt idx="4687" formatCode="General">
                  <c:v>333</c:v>
                </c:pt>
                <c:pt idx="4688" formatCode="General">
                  <c:v>252</c:v>
                </c:pt>
                <c:pt idx="4689" formatCode="General">
                  <c:v>531</c:v>
                </c:pt>
                <c:pt idx="4690" formatCode="General">
                  <c:v>378</c:v>
                </c:pt>
                <c:pt idx="4691" formatCode="General">
                  <c:v>423</c:v>
                </c:pt>
                <c:pt idx="4692" formatCode="General">
                  <c:v>243</c:v>
                </c:pt>
                <c:pt idx="4693" formatCode="General">
                  <c:v>378</c:v>
                </c:pt>
                <c:pt idx="4694" formatCode="General">
                  <c:v>387</c:v>
                </c:pt>
                <c:pt idx="4695" formatCode="General">
                  <c:v>459</c:v>
                </c:pt>
                <c:pt idx="4696" formatCode="General">
                  <c:v>252</c:v>
                </c:pt>
                <c:pt idx="4697" formatCode="General">
                  <c:v>369</c:v>
                </c:pt>
                <c:pt idx="4698" formatCode="General">
                  <c:v>468</c:v>
                </c:pt>
                <c:pt idx="4699" formatCode="General">
                  <c:v>396</c:v>
                </c:pt>
                <c:pt idx="4700" formatCode="General">
                  <c:v>423</c:v>
                </c:pt>
                <c:pt idx="4701" formatCode="General">
                  <c:v>414</c:v>
                </c:pt>
                <c:pt idx="4702" formatCode="General">
                  <c:v>351</c:v>
                </c:pt>
                <c:pt idx="4703" formatCode="General">
                  <c:v>396</c:v>
                </c:pt>
                <c:pt idx="4704" formatCode="General">
                  <c:v>306</c:v>
                </c:pt>
                <c:pt idx="4705" formatCode="General">
                  <c:v>360</c:v>
                </c:pt>
                <c:pt idx="4706" formatCode="General">
                  <c:v>369</c:v>
                </c:pt>
                <c:pt idx="4707" formatCode="General">
                  <c:v>423</c:v>
                </c:pt>
                <c:pt idx="4708" formatCode="General">
                  <c:v>252</c:v>
                </c:pt>
                <c:pt idx="4709" formatCode="General">
                  <c:v>261</c:v>
                </c:pt>
                <c:pt idx="4710" formatCode="General">
                  <c:v>117</c:v>
                </c:pt>
                <c:pt idx="4711" formatCode="General">
                  <c:v>360</c:v>
                </c:pt>
                <c:pt idx="4712" formatCode="General">
                  <c:v>441</c:v>
                </c:pt>
                <c:pt idx="4713" formatCode="General">
                  <c:v>270</c:v>
                </c:pt>
                <c:pt idx="4714" formatCode="General">
                  <c:v>333</c:v>
                </c:pt>
                <c:pt idx="4715" formatCode="General">
                  <c:v>216</c:v>
                </c:pt>
                <c:pt idx="4716" formatCode="General">
                  <c:v>333</c:v>
                </c:pt>
                <c:pt idx="4717" formatCode="General">
                  <c:v>99</c:v>
                </c:pt>
                <c:pt idx="4718" formatCode="General">
                  <c:v>468</c:v>
                </c:pt>
                <c:pt idx="4719" formatCode="General">
                  <c:v>324</c:v>
                </c:pt>
                <c:pt idx="4720" formatCode="General">
                  <c:v>486</c:v>
                </c:pt>
                <c:pt idx="4721" formatCode="General">
                  <c:v>468</c:v>
                </c:pt>
                <c:pt idx="4722" formatCode="General">
                  <c:v>576</c:v>
                </c:pt>
                <c:pt idx="4723" formatCode="General">
                  <c:v>563</c:v>
                </c:pt>
                <c:pt idx="4724" formatCode="General">
                  <c:v>625</c:v>
                </c:pt>
                <c:pt idx="4725" formatCode="General">
                  <c:v>686</c:v>
                </c:pt>
                <c:pt idx="4726" formatCode="General">
                  <c:v>405</c:v>
                </c:pt>
                <c:pt idx="4727" formatCode="General">
                  <c:v>334</c:v>
                </c:pt>
                <c:pt idx="4728" formatCode="General">
                  <c:v>282</c:v>
                </c:pt>
                <c:pt idx="4729" formatCode="General">
                  <c:v>326</c:v>
                </c:pt>
                <c:pt idx="4730" formatCode="General">
                  <c:v>361</c:v>
                </c:pt>
                <c:pt idx="4731" formatCode="General">
                  <c:v>730</c:v>
                </c:pt>
                <c:pt idx="4732" formatCode="General">
                  <c:v>634</c:v>
                </c:pt>
                <c:pt idx="4733" formatCode="General">
                  <c:v>519</c:v>
                </c:pt>
                <c:pt idx="4734" formatCode="General">
                  <c:v>343</c:v>
                </c:pt>
                <c:pt idx="4735" formatCode="General">
                  <c:v>440</c:v>
                </c:pt>
                <c:pt idx="4736" formatCode="General">
                  <c:v>334</c:v>
                </c:pt>
                <c:pt idx="4737" formatCode="General">
                  <c:v>299</c:v>
                </c:pt>
                <c:pt idx="4738" formatCode="General">
                  <c:v>334</c:v>
                </c:pt>
                <c:pt idx="4739" formatCode="General">
                  <c:v>202</c:v>
                </c:pt>
                <c:pt idx="4740" formatCode="General">
                  <c:v>202</c:v>
                </c:pt>
                <c:pt idx="4741" formatCode="General">
                  <c:v>299</c:v>
                </c:pt>
                <c:pt idx="4742" formatCode="General">
                  <c:v>370</c:v>
                </c:pt>
                <c:pt idx="4743" formatCode="General">
                  <c:v>158</c:v>
                </c:pt>
                <c:pt idx="4744" formatCode="General">
                  <c:v>88</c:v>
                </c:pt>
                <c:pt idx="4745" formatCode="General">
                  <c:v>167</c:v>
                </c:pt>
                <c:pt idx="4746" formatCode="General">
                  <c:v>317</c:v>
                </c:pt>
                <c:pt idx="4747" formatCode="General">
                  <c:v>475</c:v>
                </c:pt>
                <c:pt idx="4748" formatCode="General">
                  <c:v>458</c:v>
                </c:pt>
                <c:pt idx="4749" formatCode="General">
                  <c:v>334</c:v>
                </c:pt>
                <c:pt idx="4750" formatCode="General">
                  <c:v>414</c:v>
                </c:pt>
                <c:pt idx="4751" formatCode="General">
                  <c:v>458</c:v>
                </c:pt>
                <c:pt idx="4752" formatCode="General">
                  <c:v>449</c:v>
                </c:pt>
                <c:pt idx="4753" formatCode="General">
                  <c:v>387</c:v>
                </c:pt>
                <c:pt idx="4754" formatCode="General">
                  <c:v>88</c:v>
                </c:pt>
                <c:pt idx="4755" formatCode="General">
                  <c:v>123</c:v>
                </c:pt>
                <c:pt idx="4756" formatCode="General">
                  <c:v>123</c:v>
                </c:pt>
                <c:pt idx="4757" formatCode="General">
                  <c:v>290</c:v>
                </c:pt>
                <c:pt idx="4758" formatCode="General">
                  <c:v>317</c:v>
                </c:pt>
                <c:pt idx="4759" formatCode="General">
                  <c:v>326</c:v>
                </c:pt>
                <c:pt idx="4760" formatCode="General">
                  <c:v>167</c:v>
                </c:pt>
                <c:pt idx="4761" formatCode="General">
                  <c:v>123</c:v>
                </c:pt>
                <c:pt idx="4762" formatCode="General">
                  <c:v>642</c:v>
                </c:pt>
                <c:pt idx="4763" formatCode="General">
                  <c:v>466</c:v>
                </c:pt>
                <c:pt idx="4764" formatCode="General">
                  <c:v>519</c:v>
                </c:pt>
                <c:pt idx="4765" formatCode="General">
                  <c:v>519</c:v>
                </c:pt>
                <c:pt idx="4766" formatCode="General">
                  <c:v>510</c:v>
                </c:pt>
                <c:pt idx="4767" formatCode="General">
                  <c:v>440</c:v>
                </c:pt>
                <c:pt idx="4768" formatCode="General">
                  <c:v>449</c:v>
                </c:pt>
                <c:pt idx="4769" formatCode="General">
                  <c:v>484</c:v>
                </c:pt>
                <c:pt idx="4770" formatCode="General">
                  <c:v>414</c:v>
                </c:pt>
                <c:pt idx="4771" formatCode="General">
                  <c:v>431</c:v>
                </c:pt>
                <c:pt idx="4772" formatCode="General">
                  <c:v>466</c:v>
                </c:pt>
                <c:pt idx="4773" formatCode="General">
                  <c:v>546</c:v>
                </c:pt>
                <c:pt idx="4774" formatCode="General">
                  <c:v>238</c:v>
                </c:pt>
                <c:pt idx="4775" formatCode="General">
                  <c:v>246</c:v>
                </c:pt>
                <c:pt idx="4776" formatCode="General">
                  <c:v>167</c:v>
                </c:pt>
                <c:pt idx="4777" formatCode="General">
                  <c:v>264</c:v>
                </c:pt>
                <c:pt idx="4778" formatCode="General">
                  <c:v>211</c:v>
                </c:pt>
                <c:pt idx="4779" formatCode="General">
                  <c:v>343</c:v>
                </c:pt>
                <c:pt idx="4780" formatCode="General">
                  <c:v>466</c:v>
                </c:pt>
                <c:pt idx="4781" formatCode="General">
                  <c:v>273</c:v>
                </c:pt>
                <c:pt idx="4782" formatCode="General">
                  <c:v>282</c:v>
                </c:pt>
                <c:pt idx="4783" formatCode="General">
                  <c:v>264</c:v>
                </c:pt>
                <c:pt idx="4784" formatCode="General">
                  <c:v>387</c:v>
                </c:pt>
                <c:pt idx="4785" formatCode="General">
                  <c:v>326</c:v>
                </c:pt>
                <c:pt idx="4786" formatCode="General">
                  <c:v>211</c:v>
                </c:pt>
                <c:pt idx="4787" formatCode="General">
                  <c:v>158</c:v>
                </c:pt>
                <c:pt idx="4788" formatCode="General">
                  <c:v>238</c:v>
                </c:pt>
                <c:pt idx="4789" formatCode="General">
                  <c:v>246</c:v>
                </c:pt>
                <c:pt idx="4790" formatCode="General">
                  <c:v>387</c:v>
                </c:pt>
                <c:pt idx="4791" formatCode="General">
                  <c:v>352</c:v>
                </c:pt>
                <c:pt idx="4792" formatCode="General">
                  <c:v>246</c:v>
                </c:pt>
                <c:pt idx="4793" formatCode="General">
                  <c:v>282</c:v>
                </c:pt>
                <c:pt idx="4794" formatCode="General">
                  <c:v>308</c:v>
                </c:pt>
                <c:pt idx="4795" formatCode="General">
                  <c:v>317</c:v>
                </c:pt>
                <c:pt idx="4796" formatCode="General">
                  <c:v>370</c:v>
                </c:pt>
                <c:pt idx="4797" formatCode="General">
                  <c:v>374</c:v>
                </c:pt>
                <c:pt idx="4798" formatCode="General">
                  <c:v>418</c:v>
                </c:pt>
                <c:pt idx="4799" formatCode="General">
                  <c:v>374</c:v>
                </c:pt>
                <c:pt idx="4800" formatCode="General">
                  <c:v>487</c:v>
                </c:pt>
                <c:pt idx="4801" formatCode="General">
                  <c:v>705</c:v>
                </c:pt>
                <c:pt idx="4802" formatCode="General">
                  <c:v>461</c:v>
                </c:pt>
                <c:pt idx="4803" formatCode="General">
                  <c:v>296</c:v>
                </c:pt>
                <c:pt idx="4804" formatCode="General">
                  <c:v>252</c:v>
                </c:pt>
                <c:pt idx="4805" formatCode="General">
                  <c:v>165</c:v>
                </c:pt>
                <c:pt idx="4806" formatCode="General">
                  <c:v>165</c:v>
                </c:pt>
                <c:pt idx="4807" formatCode="General">
                  <c:v>426</c:v>
                </c:pt>
                <c:pt idx="4808" formatCode="General">
                  <c:v>461</c:v>
                </c:pt>
                <c:pt idx="4809" formatCode="General">
                  <c:v>470</c:v>
                </c:pt>
                <c:pt idx="4810" formatCode="General">
                  <c:v>487</c:v>
                </c:pt>
                <c:pt idx="4811" formatCode="General">
                  <c:v>339</c:v>
                </c:pt>
                <c:pt idx="4812" formatCode="General">
                  <c:v>331</c:v>
                </c:pt>
                <c:pt idx="4813" formatCode="General">
                  <c:v>444</c:v>
                </c:pt>
                <c:pt idx="4814" formatCode="General">
                  <c:v>383</c:v>
                </c:pt>
                <c:pt idx="4815" formatCode="General">
                  <c:v>365</c:v>
                </c:pt>
                <c:pt idx="4816" formatCode="General">
                  <c:v>392</c:v>
                </c:pt>
                <c:pt idx="4817" formatCode="General">
                  <c:v>209</c:v>
                </c:pt>
                <c:pt idx="4818" formatCode="General">
                  <c:v>357</c:v>
                </c:pt>
                <c:pt idx="4819" formatCode="General">
                  <c:v>392</c:v>
                </c:pt>
                <c:pt idx="4820" formatCode="General">
                  <c:v>218</c:v>
                </c:pt>
                <c:pt idx="4821" formatCode="General">
                  <c:v>322</c:v>
                </c:pt>
                <c:pt idx="4822" formatCode="General">
                  <c:v>470</c:v>
                </c:pt>
                <c:pt idx="4823" formatCode="General">
                  <c:v>331</c:v>
                </c:pt>
                <c:pt idx="4824" formatCode="General">
                  <c:v>322</c:v>
                </c:pt>
                <c:pt idx="4825" formatCode="General">
                  <c:v>365</c:v>
                </c:pt>
                <c:pt idx="4826" formatCode="General">
                  <c:v>461</c:v>
                </c:pt>
                <c:pt idx="4827" formatCode="General">
                  <c:v>452</c:v>
                </c:pt>
                <c:pt idx="4828" formatCode="General">
                  <c:v>296</c:v>
                </c:pt>
                <c:pt idx="4829" formatCode="General">
                  <c:v>470</c:v>
                </c:pt>
                <c:pt idx="4830" formatCode="General">
                  <c:v>447</c:v>
                </c:pt>
                <c:pt idx="4831" formatCode="General">
                  <c:v>289</c:v>
                </c:pt>
                <c:pt idx="4832" formatCode="General">
                  <c:v>451</c:v>
                </c:pt>
                <c:pt idx="4833" formatCode="General">
                  <c:v>544</c:v>
                </c:pt>
                <c:pt idx="4834" formatCode="General">
                  <c:v>417</c:v>
                </c:pt>
                <c:pt idx="4835" formatCode="General">
                  <c:v>476</c:v>
                </c:pt>
                <c:pt idx="4836" formatCode="General">
                  <c:v>425</c:v>
                </c:pt>
                <c:pt idx="4837" formatCode="General">
                  <c:v>527</c:v>
                </c:pt>
                <c:pt idx="4838" formatCode="General">
                  <c:v>383</c:v>
                </c:pt>
                <c:pt idx="4839" formatCode="General">
                  <c:v>485</c:v>
                </c:pt>
                <c:pt idx="4840" formatCode="General">
                  <c:v>315</c:v>
                </c:pt>
                <c:pt idx="4841" formatCode="General">
                  <c:v>383</c:v>
                </c:pt>
                <c:pt idx="4842" formatCode="General">
                  <c:v>468</c:v>
                </c:pt>
                <c:pt idx="4843" formatCode="General">
                  <c:v>374</c:v>
                </c:pt>
                <c:pt idx="4844" formatCode="General">
                  <c:v>306</c:v>
                </c:pt>
                <c:pt idx="4845" formatCode="General">
                  <c:v>476</c:v>
                </c:pt>
                <c:pt idx="4846" formatCode="General">
                  <c:v>366</c:v>
                </c:pt>
                <c:pt idx="4847" formatCode="General">
                  <c:v>357</c:v>
                </c:pt>
                <c:pt idx="4848" formatCode="General">
                  <c:v>349</c:v>
                </c:pt>
                <c:pt idx="4849" formatCode="General">
                  <c:v>162</c:v>
                </c:pt>
                <c:pt idx="4850" formatCode="General">
                  <c:v>434</c:v>
                </c:pt>
                <c:pt idx="4851" formatCode="General">
                  <c:v>366</c:v>
                </c:pt>
                <c:pt idx="4852" formatCode="General">
                  <c:v>400</c:v>
                </c:pt>
                <c:pt idx="4853" formatCode="General">
                  <c:v>451</c:v>
                </c:pt>
                <c:pt idx="4854" formatCode="General">
                  <c:v>349</c:v>
                </c:pt>
                <c:pt idx="4855" formatCode="General">
                  <c:v>510</c:v>
                </c:pt>
                <c:pt idx="4856" formatCode="General">
                  <c:v>366</c:v>
                </c:pt>
                <c:pt idx="4857" formatCode="General">
                  <c:v>425</c:v>
                </c:pt>
                <c:pt idx="4858" formatCode="General">
                  <c:v>451</c:v>
                </c:pt>
                <c:pt idx="4859" formatCode="General">
                  <c:v>544</c:v>
                </c:pt>
                <c:pt idx="4860" formatCode="General">
                  <c:v>349</c:v>
                </c:pt>
                <c:pt idx="4861" formatCode="General">
                  <c:v>400</c:v>
                </c:pt>
                <c:pt idx="4862" formatCode="General">
                  <c:v>255</c:v>
                </c:pt>
                <c:pt idx="4863" formatCode="General">
                  <c:v>247</c:v>
                </c:pt>
                <c:pt idx="4864" formatCode="General">
                  <c:v>374</c:v>
                </c:pt>
                <c:pt idx="4865" formatCode="General">
                  <c:v>281</c:v>
                </c:pt>
                <c:pt idx="4866" formatCode="General">
                  <c:v>170</c:v>
                </c:pt>
                <c:pt idx="4867" formatCode="General">
                  <c:v>306</c:v>
                </c:pt>
                <c:pt idx="4868" formatCode="General">
                  <c:v>128</c:v>
                </c:pt>
                <c:pt idx="4869" formatCode="General">
                  <c:v>204</c:v>
                </c:pt>
                <c:pt idx="4870" formatCode="General">
                  <c:v>510</c:v>
                </c:pt>
                <c:pt idx="4871" formatCode="General">
                  <c:v>247</c:v>
                </c:pt>
                <c:pt idx="4872" formatCode="General">
                  <c:v>298</c:v>
                </c:pt>
                <c:pt idx="4873" formatCode="General">
                  <c:v>255</c:v>
                </c:pt>
                <c:pt idx="4874" formatCode="General">
                  <c:v>247</c:v>
                </c:pt>
                <c:pt idx="4875" formatCode="General">
                  <c:v>213</c:v>
                </c:pt>
                <c:pt idx="4876" formatCode="General">
                  <c:v>196</c:v>
                </c:pt>
                <c:pt idx="4877" formatCode="General">
                  <c:v>340</c:v>
                </c:pt>
                <c:pt idx="4878" formatCode="General">
                  <c:v>315</c:v>
                </c:pt>
                <c:pt idx="4879" formatCode="General">
                  <c:v>323</c:v>
                </c:pt>
                <c:pt idx="4880" formatCode="General">
                  <c:v>344</c:v>
                </c:pt>
                <c:pt idx="4881" formatCode="General">
                  <c:v>420</c:v>
                </c:pt>
                <c:pt idx="4882" formatCode="General">
                  <c:v>235</c:v>
                </c:pt>
                <c:pt idx="4883" formatCode="General">
                  <c:v>311</c:v>
                </c:pt>
                <c:pt idx="4884" formatCode="General">
                  <c:v>386</c:v>
                </c:pt>
                <c:pt idx="4885" formatCode="General">
                  <c:v>437</c:v>
                </c:pt>
                <c:pt idx="4886" formatCode="General">
                  <c:v>412</c:v>
                </c:pt>
                <c:pt idx="4887" formatCode="General">
                  <c:v>445</c:v>
                </c:pt>
                <c:pt idx="4888" formatCode="General">
                  <c:v>504</c:v>
                </c:pt>
                <c:pt idx="4889" formatCode="General">
                  <c:v>538</c:v>
                </c:pt>
                <c:pt idx="4890" formatCode="General">
                  <c:v>437</c:v>
                </c:pt>
                <c:pt idx="4891" formatCode="General">
                  <c:v>496</c:v>
                </c:pt>
                <c:pt idx="4892" formatCode="General">
                  <c:v>420</c:v>
                </c:pt>
                <c:pt idx="4893" formatCode="General">
                  <c:v>370</c:v>
                </c:pt>
                <c:pt idx="4894" formatCode="General">
                  <c:v>361</c:v>
                </c:pt>
                <c:pt idx="4895" formatCode="General">
                  <c:v>269</c:v>
                </c:pt>
                <c:pt idx="4896" formatCode="General">
                  <c:v>412</c:v>
                </c:pt>
                <c:pt idx="4897" formatCode="General">
                  <c:v>454</c:v>
                </c:pt>
                <c:pt idx="4898" formatCode="General">
                  <c:v>395</c:v>
                </c:pt>
                <c:pt idx="4899" formatCode="General">
                  <c:v>445</c:v>
                </c:pt>
                <c:pt idx="4900" formatCode="General">
                  <c:v>487</c:v>
                </c:pt>
                <c:pt idx="4901" formatCode="General">
                  <c:v>428</c:v>
                </c:pt>
                <c:pt idx="4902" formatCode="General">
                  <c:v>328</c:v>
                </c:pt>
                <c:pt idx="4903" formatCode="General">
                  <c:v>428</c:v>
                </c:pt>
                <c:pt idx="4904" formatCode="General">
                  <c:v>521</c:v>
                </c:pt>
                <c:pt idx="4905" formatCode="General">
                  <c:v>521</c:v>
                </c:pt>
                <c:pt idx="4906" formatCode="General">
                  <c:v>420</c:v>
                </c:pt>
                <c:pt idx="4907" formatCode="General">
                  <c:v>266</c:v>
                </c:pt>
                <c:pt idx="4908" formatCode="General">
                  <c:v>564</c:v>
                </c:pt>
                <c:pt idx="4909" formatCode="General">
                  <c:v>307</c:v>
                </c:pt>
                <c:pt idx="4910" formatCode="General">
                  <c:v>606</c:v>
                </c:pt>
                <c:pt idx="4911" formatCode="General">
                  <c:v>573</c:v>
                </c:pt>
                <c:pt idx="4912" formatCode="General">
                  <c:v>415</c:v>
                </c:pt>
                <c:pt idx="4913" formatCode="General">
                  <c:v>149</c:v>
                </c:pt>
                <c:pt idx="4914" formatCode="General">
                  <c:v>116</c:v>
                </c:pt>
                <c:pt idx="4915" formatCode="General">
                  <c:v>241</c:v>
                </c:pt>
                <c:pt idx="4916" formatCode="General">
                  <c:v>448</c:v>
                </c:pt>
                <c:pt idx="4917" formatCode="General">
                  <c:v>407</c:v>
                </c:pt>
                <c:pt idx="4918" formatCode="General">
                  <c:v>415</c:v>
                </c:pt>
                <c:pt idx="4919" formatCode="General">
                  <c:v>423</c:v>
                </c:pt>
                <c:pt idx="4920" formatCode="General">
                  <c:v>340</c:v>
                </c:pt>
                <c:pt idx="4921" formatCode="General">
                  <c:v>440</c:v>
                </c:pt>
                <c:pt idx="4922" formatCode="General">
                  <c:v>224</c:v>
                </c:pt>
                <c:pt idx="4923" formatCode="General">
                  <c:v>448</c:v>
                </c:pt>
                <c:pt idx="4924" formatCode="General">
                  <c:v>448</c:v>
                </c:pt>
                <c:pt idx="4925" formatCode="General">
                  <c:v>224</c:v>
                </c:pt>
                <c:pt idx="4926" formatCode="General">
                  <c:v>390</c:v>
                </c:pt>
                <c:pt idx="4927" formatCode="General">
                  <c:v>398</c:v>
                </c:pt>
                <c:pt idx="4928" formatCode="General">
                  <c:v>282</c:v>
                </c:pt>
                <c:pt idx="4929" formatCode="General">
                  <c:v>340</c:v>
                </c:pt>
                <c:pt idx="4930" formatCode="General">
                  <c:v>390</c:v>
                </c:pt>
                <c:pt idx="4931" formatCode="General">
                  <c:v>457</c:v>
                </c:pt>
                <c:pt idx="4932" formatCode="General">
                  <c:v>448</c:v>
                </c:pt>
                <c:pt idx="4933" formatCode="General">
                  <c:v>324</c:v>
                </c:pt>
                <c:pt idx="4934" formatCode="General">
                  <c:v>415</c:v>
                </c:pt>
                <c:pt idx="4935" formatCode="General">
                  <c:v>465</c:v>
                </c:pt>
                <c:pt idx="4936" formatCode="General">
                  <c:v>357</c:v>
                </c:pt>
                <c:pt idx="4937" formatCode="General">
                  <c:v>440</c:v>
                </c:pt>
                <c:pt idx="4938" formatCode="General">
                  <c:v>191</c:v>
                </c:pt>
                <c:pt idx="4939" formatCode="General">
                  <c:v>274</c:v>
                </c:pt>
                <c:pt idx="4940" formatCode="General">
                  <c:v>324</c:v>
                </c:pt>
                <c:pt idx="4941" formatCode="General">
                  <c:v>340</c:v>
                </c:pt>
                <c:pt idx="4942" formatCode="General">
                  <c:v>141</c:v>
                </c:pt>
                <c:pt idx="4943" formatCode="General">
                  <c:v>58</c:v>
                </c:pt>
                <c:pt idx="4944" formatCode="General">
                  <c:v>100</c:v>
                </c:pt>
                <c:pt idx="4945" formatCode="General">
                  <c:v>291</c:v>
                </c:pt>
                <c:pt idx="4946" formatCode="General">
                  <c:v>266</c:v>
                </c:pt>
                <c:pt idx="4947" formatCode="General">
                  <c:v>307</c:v>
                </c:pt>
                <c:pt idx="4948" formatCode="General">
                  <c:v>374</c:v>
                </c:pt>
                <c:pt idx="4949" formatCode="General">
                  <c:v>324</c:v>
                </c:pt>
                <c:pt idx="4950" formatCode="General">
                  <c:v>382</c:v>
                </c:pt>
                <c:pt idx="4951" formatCode="General">
                  <c:v>216</c:v>
                </c:pt>
                <c:pt idx="4952" formatCode="General">
                  <c:v>349</c:v>
                </c:pt>
                <c:pt idx="4953" formatCode="General">
                  <c:v>332</c:v>
                </c:pt>
                <c:pt idx="4954" formatCode="General">
                  <c:v>241</c:v>
                </c:pt>
                <c:pt idx="4955" formatCode="General">
                  <c:v>348</c:v>
                </c:pt>
                <c:pt idx="4956" formatCode="General">
                  <c:v>518</c:v>
                </c:pt>
                <c:pt idx="4957" formatCode="General">
                  <c:v>308</c:v>
                </c:pt>
                <c:pt idx="4958" formatCode="General">
                  <c:v>527</c:v>
                </c:pt>
                <c:pt idx="4959" formatCode="General">
                  <c:v>478</c:v>
                </c:pt>
                <c:pt idx="4960" formatCode="General">
                  <c:v>510</c:v>
                </c:pt>
                <c:pt idx="4961" formatCode="General">
                  <c:v>429</c:v>
                </c:pt>
                <c:pt idx="4962" formatCode="General">
                  <c:v>356</c:v>
                </c:pt>
                <c:pt idx="4963" formatCode="General">
                  <c:v>300</c:v>
                </c:pt>
                <c:pt idx="4964" formatCode="General">
                  <c:v>429</c:v>
                </c:pt>
                <c:pt idx="4965" formatCode="General">
                  <c:v>478</c:v>
                </c:pt>
                <c:pt idx="4966" formatCode="General">
                  <c:v>494</c:v>
                </c:pt>
                <c:pt idx="4967" formatCode="General">
                  <c:v>308</c:v>
                </c:pt>
                <c:pt idx="4968" formatCode="General">
                  <c:v>275</c:v>
                </c:pt>
                <c:pt idx="4969" formatCode="General">
                  <c:v>348</c:v>
                </c:pt>
                <c:pt idx="4970" formatCode="General">
                  <c:v>356</c:v>
                </c:pt>
                <c:pt idx="4971" formatCode="General">
                  <c:v>300</c:v>
                </c:pt>
                <c:pt idx="4972" formatCode="General">
                  <c:v>259</c:v>
                </c:pt>
                <c:pt idx="4973" formatCode="General">
                  <c:v>308</c:v>
                </c:pt>
                <c:pt idx="4974" formatCode="General">
                  <c:v>194</c:v>
                </c:pt>
                <c:pt idx="4975" formatCode="General">
                  <c:v>381</c:v>
                </c:pt>
                <c:pt idx="4976" formatCode="General">
                  <c:v>559</c:v>
                </c:pt>
                <c:pt idx="4977" formatCode="General">
                  <c:v>235</c:v>
                </c:pt>
                <c:pt idx="4978" formatCode="General">
                  <c:v>300</c:v>
                </c:pt>
                <c:pt idx="4979" formatCode="General">
                  <c:v>518</c:v>
                </c:pt>
                <c:pt idx="4980" formatCode="General">
                  <c:v>356</c:v>
                </c:pt>
                <c:pt idx="4981" formatCode="General">
                  <c:v>259</c:v>
                </c:pt>
                <c:pt idx="4982" formatCode="General">
                  <c:v>235</c:v>
                </c:pt>
                <c:pt idx="4983" formatCode="General">
                  <c:v>267</c:v>
                </c:pt>
                <c:pt idx="4984" formatCode="General">
                  <c:v>429</c:v>
                </c:pt>
                <c:pt idx="4985" formatCode="General">
                  <c:v>308</c:v>
                </c:pt>
                <c:pt idx="4986" formatCode="General">
                  <c:v>292</c:v>
                </c:pt>
                <c:pt idx="4987" formatCode="General">
                  <c:v>332</c:v>
                </c:pt>
                <c:pt idx="4988" formatCode="General">
                  <c:v>300</c:v>
                </c:pt>
                <c:pt idx="4989" formatCode="General">
                  <c:v>300</c:v>
                </c:pt>
                <c:pt idx="4990" formatCode="General">
                  <c:v>356</c:v>
                </c:pt>
                <c:pt idx="4991" formatCode="General">
                  <c:v>429</c:v>
                </c:pt>
                <c:pt idx="4992" formatCode="General">
                  <c:v>421</c:v>
                </c:pt>
                <c:pt idx="4993" formatCode="General">
                  <c:v>332</c:v>
                </c:pt>
                <c:pt idx="4994" formatCode="General">
                  <c:v>365</c:v>
                </c:pt>
                <c:pt idx="4995" formatCode="General">
                  <c:v>470</c:v>
                </c:pt>
                <c:pt idx="4996" formatCode="General">
                  <c:v>575</c:v>
                </c:pt>
                <c:pt idx="4997" formatCode="General">
                  <c:v>446</c:v>
                </c:pt>
                <c:pt idx="4998" formatCode="General">
                  <c:v>454</c:v>
                </c:pt>
              </c:numCache>
            </c:numRef>
          </c:xVal>
          <c:yVal>
            <c:numRef>
              <c:f>'Raw Data&amp; 2.1.1'!$K$2:$K$5000</c:f>
              <c:numCache>
                <c:formatCode>"$"#,##0_);[Red]\("$"#,##0\)</c:formatCode>
                <c:ptCount val="4999"/>
                <c:pt idx="0">
                  <c:v>1257</c:v>
                </c:pt>
                <c:pt idx="1">
                  <c:v>806</c:v>
                </c:pt>
                <c:pt idx="2">
                  <c:v>3150</c:v>
                </c:pt>
                <c:pt idx="3">
                  <c:v>3881</c:v>
                </c:pt>
                <c:pt idx="4">
                  <c:v>3206</c:v>
                </c:pt>
                <c:pt idx="5">
                  <c:v>2494</c:v>
                </c:pt>
                <c:pt idx="6">
                  <c:v>3150</c:v>
                </c:pt>
                <c:pt idx="7">
                  <c:v>2700</c:v>
                </c:pt>
                <c:pt idx="8">
                  <c:v>2700</c:v>
                </c:pt>
                <c:pt idx="9">
                  <c:v>993</c:v>
                </c:pt>
                <c:pt idx="10">
                  <c:v>2975</c:v>
                </c:pt>
                <c:pt idx="11">
                  <c:v>2231</c:v>
                </c:pt>
                <c:pt idx="12">
                  <c:v>2975</c:v>
                </c:pt>
                <c:pt idx="13">
                  <c:v>3400</c:v>
                </c:pt>
                <c:pt idx="14">
                  <c:v>2550</c:v>
                </c:pt>
                <c:pt idx="15">
                  <c:v>3400</c:v>
                </c:pt>
                <c:pt idx="16">
                  <c:v>3400</c:v>
                </c:pt>
                <c:pt idx="17">
                  <c:v>2975</c:v>
                </c:pt>
                <c:pt idx="18">
                  <c:v>1129</c:v>
                </c:pt>
                <c:pt idx="19">
                  <c:v>875</c:v>
                </c:pt>
                <c:pt idx="20">
                  <c:v>1038</c:v>
                </c:pt>
                <c:pt idx="21">
                  <c:v>2800</c:v>
                </c:pt>
                <c:pt idx="22">
                  <c:v>3200</c:v>
                </c:pt>
                <c:pt idx="23">
                  <c:v>2800</c:v>
                </c:pt>
                <c:pt idx="24">
                  <c:v>2800</c:v>
                </c:pt>
                <c:pt idx="25">
                  <c:v>3200</c:v>
                </c:pt>
                <c:pt idx="26">
                  <c:v>2400</c:v>
                </c:pt>
                <c:pt idx="27">
                  <c:v>978</c:v>
                </c:pt>
                <c:pt idx="28">
                  <c:v>811</c:v>
                </c:pt>
                <c:pt idx="29">
                  <c:v>666</c:v>
                </c:pt>
                <c:pt idx="30">
                  <c:v>679</c:v>
                </c:pt>
                <c:pt idx="31">
                  <c:v>559</c:v>
                </c:pt>
                <c:pt idx="32">
                  <c:v>4125</c:v>
                </c:pt>
                <c:pt idx="33">
                  <c:v>2625</c:v>
                </c:pt>
                <c:pt idx="34">
                  <c:v>3000</c:v>
                </c:pt>
                <c:pt idx="35">
                  <c:v>3000</c:v>
                </c:pt>
                <c:pt idx="36">
                  <c:v>2250</c:v>
                </c:pt>
                <c:pt idx="37">
                  <c:v>1969</c:v>
                </c:pt>
                <c:pt idx="38">
                  <c:v>2250</c:v>
                </c:pt>
                <c:pt idx="39">
                  <c:v>800</c:v>
                </c:pt>
                <c:pt idx="40">
                  <c:v>445</c:v>
                </c:pt>
                <c:pt idx="41">
                  <c:v>445</c:v>
                </c:pt>
                <c:pt idx="42">
                  <c:v>663</c:v>
                </c:pt>
                <c:pt idx="43">
                  <c:v>837</c:v>
                </c:pt>
                <c:pt idx="44">
                  <c:v>1250</c:v>
                </c:pt>
                <c:pt idx="45">
                  <c:v>452</c:v>
                </c:pt>
                <c:pt idx="46">
                  <c:v>511</c:v>
                </c:pt>
                <c:pt idx="47">
                  <c:v>1026</c:v>
                </c:pt>
                <c:pt idx="48">
                  <c:v>447</c:v>
                </c:pt>
                <c:pt idx="49">
                  <c:v>3063</c:v>
                </c:pt>
                <c:pt idx="50">
                  <c:v>3500</c:v>
                </c:pt>
                <c:pt idx="51">
                  <c:v>3063</c:v>
                </c:pt>
                <c:pt idx="52">
                  <c:v>3063</c:v>
                </c:pt>
                <c:pt idx="53">
                  <c:v>3063</c:v>
                </c:pt>
                <c:pt idx="54">
                  <c:v>1225</c:v>
                </c:pt>
                <c:pt idx="55">
                  <c:v>3500</c:v>
                </c:pt>
                <c:pt idx="56">
                  <c:v>3500</c:v>
                </c:pt>
                <c:pt idx="57">
                  <c:v>3063</c:v>
                </c:pt>
                <c:pt idx="58">
                  <c:v>1400</c:v>
                </c:pt>
                <c:pt idx="59">
                  <c:v>3500</c:v>
                </c:pt>
                <c:pt idx="60">
                  <c:v>2100</c:v>
                </c:pt>
                <c:pt idx="61">
                  <c:v>2800</c:v>
                </c:pt>
                <c:pt idx="62">
                  <c:v>2450</c:v>
                </c:pt>
                <c:pt idx="63">
                  <c:v>3063</c:v>
                </c:pt>
                <c:pt idx="64">
                  <c:v>1838</c:v>
                </c:pt>
                <c:pt idx="65">
                  <c:v>3063</c:v>
                </c:pt>
                <c:pt idx="66">
                  <c:v>3500</c:v>
                </c:pt>
                <c:pt idx="67">
                  <c:v>414</c:v>
                </c:pt>
                <c:pt idx="68">
                  <c:v>365</c:v>
                </c:pt>
                <c:pt idx="69">
                  <c:v>497</c:v>
                </c:pt>
                <c:pt idx="70">
                  <c:v>473</c:v>
                </c:pt>
                <c:pt idx="71">
                  <c:v>758</c:v>
                </c:pt>
                <c:pt idx="72">
                  <c:v>426</c:v>
                </c:pt>
                <c:pt idx="73">
                  <c:v>511</c:v>
                </c:pt>
                <c:pt idx="74">
                  <c:v>2415</c:v>
                </c:pt>
                <c:pt idx="75">
                  <c:v>601</c:v>
                </c:pt>
                <c:pt idx="76">
                  <c:v>474</c:v>
                </c:pt>
                <c:pt idx="77">
                  <c:v>490</c:v>
                </c:pt>
                <c:pt idx="78">
                  <c:v>527</c:v>
                </c:pt>
                <c:pt idx="79">
                  <c:v>963</c:v>
                </c:pt>
                <c:pt idx="80">
                  <c:v>351</c:v>
                </c:pt>
                <c:pt idx="81">
                  <c:v>559</c:v>
                </c:pt>
                <c:pt idx="82">
                  <c:v>426</c:v>
                </c:pt>
                <c:pt idx="83">
                  <c:v>476</c:v>
                </c:pt>
                <c:pt idx="84">
                  <c:v>321</c:v>
                </c:pt>
                <c:pt idx="85">
                  <c:v>546</c:v>
                </c:pt>
                <c:pt idx="86">
                  <c:v>401</c:v>
                </c:pt>
                <c:pt idx="87">
                  <c:v>462</c:v>
                </c:pt>
                <c:pt idx="88">
                  <c:v>1152</c:v>
                </c:pt>
                <c:pt idx="89">
                  <c:v>3250</c:v>
                </c:pt>
                <c:pt idx="90">
                  <c:v>3250</c:v>
                </c:pt>
                <c:pt idx="91">
                  <c:v>2600</c:v>
                </c:pt>
                <c:pt idx="92">
                  <c:v>2844</c:v>
                </c:pt>
                <c:pt idx="93">
                  <c:v>1706</c:v>
                </c:pt>
                <c:pt idx="94">
                  <c:v>1300</c:v>
                </c:pt>
                <c:pt idx="95">
                  <c:v>2275</c:v>
                </c:pt>
                <c:pt idx="96">
                  <c:v>3250</c:v>
                </c:pt>
                <c:pt idx="97">
                  <c:v>3250</c:v>
                </c:pt>
                <c:pt idx="98">
                  <c:v>2275</c:v>
                </c:pt>
                <c:pt idx="99">
                  <c:v>1950</c:v>
                </c:pt>
                <c:pt idx="100">
                  <c:v>2844</c:v>
                </c:pt>
                <c:pt idx="101">
                  <c:v>1950</c:v>
                </c:pt>
                <c:pt idx="102">
                  <c:v>2275</c:v>
                </c:pt>
                <c:pt idx="103">
                  <c:v>2275</c:v>
                </c:pt>
                <c:pt idx="104">
                  <c:v>2600</c:v>
                </c:pt>
                <c:pt idx="105">
                  <c:v>1150</c:v>
                </c:pt>
                <c:pt idx="106">
                  <c:v>518</c:v>
                </c:pt>
                <c:pt idx="107">
                  <c:v>1140</c:v>
                </c:pt>
                <c:pt idx="108">
                  <c:v>393</c:v>
                </c:pt>
                <c:pt idx="109">
                  <c:v>314</c:v>
                </c:pt>
                <c:pt idx="110">
                  <c:v>448</c:v>
                </c:pt>
                <c:pt idx="111">
                  <c:v>478</c:v>
                </c:pt>
                <c:pt idx="112">
                  <c:v>425</c:v>
                </c:pt>
                <c:pt idx="113">
                  <c:v>446</c:v>
                </c:pt>
                <c:pt idx="114">
                  <c:v>483</c:v>
                </c:pt>
                <c:pt idx="115">
                  <c:v>559</c:v>
                </c:pt>
                <c:pt idx="116">
                  <c:v>3200</c:v>
                </c:pt>
                <c:pt idx="117">
                  <c:v>403</c:v>
                </c:pt>
                <c:pt idx="118">
                  <c:v>408</c:v>
                </c:pt>
                <c:pt idx="119">
                  <c:v>1129</c:v>
                </c:pt>
                <c:pt idx="120">
                  <c:v>531</c:v>
                </c:pt>
                <c:pt idx="121">
                  <c:v>782</c:v>
                </c:pt>
                <c:pt idx="122">
                  <c:v>482</c:v>
                </c:pt>
                <c:pt idx="123">
                  <c:v>1096</c:v>
                </c:pt>
                <c:pt idx="124">
                  <c:v>405</c:v>
                </c:pt>
                <c:pt idx="125">
                  <c:v>397</c:v>
                </c:pt>
                <c:pt idx="126">
                  <c:v>364</c:v>
                </c:pt>
                <c:pt idx="127">
                  <c:v>335</c:v>
                </c:pt>
                <c:pt idx="128">
                  <c:v>442</c:v>
                </c:pt>
                <c:pt idx="129">
                  <c:v>513</c:v>
                </c:pt>
                <c:pt idx="130">
                  <c:v>295</c:v>
                </c:pt>
                <c:pt idx="131">
                  <c:v>431</c:v>
                </c:pt>
                <c:pt idx="132">
                  <c:v>565</c:v>
                </c:pt>
                <c:pt idx="133">
                  <c:v>348</c:v>
                </c:pt>
                <c:pt idx="134">
                  <c:v>430</c:v>
                </c:pt>
                <c:pt idx="135">
                  <c:v>576</c:v>
                </c:pt>
                <c:pt idx="136">
                  <c:v>893</c:v>
                </c:pt>
                <c:pt idx="137">
                  <c:v>1050</c:v>
                </c:pt>
                <c:pt idx="138">
                  <c:v>1238</c:v>
                </c:pt>
                <c:pt idx="139">
                  <c:v>700</c:v>
                </c:pt>
                <c:pt idx="140">
                  <c:v>449</c:v>
                </c:pt>
                <c:pt idx="141">
                  <c:v>1156</c:v>
                </c:pt>
                <c:pt idx="142">
                  <c:v>467</c:v>
                </c:pt>
                <c:pt idx="143">
                  <c:v>669</c:v>
                </c:pt>
                <c:pt idx="144">
                  <c:v>996</c:v>
                </c:pt>
                <c:pt idx="145">
                  <c:v>487</c:v>
                </c:pt>
                <c:pt idx="146">
                  <c:v>461</c:v>
                </c:pt>
                <c:pt idx="147">
                  <c:v>406</c:v>
                </c:pt>
                <c:pt idx="148">
                  <c:v>502</c:v>
                </c:pt>
                <c:pt idx="149">
                  <c:v>257</c:v>
                </c:pt>
                <c:pt idx="150">
                  <c:v>260</c:v>
                </c:pt>
                <c:pt idx="151">
                  <c:v>364</c:v>
                </c:pt>
                <c:pt idx="152">
                  <c:v>379</c:v>
                </c:pt>
                <c:pt idx="153">
                  <c:v>690</c:v>
                </c:pt>
                <c:pt idx="154">
                  <c:v>477</c:v>
                </c:pt>
                <c:pt idx="155">
                  <c:v>282</c:v>
                </c:pt>
                <c:pt idx="156">
                  <c:v>496</c:v>
                </c:pt>
                <c:pt idx="157">
                  <c:v>668</c:v>
                </c:pt>
                <c:pt idx="158">
                  <c:v>816</c:v>
                </c:pt>
                <c:pt idx="159">
                  <c:v>761</c:v>
                </c:pt>
                <c:pt idx="160">
                  <c:v>305</c:v>
                </c:pt>
                <c:pt idx="161">
                  <c:v>382</c:v>
                </c:pt>
                <c:pt idx="162">
                  <c:v>511</c:v>
                </c:pt>
                <c:pt idx="163">
                  <c:v>1040</c:v>
                </c:pt>
                <c:pt idx="164">
                  <c:v>565</c:v>
                </c:pt>
                <c:pt idx="165">
                  <c:v>544</c:v>
                </c:pt>
                <c:pt idx="166">
                  <c:v>3150</c:v>
                </c:pt>
                <c:pt idx="167">
                  <c:v>4050</c:v>
                </c:pt>
                <c:pt idx="168">
                  <c:v>3150</c:v>
                </c:pt>
                <c:pt idx="169">
                  <c:v>1575</c:v>
                </c:pt>
                <c:pt idx="170">
                  <c:v>2400</c:v>
                </c:pt>
                <c:pt idx="171">
                  <c:v>2100</c:v>
                </c:pt>
                <c:pt idx="172">
                  <c:v>3600</c:v>
                </c:pt>
                <c:pt idx="173">
                  <c:v>2400</c:v>
                </c:pt>
                <c:pt idx="174">
                  <c:v>2400</c:v>
                </c:pt>
                <c:pt idx="175">
                  <c:v>2625</c:v>
                </c:pt>
                <c:pt idx="176">
                  <c:v>1800</c:v>
                </c:pt>
                <c:pt idx="177">
                  <c:v>2400</c:v>
                </c:pt>
                <c:pt idx="178">
                  <c:v>1575</c:v>
                </c:pt>
                <c:pt idx="179">
                  <c:v>1575</c:v>
                </c:pt>
                <c:pt idx="180">
                  <c:v>3150</c:v>
                </c:pt>
                <c:pt idx="181">
                  <c:v>3150</c:v>
                </c:pt>
                <c:pt idx="182">
                  <c:v>3150</c:v>
                </c:pt>
                <c:pt idx="183">
                  <c:v>2625</c:v>
                </c:pt>
                <c:pt idx="184">
                  <c:v>2400</c:v>
                </c:pt>
                <c:pt idx="185">
                  <c:v>3000</c:v>
                </c:pt>
                <c:pt idx="186">
                  <c:v>3600</c:v>
                </c:pt>
                <c:pt idx="187">
                  <c:v>2700</c:v>
                </c:pt>
                <c:pt idx="188">
                  <c:v>837</c:v>
                </c:pt>
                <c:pt idx="189">
                  <c:v>643</c:v>
                </c:pt>
                <c:pt idx="190">
                  <c:v>874</c:v>
                </c:pt>
                <c:pt idx="191">
                  <c:v>1076</c:v>
                </c:pt>
                <c:pt idx="192">
                  <c:v>1076</c:v>
                </c:pt>
                <c:pt idx="193">
                  <c:v>713</c:v>
                </c:pt>
                <c:pt idx="194">
                  <c:v>430</c:v>
                </c:pt>
                <c:pt idx="195">
                  <c:v>751</c:v>
                </c:pt>
                <c:pt idx="196">
                  <c:v>533</c:v>
                </c:pt>
                <c:pt idx="197">
                  <c:v>429</c:v>
                </c:pt>
                <c:pt idx="198">
                  <c:v>470</c:v>
                </c:pt>
                <c:pt idx="199">
                  <c:v>747</c:v>
                </c:pt>
                <c:pt idx="200">
                  <c:v>383</c:v>
                </c:pt>
                <c:pt idx="201">
                  <c:v>449</c:v>
                </c:pt>
                <c:pt idx="202">
                  <c:v>2581</c:v>
                </c:pt>
                <c:pt idx="203">
                  <c:v>434</c:v>
                </c:pt>
                <c:pt idx="204">
                  <c:v>538</c:v>
                </c:pt>
                <c:pt idx="205">
                  <c:v>339</c:v>
                </c:pt>
                <c:pt idx="206">
                  <c:v>342</c:v>
                </c:pt>
                <c:pt idx="207">
                  <c:v>882</c:v>
                </c:pt>
                <c:pt idx="208">
                  <c:v>531</c:v>
                </c:pt>
                <c:pt idx="209">
                  <c:v>868</c:v>
                </c:pt>
                <c:pt idx="210">
                  <c:v>598</c:v>
                </c:pt>
                <c:pt idx="211">
                  <c:v>529</c:v>
                </c:pt>
                <c:pt idx="212">
                  <c:v>616</c:v>
                </c:pt>
                <c:pt idx="213">
                  <c:v>665</c:v>
                </c:pt>
                <c:pt idx="214">
                  <c:v>749</c:v>
                </c:pt>
                <c:pt idx="215">
                  <c:v>690</c:v>
                </c:pt>
                <c:pt idx="216">
                  <c:v>941</c:v>
                </c:pt>
                <c:pt idx="217">
                  <c:v>1166</c:v>
                </c:pt>
                <c:pt idx="218">
                  <c:v>398</c:v>
                </c:pt>
                <c:pt idx="219">
                  <c:v>331</c:v>
                </c:pt>
                <c:pt idx="220">
                  <c:v>381</c:v>
                </c:pt>
                <c:pt idx="221">
                  <c:v>472</c:v>
                </c:pt>
                <c:pt idx="222">
                  <c:v>279</c:v>
                </c:pt>
                <c:pt idx="223">
                  <c:v>725</c:v>
                </c:pt>
                <c:pt idx="224">
                  <c:v>340</c:v>
                </c:pt>
                <c:pt idx="225">
                  <c:v>343</c:v>
                </c:pt>
                <c:pt idx="226">
                  <c:v>505</c:v>
                </c:pt>
                <c:pt idx="227">
                  <c:v>625</c:v>
                </c:pt>
                <c:pt idx="228">
                  <c:v>435</c:v>
                </c:pt>
                <c:pt idx="229">
                  <c:v>441</c:v>
                </c:pt>
                <c:pt idx="230">
                  <c:v>339</c:v>
                </c:pt>
                <c:pt idx="231">
                  <c:v>487</c:v>
                </c:pt>
                <c:pt idx="232">
                  <c:v>849</c:v>
                </c:pt>
                <c:pt idx="233">
                  <c:v>362</c:v>
                </c:pt>
                <c:pt idx="234">
                  <c:v>402</c:v>
                </c:pt>
                <c:pt idx="235">
                  <c:v>205</c:v>
                </c:pt>
                <c:pt idx="236">
                  <c:v>698</c:v>
                </c:pt>
                <c:pt idx="237">
                  <c:v>723</c:v>
                </c:pt>
                <c:pt idx="238">
                  <c:v>602</c:v>
                </c:pt>
                <c:pt idx="239">
                  <c:v>787</c:v>
                </c:pt>
                <c:pt idx="240">
                  <c:v>383</c:v>
                </c:pt>
                <c:pt idx="241">
                  <c:v>402</c:v>
                </c:pt>
                <c:pt idx="242">
                  <c:v>828</c:v>
                </c:pt>
                <c:pt idx="243">
                  <c:v>532</c:v>
                </c:pt>
                <c:pt idx="244">
                  <c:v>744</c:v>
                </c:pt>
                <c:pt idx="245">
                  <c:v>374</c:v>
                </c:pt>
                <c:pt idx="246">
                  <c:v>445</c:v>
                </c:pt>
                <c:pt idx="247">
                  <c:v>373</c:v>
                </c:pt>
                <c:pt idx="248">
                  <c:v>531</c:v>
                </c:pt>
                <c:pt idx="249">
                  <c:v>608</c:v>
                </c:pt>
                <c:pt idx="250">
                  <c:v>447</c:v>
                </c:pt>
                <c:pt idx="251">
                  <c:v>661</c:v>
                </c:pt>
                <c:pt idx="252">
                  <c:v>461</c:v>
                </c:pt>
                <c:pt idx="253">
                  <c:v>474</c:v>
                </c:pt>
                <c:pt idx="254">
                  <c:v>197</c:v>
                </c:pt>
                <c:pt idx="255">
                  <c:v>459</c:v>
                </c:pt>
                <c:pt idx="256">
                  <c:v>647</c:v>
                </c:pt>
                <c:pt idx="257">
                  <c:v>645</c:v>
                </c:pt>
                <c:pt idx="258">
                  <c:v>921</c:v>
                </c:pt>
                <c:pt idx="259">
                  <c:v>585</c:v>
                </c:pt>
                <c:pt idx="260">
                  <c:v>396</c:v>
                </c:pt>
                <c:pt idx="261">
                  <c:v>496</c:v>
                </c:pt>
                <c:pt idx="262">
                  <c:v>614</c:v>
                </c:pt>
                <c:pt idx="263">
                  <c:v>950</c:v>
                </c:pt>
                <c:pt idx="264">
                  <c:v>984</c:v>
                </c:pt>
                <c:pt idx="265">
                  <c:v>792</c:v>
                </c:pt>
                <c:pt idx="266">
                  <c:v>435</c:v>
                </c:pt>
                <c:pt idx="267">
                  <c:v>287</c:v>
                </c:pt>
                <c:pt idx="268">
                  <c:v>530</c:v>
                </c:pt>
                <c:pt idx="269">
                  <c:v>397</c:v>
                </c:pt>
                <c:pt idx="270">
                  <c:v>698</c:v>
                </c:pt>
                <c:pt idx="271">
                  <c:v>467</c:v>
                </c:pt>
                <c:pt idx="272">
                  <c:v>643</c:v>
                </c:pt>
                <c:pt idx="273">
                  <c:v>417</c:v>
                </c:pt>
                <c:pt idx="274">
                  <c:v>2750</c:v>
                </c:pt>
                <c:pt idx="275">
                  <c:v>2750</c:v>
                </c:pt>
                <c:pt idx="276">
                  <c:v>2888</c:v>
                </c:pt>
                <c:pt idx="277">
                  <c:v>1925</c:v>
                </c:pt>
                <c:pt idx="278">
                  <c:v>1650</c:v>
                </c:pt>
                <c:pt idx="279">
                  <c:v>2406</c:v>
                </c:pt>
                <c:pt idx="280">
                  <c:v>2750</c:v>
                </c:pt>
                <c:pt idx="281">
                  <c:v>2200</c:v>
                </c:pt>
                <c:pt idx="282">
                  <c:v>2888</c:v>
                </c:pt>
                <c:pt idx="283">
                  <c:v>2200</c:v>
                </c:pt>
                <c:pt idx="284">
                  <c:v>2200</c:v>
                </c:pt>
                <c:pt idx="285">
                  <c:v>2888</c:v>
                </c:pt>
                <c:pt idx="286">
                  <c:v>2406</c:v>
                </c:pt>
                <c:pt idx="287">
                  <c:v>1100</c:v>
                </c:pt>
                <c:pt idx="288">
                  <c:v>2750</c:v>
                </c:pt>
                <c:pt idx="289">
                  <c:v>1650</c:v>
                </c:pt>
                <c:pt idx="290">
                  <c:v>1444</c:v>
                </c:pt>
                <c:pt idx="291">
                  <c:v>2475</c:v>
                </c:pt>
                <c:pt idx="292">
                  <c:v>2063</c:v>
                </c:pt>
                <c:pt idx="293">
                  <c:v>2750</c:v>
                </c:pt>
                <c:pt idx="294">
                  <c:v>2888</c:v>
                </c:pt>
                <c:pt idx="295">
                  <c:v>2888</c:v>
                </c:pt>
                <c:pt idx="296">
                  <c:v>1444</c:v>
                </c:pt>
                <c:pt idx="297">
                  <c:v>2750</c:v>
                </c:pt>
                <c:pt idx="298">
                  <c:v>3300</c:v>
                </c:pt>
                <c:pt idx="299">
                  <c:v>3300</c:v>
                </c:pt>
                <c:pt idx="300">
                  <c:v>3300</c:v>
                </c:pt>
                <c:pt idx="301">
                  <c:v>3300</c:v>
                </c:pt>
                <c:pt idx="302">
                  <c:v>2750</c:v>
                </c:pt>
                <c:pt idx="303">
                  <c:v>622</c:v>
                </c:pt>
                <c:pt idx="304">
                  <c:v>764</c:v>
                </c:pt>
                <c:pt idx="305">
                  <c:v>779</c:v>
                </c:pt>
                <c:pt idx="306">
                  <c:v>428</c:v>
                </c:pt>
                <c:pt idx="307">
                  <c:v>691</c:v>
                </c:pt>
                <c:pt idx="308">
                  <c:v>661</c:v>
                </c:pt>
                <c:pt idx="309">
                  <c:v>780</c:v>
                </c:pt>
                <c:pt idx="310">
                  <c:v>404</c:v>
                </c:pt>
                <c:pt idx="311">
                  <c:v>329</c:v>
                </c:pt>
                <c:pt idx="312">
                  <c:v>382</c:v>
                </c:pt>
                <c:pt idx="313">
                  <c:v>292</c:v>
                </c:pt>
                <c:pt idx="314">
                  <c:v>500</c:v>
                </c:pt>
                <c:pt idx="315">
                  <c:v>729</c:v>
                </c:pt>
                <c:pt idx="316">
                  <c:v>394</c:v>
                </c:pt>
                <c:pt idx="317">
                  <c:v>641</c:v>
                </c:pt>
                <c:pt idx="318">
                  <c:v>435</c:v>
                </c:pt>
                <c:pt idx="319">
                  <c:v>441</c:v>
                </c:pt>
                <c:pt idx="320">
                  <c:v>416</c:v>
                </c:pt>
                <c:pt idx="321">
                  <c:v>604</c:v>
                </c:pt>
                <c:pt idx="322">
                  <c:v>729</c:v>
                </c:pt>
                <c:pt idx="323">
                  <c:v>576</c:v>
                </c:pt>
                <c:pt idx="324">
                  <c:v>376</c:v>
                </c:pt>
                <c:pt idx="325">
                  <c:v>412</c:v>
                </c:pt>
                <c:pt idx="326">
                  <c:v>325</c:v>
                </c:pt>
                <c:pt idx="327">
                  <c:v>496</c:v>
                </c:pt>
                <c:pt idx="328">
                  <c:v>608</c:v>
                </c:pt>
                <c:pt idx="329">
                  <c:v>466</c:v>
                </c:pt>
                <c:pt idx="330">
                  <c:v>444</c:v>
                </c:pt>
                <c:pt idx="331">
                  <c:v>598</c:v>
                </c:pt>
                <c:pt idx="332">
                  <c:v>656</c:v>
                </c:pt>
                <c:pt idx="333">
                  <c:v>594</c:v>
                </c:pt>
                <c:pt idx="334">
                  <c:v>653</c:v>
                </c:pt>
                <c:pt idx="335">
                  <c:v>907</c:v>
                </c:pt>
                <c:pt idx="336">
                  <c:v>1231</c:v>
                </c:pt>
                <c:pt idx="337">
                  <c:v>767</c:v>
                </c:pt>
                <c:pt idx="338">
                  <c:v>350</c:v>
                </c:pt>
                <c:pt idx="339">
                  <c:v>410</c:v>
                </c:pt>
                <c:pt idx="340">
                  <c:v>211</c:v>
                </c:pt>
                <c:pt idx="341">
                  <c:v>260</c:v>
                </c:pt>
                <c:pt idx="342">
                  <c:v>569</c:v>
                </c:pt>
                <c:pt idx="343">
                  <c:v>349</c:v>
                </c:pt>
                <c:pt idx="344">
                  <c:v>523</c:v>
                </c:pt>
                <c:pt idx="345">
                  <c:v>592</c:v>
                </c:pt>
                <c:pt idx="346">
                  <c:v>373</c:v>
                </c:pt>
                <c:pt idx="347">
                  <c:v>486</c:v>
                </c:pt>
                <c:pt idx="348">
                  <c:v>420</c:v>
                </c:pt>
                <c:pt idx="349">
                  <c:v>659</c:v>
                </c:pt>
                <c:pt idx="350">
                  <c:v>820</c:v>
                </c:pt>
                <c:pt idx="351">
                  <c:v>594</c:v>
                </c:pt>
                <c:pt idx="352">
                  <c:v>507</c:v>
                </c:pt>
                <c:pt idx="353">
                  <c:v>285</c:v>
                </c:pt>
                <c:pt idx="354">
                  <c:v>366</c:v>
                </c:pt>
                <c:pt idx="355">
                  <c:v>309</c:v>
                </c:pt>
                <c:pt idx="356">
                  <c:v>486</c:v>
                </c:pt>
                <c:pt idx="357">
                  <c:v>281</c:v>
                </c:pt>
                <c:pt idx="358">
                  <c:v>202</c:v>
                </c:pt>
                <c:pt idx="359">
                  <c:v>279</c:v>
                </c:pt>
                <c:pt idx="360">
                  <c:v>279</c:v>
                </c:pt>
                <c:pt idx="361">
                  <c:v>336</c:v>
                </c:pt>
                <c:pt idx="362">
                  <c:v>278</c:v>
                </c:pt>
                <c:pt idx="363">
                  <c:v>341</c:v>
                </c:pt>
                <c:pt idx="364">
                  <c:v>333</c:v>
                </c:pt>
                <c:pt idx="365">
                  <c:v>467</c:v>
                </c:pt>
                <c:pt idx="366">
                  <c:v>377</c:v>
                </c:pt>
                <c:pt idx="367">
                  <c:v>396</c:v>
                </c:pt>
                <c:pt idx="368">
                  <c:v>479</c:v>
                </c:pt>
                <c:pt idx="369">
                  <c:v>537</c:v>
                </c:pt>
                <c:pt idx="370">
                  <c:v>425</c:v>
                </c:pt>
                <c:pt idx="371">
                  <c:v>794</c:v>
                </c:pt>
                <c:pt idx="372">
                  <c:v>203</c:v>
                </c:pt>
                <c:pt idx="373">
                  <c:v>642</c:v>
                </c:pt>
                <c:pt idx="374">
                  <c:v>602</c:v>
                </c:pt>
                <c:pt idx="375">
                  <c:v>878</c:v>
                </c:pt>
                <c:pt idx="376">
                  <c:v>568</c:v>
                </c:pt>
                <c:pt idx="377">
                  <c:v>869</c:v>
                </c:pt>
                <c:pt idx="378">
                  <c:v>926</c:v>
                </c:pt>
                <c:pt idx="379">
                  <c:v>447</c:v>
                </c:pt>
                <c:pt idx="380">
                  <c:v>383</c:v>
                </c:pt>
                <c:pt idx="381">
                  <c:v>1060</c:v>
                </c:pt>
                <c:pt idx="382">
                  <c:v>308</c:v>
                </c:pt>
                <c:pt idx="383">
                  <c:v>328</c:v>
                </c:pt>
                <c:pt idx="384">
                  <c:v>309</c:v>
                </c:pt>
                <c:pt idx="385">
                  <c:v>884</c:v>
                </c:pt>
                <c:pt idx="386">
                  <c:v>359</c:v>
                </c:pt>
                <c:pt idx="387">
                  <c:v>625</c:v>
                </c:pt>
                <c:pt idx="388">
                  <c:v>545</c:v>
                </c:pt>
                <c:pt idx="389">
                  <c:v>377</c:v>
                </c:pt>
                <c:pt idx="390">
                  <c:v>359</c:v>
                </c:pt>
                <c:pt idx="391">
                  <c:v>528</c:v>
                </c:pt>
                <c:pt idx="392">
                  <c:v>564</c:v>
                </c:pt>
                <c:pt idx="393">
                  <c:v>552</c:v>
                </c:pt>
                <c:pt idx="394">
                  <c:v>673</c:v>
                </c:pt>
                <c:pt idx="395">
                  <c:v>858</c:v>
                </c:pt>
                <c:pt idx="396">
                  <c:v>953</c:v>
                </c:pt>
                <c:pt idx="397">
                  <c:v>783</c:v>
                </c:pt>
                <c:pt idx="398">
                  <c:v>513</c:v>
                </c:pt>
                <c:pt idx="399">
                  <c:v>443</c:v>
                </c:pt>
                <c:pt idx="400">
                  <c:v>535</c:v>
                </c:pt>
                <c:pt idx="401">
                  <c:v>518</c:v>
                </c:pt>
                <c:pt idx="402">
                  <c:v>453</c:v>
                </c:pt>
                <c:pt idx="403">
                  <c:v>478</c:v>
                </c:pt>
                <c:pt idx="404">
                  <c:v>513</c:v>
                </c:pt>
                <c:pt idx="405">
                  <c:v>1061</c:v>
                </c:pt>
                <c:pt idx="406">
                  <c:v>644</c:v>
                </c:pt>
                <c:pt idx="407">
                  <c:v>532</c:v>
                </c:pt>
                <c:pt idx="408">
                  <c:v>624</c:v>
                </c:pt>
                <c:pt idx="409">
                  <c:v>579</c:v>
                </c:pt>
                <c:pt idx="410">
                  <c:v>384</c:v>
                </c:pt>
                <c:pt idx="411">
                  <c:v>215</c:v>
                </c:pt>
                <c:pt idx="412">
                  <c:v>372</c:v>
                </c:pt>
                <c:pt idx="413">
                  <c:v>218</c:v>
                </c:pt>
                <c:pt idx="414">
                  <c:v>433</c:v>
                </c:pt>
                <c:pt idx="415">
                  <c:v>284</c:v>
                </c:pt>
                <c:pt idx="416">
                  <c:v>366</c:v>
                </c:pt>
                <c:pt idx="417">
                  <c:v>506</c:v>
                </c:pt>
                <c:pt idx="418">
                  <c:v>829</c:v>
                </c:pt>
                <c:pt idx="419">
                  <c:v>337</c:v>
                </c:pt>
                <c:pt idx="420">
                  <c:v>421</c:v>
                </c:pt>
                <c:pt idx="421">
                  <c:v>436</c:v>
                </c:pt>
                <c:pt idx="422">
                  <c:v>366</c:v>
                </c:pt>
                <c:pt idx="423">
                  <c:v>654</c:v>
                </c:pt>
                <c:pt idx="424">
                  <c:v>667</c:v>
                </c:pt>
                <c:pt idx="425">
                  <c:v>566</c:v>
                </c:pt>
                <c:pt idx="426">
                  <c:v>642</c:v>
                </c:pt>
                <c:pt idx="427">
                  <c:v>307</c:v>
                </c:pt>
                <c:pt idx="428">
                  <c:v>472</c:v>
                </c:pt>
                <c:pt idx="429">
                  <c:v>578</c:v>
                </c:pt>
                <c:pt idx="430">
                  <c:v>379</c:v>
                </c:pt>
                <c:pt idx="431">
                  <c:v>539</c:v>
                </c:pt>
                <c:pt idx="432">
                  <c:v>587</c:v>
                </c:pt>
                <c:pt idx="433">
                  <c:v>923</c:v>
                </c:pt>
                <c:pt idx="434">
                  <c:v>528</c:v>
                </c:pt>
                <c:pt idx="435">
                  <c:v>575</c:v>
                </c:pt>
                <c:pt idx="436">
                  <c:v>767</c:v>
                </c:pt>
                <c:pt idx="437">
                  <c:v>1007</c:v>
                </c:pt>
                <c:pt idx="438">
                  <c:v>856</c:v>
                </c:pt>
                <c:pt idx="439">
                  <c:v>967</c:v>
                </c:pt>
                <c:pt idx="440">
                  <c:v>1118</c:v>
                </c:pt>
                <c:pt idx="441">
                  <c:v>209</c:v>
                </c:pt>
                <c:pt idx="442">
                  <c:v>302</c:v>
                </c:pt>
                <c:pt idx="443">
                  <c:v>368</c:v>
                </c:pt>
                <c:pt idx="444">
                  <c:v>451</c:v>
                </c:pt>
                <c:pt idx="445">
                  <c:v>624</c:v>
                </c:pt>
                <c:pt idx="446">
                  <c:v>875</c:v>
                </c:pt>
                <c:pt idx="447">
                  <c:v>406</c:v>
                </c:pt>
                <c:pt idx="448">
                  <c:v>683</c:v>
                </c:pt>
                <c:pt idx="449">
                  <c:v>331</c:v>
                </c:pt>
                <c:pt idx="450">
                  <c:v>615</c:v>
                </c:pt>
                <c:pt idx="451">
                  <c:v>609</c:v>
                </c:pt>
                <c:pt idx="452">
                  <c:v>656</c:v>
                </c:pt>
                <c:pt idx="453">
                  <c:v>456</c:v>
                </c:pt>
                <c:pt idx="454">
                  <c:v>335</c:v>
                </c:pt>
                <c:pt idx="455">
                  <c:v>537</c:v>
                </c:pt>
                <c:pt idx="456">
                  <c:v>491</c:v>
                </c:pt>
                <c:pt idx="457">
                  <c:v>624</c:v>
                </c:pt>
                <c:pt idx="458">
                  <c:v>545</c:v>
                </c:pt>
                <c:pt idx="459">
                  <c:v>585</c:v>
                </c:pt>
                <c:pt idx="460">
                  <c:v>617</c:v>
                </c:pt>
                <c:pt idx="461">
                  <c:v>706</c:v>
                </c:pt>
                <c:pt idx="462">
                  <c:v>616</c:v>
                </c:pt>
                <c:pt idx="463">
                  <c:v>624</c:v>
                </c:pt>
                <c:pt idx="464">
                  <c:v>654</c:v>
                </c:pt>
                <c:pt idx="465">
                  <c:v>826</c:v>
                </c:pt>
                <c:pt idx="466">
                  <c:v>2625</c:v>
                </c:pt>
                <c:pt idx="467">
                  <c:v>1875</c:v>
                </c:pt>
                <c:pt idx="468">
                  <c:v>3938</c:v>
                </c:pt>
                <c:pt idx="469">
                  <c:v>3000</c:v>
                </c:pt>
                <c:pt idx="470">
                  <c:v>2500</c:v>
                </c:pt>
                <c:pt idx="471">
                  <c:v>2188</c:v>
                </c:pt>
                <c:pt idx="472">
                  <c:v>2500</c:v>
                </c:pt>
                <c:pt idx="473">
                  <c:v>2000</c:v>
                </c:pt>
                <c:pt idx="474">
                  <c:v>3000</c:v>
                </c:pt>
                <c:pt idx="475">
                  <c:v>3500</c:v>
                </c:pt>
                <c:pt idx="476">
                  <c:v>2000</c:v>
                </c:pt>
                <c:pt idx="477">
                  <c:v>3063</c:v>
                </c:pt>
                <c:pt idx="478">
                  <c:v>3063</c:v>
                </c:pt>
                <c:pt idx="479">
                  <c:v>1750</c:v>
                </c:pt>
                <c:pt idx="480">
                  <c:v>1500</c:v>
                </c:pt>
                <c:pt idx="481">
                  <c:v>2188</c:v>
                </c:pt>
                <c:pt idx="482">
                  <c:v>3063</c:v>
                </c:pt>
                <c:pt idx="483">
                  <c:v>2188</c:v>
                </c:pt>
                <c:pt idx="484">
                  <c:v>875</c:v>
                </c:pt>
                <c:pt idx="485">
                  <c:v>2188</c:v>
                </c:pt>
                <c:pt idx="486">
                  <c:v>3063</c:v>
                </c:pt>
                <c:pt idx="487">
                  <c:v>1313</c:v>
                </c:pt>
                <c:pt idx="488">
                  <c:v>2625</c:v>
                </c:pt>
                <c:pt idx="489">
                  <c:v>2625</c:v>
                </c:pt>
                <c:pt idx="490">
                  <c:v>1500</c:v>
                </c:pt>
                <c:pt idx="491">
                  <c:v>3000</c:v>
                </c:pt>
                <c:pt idx="492">
                  <c:v>1500</c:v>
                </c:pt>
                <c:pt idx="493">
                  <c:v>2000</c:v>
                </c:pt>
                <c:pt idx="494">
                  <c:v>3063</c:v>
                </c:pt>
                <c:pt idx="495">
                  <c:v>2625</c:v>
                </c:pt>
                <c:pt idx="496">
                  <c:v>1500</c:v>
                </c:pt>
                <c:pt idx="497">
                  <c:v>3000</c:v>
                </c:pt>
                <c:pt idx="498">
                  <c:v>1500</c:v>
                </c:pt>
                <c:pt idx="499">
                  <c:v>2625</c:v>
                </c:pt>
                <c:pt idx="500">
                  <c:v>2188</c:v>
                </c:pt>
                <c:pt idx="501">
                  <c:v>3500</c:v>
                </c:pt>
                <c:pt idx="502">
                  <c:v>3000</c:v>
                </c:pt>
                <c:pt idx="503">
                  <c:v>2000</c:v>
                </c:pt>
                <c:pt idx="504">
                  <c:v>2500</c:v>
                </c:pt>
                <c:pt idx="505">
                  <c:v>3500</c:v>
                </c:pt>
                <c:pt idx="506">
                  <c:v>2250</c:v>
                </c:pt>
                <c:pt idx="507">
                  <c:v>2250</c:v>
                </c:pt>
                <c:pt idx="508">
                  <c:v>1875</c:v>
                </c:pt>
                <c:pt idx="509">
                  <c:v>2188</c:v>
                </c:pt>
                <c:pt idx="510">
                  <c:v>414</c:v>
                </c:pt>
                <c:pt idx="511">
                  <c:v>752</c:v>
                </c:pt>
                <c:pt idx="512">
                  <c:v>868</c:v>
                </c:pt>
                <c:pt idx="513">
                  <c:v>610</c:v>
                </c:pt>
                <c:pt idx="514">
                  <c:v>1040</c:v>
                </c:pt>
                <c:pt idx="515">
                  <c:v>689</c:v>
                </c:pt>
                <c:pt idx="516">
                  <c:v>578</c:v>
                </c:pt>
                <c:pt idx="517">
                  <c:v>707</c:v>
                </c:pt>
                <c:pt idx="518">
                  <c:v>1016</c:v>
                </c:pt>
                <c:pt idx="519">
                  <c:v>477</c:v>
                </c:pt>
                <c:pt idx="520">
                  <c:v>583</c:v>
                </c:pt>
                <c:pt idx="521">
                  <c:v>734</c:v>
                </c:pt>
                <c:pt idx="522">
                  <c:v>280</c:v>
                </c:pt>
                <c:pt idx="523">
                  <c:v>455</c:v>
                </c:pt>
                <c:pt idx="524">
                  <c:v>302</c:v>
                </c:pt>
                <c:pt idx="525">
                  <c:v>280</c:v>
                </c:pt>
                <c:pt idx="526">
                  <c:v>188</c:v>
                </c:pt>
                <c:pt idx="527">
                  <c:v>493</c:v>
                </c:pt>
                <c:pt idx="528">
                  <c:v>329</c:v>
                </c:pt>
                <c:pt idx="529">
                  <c:v>354</c:v>
                </c:pt>
                <c:pt idx="530">
                  <c:v>229</c:v>
                </c:pt>
                <c:pt idx="531">
                  <c:v>363</c:v>
                </c:pt>
                <c:pt idx="532">
                  <c:v>406</c:v>
                </c:pt>
                <c:pt idx="533">
                  <c:v>464</c:v>
                </c:pt>
                <c:pt idx="534">
                  <c:v>526</c:v>
                </c:pt>
                <c:pt idx="535">
                  <c:v>863</c:v>
                </c:pt>
                <c:pt idx="536">
                  <c:v>486</c:v>
                </c:pt>
                <c:pt idx="537">
                  <c:v>299</c:v>
                </c:pt>
                <c:pt idx="538">
                  <c:v>315</c:v>
                </c:pt>
                <c:pt idx="539">
                  <c:v>813</c:v>
                </c:pt>
                <c:pt idx="540">
                  <c:v>764</c:v>
                </c:pt>
                <c:pt idx="541">
                  <c:v>567</c:v>
                </c:pt>
                <c:pt idx="542">
                  <c:v>532</c:v>
                </c:pt>
                <c:pt idx="543">
                  <c:v>397</c:v>
                </c:pt>
                <c:pt idx="544">
                  <c:v>156</c:v>
                </c:pt>
                <c:pt idx="545">
                  <c:v>466</c:v>
                </c:pt>
                <c:pt idx="546">
                  <c:v>472</c:v>
                </c:pt>
                <c:pt idx="547">
                  <c:v>511</c:v>
                </c:pt>
                <c:pt idx="548">
                  <c:v>781</c:v>
                </c:pt>
                <c:pt idx="549">
                  <c:v>457</c:v>
                </c:pt>
                <c:pt idx="550">
                  <c:v>628</c:v>
                </c:pt>
                <c:pt idx="551">
                  <c:v>802</c:v>
                </c:pt>
                <c:pt idx="552">
                  <c:v>716</c:v>
                </c:pt>
                <c:pt idx="553">
                  <c:v>405</c:v>
                </c:pt>
                <c:pt idx="554">
                  <c:v>409</c:v>
                </c:pt>
                <c:pt idx="555">
                  <c:v>260</c:v>
                </c:pt>
                <c:pt idx="556">
                  <c:v>336</c:v>
                </c:pt>
                <c:pt idx="557">
                  <c:v>133</c:v>
                </c:pt>
                <c:pt idx="558">
                  <c:v>223</c:v>
                </c:pt>
                <c:pt idx="559">
                  <c:v>337</c:v>
                </c:pt>
                <c:pt idx="560">
                  <c:v>253</c:v>
                </c:pt>
                <c:pt idx="561">
                  <c:v>561</c:v>
                </c:pt>
                <c:pt idx="562">
                  <c:v>720</c:v>
                </c:pt>
                <c:pt idx="563">
                  <c:v>555</c:v>
                </c:pt>
                <c:pt idx="564">
                  <c:v>2450</c:v>
                </c:pt>
                <c:pt idx="565">
                  <c:v>2573</c:v>
                </c:pt>
                <c:pt idx="566">
                  <c:v>650</c:v>
                </c:pt>
                <c:pt idx="567">
                  <c:v>491</c:v>
                </c:pt>
                <c:pt idx="568">
                  <c:v>882</c:v>
                </c:pt>
                <c:pt idx="569">
                  <c:v>838</c:v>
                </c:pt>
                <c:pt idx="570">
                  <c:v>556</c:v>
                </c:pt>
                <c:pt idx="571">
                  <c:v>387</c:v>
                </c:pt>
                <c:pt idx="572">
                  <c:v>201</c:v>
                </c:pt>
                <c:pt idx="573">
                  <c:v>289</c:v>
                </c:pt>
                <c:pt idx="574">
                  <c:v>548</c:v>
                </c:pt>
                <c:pt idx="575">
                  <c:v>576</c:v>
                </c:pt>
                <c:pt idx="576">
                  <c:v>1063</c:v>
                </c:pt>
                <c:pt idx="577">
                  <c:v>793</c:v>
                </c:pt>
                <c:pt idx="578">
                  <c:v>1047</c:v>
                </c:pt>
                <c:pt idx="579">
                  <c:v>732</c:v>
                </c:pt>
                <c:pt idx="580">
                  <c:v>796</c:v>
                </c:pt>
                <c:pt idx="581">
                  <c:v>606</c:v>
                </c:pt>
                <c:pt idx="582">
                  <c:v>514</c:v>
                </c:pt>
                <c:pt idx="583">
                  <c:v>512</c:v>
                </c:pt>
                <c:pt idx="584">
                  <c:v>462</c:v>
                </c:pt>
                <c:pt idx="585">
                  <c:v>643</c:v>
                </c:pt>
                <c:pt idx="586">
                  <c:v>532</c:v>
                </c:pt>
                <c:pt idx="587">
                  <c:v>516</c:v>
                </c:pt>
                <c:pt idx="588">
                  <c:v>610</c:v>
                </c:pt>
                <c:pt idx="589">
                  <c:v>528</c:v>
                </c:pt>
                <c:pt idx="590">
                  <c:v>516</c:v>
                </c:pt>
                <c:pt idx="591">
                  <c:v>292</c:v>
                </c:pt>
                <c:pt idx="592">
                  <c:v>673</c:v>
                </c:pt>
                <c:pt idx="593">
                  <c:v>1075</c:v>
                </c:pt>
                <c:pt idx="594">
                  <c:v>896</c:v>
                </c:pt>
                <c:pt idx="595">
                  <c:v>861</c:v>
                </c:pt>
                <c:pt idx="596">
                  <c:v>691</c:v>
                </c:pt>
                <c:pt idx="597">
                  <c:v>298</c:v>
                </c:pt>
                <c:pt idx="598">
                  <c:v>204</c:v>
                </c:pt>
                <c:pt idx="599">
                  <c:v>591</c:v>
                </c:pt>
                <c:pt idx="600">
                  <c:v>309</c:v>
                </c:pt>
                <c:pt idx="601">
                  <c:v>361</c:v>
                </c:pt>
                <c:pt idx="602">
                  <c:v>364</c:v>
                </c:pt>
                <c:pt idx="603">
                  <c:v>619</c:v>
                </c:pt>
                <c:pt idx="604">
                  <c:v>211</c:v>
                </c:pt>
                <c:pt idx="605">
                  <c:v>361</c:v>
                </c:pt>
                <c:pt idx="606">
                  <c:v>618</c:v>
                </c:pt>
                <c:pt idx="607">
                  <c:v>534</c:v>
                </c:pt>
                <c:pt idx="608">
                  <c:v>392</c:v>
                </c:pt>
                <c:pt idx="609">
                  <c:v>436</c:v>
                </c:pt>
                <c:pt idx="610">
                  <c:v>432</c:v>
                </c:pt>
                <c:pt idx="611">
                  <c:v>453</c:v>
                </c:pt>
                <c:pt idx="612">
                  <c:v>480</c:v>
                </c:pt>
                <c:pt idx="613">
                  <c:v>698</c:v>
                </c:pt>
                <c:pt idx="614">
                  <c:v>939</c:v>
                </c:pt>
                <c:pt idx="615">
                  <c:v>531</c:v>
                </c:pt>
                <c:pt idx="616">
                  <c:v>215</c:v>
                </c:pt>
                <c:pt idx="617">
                  <c:v>484</c:v>
                </c:pt>
                <c:pt idx="618">
                  <c:v>641</c:v>
                </c:pt>
                <c:pt idx="619">
                  <c:v>375</c:v>
                </c:pt>
                <c:pt idx="620">
                  <c:v>431</c:v>
                </c:pt>
                <c:pt idx="621">
                  <c:v>436</c:v>
                </c:pt>
                <c:pt idx="622">
                  <c:v>450</c:v>
                </c:pt>
                <c:pt idx="623">
                  <c:v>396</c:v>
                </c:pt>
                <c:pt idx="624">
                  <c:v>460</c:v>
                </c:pt>
                <c:pt idx="625">
                  <c:v>468</c:v>
                </c:pt>
                <c:pt idx="626">
                  <c:v>498</c:v>
                </c:pt>
                <c:pt idx="627">
                  <c:v>702</c:v>
                </c:pt>
                <c:pt idx="628">
                  <c:v>537</c:v>
                </c:pt>
                <c:pt idx="629">
                  <c:v>602</c:v>
                </c:pt>
                <c:pt idx="630">
                  <c:v>251</c:v>
                </c:pt>
                <c:pt idx="631">
                  <c:v>280</c:v>
                </c:pt>
                <c:pt idx="632">
                  <c:v>482</c:v>
                </c:pt>
                <c:pt idx="633">
                  <c:v>471</c:v>
                </c:pt>
                <c:pt idx="634">
                  <c:v>583</c:v>
                </c:pt>
                <c:pt idx="635">
                  <c:v>440</c:v>
                </c:pt>
                <c:pt idx="636">
                  <c:v>270</c:v>
                </c:pt>
                <c:pt idx="637">
                  <c:v>602</c:v>
                </c:pt>
                <c:pt idx="638">
                  <c:v>430</c:v>
                </c:pt>
                <c:pt idx="639">
                  <c:v>634</c:v>
                </c:pt>
                <c:pt idx="640">
                  <c:v>414</c:v>
                </c:pt>
                <c:pt idx="641">
                  <c:v>542</c:v>
                </c:pt>
                <c:pt idx="642">
                  <c:v>342</c:v>
                </c:pt>
                <c:pt idx="643">
                  <c:v>752</c:v>
                </c:pt>
                <c:pt idx="644">
                  <c:v>261</c:v>
                </c:pt>
                <c:pt idx="645">
                  <c:v>293</c:v>
                </c:pt>
                <c:pt idx="646">
                  <c:v>459</c:v>
                </c:pt>
                <c:pt idx="647">
                  <c:v>734</c:v>
                </c:pt>
                <c:pt idx="648">
                  <c:v>291</c:v>
                </c:pt>
                <c:pt idx="649">
                  <c:v>515</c:v>
                </c:pt>
                <c:pt idx="650">
                  <c:v>451</c:v>
                </c:pt>
                <c:pt idx="651">
                  <c:v>264</c:v>
                </c:pt>
                <c:pt idx="652">
                  <c:v>303</c:v>
                </c:pt>
                <c:pt idx="653">
                  <c:v>527</c:v>
                </c:pt>
                <c:pt idx="654">
                  <c:v>493</c:v>
                </c:pt>
                <c:pt idx="655">
                  <c:v>566</c:v>
                </c:pt>
                <c:pt idx="656">
                  <c:v>285</c:v>
                </c:pt>
                <c:pt idx="657">
                  <c:v>954</c:v>
                </c:pt>
                <c:pt idx="658">
                  <c:v>487</c:v>
                </c:pt>
                <c:pt idx="659">
                  <c:v>485</c:v>
                </c:pt>
                <c:pt idx="660">
                  <c:v>913</c:v>
                </c:pt>
                <c:pt idx="661">
                  <c:v>1000</c:v>
                </c:pt>
                <c:pt idx="662">
                  <c:v>708</c:v>
                </c:pt>
                <c:pt idx="663">
                  <c:v>531</c:v>
                </c:pt>
                <c:pt idx="664">
                  <c:v>410</c:v>
                </c:pt>
                <c:pt idx="665">
                  <c:v>545</c:v>
                </c:pt>
                <c:pt idx="666">
                  <c:v>717</c:v>
                </c:pt>
                <c:pt idx="667">
                  <c:v>822</c:v>
                </c:pt>
                <c:pt idx="668">
                  <c:v>580</c:v>
                </c:pt>
                <c:pt idx="669">
                  <c:v>868</c:v>
                </c:pt>
                <c:pt idx="670">
                  <c:v>679</c:v>
                </c:pt>
                <c:pt idx="671">
                  <c:v>420</c:v>
                </c:pt>
                <c:pt idx="672">
                  <c:v>583</c:v>
                </c:pt>
                <c:pt idx="673">
                  <c:v>541</c:v>
                </c:pt>
                <c:pt idx="674">
                  <c:v>176</c:v>
                </c:pt>
                <c:pt idx="675">
                  <c:v>321</c:v>
                </c:pt>
                <c:pt idx="676">
                  <c:v>343</c:v>
                </c:pt>
                <c:pt idx="677">
                  <c:v>115</c:v>
                </c:pt>
                <c:pt idx="678">
                  <c:v>492</c:v>
                </c:pt>
                <c:pt idx="679">
                  <c:v>345</c:v>
                </c:pt>
                <c:pt idx="680">
                  <c:v>383</c:v>
                </c:pt>
                <c:pt idx="681">
                  <c:v>346</c:v>
                </c:pt>
                <c:pt idx="682">
                  <c:v>491</c:v>
                </c:pt>
                <c:pt idx="683">
                  <c:v>319</c:v>
                </c:pt>
                <c:pt idx="684">
                  <c:v>279</c:v>
                </c:pt>
                <c:pt idx="685">
                  <c:v>522</c:v>
                </c:pt>
                <c:pt idx="686">
                  <c:v>274</c:v>
                </c:pt>
                <c:pt idx="687">
                  <c:v>372</c:v>
                </c:pt>
                <c:pt idx="688">
                  <c:v>451</c:v>
                </c:pt>
                <c:pt idx="689">
                  <c:v>552</c:v>
                </c:pt>
                <c:pt idx="690">
                  <c:v>421</c:v>
                </c:pt>
                <c:pt idx="691">
                  <c:v>426</c:v>
                </c:pt>
                <c:pt idx="692">
                  <c:v>614</c:v>
                </c:pt>
                <c:pt idx="693">
                  <c:v>724</c:v>
                </c:pt>
                <c:pt idx="694">
                  <c:v>603</c:v>
                </c:pt>
                <c:pt idx="695">
                  <c:v>206</c:v>
                </c:pt>
                <c:pt idx="696">
                  <c:v>347</c:v>
                </c:pt>
                <c:pt idx="697">
                  <c:v>255</c:v>
                </c:pt>
                <c:pt idx="698">
                  <c:v>406</c:v>
                </c:pt>
                <c:pt idx="699">
                  <c:v>622</c:v>
                </c:pt>
                <c:pt idx="700">
                  <c:v>665</c:v>
                </c:pt>
                <c:pt idx="701">
                  <c:v>408</c:v>
                </c:pt>
                <c:pt idx="702">
                  <c:v>576</c:v>
                </c:pt>
                <c:pt idx="703">
                  <c:v>566</c:v>
                </c:pt>
                <c:pt idx="704">
                  <c:v>492</c:v>
                </c:pt>
                <c:pt idx="705">
                  <c:v>673</c:v>
                </c:pt>
                <c:pt idx="706">
                  <c:v>453</c:v>
                </c:pt>
                <c:pt idx="707">
                  <c:v>775</c:v>
                </c:pt>
                <c:pt idx="708">
                  <c:v>462</c:v>
                </c:pt>
                <c:pt idx="709">
                  <c:v>381</c:v>
                </c:pt>
                <c:pt idx="710">
                  <c:v>929</c:v>
                </c:pt>
                <c:pt idx="711">
                  <c:v>798</c:v>
                </c:pt>
                <c:pt idx="712">
                  <c:v>370</c:v>
                </c:pt>
                <c:pt idx="713">
                  <c:v>324</c:v>
                </c:pt>
                <c:pt idx="714">
                  <c:v>809</c:v>
                </c:pt>
                <c:pt idx="715">
                  <c:v>330</c:v>
                </c:pt>
                <c:pt idx="716">
                  <c:v>207</c:v>
                </c:pt>
                <c:pt idx="717">
                  <c:v>414</c:v>
                </c:pt>
                <c:pt idx="718">
                  <c:v>120</c:v>
                </c:pt>
                <c:pt idx="719">
                  <c:v>473</c:v>
                </c:pt>
                <c:pt idx="720">
                  <c:v>340</c:v>
                </c:pt>
                <c:pt idx="721">
                  <c:v>701</c:v>
                </c:pt>
                <c:pt idx="722">
                  <c:v>308</c:v>
                </c:pt>
                <c:pt idx="723">
                  <c:v>564</c:v>
                </c:pt>
                <c:pt idx="724">
                  <c:v>570</c:v>
                </c:pt>
                <c:pt idx="725">
                  <c:v>508</c:v>
                </c:pt>
                <c:pt idx="726">
                  <c:v>507</c:v>
                </c:pt>
                <c:pt idx="727">
                  <c:v>305</c:v>
                </c:pt>
                <c:pt idx="728">
                  <c:v>414</c:v>
                </c:pt>
                <c:pt idx="729">
                  <c:v>613</c:v>
                </c:pt>
                <c:pt idx="730">
                  <c:v>140</c:v>
                </c:pt>
                <c:pt idx="731">
                  <c:v>434</c:v>
                </c:pt>
                <c:pt idx="732">
                  <c:v>396</c:v>
                </c:pt>
                <c:pt idx="733">
                  <c:v>600</c:v>
                </c:pt>
                <c:pt idx="734">
                  <c:v>700</c:v>
                </c:pt>
                <c:pt idx="735">
                  <c:v>930</c:v>
                </c:pt>
                <c:pt idx="736">
                  <c:v>695</c:v>
                </c:pt>
                <c:pt idx="737">
                  <c:v>364</c:v>
                </c:pt>
                <c:pt idx="738">
                  <c:v>271</c:v>
                </c:pt>
                <c:pt idx="739">
                  <c:v>402</c:v>
                </c:pt>
                <c:pt idx="740">
                  <c:v>547</c:v>
                </c:pt>
                <c:pt idx="741">
                  <c:v>230</c:v>
                </c:pt>
                <c:pt idx="742">
                  <c:v>264</c:v>
                </c:pt>
                <c:pt idx="743">
                  <c:v>512</c:v>
                </c:pt>
                <c:pt idx="744">
                  <c:v>407</c:v>
                </c:pt>
                <c:pt idx="745">
                  <c:v>196</c:v>
                </c:pt>
                <c:pt idx="746">
                  <c:v>265</c:v>
                </c:pt>
                <c:pt idx="747">
                  <c:v>236</c:v>
                </c:pt>
                <c:pt idx="748">
                  <c:v>273</c:v>
                </c:pt>
                <c:pt idx="749">
                  <c:v>2756</c:v>
                </c:pt>
                <c:pt idx="750">
                  <c:v>3150</c:v>
                </c:pt>
                <c:pt idx="751">
                  <c:v>3600</c:v>
                </c:pt>
                <c:pt idx="752">
                  <c:v>3150</c:v>
                </c:pt>
                <c:pt idx="753">
                  <c:v>3544</c:v>
                </c:pt>
                <c:pt idx="754">
                  <c:v>2700</c:v>
                </c:pt>
                <c:pt idx="755">
                  <c:v>2700</c:v>
                </c:pt>
                <c:pt idx="756">
                  <c:v>2756</c:v>
                </c:pt>
                <c:pt idx="757">
                  <c:v>1969</c:v>
                </c:pt>
                <c:pt idx="758">
                  <c:v>3938</c:v>
                </c:pt>
                <c:pt idx="759">
                  <c:v>2756</c:v>
                </c:pt>
                <c:pt idx="760">
                  <c:v>3600</c:v>
                </c:pt>
                <c:pt idx="761">
                  <c:v>3150</c:v>
                </c:pt>
                <c:pt idx="762">
                  <c:v>2700</c:v>
                </c:pt>
                <c:pt idx="763">
                  <c:v>2250</c:v>
                </c:pt>
                <c:pt idx="764">
                  <c:v>2756</c:v>
                </c:pt>
                <c:pt idx="765">
                  <c:v>4050</c:v>
                </c:pt>
                <c:pt idx="766">
                  <c:v>3150</c:v>
                </c:pt>
                <c:pt idx="767">
                  <c:v>2700</c:v>
                </c:pt>
                <c:pt idx="768">
                  <c:v>3600</c:v>
                </c:pt>
                <c:pt idx="769">
                  <c:v>3150</c:v>
                </c:pt>
                <c:pt idx="770">
                  <c:v>1800</c:v>
                </c:pt>
                <c:pt idx="771">
                  <c:v>1800</c:v>
                </c:pt>
                <c:pt idx="772">
                  <c:v>1969</c:v>
                </c:pt>
                <c:pt idx="773">
                  <c:v>1350</c:v>
                </c:pt>
                <c:pt idx="774">
                  <c:v>3150</c:v>
                </c:pt>
                <c:pt idx="775">
                  <c:v>1800</c:v>
                </c:pt>
                <c:pt idx="776">
                  <c:v>2756</c:v>
                </c:pt>
                <c:pt idx="777">
                  <c:v>1575</c:v>
                </c:pt>
                <c:pt idx="778">
                  <c:v>1181</c:v>
                </c:pt>
                <c:pt idx="779">
                  <c:v>1969</c:v>
                </c:pt>
                <c:pt idx="780">
                  <c:v>2025</c:v>
                </c:pt>
                <c:pt idx="781">
                  <c:v>2025</c:v>
                </c:pt>
                <c:pt idx="782">
                  <c:v>3600</c:v>
                </c:pt>
                <c:pt idx="783">
                  <c:v>2700</c:v>
                </c:pt>
                <c:pt idx="784">
                  <c:v>2700</c:v>
                </c:pt>
                <c:pt idx="785">
                  <c:v>1688</c:v>
                </c:pt>
                <c:pt idx="786">
                  <c:v>1350</c:v>
                </c:pt>
                <c:pt idx="787">
                  <c:v>2700</c:v>
                </c:pt>
                <c:pt idx="788">
                  <c:v>2700</c:v>
                </c:pt>
                <c:pt idx="789">
                  <c:v>2700</c:v>
                </c:pt>
                <c:pt idx="790">
                  <c:v>675</c:v>
                </c:pt>
                <c:pt idx="791">
                  <c:v>3150</c:v>
                </c:pt>
                <c:pt idx="792">
                  <c:v>2700</c:v>
                </c:pt>
                <c:pt idx="793">
                  <c:v>2700</c:v>
                </c:pt>
                <c:pt idx="794">
                  <c:v>3600</c:v>
                </c:pt>
                <c:pt idx="795">
                  <c:v>675</c:v>
                </c:pt>
                <c:pt idx="796">
                  <c:v>1800</c:v>
                </c:pt>
                <c:pt idx="797">
                  <c:v>2700</c:v>
                </c:pt>
                <c:pt idx="798">
                  <c:v>2700</c:v>
                </c:pt>
                <c:pt idx="799">
                  <c:v>2756</c:v>
                </c:pt>
                <c:pt idx="800">
                  <c:v>2363</c:v>
                </c:pt>
                <c:pt idx="801">
                  <c:v>2250</c:v>
                </c:pt>
                <c:pt idx="802">
                  <c:v>2756</c:v>
                </c:pt>
                <c:pt idx="803">
                  <c:v>3150</c:v>
                </c:pt>
                <c:pt idx="804">
                  <c:v>3600</c:v>
                </c:pt>
                <c:pt idx="805">
                  <c:v>3600</c:v>
                </c:pt>
                <c:pt idx="806">
                  <c:v>2250</c:v>
                </c:pt>
                <c:pt idx="807">
                  <c:v>3150</c:v>
                </c:pt>
                <c:pt idx="808">
                  <c:v>2756</c:v>
                </c:pt>
                <c:pt idx="809">
                  <c:v>1969</c:v>
                </c:pt>
                <c:pt idx="810">
                  <c:v>2363</c:v>
                </c:pt>
                <c:pt idx="811">
                  <c:v>2363</c:v>
                </c:pt>
                <c:pt idx="812">
                  <c:v>3150</c:v>
                </c:pt>
                <c:pt idx="813">
                  <c:v>3150</c:v>
                </c:pt>
                <c:pt idx="814">
                  <c:v>2700</c:v>
                </c:pt>
                <c:pt idx="815">
                  <c:v>2250</c:v>
                </c:pt>
                <c:pt idx="816">
                  <c:v>2250</c:v>
                </c:pt>
                <c:pt idx="817">
                  <c:v>3150</c:v>
                </c:pt>
                <c:pt idx="818">
                  <c:v>3600</c:v>
                </c:pt>
                <c:pt idx="819">
                  <c:v>2756</c:v>
                </c:pt>
                <c:pt idx="820">
                  <c:v>2250</c:v>
                </c:pt>
                <c:pt idx="821">
                  <c:v>3150</c:v>
                </c:pt>
                <c:pt idx="822">
                  <c:v>3150</c:v>
                </c:pt>
                <c:pt idx="823">
                  <c:v>3600</c:v>
                </c:pt>
                <c:pt idx="824">
                  <c:v>2756</c:v>
                </c:pt>
                <c:pt idx="825">
                  <c:v>559</c:v>
                </c:pt>
                <c:pt idx="826">
                  <c:v>375</c:v>
                </c:pt>
                <c:pt idx="827">
                  <c:v>385</c:v>
                </c:pt>
                <c:pt idx="828">
                  <c:v>356</c:v>
                </c:pt>
                <c:pt idx="829">
                  <c:v>673</c:v>
                </c:pt>
                <c:pt idx="830">
                  <c:v>518</c:v>
                </c:pt>
                <c:pt idx="831">
                  <c:v>468</c:v>
                </c:pt>
                <c:pt idx="832">
                  <c:v>405</c:v>
                </c:pt>
                <c:pt idx="833">
                  <c:v>370</c:v>
                </c:pt>
                <c:pt idx="834">
                  <c:v>562</c:v>
                </c:pt>
                <c:pt idx="835">
                  <c:v>454</c:v>
                </c:pt>
                <c:pt idx="836">
                  <c:v>605</c:v>
                </c:pt>
                <c:pt idx="837">
                  <c:v>590</c:v>
                </c:pt>
                <c:pt idx="838">
                  <c:v>527</c:v>
                </c:pt>
                <c:pt idx="839">
                  <c:v>341</c:v>
                </c:pt>
                <c:pt idx="840">
                  <c:v>1016</c:v>
                </c:pt>
                <c:pt idx="841">
                  <c:v>522</c:v>
                </c:pt>
                <c:pt idx="842">
                  <c:v>835</c:v>
                </c:pt>
                <c:pt idx="843">
                  <c:v>792</c:v>
                </c:pt>
                <c:pt idx="844">
                  <c:v>635</c:v>
                </c:pt>
                <c:pt idx="845">
                  <c:v>749</c:v>
                </c:pt>
                <c:pt idx="846">
                  <c:v>770</c:v>
                </c:pt>
                <c:pt idx="847">
                  <c:v>673</c:v>
                </c:pt>
                <c:pt idx="848">
                  <c:v>562</c:v>
                </c:pt>
                <c:pt idx="849">
                  <c:v>528</c:v>
                </c:pt>
                <c:pt idx="850">
                  <c:v>819</c:v>
                </c:pt>
                <c:pt idx="851">
                  <c:v>501</c:v>
                </c:pt>
                <c:pt idx="852">
                  <c:v>668</c:v>
                </c:pt>
                <c:pt idx="853">
                  <c:v>1009</c:v>
                </c:pt>
                <c:pt idx="854">
                  <c:v>608</c:v>
                </c:pt>
                <c:pt idx="855">
                  <c:v>328</c:v>
                </c:pt>
                <c:pt idx="856">
                  <c:v>455</c:v>
                </c:pt>
                <c:pt idx="857">
                  <c:v>300</c:v>
                </c:pt>
                <c:pt idx="858">
                  <c:v>464</c:v>
                </c:pt>
                <c:pt idx="859">
                  <c:v>236</c:v>
                </c:pt>
                <c:pt idx="860">
                  <c:v>300</c:v>
                </c:pt>
                <c:pt idx="861">
                  <c:v>695</c:v>
                </c:pt>
                <c:pt idx="862">
                  <c:v>324</c:v>
                </c:pt>
                <c:pt idx="863">
                  <c:v>907</c:v>
                </c:pt>
                <c:pt idx="864">
                  <c:v>498</c:v>
                </c:pt>
                <c:pt idx="865">
                  <c:v>482</c:v>
                </c:pt>
                <c:pt idx="866">
                  <c:v>549</c:v>
                </c:pt>
                <c:pt idx="867">
                  <c:v>626</c:v>
                </c:pt>
                <c:pt idx="868">
                  <c:v>413</c:v>
                </c:pt>
                <c:pt idx="869">
                  <c:v>527</c:v>
                </c:pt>
                <c:pt idx="870">
                  <c:v>381</c:v>
                </c:pt>
                <c:pt idx="871">
                  <c:v>711</c:v>
                </c:pt>
                <c:pt idx="872">
                  <c:v>396</c:v>
                </c:pt>
                <c:pt idx="873">
                  <c:v>650</c:v>
                </c:pt>
                <c:pt idx="874">
                  <c:v>314</c:v>
                </c:pt>
                <c:pt idx="875">
                  <c:v>216</c:v>
                </c:pt>
                <c:pt idx="876">
                  <c:v>326</c:v>
                </c:pt>
                <c:pt idx="877">
                  <c:v>377</c:v>
                </c:pt>
                <c:pt idx="878">
                  <c:v>124</c:v>
                </c:pt>
                <c:pt idx="879">
                  <c:v>250</c:v>
                </c:pt>
                <c:pt idx="880">
                  <c:v>235</c:v>
                </c:pt>
                <c:pt idx="881">
                  <c:v>511</c:v>
                </c:pt>
                <c:pt idx="882">
                  <c:v>263</c:v>
                </c:pt>
                <c:pt idx="883">
                  <c:v>314</c:v>
                </c:pt>
                <c:pt idx="884">
                  <c:v>74</c:v>
                </c:pt>
                <c:pt idx="885">
                  <c:v>344</c:v>
                </c:pt>
                <c:pt idx="886">
                  <c:v>511</c:v>
                </c:pt>
                <c:pt idx="887">
                  <c:v>554</c:v>
                </c:pt>
                <c:pt idx="888">
                  <c:v>368</c:v>
                </c:pt>
                <c:pt idx="889">
                  <c:v>323</c:v>
                </c:pt>
                <c:pt idx="890">
                  <c:v>332</c:v>
                </c:pt>
                <c:pt idx="891">
                  <c:v>461</c:v>
                </c:pt>
                <c:pt idx="892">
                  <c:v>413</c:v>
                </c:pt>
                <c:pt idx="893">
                  <c:v>710</c:v>
                </c:pt>
                <c:pt idx="894">
                  <c:v>773</c:v>
                </c:pt>
                <c:pt idx="895">
                  <c:v>855</c:v>
                </c:pt>
                <c:pt idx="896">
                  <c:v>812</c:v>
                </c:pt>
                <c:pt idx="897">
                  <c:v>612</c:v>
                </c:pt>
                <c:pt idx="898">
                  <c:v>514</c:v>
                </c:pt>
                <c:pt idx="899">
                  <c:v>290</c:v>
                </c:pt>
                <c:pt idx="900">
                  <c:v>309</c:v>
                </c:pt>
                <c:pt idx="901">
                  <c:v>305</c:v>
                </c:pt>
                <c:pt idx="902">
                  <c:v>359</c:v>
                </c:pt>
                <c:pt idx="903">
                  <c:v>229</c:v>
                </c:pt>
                <c:pt idx="904">
                  <c:v>106</c:v>
                </c:pt>
                <c:pt idx="905">
                  <c:v>268</c:v>
                </c:pt>
                <c:pt idx="906">
                  <c:v>461</c:v>
                </c:pt>
                <c:pt idx="907">
                  <c:v>409</c:v>
                </c:pt>
                <c:pt idx="908">
                  <c:v>205</c:v>
                </c:pt>
                <c:pt idx="909">
                  <c:v>186</c:v>
                </c:pt>
                <c:pt idx="910">
                  <c:v>451</c:v>
                </c:pt>
                <c:pt idx="911">
                  <c:v>444</c:v>
                </c:pt>
                <c:pt idx="912">
                  <c:v>589</c:v>
                </c:pt>
                <c:pt idx="913">
                  <c:v>654</c:v>
                </c:pt>
                <c:pt idx="914">
                  <c:v>205</c:v>
                </c:pt>
                <c:pt idx="915">
                  <c:v>519</c:v>
                </c:pt>
                <c:pt idx="916">
                  <c:v>335</c:v>
                </c:pt>
                <c:pt idx="917">
                  <c:v>225</c:v>
                </c:pt>
                <c:pt idx="918">
                  <c:v>306</c:v>
                </c:pt>
                <c:pt idx="919">
                  <c:v>190</c:v>
                </c:pt>
                <c:pt idx="920">
                  <c:v>318</c:v>
                </c:pt>
                <c:pt idx="921">
                  <c:v>425</c:v>
                </c:pt>
                <c:pt idx="922">
                  <c:v>408</c:v>
                </c:pt>
                <c:pt idx="923">
                  <c:v>278</c:v>
                </c:pt>
                <c:pt idx="924">
                  <c:v>613</c:v>
                </c:pt>
                <c:pt idx="925">
                  <c:v>791</c:v>
                </c:pt>
                <c:pt idx="926">
                  <c:v>333</c:v>
                </c:pt>
                <c:pt idx="927">
                  <c:v>1925</c:v>
                </c:pt>
                <c:pt idx="928">
                  <c:v>2310</c:v>
                </c:pt>
                <c:pt idx="929">
                  <c:v>552</c:v>
                </c:pt>
                <c:pt idx="930">
                  <c:v>375</c:v>
                </c:pt>
                <c:pt idx="931">
                  <c:v>883</c:v>
                </c:pt>
                <c:pt idx="932">
                  <c:v>572</c:v>
                </c:pt>
                <c:pt idx="933">
                  <c:v>276</c:v>
                </c:pt>
                <c:pt idx="934">
                  <c:v>584</c:v>
                </c:pt>
                <c:pt idx="935">
                  <c:v>298</c:v>
                </c:pt>
                <c:pt idx="936">
                  <c:v>196</c:v>
                </c:pt>
                <c:pt idx="937">
                  <c:v>407</c:v>
                </c:pt>
                <c:pt idx="938">
                  <c:v>288</c:v>
                </c:pt>
                <c:pt idx="939">
                  <c:v>358</c:v>
                </c:pt>
                <c:pt idx="940">
                  <c:v>592</c:v>
                </c:pt>
                <c:pt idx="941">
                  <c:v>667</c:v>
                </c:pt>
                <c:pt idx="942">
                  <c:v>480</c:v>
                </c:pt>
                <c:pt idx="943">
                  <c:v>797</c:v>
                </c:pt>
                <c:pt idx="944">
                  <c:v>533</c:v>
                </c:pt>
                <c:pt idx="945">
                  <c:v>534</c:v>
                </c:pt>
                <c:pt idx="946">
                  <c:v>403</c:v>
                </c:pt>
                <c:pt idx="947">
                  <c:v>670</c:v>
                </c:pt>
                <c:pt idx="948">
                  <c:v>555</c:v>
                </c:pt>
                <c:pt idx="949">
                  <c:v>251</c:v>
                </c:pt>
                <c:pt idx="950">
                  <c:v>526</c:v>
                </c:pt>
                <c:pt idx="951">
                  <c:v>719</c:v>
                </c:pt>
                <c:pt idx="952">
                  <c:v>705</c:v>
                </c:pt>
                <c:pt idx="953">
                  <c:v>289</c:v>
                </c:pt>
                <c:pt idx="954">
                  <c:v>738</c:v>
                </c:pt>
                <c:pt idx="955">
                  <c:v>577</c:v>
                </c:pt>
                <c:pt idx="956">
                  <c:v>391</c:v>
                </c:pt>
                <c:pt idx="957">
                  <c:v>461</c:v>
                </c:pt>
                <c:pt idx="958">
                  <c:v>611</c:v>
                </c:pt>
                <c:pt idx="959">
                  <c:v>336</c:v>
                </c:pt>
                <c:pt idx="960">
                  <c:v>265</c:v>
                </c:pt>
                <c:pt idx="961">
                  <c:v>171</c:v>
                </c:pt>
                <c:pt idx="962">
                  <c:v>371</c:v>
                </c:pt>
                <c:pt idx="963">
                  <c:v>449</c:v>
                </c:pt>
                <c:pt idx="964">
                  <c:v>339</c:v>
                </c:pt>
                <c:pt idx="965">
                  <c:v>781</c:v>
                </c:pt>
                <c:pt idx="966">
                  <c:v>243</c:v>
                </c:pt>
                <c:pt idx="967">
                  <c:v>408</c:v>
                </c:pt>
                <c:pt idx="968">
                  <c:v>398</c:v>
                </c:pt>
                <c:pt idx="969">
                  <c:v>668</c:v>
                </c:pt>
                <c:pt idx="970">
                  <c:v>521</c:v>
                </c:pt>
                <c:pt idx="971">
                  <c:v>233</c:v>
                </c:pt>
                <c:pt idx="972">
                  <c:v>258</c:v>
                </c:pt>
                <c:pt idx="973">
                  <c:v>328</c:v>
                </c:pt>
                <c:pt idx="974">
                  <c:v>551</c:v>
                </c:pt>
                <c:pt idx="975">
                  <c:v>587</c:v>
                </c:pt>
                <c:pt idx="976">
                  <c:v>456</c:v>
                </c:pt>
                <c:pt idx="977">
                  <c:v>479</c:v>
                </c:pt>
                <c:pt idx="978">
                  <c:v>464</c:v>
                </c:pt>
                <c:pt idx="979">
                  <c:v>437</c:v>
                </c:pt>
                <c:pt idx="980">
                  <c:v>346</c:v>
                </c:pt>
                <c:pt idx="981">
                  <c:v>378</c:v>
                </c:pt>
                <c:pt idx="982">
                  <c:v>622</c:v>
                </c:pt>
                <c:pt idx="983">
                  <c:v>531</c:v>
                </c:pt>
                <c:pt idx="984">
                  <c:v>448</c:v>
                </c:pt>
                <c:pt idx="985">
                  <c:v>778</c:v>
                </c:pt>
                <c:pt idx="986">
                  <c:v>477</c:v>
                </c:pt>
                <c:pt idx="987">
                  <c:v>275</c:v>
                </c:pt>
                <c:pt idx="988">
                  <c:v>376</c:v>
                </c:pt>
                <c:pt idx="989">
                  <c:v>320</c:v>
                </c:pt>
                <c:pt idx="990">
                  <c:v>238</c:v>
                </c:pt>
                <c:pt idx="991">
                  <c:v>437</c:v>
                </c:pt>
                <c:pt idx="992">
                  <c:v>506</c:v>
                </c:pt>
                <c:pt idx="993">
                  <c:v>441</c:v>
                </c:pt>
                <c:pt idx="994">
                  <c:v>557</c:v>
                </c:pt>
                <c:pt idx="995">
                  <c:v>398</c:v>
                </c:pt>
                <c:pt idx="996">
                  <c:v>455</c:v>
                </c:pt>
                <c:pt idx="997">
                  <c:v>441</c:v>
                </c:pt>
                <c:pt idx="998">
                  <c:v>674</c:v>
                </c:pt>
                <c:pt idx="999">
                  <c:v>421</c:v>
                </c:pt>
                <c:pt idx="1000">
                  <c:v>520</c:v>
                </c:pt>
                <c:pt idx="1001">
                  <c:v>650</c:v>
                </c:pt>
                <c:pt idx="1002">
                  <c:v>310</c:v>
                </c:pt>
                <c:pt idx="1003">
                  <c:v>200</c:v>
                </c:pt>
                <c:pt idx="1004">
                  <c:v>348</c:v>
                </c:pt>
                <c:pt idx="1005">
                  <c:v>178</c:v>
                </c:pt>
                <c:pt idx="1006">
                  <c:v>252</c:v>
                </c:pt>
                <c:pt idx="1007">
                  <c:v>168</c:v>
                </c:pt>
                <c:pt idx="1008">
                  <c:v>422</c:v>
                </c:pt>
                <c:pt idx="1009">
                  <c:v>430</c:v>
                </c:pt>
                <c:pt idx="1010">
                  <c:v>135</c:v>
                </c:pt>
                <c:pt idx="1011">
                  <c:v>176</c:v>
                </c:pt>
                <c:pt idx="1012">
                  <c:v>161</c:v>
                </c:pt>
                <c:pt idx="1013">
                  <c:v>461</c:v>
                </c:pt>
                <c:pt idx="1014">
                  <c:v>245</c:v>
                </c:pt>
                <c:pt idx="1015">
                  <c:v>402</c:v>
                </c:pt>
                <c:pt idx="1016">
                  <c:v>682</c:v>
                </c:pt>
                <c:pt idx="1017">
                  <c:v>541</c:v>
                </c:pt>
                <c:pt idx="1018">
                  <c:v>818</c:v>
                </c:pt>
                <c:pt idx="1019">
                  <c:v>760</c:v>
                </c:pt>
                <c:pt idx="1020">
                  <c:v>277</c:v>
                </c:pt>
                <c:pt idx="1021">
                  <c:v>286</c:v>
                </c:pt>
                <c:pt idx="1022">
                  <c:v>295</c:v>
                </c:pt>
                <c:pt idx="1023">
                  <c:v>281</c:v>
                </c:pt>
                <c:pt idx="1024">
                  <c:v>330</c:v>
                </c:pt>
                <c:pt idx="1025">
                  <c:v>561</c:v>
                </c:pt>
                <c:pt idx="1026">
                  <c:v>323</c:v>
                </c:pt>
                <c:pt idx="1027">
                  <c:v>319</c:v>
                </c:pt>
                <c:pt idx="1028">
                  <c:v>454</c:v>
                </c:pt>
                <c:pt idx="1029">
                  <c:v>690</c:v>
                </c:pt>
                <c:pt idx="1030">
                  <c:v>319</c:v>
                </c:pt>
                <c:pt idx="1031">
                  <c:v>306</c:v>
                </c:pt>
                <c:pt idx="1032">
                  <c:v>672</c:v>
                </c:pt>
                <c:pt idx="1033">
                  <c:v>607</c:v>
                </c:pt>
                <c:pt idx="1034">
                  <c:v>420</c:v>
                </c:pt>
                <c:pt idx="1035">
                  <c:v>445</c:v>
                </c:pt>
                <c:pt idx="1036">
                  <c:v>515</c:v>
                </c:pt>
                <c:pt idx="1037">
                  <c:v>690</c:v>
                </c:pt>
                <c:pt idx="1038">
                  <c:v>631</c:v>
                </c:pt>
                <c:pt idx="1039">
                  <c:v>431</c:v>
                </c:pt>
                <c:pt idx="1040">
                  <c:v>379</c:v>
                </c:pt>
                <c:pt idx="1041">
                  <c:v>525</c:v>
                </c:pt>
                <c:pt idx="1042">
                  <c:v>189</c:v>
                </c:pt>
                <c:pt idx="1043">
                  <c:v>624</c:v>
                </c:pt>
                <c:pt idx="1044">
                  <c:v>710</c:v>
                </c:pt>
                <c:pt idx="1045">
                  <c:v>563</c:v>
                </c:pt>
                <c:pt idx="1046">
                  <c:v>614</c:v>
                </c:pt>
                <c:pt idx="1047">
                  <c:v>722</c:v>
                </c:pt>
                <c:pt idx="1048">
                  <c:v>520</c:v>
                </c:pt>
                <c:pt idx="1049">
                  <c:v>898</c:v>
                </c:pt>
                <c:pt idx="1050">
                  <c:v>710</c:v>
                </c:pt>
                <c:pt idx="1051">
                  <c:v>459</c:v>
                </c:pt>
                <c:pt idx="1052">
                  <c:v>531</c:v>
                </c:pt>
                <c:pt idx="1053">
                  <c:v>531</c:v>
                </c:pt>
                <c:pt idx="1054">
                  <c:v>329</c:v>
                </c:pt>
                <c:pt idx="1055">
                  <c:v>319</c:v>
                </c:pt>
                <c:pt idx="1056">
                  <c:v>328</c:v>
                </c:pt>
                <c:pt idx="1057">
                  <c:v>601</c:v>
                </c:pt>
                <c:pt idx="1058">
                  <c:v>968</c:v>
                </c:pt>
                <c:pt idx="1059">
                  <c:v>393</c:v>
                </c:pt>
                <c:pt idx="1060">
                  <c:v>480</c:v>
                </c:pt>
                <c:pt idx="1061">
                  <c:v>624</c:v>
                </c:pt>
                <c:pt idx="1062">
                  <c:v>295</c:v>
                </c:pt>
                <c:pt idx="1063">
                  <c:v>393</c:v>
                </c:pt>
                <c:pt idx="1064">
                  <c:v>152</c:v>
                </c:pt>
                <c:pt idx="1065">
                  <c:v>415</c:v>
                </c:pt>
                <c:pt idx="1066">
                  <c:v>291</c:v>
                </c:pt>
                <c:pt idx="1067">
                  <c:v>225</c:v>
                </c:pt>
                <c:pt idx="1068">
                  <c:v>140</c:v>
                </c:pt>
                <c:pt idx="1069">
                  <c:v>207</c:v>
                </c:pt>
                <c:pt idx="1070">
                  <c:v>359</c:v>
                </c:pt>
                <c:pt idx="1071">
                  <c:v>226</c:v>
                </c:pt>
                <c:pt idx="1072">
                  <c:v>599</c:v>
                </c:pt>
                <c:pt idx="1073">
                  <c:v>176</c:v>
                </c:pt>
                <c:pt idx="1074">
                  <c:v>263</c:v>
                </c:pt>
                <c:pt idx="1075">
                  <c:v>471</c:v>
                </c:pt>
                <c:pt idx="1076">
                  <c:v>391</c:v>
                </c:pt>
                <c:pt idx="1077">
                  <c:v>650</c:v>
                </c:pt>
                <c:pt idx="1078">
                  <c:v>508</c:v>
                </c:pt>
                <c:pt idx="1079">
                  <c:v>681</c:v>
                </c:pt>
                <c:pt idx="1080">
                  <c:v>123</c:v>
                </c:pt>
                <c:pt idx="1081">
                  <c:v>370</c:v>
                </c:pt>
                <c:pt idx="1082">
                  <c:v>406</c:v>
                </c:pt>
                <c:pt idx="1083">
                  <c:v>161</c:v>
                </c:pt>
                <c:pt idx="1084">
                  <c:v>348</c:v>
                </c:pt>
                <c:pt idx="1085">
                  <c:v>485</c:v>
                </c:pt>
                <c:pt idx="1086">
                  <c:v>576</c:v>
                </c:pt>
                <c:pt idx="1087">
                  <c:v>514</c:v>
                </c:pt>
                <c:pt idx="1088">
                  <c:v>354</c:v>
                </c:pt>
                <c:pt idx="1089">
                  <c:v>261</c:v>
                </c:pt>
                <c:pt idx="1090">
                  <c:v>418</c:v>
                </c:pt>
                <c:pt idx="1091">
                  <c:v>150</c:v>
                </c:pt>
                <c:pt idx="1092">
                  <c:v>375</c:v>
                </c:pt>
                <c:pt idx="1093">
                  <c:v>413</c:v>
                </c:pt>
                <c:pt idx="1094">
                  <c:v>183</c:v>
                </c:pt>
                <c:pt idx="1095">
                  <c:v>543</c:v>
                </c:pt>
                <c:pt idx="1096">
                  <c:v>489</c:v>
                </c:pt>
                <c:pt idx="1097">
                  <c:v>321</c:v>
                </c:pt>
                <c:pt idx="1098">
                  <c:v>443</c:v>
                </c:pt>
                <c:pt idx="1099">
                  <c:v>520</c:v>
                </c:pt>
                <c:pt idx="1100">
                  <c:v>551</c:v>
                </c:pt>
                <c:pt idx="1101">
                  <c:v>549</c:v>
                </c:pt>
                <c:pt idx="1102">
                  <c:v>357</c:v>
                </c:pt>
                <c:pt idx="1103">
                  <c:v>622</c:v>
                </c:pt>
                <c:pt idx="1104">
                  <c:v>570</c:v>
                </c:pt>
                <c:pt idx="1105">
                  <c:v>676</c:v>
                </c:pt>
                <c:pt idx="1106">
                  <c:v>503</c:v>
                </c:pt>
                <c:pt idx="1107">
                  <c:v>639</c:v>
                </c:pt>
                <c:pt idx="1108">
                  <c:v>919</c:v>
                </c:pt>
                <c:pt idx="1109">
                  <c:v>437</c:v>
                </c:pt>
                <c:pt idx="1110">
                  <c:v>225</c:v>
                </c:pt>
                <c:pt idx="1111">
                  <c:v>173</c:v>
                </c:pt>
                <c:pt idx="1112">
                  <c:v>220</c:v>
                </c:pt>
                <c:pt idx="1113">
                  <c:v>288</c:v>
                </c:pt>
                <c:pt idx="1114">
                  <c:v>230</c:v>
                </c:pt>
                <c:pt idx="1115">
                  <c:v>338</c:v>
                </c:pt>
                <c:pt idx="1116">
                  <c:v>311</c:v>
                </c:pt>
                <c:pt idx="1117">
                  <c:v>446</c:v>
                </c:pt>
                <c:pt idx="1118">
                  <c:v>490</c:v>
                </c:pt>
                <c:pt idx="1119">
                  <c:v>188</c:v>
                </c:pt>
                <c:pt idx="1120">
                  <c:v>430</c:v>
                </c:pt>
                <c:pt idx="1121">
                  <c:v>691</c:v>
                </c:pt>
                <c:pt idx="1122">
                  <c:v>403</c:v>
                </c:pt>
                <c:pt idx="1123">
                  <c:v>606</c:v>
                </c:pt>
                <c:pt idx="1124">
                  <c:v>435</c:v>
                </c:pt>
                <c:pt idx="1125">
                  <c:v>444</c:v>
                </c:pt>
                <c:pt idx="1126">
                  <c:v>465</c:v>
                </c:pt>
                <c:pt idx="1127">
                  <c:v>725</c:v>
                </c:pt>
                <c:pt idx="1128">
                  <c:v>545</c:v>
                </c:pt>
                <c:pt idx="1129">
                  <c:v>514</c:v>
                </c:pt>
                <c:pt idx="1130">
                  <c:v>580</c:v>
                </c:pt>
                <c:pt idx="1131">
                  <c:v>555</c:v>
                </c:pt>
                <c:pt idx="1132">
                  <c:v>664</c:v>
                </c:pt>
                <c:pt idx="1133">
                  <c:v>343</c:v>
                </c:pt>
                <c:pt idx="1134">
                  <c:v>960</c:v>
                </c:pt>
                <c:pt idx="1135">
                  <c:v>267</c:v>
                </c:pt>
                <c:pt idx="1136">
                  <c:v>368</c:v>
                </c:pt>
                <c:pt idx="1137">
                  <c:v>195</c:v>
                </c:pt>
                <c:pt idx="1138">
                  <c:v>155</c:v>
                </c:pt>
                <c:pt idx="1139">
                  <c:v>431</c:v>
                </c:pt>
                <c:pt idx="1140">
                  <c:v>320</c:v>
                </c:pt>
                <c:pt idx="1141">
                  <c:v>476</c:v>
                </c:pt>
                <c:pt idx="1142">
                  <c:v>199</c:v>
                </c:pt>
                <c:pt idx="1143">
                  <c:v>145</c:v>
                </c:pt>
                <c:pt idx="1144">
                  <c:v>163</c:v>
                </c:pt>
                <c:pt idx="1145">
                  <c:v>387</c:v>
                </c:pt>
                <c:pt idx="1146">
                  <c:v>294</c:v>
                </c:pt>
                <c:pt idx="1147">
                  <c:v>345</c:v>
                </c:pt>
                <c:pt idx="1148">
                  <c:v>313</c:v>
                </c:pt>
                <c:pt idx="1149">
                  <c:v>535</c:v>
                </c:pt>
                <c:pt idx="1150">
                  <c:v>253</c:v>
                </c:pt>
                <c:pt idx="1151">
                  <c:v>131</c:v>
                </c:pt>
                <c:pt idx="1152">
                  <c:v>355</c:v>
                </c:pt>
                <c:pt idx="1153">
                  <c:v>431</c:v>
                </c:pt>
                <c:pt idx="1154">
                  <c:v>402</c:v>
                </c:pt>
                <c:pt idx="1155">
                  <c:v>150</c:v>
                </c:pt>
                <c:pt idx="1156">
                  <c:v>359</c:v>
                </c:pt>
                <c:pt idx="1157">
                  <c:v>557</c:v>
                </c:pt>
                <c:pt idx="1158">
                  <c:v>291</c:v>
                </c:pt>
                <c:pt idx="1159">
                  <c:v>174</c:v>
                </c:pt>
                <c:pt idx="1160">
                  <c:v>147</c:v>
                </c:pt>
                <c:pt idx="1161">
                  <c:v>442</c:v>
                </c:pt>
                <c:pt idx="1162">
                  <c:v>317</c:v>
                </c:pt>
                <c:pt idx="1163">
                  <c:v>440</c:v>
                </c:pt>
                <c:pt idx="1164">
                  <c:v>536</c:v>
                </c:pt>
                <c:pt idx="1165">
                  <c:v>525</c:v>
                </c:pt>
                <c:pt idx="1166">
                  <c:v>378</c:v>
                </c:pt>
                <c:pt idx="1167">
                  <c:v>395</c:v>
                </c:pt>
                <c:pt idx="1168">
                  <c:v>377</c:v>
                </c:pt>
                <c:pt idx="1169">
                  <c:v>373</c:v>
                </c:pt>
                <c:pt idx="1170">
                  <c:v>331</c:v>
                </c:pt>
                <c:pt idx="1171">
                  <c:v>536</c:v>
                </c:pt>
                <c:pt idx="1172">
                  <c:v>359</c:v>
                </c:pt>
                <c:pt idx="1173">
                  <c:v>635</c:v>
                </c:pt>
                <c:pt idx="1174">
                  <c:v>682</c:v>
                </c:pt>
                <c:pt idx="1175">
                  <c:v>623</c:v>
                </c:pt>
                <c:pt idx="1176">
                  <c:v>260</c:v>
                </c:pt>
                <c:pt idx="1177">
                  <c:v>372</c:v>
                </c:pt>
                <c:pt idx="1178">
                  <c:v>443</c:v>
                </c:pt>
                <c:pt idx="1179">
                  <c:v>495</c:v>
                </c:pt>
                <c:pt idx="1180">
                  <c:v>204</c:v>
                </c:pt>
                <c:pt idx="1181">
                  <c:v>108</c:v>
                </c:pt>
                <c:pt idx="1182">
                  <c:v>628</c:v>
                </c:pt>
                <c:pt idx="1183">
                  <c:v>480</c:v>
                </c:pt>
                <c:pt idx="1184">
                  <c:v>557</c:v>
                </c:pt>
                <c:pt idx="1185">
                  <c:v>1104</c:v>
                </c:pt>
                <c:pt idx="1186">
                  <c:v>455</c:v>
                </c:pt>
                <c:pt idx="1187">
                  <c:v>822</c:v>
                </c:pt>
                <c:pt idx="1188">
                  <c:v>421</c:v>
                </c:pt>
                <c:pt idx="1189">
                  <c:v>402</c:v>
                </c:pt>
                <c:pt idx="1190">
                  <c:v>386</c:v>
                </c:pt>
                <c:pt idx="1191">
                  <c:v>335</c:v>
                </c:pt>
                <c:pt idx="1192">
                  <c:v>435</c:v>
                </c:pt>
                <c:pt idx="1193">
                  <c:v>927</c:v>
                </c:pt>
                <c:pt idx="1194">
                  <c:v>1027</c:v>
                </c:pt>
                <c:pt idx="1195">
                  <c:v>183</c:v>
                </c:pt>
                <c:pt idx="1196">
                  <c:v>507</c:v>
                </c:pt>
                <c:pt idx="1197">
                  <c:v>515</c:v>
                </c:pt>
                <c:pt idx="1198">
                  <c:v>558</c:v>
                </c:pt>
                <c:pt idx="1199">
                  <c:v>304</c:v>
                </c:pt>
                <c:pt idx="1200">
                  <c:v>353</c:v>
                </c:pt>
                <c:pt idx="1201">
                  <c:v>642</c:v>
                </c:pt>
                <c:pt idx="1202">
                  <c:v>538</c:v>
                </c:pt>
                <c:pt idx="1203">
                  <c:v>508</c:v>
                </c:pt>
                <c:pt idx="1204">
                  <c:v>515</c:v>
                </c:pt>
                <c:pt idx="1205">
                  <c:v>365</c:v>
                </c:pt>
                <c:pt idx="1206">
                  <c:v>748</c:v>
                </c:pt>
                <c:pt idx="1207">
                  <c:v>166</c:v>
                </c:pt>
                <c:pt idx="1208">
                  <c:v>363</c:v>
                </c:pt>
                <c:pt idx="1209">
                  <c:v>119</c:v>
                </c:pt>
                <c:pt idx="1210">
                  <c:v>145</c:v>
                </c:pt>
                <c:pt idx="1211">
                  <c:v>414</c:v>
                </c:pt>
                <c:pt idx="1212">
                  <c:v>234</c:v>
                </c:pt>
                <c:pt idx="1213">
                  <c:v>562</c:v>
                </c:pt>
                <c:pt idx="1214">
                  <c:v>393</c:v>
                </c:pt>
                <c:pt idx="1215">
                  <c:v>252</c:v>
                </c:pt>
                <c:pt idx="1216">
                  <c:v>306</c:v>
                </c:pt>
                <c:pt idx="1217">
                  <c:v>448</c:v>
                </c:pt>
                <c:pt idx="1218">
                  <c:v>284</c:v>
                </c:pt>
                <c:pt idx="1219">
                  <c:v>776</c:v>
                </c:pt>
                <c:pt idx="1220">
                  <c:v>436</c:v>
                </c:pt>
                <c:pt idx="1221">
                  <c:v>594</c:v>
                </c:pt>
                <c:pt idx="1222">
                  <c:v>514</c:v>
                </c:pt>
                <c:pt idx="1223">
                  <c:v>433</c:v>
                </c:pt>
                <c:pt idx="1224">
                  <c:v>646</c:v>
                </c:pt>
                <c:pt idx="1225">
                  <c:v>737</c:v>
                </c:pt>
                <c:pt idx="1226">
                  <c:v>546</c:v>
                </c:pt>
                <c:pt idx="1227">
                  <c:v>441</c:v>
                </c:pt>
                <c:pt idx="1228">
                  <c:v>304</c:v>
                </c:pt>
                <c:pt idx="1229">
                  <c:v>500</c:v>
                </c:pt>
                <c:pt idx="1230">
                  <c:v>135</c:v>
                </c:pt>
                <c:pt idx="1231">
                  <c:v>231</c:v>
                </c:pt>
                <c:pt idx="1232">
                  <c:v>573</c:v>
                </c:pt>
                <c:pt idx="1233">
                  <c:v>152</c:v>
                </c:pt>
                <c:pt idx="1234">
                  <c:v>152</c:v>
                </c:pt>
                <c:pt idx="1235">
                  <c:v>389</c:v>
                </c:pt>
                <c:pt idx="1236">
                  <c:v>291</c:v>
                </c:pt>
                <c:pt idx="1237">
                  <c:v>354</c:v>
                </c:pt>
                <c:pt idx="1238">
                  <c:v>261</c:v>
                </c:pt>
                <c:pt idx="1239">
                  <c:v>293</c:v>
                </c:pt>
                <c:pt idx="1240">
                  <c:v>292</c:v>
                </c:pt>
                <c:pt idx="1241">
                  <c:v>227</c:v>
                </c:pt>
                <c:pt idx="1242">
                  <c:v>376</c:v>
                </c:pt>
                <c:pt idx="1243">
                  <c:v>277</c:v>
                </c:pt>
                <c:pt idx="1244">
                  <c:v>321</c:v>
                </c:pt>
                <c:pt idx="1245">
                  <c:v>327</c:v>
                </c:pt>
                <c:pt idx="1246">
                  <c:v>2800</c:v>
                </c:pt>
                <c:pt idx="1247">
                  <c:v>3200</c:v>
                </c:pt>
                <c:pt idx="1248">
                  <c:v>2800</c:v>
                </c:pt>
                <c:pt idx="1249">
                  <c:v>3150</c:v>
                </c:pt>
                <c:pt idx="1250">
                  <c:v>4500</c:v>
                </c:pt>
                <c:pt idx="1251">
                  <c:v>1500</c:v>
                </c:pt>
                <c:pt idx="1252">
                  <c:v>3600</c:v>
                </c:pt>
                <c:pt idx="1253">
                  <c:v>2100</c:v>
                </c:pt>
                <c:pt idx="1254">
                  <c:v>2400</c:v>
                </c:pt>
                <c:pt idx="1255">
                  <c:v>5400</c:v>
                </c:pt>
                <c:pt idx="1256">
                  <c:v>3500</c:v>
                </c:pt>
                <c:pt idx="1257">
                  <c:v>2800</c:v>
                </c:pt>
                <c:pt idx="1258">
                  <c:v>2450</c:v>
                </c:pt>
                <c:pt idx="1259">
                  <c:v>2800</c:v>
                </c:pt>
                <c:pt idx="1260">
                  <c:v>2400</c:v>
                </c:pt>
                <c:pt idx="1261">
                  <c:v>2400</c:v>
                </c:pt>
                <c:pt idx="1262">
                  <c:v>3200</c:v>
                </c:pt>
                <c:pt idx="1263">
                  <c:v>3600</c:v>
                </c:pt>
                <c:pt idx="1264">
                  <c:v>2800</c:v>
                </c:pt>
                <c:pt idx="1265">
                  <c:v>2800</c:v>
                </c:pt>
                <c:pt idx="1266">
                  <c:v>2400</c:v>
                </c:pt>
                <c:pt idx="1267">
                  <c:v>2000</c:v>
                </c:pt>
                <c:pt idx="1268">
                  <c:v>2800</c:v>
                </c:pt>
                <c:pt idx="1269">
                  <c:v>2800</c:v>
                </c:pt>
                <c:pt idx="1270">
                  <c:v>2800</c:v>
                </c:pt>
                <c:pt idx="1271">
                  <c:v>3200</c:v>
                </c:pt>
                <c:pt idx="1272">
                  <c:v>2400</c:v>
                </c:pt>
                <c:pt idx="1273">
                  <c:v>2800</c:v>
                </c:pt>
                <c:pt idx="1274">
                  <c:v>3150</c:v>
                </c:pt>
                <c:pt idx="1275">
                  <c:v>1600</c:v>
                </c:pt>
                <c:pt idx="1276">
                  <c:v>1600</c:v>
                </c:pt>
                <c:pt idx="1277">
                  <c:v>2100</c:v>
                </c:pt>
                <c:pt idx="1278">
                  <c:v>1400</c:v>
                </c:pt>
                <c:pt idx="1279">
                  <c:v>1750</c:v>
                </c:pt>
                <c:pt idx="1280">
                  <c:v>1050</c:v>
                </c:pt>
                <c:pt idx="1281">
                  <c:v>2450</c:v>
                </c:pt>
                <c:pt idx="1282">
                  <c:v>1400</c:v>
                </c:pt>
                <c:pt idx="1283">
                  <c:v>2400</c:v>
                </c:pt>
                <c:pt idx="1284">
                  <c:v>2100</c:v>
                </c:pt>
                <c:pt idx="1285">
                  <c:v>2400</c:v>
                </c:pt>
                <c:pt idx="1286">
                  <c:v>1800</c:v>
                </c:pt>
                <c:pt idx="1287">
                  <c:v>2700</c:v>
                </c:pt>
                <c:pt idx="1288">
                  <c:v>1800</c:v>
                </c:pt>
                <c:pt idx="1289">
                  <c:v>2400</c:v>
                </c:pt>
                <c:pt idx="1290">
                  <c:v>1200</c:v>
                </c:pt>
                <c:pt idx="1291">
                  <c:v>2100</c:v>
                </c:pt>
                <c:pt idx="1292">
                  <c:v>1500</c:v>
                </c:pt>
                <c:pt idx="1293">
                  <c:v>2400</c:v>
                </c:pt>
                <c:pt idx="1294">
                  <c:v>2100</c:v>
                </c:pt>
                <c:pt idx="1295">
                  <c:v>1200</c:v>
                </c:pt>
                <c:pt idx="1296">
                  <c:v>2800</c:v>
                </c:pt>
                <c:pt idx="1297">
                  <c:v>1500</c:v>
                </c:pt>
                <c:pt idx="1298">
                  <c:v>2400</c:v>
                </c:pt>
                <c:pt idx="1299">
                  <c:v>3200</c:v>
                </c:pt>
                <c:pt idx="1300">
                  <c:v>2700</c:v>
                </c:pt>
                <c:pt idx="1301">
                  <c:v>2800</c:v>
                </c:pt>
                <c:pt idx="1302">
                  <c:v>2700</c:v>
                </c:pt>
                <c:pt idx="1303">
                  <c:v>2000</c:v>
                </c:pt>
                <c:pt idx="1304">
                  <c:v>1050</c:v>
                </c:pt>
                <c:pt idx="1305">
                  <c:v>2700</c:v>
                </c:pt>
                <c:pt idx="1306">
                  <c:v>2100</c:v>
                </c:pt>
                <c:pt idx="1307">
                  <c:v>2800</c:v>
                </c:pt>
                <c:pt idx="1308">
                  <c:v>3600</c:v>
                </c:pt>
                <c:pt idx="1309">
                  <c:v>3200</c:v>
                </c:pt>
                <c:pt idx="1310">
                  <c:v>2800</c:v>
                </c:pt>
                <c:pt idx="1311">
                  <c:v>2100</c:v>
                </c:pt>
                <c:pt idx="1312">
                  <c:v>2800</c:v>
                </c:pt>
                <c:pt idx="1313">
                  <c:v>2800</c:v>
                </c:pt>
                <c:pt idx="1314">
                  <c:v>3600</c:v>
                </c:pt>
                <c:pt idx="1315">
                  <c:v>2450</c:v>
                </c:pt>
                <c:pt idx="1316">
                  <c:v>3200</c:v>
                </c:pt>
                <c:pt idx="1317">
                  <c:v>3200</c:v>
                </c:pt>
                <c:pt idx="1318">
                  <c:v>3200</c:v>
                </c:pt>
                <c:pt idx="1319">
                  <c:v>3200</c:v>
                </c:pt>
                <c:pt idx="1320">
                  <c:v>1800</c:v>
                </c:pt>
                <c:pt idx="1321">
                  <c:v>2700</c:v>
                </c:pt>
                <c:pt idx="1322">
                  <c:v>2800</c:v>
                </c:pt>
                <c:pt idx="1323">
                  <c:v>3200</c:v>
                </c:pt>
                <c:pt idx="1324">
                  <c:v>3200</c:v>
                </c:pt>
                <c:pt idx="1325">
                  <c:v>3200</c:v>
                </c:pt>
                <c:pt idx="1326">
                  <c:v>1500</c:v>
                </c:pt>
                <c:pt idx="1327">
                  <c:v>1500</c:v>
                </c:pt>
                <c:pt idx="1328">
                  <c:v>2400</c:v>
                </c:pt>
                <c:pt idx="1329">
                  <c:v>2700</c:v>
                </c:pt>
                <c:pt idx="1330">
                  <c:v>564</c:v>
                </c:pt>
                <c:pt idx="1331">
                  <c:v>372</c:v>
                </c:pt>
                <c:pt idx="1332">
                  <c:v>470</c:v>
                </c:pt>
                <c:pt idx="1333">
                  <c:v>615</c:v>
                </c:pt>
                <c:pt idx="1334">
                  <c:v>574</c:v>
                </c:pt>
                <c:pt idx="1335">
                  <c:v>428</c:v>
                </c:pt>
                <c:pt idx="1336">
                  <c:v>778</c:v>
                </c:pt>
                <c:pt idx="1337">
                  <c:v>708</c:v>
                </c:pt>
                <c:pt idx="1338">
                  <c:v>441</c:v>
                </c:pt>
                <c:pt idx="1339">
                  <c:v>522</c:v>
                </c:pt>
                <c:pt idx="1340">
                  <c:v>370</c:v>
                </c:pt>
                <c:pt idx="1341">
                  <c:v>152</c:v>
                </c:pt>
                <c:pt idx="1342">
                  <c:v>146</c:v>
                </c:pt>
                <c:pt idx="1343">
                  <c:v>614</c:v>
                </c:pt>
                <c:pt idx="1344">
                  <c:v>115</c:v>
                </c:pt>
                <c:pt idx="1345">
                  <c:v>155</c:v>
                </c:pt>
                <c:pt idx="1346">
                  <c:v>418</c:v>
                </c:pt>
                <c:pt idx="1347">
                  <c:v>370</c:v>
                </c:pt>
                <c:pt idx="1348">
                  <c:v>462</c:v>
                </c:pt>
                <c:pt idx="1349">
                  <c:v>461</c:v>
                </c:pt>
                <c:pt idx="1350">
                  <c:v>262</c:v>
                </c:pt>
                <c:pt idx="1351">
                  <c:v>322</c:v>
                </c:pt>
                <c:pt idx="1352">
                  <c:v>653</c:v>
                </c:pt>
                <c:pt idx="1353">
                  <c:v>619</c:v>
                </c:pt>
                <c:pt idx="1354">
                  <c:v>552</c:v>
                </c:pt>
                <c:pt idx="1355">
                  <c:v>331</c:v>
                </c:pt>
                <c:pt idx="1356">
                  <c:v>357</c:v>
                </c:pt>
                <c:pt idx="1357">
                  <c:v>455</c:v>
                </c:pt>
                <c:pt idx="1358">
                  <c:v>420</c:v>
                </c:pt>
                <c:pt idx="1359">
                  <c:v>321</c:v>
                </c:pt>
                <c:pt idx="1360">
                  <c:v>471</c:v>
                </c:pt>
                <c:pt idx="1361">
                  <c:v>284</c:v>
                </c:pt>
                <c:pt idx="1362">
                  <c:v>289</c:v>
                </c:pt>
                <c:pt idx="1363">
                  <c:v>451</c:v>
                </c:pt>
                <c:pt idx="1364">
                  <c:v>405</c:v>
                </c:pt>
                <c:pt idx="1365">
                  <c:v>220</c:v>
                </c:pt>
                <c:pt idx="1366">
                  <c:v>534</c:v>
                </c:pt>
                <c:pt idx="1367">
                  <c:v>729</c:v>
                </c:pt>
                <c:pt idx="1368">
                  <c:v>459</c:v>
                </c:pt>
                <c:pt idx="1369">
                  <c:v>534</c:v>
                </c:pt>
                <c:pt idx="1370">
                  <c:v>450</c:v>
                </c:pt>
                <c:pt idx="1371">
                  <c:v>318</c:v>
                </c:pt>
                <c:pt idx="1372">
                  <c:v>307</c:v>
                </c:pt>
                <c:pt idx="1373">
                  <c:v>494</c:v>
                </c:pt>
                <c:pt idx="1374">
                  <c:v>360</c:v>
                </c:pt>
                <c:pt idx="1375">
                  <c:v>408</c:v>
                </c:pt>
                <c:pt idx="1376">
                  <c:v>605</c:v>
                </c:pt>
                <c:pt idx="1377">
                  <c:v>248</c:v>
                </c:pt>
                <c:pt idx="1378">
                  <c:v>783</c:v>
                </c:pt>
                <c:pt idx="1379">
                  <c:v>953</c:v>
                </c:pt>
                <c:pt idx="1380">
                  <c:v>247</c:v>
                </c:pt>
                <c:pt idx="1381">
                  <c:v>263</c:v>
                </c:pt>
                <c:pt idx="1382">
                  <c:v>720</c:v>
                </c:pt>
                <c:pt idx="1383">
                  <c:v>811</c:v>
                </c:pt>
                <c:pt idx="1384">
                  <c:v>471</c:v>
                </c:pt>
                <c:pt idx="1385">
                  <c:v>461</c:v>
                </c:pt>
                <c:pt idx="1386">
                  <c:v>519</c:v>
                </c:pt>
                <c:pt idx="1387">
                  <c:v>290</c:v>
                </c:pt>
                <c:pt idx="1388">
                  <c:v>608</c:v>
                </c:pt>
                <c:pt idx="1389">
                  <c:v>426</c:v>
                </c:pt>
                <c:pt idx="1390">
                  <c:v>571</c:v>
                </c:pt>
                <c:pt idx="1391">
                  <c:v>298</c:v>
                </c:pt>
                <c:pt idx="1392">
                  <c:v>582</c:v>
                </c:pt>
                <c:pt idx="1393">
                  <c:v>778</c:v>
                </c:pt>
                <c:pt idx="1394">
                  <c:v>665</c:v>
                </c:pt>
                <c:pt idx="1395">
                  <c:v>600</c:v>
                </c:pt>
                <c:pt idx="1396">
                  <c:v>526</c:v>
                </c:pt>
                <c:pt idx="1397">
                  <c:v>387</c:v>
                </c:pt>
                <c:pt idx="1398">
                  <c:v>215</c:v>
                </c:pt>
                <c:pt idx="1399">
                  <c:v>383</c:v>
                </c:pt>
                <c:pt idx="1400">
                  <c:v>473</c:v>
                </c:pt>
                <c:pt idx="1401">
                  <c:v>356</c:v>
                </c:pt>
                <c:pt idx="1402">
                  <c:v>479</c:v>
                </c:pt>
                <c:pt idx="1403">
                  <c:v>316</c:v>
                </c:pt>
                <c:pt idx="1404">
                  <c:v>268</c:v>
                </c:pt>
                <c:pt idx="1405">
                  <c:v>259</c:v>
                </c:pt>
                <c:pt idx="1406">
                  <c:v>396</c:v>
                </c:pt>
                <c:pt idx="1407">
                  <c:v>2633</c:v>
                </c:pt>
                <c:pt idx="1408">
                  <c:v>2340</c:v>
                </c:pt>
                <c:pt idx="1409">
                  <c:v>369</c:v>
                </c:pt>
                <c:pt idx="1410">
                  <c:v>335</c:v>
                </c:pt>
                <c:pt idx="1411">
                  <c:v>280</c:v>
                </c:pt>
                <c:pt idx="1412">
                  <c:v>185</c:v>
                </c:pt>
                <c:pt idx="1413">
                  <c:v>581</c:v>
                </c:pt>
                <c:pt idx="1414">
                  <c:v>571</c:v>
                </c:pt>
                <c:pt idx="1415">
                  <c:v>488</c:v>
                </c:pt>
                <c:pt idx="1416">
                  <c:v>411</c:v>
                </c:pt>
                <c:pt idx="1417">
                  <c:v>624</c:v>
                </c:pt>
                <c:pt idx="1418">
                  <c:v>215</c:v>
                </c:pt>
                <c:pt idx="1419">
                  <c:v>555</c:v>
                </c:pt>
                <c:pt idx="1420">
                  <c:v>683</c:v>
                </c:pt>
                <c:pt idx="1421">
                  <c:v>488</c:v>
                </c:pt>
                <c:pt idx="1422">
                  <c:v>650</c:v>
                </c:pt>
                <c:pt idx="1423">
                  <c:v>468</c:v>
                </c:pt>
                <c:pt idx="1424">
                  <c:v>936</c:v>
                </c:pt>
                <c:pt idx="1425">
                  <c:v>174</c:v>
                </c:pt>
                <c:pt idx="1426">
                  <c:v>271</c:v>
                </c:pt>
                <c:pt idx="1427">
                  <c:v>401</c:v>
                </c:pt>
                <c:pt idx="1428">
                  <c:v>548</c:v>
                </c:pt>
                <c:pt idx="1429">
                  <c:v>544</c:v>
                </c:pt>
                <c:pt idx="1430">
                  <c:v>293</c:v>
                </c:pt>
                <c:pt idx="1431">
                  <c:v>513</c:v>
                </c:pt>
                <c:pt idx="1432">
                  <c:v>520</c:v>
                </c:pt>
                <c:pt idx="1433">
                  <c:v>187</c:v>
                </c:pt>
                <c:pt idx="1434">
                  <c:v>304</c:v>
                </c:pt>
                <c:pt idx="1435">
                  <c:v>532</c:v>
                </c:pt>
                <c:pt idx="1436">
                  <c:v>284</c:v>
                </c:pt>
                <c:pt idx="1437">
                  <c:v>687</c:v>
                </c:pt>
                <c:pt idx="1438">
                  <c:v>369</c:v>
                </c:pt>
                <c:pt idx="1439">
                  <c:v>449</c:v>
                </c:pt>
                <c:pt idx="1440">
                  <c:v>295</c:v>
                </c:pt>
                <c:pt idx="1441">
                  <c:v>396</c:v>
                </c:pt>
                <c:pt idx="1442">
                  <c:v>276</c:v>
                </c:pt>
                <c:pt idx="1443">
                  <c:v>524</c:v>
                </c:pt>
                <c:pt idx="1444">
                  <c:v>832</c:v>
                </c:pt>
                <c:pt idx="1445">
                  <c:v>515</c:v>
                </c:pt>
                <c:pt idx="1446">
                  <c:v>323</c:v>
                </c:pt>
                <c:pt idx="1447">
                  <c:v>416</c:v>
                </c:pt>
                <c:pt idx="1448">
                  <c:v>699</c:v>
                </c:pt>
                <c:pt idx="1449">
                  <c:v>147</c:v>
                </c:pt>
                <c:pt idx="1450">
                  <c:v>230</c:v>
                </c:pt>
                <c:pt idx="1451">
                  <c:v>219</c:v>
                </c:pt>
                <c:pt idx="1452">
                  <c:v>292</c:v>
                </c:pt>
                <c:pt idx="1453">
                  <c:v>178</c:v>
                </c:pt>
                <c:pt idx="1454">
                  <c:v>458</c:v>
                </c:pt>
                <c:pt idx="1455">
                  <c:v>584</c:v>
                </c:pt>
                <c:pt idx="1456">
                  <c:v>280</c:v>
                </c:pt>
                <c:pt idx="1457">
                  <c:v>318</c:v>
                </c:pt>
                <c:pt idx="1458">
                  <c:v>272</c:v>
                </c:pt>
                <c:pt idx="1459">
                  <c:v>326</c:v>
                </c:pt>
                <c:pt idx="1460">
                  <c:v>242</c:v>
                </c:pt>
                <c:pt idx="1461">
                  <c:v>241</c:v>
                </c:pt>
                <c:pt idx="1462">
                  <c:v>632</c:v>
                </c:pt>
                <c:pt idx="1463">
                  <c:v>285</c:v>
                </c:pt>
                <c:pt idx="1464">
                  <c:v>280</c:v>
                </c:pt>
                <c:pt idx="1465">
                  <c:v>380</c:v>
                </c:pt>
                <c:pt idx="1466">
                  <c:v>317</c:v>
                </c:pt>
                <c:pt idx="1467">
                  <c:v>363</c:v>
                </c:pt>
                <c:pt idx="1468">
                  <c:v>433</c:v>
                </c:pt>
                <c:pt idx="1469">
                  <c:v>273</c:v>
                </c:pt>
                <c:pt idx="1470">
                  <c:v>306</c:v>
                </c:pt>
                <c:pt idx="1471">
                  <c:v>210</c:v>
                </c:pt>
                <c:pt idx="1472">
                  <c:v>438</c:v>
                </c:pt>
                <c:pt idx="1473">
                  <c:v>478</c:v>
                </c:pt>
                <c:pt idx="1474">
                  <c:v>269</c:v>
                </c:pt>
                <c:pt idx="1475">
                  <c:v>306</c:v>
                </c:pt>
                <c:pt idx="1476">
                  <c:v>283</c:v>
                </c:pt>
                <c:pt idx="1477">
                  <c:v>336</c:v>
                </c:pt>
                <c:pt idx="1478">
                  <c:v>252</c:v>
                </c:pt>
                <c:pt idx="1479">
                  <c:v>268</c:v>
                </c:pt>
                <c:pt idx="1480">
                  <c:v>430</c:v>
                </c:pt>
                <c:pt idx="1481">
                  <c:v>468</c:v>
                </c:pt>
                <c:pt idx="1482">
                  <c:v>109</c:v>
                </c:pt>
                <c:pt idx="1483">
                  <c:v>356</c:v>
                </c:pt>
                <c:pt idx="1484">
                  <c:v>237</c:v>
                </c:pt>
                <c:pt idx="1485">
                  <c:v>432</c:v>
                </c:pt>
                <c:pt idx="1486">
                  <c:v>328</c:v>
                </c:pt>
                <c:pt idx="1487">
                  <c:v>239</c:v>
                </c:pt>
                <c:pt idx="1488">
                  <c:v>221</c:v>
                </c:pt>
                <c:pt idx="1489">
                  <c:v>367</c:v>
                </c:pt>
                <c:pt idx="1490">
                  <c:v>322</c:v>
                </c:pt>
                <c:pt idx="1491">
                  <c:v>442</c:v>
                </c:pt>
                <c:pt idx="1492">
                  <c:v>428</c:v>
                </c:pt>
                <c:pt idx="1493">
                  <c:v>424</c:v>
                </c:pt>
                <c:pt idx="1494">
                  <c:v>449</c:v>
                </c:pt>
                <c:pt idx="1495">
                  <c:v>403</c:v>
                </c:pt>
                <c:pt idx="1496">
                  <c:v>399</c:v>
                </c:pt>
                <c:pt idx="1497">
                  <c:v>574</c:v>
                </c:pt>
                <c:pt idx="1498">
                  <c:v>404</c:v>
                </c:pt>
                <c:pt idx="1499">
                  <c:v>346</c:v>
                </c:pt>
                <c:pt idx="1500">
                  <c:v>379</c:v>
                </c:pt>
                <c:pt idx="1501">
                  <c:v>151</c:v>
                </c:pt>
                <c:pt idx="1502">
                  <c:v>633</c:v>
                </c:pt>
                <c:pt idx="1503">
                  <c:v>603</c:v>
                </c:pt>
                <c:pt idx="1504">
                  <c:v>398</c:v>
                </c:pt>
                <c:pt idx="1505">
                  <c:v>653</c:v>
                </c:pt>
                <c:pt idx="1506">
                  <c:v>579</c:v>
                </c:pt>
                <c:pt idx="1507">
                  <c:v>323</c:v>
                </c:pt>
                <c:pt idx="1508">
                  <c:v>539</c:v>
                </c:pt>
                <c:pt idx="1509">
                  <c:v>260</c:v>
                </c:pt>
                <c:pt idx="1510">
                  <c:v>132</c:v>
                </c:pt>
                <c:pt idx="1511">
                  <c:v>307</c:v>
                </c:pt>
                <c:pt idx="1512">
                  <c:v>208</c:v>
                </c:pt>
                <c:pt idx="1513">
                  <c:v>212</c:v>
                </c:pt>
                <c:pt idx="1514">
                  <c:v>491</c:v>
                </c:pt>
                <c:pt idx="1515">
                  <c:v>513</c:v>
                </c:pt>
                <c:pt idx="1516">
                  <c:v>514</c:v>
                </c:pt>
                <c:pt idx="1517">
                  <c:v>715</c:v>
                </c:pt>
                <c:pt idx="1518">
                  <c:v>634</c:v>
                </c:pt>
                <c:pt idx="1519">
                  <c:v>391</c:v>
                </c:pt>
                <c:pt idx="1520">
                  <c:v>626</c:v>
                </c:pt>
                <c:pt idx="1521">
                  <c:v>511</c:v>
                </c:pt>
                <c:pt idx="1522">
                  <c:v>678</c:v>
                </c:pt>
                <c:pt idx="1523">
                  <c:v>808</c:v>
                </c:pt>
                <c:pt idx="1524">
                  <c:v>943</c:v>
                </c:pt>
                <c:pt idx="1525">
                  <c:v>728</c:v>
                </c:pt>
                <c:pt idx="1526">
                  <c:v>314</c:v>
                </c:pt>
                <c:pt idx="1527">
                  <c:v>581</c:v>
                </c:pt>
                <c:pt idx="1528">
                  <c:v>418</c:v>
                </c:pt>
                <c:pt idx="1529">
                  <c:v>435</c:v>
                </c:pt>
                <c:pt idx="1530">
                  <c:v>381</c:v>
                </c:pt>
                <c:pt idx="1531">
                  <c:v>472</c:v>
                </c:pt>
                <c:pt idx="1532">
                  <c:v>245</c:v>
                </c:pt>
                <c:pt idx="1533">
                  <c:v>369</c:v>
                </c:pt>
                <c:pt idx="1534">
                  <c:v>296</c:v>
                </c:pt>
                <c:pt idx="1535">
                  <c:v>231</c:v>
                </c:pt>
                <c:pt idx="1536">
                  <c:v>540</c:v>
                </c:pt>
                <c:pt idx="1537">
                  <c:v>529</c:v>
                </c:pt>
                <c:pt idx="1538">
                  <c:v>443</c:v>
                </c:pt>
                <c:pt idx="1539">
                  <c:v>551</c:v>
                </c:pt>
                <c:pt idx="1540">
                  <c:v>424</c:v>
                </c:pt>
                <c:pt idx="1541">
                  <c:v>416</c:v>
                </c:pt>
                <c:pt idx="1542">
                  <c:v>455</c:v>
                </c:pt>
                <c:pt idx="1543">
                  <c:v>791</c:v>
                </c:pt>
                <c:pt idx="1544">
                  <c:v>270</c:v>
                </c:pt>
                <c:pt idx="1545">
                  <c:v>504</c:v>
                </c:pt>
                <c:pt idx="1546">
                  <c:v>515</c:v>
                </c:pt>
                <c:pt idx="1547">
                  <c:v>417</c:v>
                </c:pt>
                <c:pt idx="1548">
                  <c:v>587</c:v>
                </c:pt>
                <c:pt idx="1549">
                  <c:v>327</c:v>
                </c:pt>
                <c:pt idx="1550">
                  <c:v>437</c:v>
                </c:pt>
                <c:pt idx="1551">
                  <c:v>372</c:v>
                </c:pt>
                <c:pt idx="1552">
                  <c:v>699</c:v>
                </c:pt>
                <c:pt idx="1553">
                  <c:v>832</c:v>
                </c:pt>
                <c:pt idx="1554">
                  <c:v>345</c:v>
                </c:pt>
                <c:pt idx="1555">
                  <c:v>550</c:v>
                </c:pt>
                <c:pt idx="1556">
                  <c:v>367</c:v>
                </c:pt>
                <c:pt idx="1557">
                  <c:v>415</c:v>
                </c:pt>
                <c:pt idx="1558">
                  <c:v>489</c:v>
                </c:pt>
                <c:pt idx="1559">
                  <c:v>442</c:v>
                </c:pt>
                <c:pt idx="1560">
                  <c:v>381</c:v>
                </c:pt>
                <c:pt idx="1561">
                  <c:v>372</c:v>
                </c:pt>
                <c:pt idx="1562">
                  <c:v>307</c:v>
                </c:pt>
                <c:pt idx="1563">
                  <c:v>711</c:v>
                </c:pt>
                <c:pt idx="1564">
                  <c:v>415</c:v>
                </c:pt>
                <c:pt idx="1565">
                  <c:v>307</c:v>
                </c:pt>
                <c:pt idx="1566">
                  <c:v>150</c:v>
                </c:pt>
                <c:pt idx="1567">
                  <c:v>584</c:v>
                </c:pt>
                <c:pt idx="1568">
                  <c:v>262</c:v>
                </c:pt>
                <c:pt idx="1569">
                  <c:v>198</c:v>
                </c:pt>
                <c:pt idx="1570">
                  <c:v>337</c:v>
                </c:pt>
                <c:pt idx="1571">
                  <c:v>337</c:v>
                </c:pt>
                <c:pt idx="1572">
                  <c:v>237</c:v>
                </c:pt>
                <c:pt idx="1573">
                  <c:v>511</c:v>
                </c:pt>
                <c:pt idx="1574">
                  <c:v>246</c:v>
                </c:pt>
                <c:pt idx="1575">
                  <c:v>302</c:v>
                </c:pt>
                <c:pt idx="1576">
                  <c:v>230</c:v>
                </c:pt>
                <c:pt idx="1577">
                  <c:v>378</c:v>
                </c:pt>
                <c:pt idx="1578">
                  <c:v>318</c:v>
                </c:pt>
                <c:pt idx="1579">
                  <c:v>259</c:v>
                </c:pt>
                <c:pt idx="1580">
                  <c:v>323</c:v>
                </c:pt>
                <c:pt idx="1581">
                  <c:v>290</c:v>
                </c:pt>
                <c:pt idx="1582">
                  <c:v>362</c:v>
                </c:pt>
                <c:pt idx="1583">
                  <c:v>503</c:v>
                </c:pt>
                <c:pt idx="1584">
                  <c:v>259</c:v>
                </c:pt>
                <c:pt idx="1585">
                  <c:v>429</c:v>
                </c:pt>
                <c:pt idx="1586">
                  <c:v>278</c:v>
                </c:pt>
                <c:pt idx="1587">
                  <c:v>317</c:v>
                </c:pt>
                <c:pt idx="1588">
                  <c:v>238</c:v>
                </c:pt>
                <c:pt idx="1589">
                  <c:v>273</c:v>
                </c:pt>
                <c:pt idx="1590">
                  <c:v>191</c:v>
                </c:pt>
                <c:pt idx="1591">
                  <c:v>460</c:v>
                </c:pt>
                <c:pt idx="1592">
                  <c:v>283</c:v>
                </c:pt>
                <c:pt idx="1593">
                  <c:v>510</c:v>
                </c:pt>
                <c:pt idx="1594">
                  <c:v>282</c:v>
                </c:pt>
                <c:pt idx="1595">
                  <c:v>129</c:v>
                </c:pt>
                <c:pt idx="1596">
                  <c:v>421</c:v>
                </c:pt>
                <c:pt idx="1597">
                  <c:v>266</c:v>
                </c:pt>
                <c:pt idx="1598">
                  <c:v>270</c:v>
                </c:pt>
                <c:pt idx="1599">
                  <c:v>324</c:v>
                </c:pt>
                <c:pt idx="1600">
                  <c:v>309</c:v>
                </c:pt>
                <c:pt idx="1601">
                  <c:v>324</c:v>
                </c:pt>
                <c:pt idx="1602">
                  <c:v>169</c:v>
                </c:pt>
                <c:pt idx="1603">
                  <c:v>285</c:v>
                </c:pt>
                <c:pt idx="1604">
                  <c:v>279</c:v>
                </c:pt>
                <c:pt idx="1605">
                  <c:v>285</c:v>
                </c:pt>
                <c:pt idx="1606">
                  <c:v>496</c:v>
                </c:pt>
                <c:pt idx="1607">
                  <c:v>234</c:v>
                </c:pt>
                <c:pt idx="1608">
                  <c:v>459</c:v>
                </c:pt>
                <c:pt idx="1609">
                  <c:v>382</c:v>
                </c:pt>
                <c:pt idx="1610">
                  <c:v>623</c:v>
                </c:pt>
                <c:pt idx="1611">
                  <c:v>231</c:v>
                </c:pt>
                <c:pt idx="1612">
                  <c:v>707</c:v>
                </c:pt>
                <c:pt idx="1613">
                  <c:v>452</c:v>
                </c:pt>
                <c:pt idx="1614">
                  <c:v>264</c:v>
                </c:pt>
                <c:pt idx="1615">
                  <c:v>147</c:v>
                </c:pt>
                <c:pt idx="1616">
                  <c:v>454</c:v>
                </c:pt>
                <c:pt idx="1617">
                  <c:v>443</c:v>
                </c:pt>
                <c:pt idx="1618">
                  <c:v>606</c:v>
                </c:pt>
                <c:pt idx="1619">
                  <c:v>537</c:v>
                </c:pt>
                <c:pt idx="1620">
                  <c:v>444</c:v>
                </c:pt>
                <c:pt idx="1621">
                  <c:v>360</c:v>
                </c:pt>
                <c:pt idx="1622">
                  <c:v>352</c:v>
                </c:pt>
                <c:pt idx="1623">
                  <c:v>243</c:v>
                </c:pt>
                <c:pt idx="1624">
                  <c:v>535</c:v>
                </c:pt>
                <c:pt idx="1625">
                  <c:v>580</c:v>
                </c:pt>
                <c:pt idx="1626">
                  <c:v>827</c:v>
                </c:pt>
                <c:pt idx="1627">
                  <c:v>527</c:v>
                </c:pt>
                <c:pt idx="1628">
                  <c:v>501</c:v>
                </c:pt>
                <c:pt idx="1629">
                  <c:v>420</c:v>
                </c:pt>
                <c:pt idx="1630">
                  <c:v>489</c:v>
                </c:pt>
                <c:pt idx="1631">
                  <c:v>804</c:v>
                </c:pt>
                <c:pt idx="1632">
                  <c:v>699</c:v>
                </c:pt>
                <c:pt idx="1633">
                  <c:v>704</c:v>
                </c:pt>
                <c:pt idx="1634">
                  <c:v>280</c:v>
                </c:pt>
                <c:pt idx="1635">
                  <c:v>260</c:v>
                </c:pt>
                <c:pt idx="1636">
                  <c:v>149</c:v>
                </c:pt>
                <c:pt idx="1637">
                  <c:v>530</c:v>
                </c:pt>
                <c:pt idx="1638">
                  <c:v>330</c:v>
                </c:pt>
                <c:pt idx="1639">
                  <c:v>555</c:v>
                </c:pt>
                <c:pt idx="1640">
                  <c:v>492</c:v>
                </c:pt>
                <c:pt idx="1641">
                  <c:v>285</c:v>
                </c:pt>
                <c:pt idx="1642">
                  <c:v>166</c:v>
                </c:pt>
                <c:pt idx="1643">
                  <c:v>329</c:v>
                </c:pt>
                <c:pt idx="1644">
                  <c:v>352</c:v>
                </c:pt>
                <c:pt idx="1645">
                  <c:v>359</c:v>
                </c:pt>
                <c:pt idx="1646">
                  <c:v>526</c:v>
                </c:pt>
                <c:pt idx="1647">
                  <c:v>424</c:v>
                </c:pt>
                <c:pt idx="1648">
                  <c:v>454</c:v>
                </c:pt>
                <c:pt idx="1649">
                  <c:v>473</c:v>
                </c:pt>
                <c:pt idx="1650">
                  <c:v>464</c:v>
                </c:pt>
                <c:pt idx="1651">
                  <c:v>521</c:v>
                </c:pt>
                <c:pt idx="1652">
                  <c:v>482</c:v>
                </c:pt>
                <c:pt idx="1653">
                  <c:v>560</c:v>
                </c:pt>
                <c:pt idx="1654">
                  <c:v>508</c:v>
                </c:pt>
                <c:pt idx="1655">
                  <c:v>228</c:v>
                </c:pt>
                <c:pt idx="1656">
                  <c:v>241</c:v>
                </c:pt>
                <c:pt idx="1657">
                  <c:v>254</c:v>
                </c:pt>
                <c:pt idx="1658">
                  <c:v>334</c:v>
                </c:pt>
                <c:pt idx="1659">
                  <c:v>270</c:v>
                </c:pt>
                <c:pt idx="1660">
                  <c:v>142</c:v>
                </c:pt>
                <c:pt idx="1661">
                  <c:v>297</c:v>
                </c:pt>
                <c:pt idx="1662">
                  <c:v>117</c:v>
                </c:pt>
                <c:pt idx="1663">
                  <c:v>203</c:v>
                </c:pt>
                <c:pt idx="1664">
                  <c:v>284</c:v>
                </c:pt>
                <c:pt idx="1665">
                  <c:v>468</c:v>
                </c:pt>
                <c:pt idx="1666">
                  <c:v>344</c:v>
                </c:pt>
                <c:pt idx="1667">
                  <c:v>359</c:v>
                </c:pt>
                <c:pt idx="1668">
                  <c:v>528</c:v>
                </c:pt>
                <c:pt idx="1669">
                  <c:v>378</c:v>
                </c:pt>
                <c:pt idx="1670">
                  <c:v>646</c:v>
                </c:pt>
                <c:pt idx="1671">
                  <c:v>287</c:v>
                </c:pt>
                <c:pt idx="1672">
                  <c:v>681</c:v>
                </c:pt>
                <c:pt idx="1673">
                  <c:v>774</c:v>
                </c:pt>
                <c:pt idx="1674">
                  <c:v>348</c:v>
                </c:pt>
                <c:pt idx="1675">
                  <c:v>244</c:v>
                </c:pt>
                <c:pt idx="1676">
                  <c:v>594</c:v>
                </c:pt>
                <c:pt idx="1677">
                  <c:v>366</c:v>
                </c:pt>
                <c:pt idx="1678">
                  <c:v>165</c:v>
                </c:pt>
                <c:pt idx="1679">
                  <c:v>356</c:v>
                </c:pt>
                <c:pt idx="1680">
                  <c:v>308</c:v>
                </c:pt>
                <c:pt idx="1681">
                  <c:v>179</c:v>
                </c:pt>
                <c:pt idx="1682">
                  <c:v>443</c:v>
                </c:pt>
                <c:pt idx="1683">
                  <c:v>787</c:v>
                </c:pt>
                <c:pt idx="1684">
                  <c:v>510</c:v>
                </c:pt>
                <c:pt idx="1685">
                  <c:v>173</c:v>
                </c:pt>
                <c:pt idx="1686">
                  <c:v>381</c:v>
                </c:pt>
                <c:pt idx="1687">
                  <c:v>428</c:v>
                </c:pt>
                <c:pt idx="1688">
                  <c:v>185</c:v>
                </c:pt>
                <c:pt idx="1689">
                  <c:v>509</c:v>
                </c:pt>
                <c:pt idx="1690">
                  <c:v>460</c:v>
                </c:pt>
                <c:pt idx="1691">
                  <c:v>635</c:v>
                </c:pt>
                <c:pt idx="1692">
                  <c:v>576</c:v>
                </c:pt>
                <c:pt idx="1693">
                  <c:v>691</c:v>
                </c:pt>
                <c:pt idx="1694">
                  <c:v>358</c:v>
                </c:pt>
                <c:pt idx="1695">
                  <c:v>544</c:v>
                </c:pt>
                <c:pt idx="1696">
                  <c:v>418</c:v>
                </c:pt>
                <c:pt idx="1697">
                  <c:v>209</c:v>
                </c:pt>
                <c:pt idx="1698">
                  <c:v>396</c:v>
                </c:pt>
                <c:pt idx="1699">
                  <c:v>406</c:v>
                </c:pt>
                <c:pt idx="1700">
                  <c:v>467</c:v>
                </c:pt>
                <c:pt idx="1701">
                  <c:v>221</c:v>
                </c:pt>
                <c:pt idx="1702">
                  <c:v>248</c:v>
                </c:pt>
                <c:pt idx="1703">
                  <c:v>472</c:v>
                </c:pt>
                <c:pt idx="1704">
                  <c:v>166</c:v>
                </c:pt>
                <c:pt idx="1705">
                  <c:v>341</c:v>
                </c:pt>
                <c:pt idx="1706">
                  <c:v>170</c:v>
                </c:pt>
                <c:pt idx="1707">
                  <c:v>220</c:v>
                </c:pt>
                <c:pt idx="1708">
                  <c:v>540</c:v>
                </c:pt>
                <c:pt idx="1709">
                  <c:v>207</c:v>
                </c:pt>
                <c:pt idx="1710">
                  <c:v>250</c:v>
                </c:pt>
                <c:pt idx="1711">
                  <c:v>140</c:v>
                </c:pt>
                <c:pt idx="1712">
                  <c:v>529</c:v>
                </c:pt>
                <c:pt idx="1713">
                  <c:v>331</c:v>
                </c:pt>
                <c:pt idx="1714">
                  <c:v>193</c:v>
                </c:pt>
                <c:pt idx="1715">
                  <c:v>348</c:v>
                </c:pt>
                <c:pt idx="1716">
                  <c:v>326</c:v>
                </c:pt>
                <c:pt idx="1717">
                  <c:v>298</c:v>
                </c:pt>
                <c:pt idx="1718">
                  <c:v>211</c:v>
                </c:pt>
                <c:pt idx="1719">
                  <c:v>455</c:v>
                </c:pt>
                <c:pt idx="1720">
                  <c:v>252</c:v>
                </c:pt>
                <c:pt idx="1721">
                  <c:v>239</c:v>
                </c:pt>
                <c:pt idx="1722">
                  <c:v>233</c:v>
                </c:pt>
                <c:pt idx="1723">
                  <c:v>359</c:v>
                </c:pt>
                <c:pt idx="1724">
                  <c:v>285</c:v>
                </c:pt>
                <c:pt idx="1725">
                  <c:v>291</c:v>
                </c:pt>
                <c:pt idx="1726">
                  <c:v>216</c:v>
                </c:pt>
                <c:pt idx="1727">
                  <c:v>326</c:v>
                </c:pt>
                <c:pt idx="1728">
                  <c:v>386</c:v>
                </c:pt>
                <c:pt idx="1729">
                  <c:v>214</c:v>
                </c:pt>
                <c:pt idx="1730">
                  <c:v>328</c:v>
                </c:pt>
                <c:pt idx="1731">
                  <c:v>519</c:v>
                </c:pt>
                <c:pt idx="1732">
                  <c:v>142</c:v>
                </c:pt>
                <c:pt idx="1733">
                  <c:v>318</c:v>
                </c:pt>
                <c:pt idx="1734">
                  <c:v>433</c:v>
                </c:pt>
                <c:pt idx="1735">
                  <c:v>253</c:v>
                </c:pt>
                <c:pt idx="1736">
                  <c:v>216</c:v>
                </c:pt>
                <c:pt idx="1737">
                  <c:v>405</c:v>
                </c:pt>
                <c:pt idx="1738">
                  <c:v>440</c:v>
                </c:pt>
                <c:pt idx="1739">
                  <c:v>382</c:v>
                </c:pt>
                <c:pt idx="1740">
                  <c:v>372</c:v>
                </c:pt>
                <c:pt idx="1741">
                  <c:v>174</c:v>
                </c:pt>
                <c:pt idx="1742">
                  <c:v>364</c:v>
                </c:pt>
                <c:pt idx="1743">
                  <c:v>485</c:v>
                </c:pt>
                <c:pt idx="1744">
                  <c:v>610</c:v>
                </c:pt>
                <c:pt idx="1745">
                  <c:v>766</c:v>
                </c:pt>
                <c:pt idx="1746">
                  <c:v>215</c:v>
                </c:pt>
                <c:pt idx="1747">
                  <c:v>503</c:v>
                </c:pt>
                <c:pt idx="1748">
                  <c:v>766</c:v>
                </c:pt>
                <c:pt idx="1749">
                  <c:v>502</c:v>
                </c:pt>
                <c:pt idx="1750">
                  <c:v>539</c:v>
                </c:pt>
                <c:pt idx="1751">
                  <c:v>429</c:v>
                </c:pt>
                <c:pt idx="1752">
                  <c:v>440</c:v>
                </c:pt>
                <c:pt idx="1753">
                  <c:v>513</c:v>
                </c:pt>
                <c:pt idx="1754">
                  <c:v>549</c:v>
                </c:pt>
                <c:pt idx="1755">
                  <c:v>429</c:v>
                </c:pt>
                <c:pt idx="1756">
                  <c:v>281</c:v>
                </c:pt>
                <c:pt idx="1757">
                  <c:v>289</c:v>
                </c:pt>
                <c:pt idx="1758">
                  <c:v>448</c:v>
                </c:pt>
                <c:pt idx="1759">
                  <c:v>532</c:v>
                </c:pt>
                <c:pt idx="1760">
                  <c:v>655</c:v>
                </c:pt>
                <c:pt idx="1761">
                  <c:v>304</c:v>
                </c:pt>
                <c:pt idx="1762">
                  <c:v>215</c:v>
                </c:pt>
                <c:pt idx="1763">
                  <c:v>549</c:v>
                </c:pt>
                <c:pt idx="1764">
                  <c:v>612</c:v>
                </c:pt>
                <c:pt idx="1765">
                  <c:v>156</c:v>
                </c:pt>
                <c:pt idx="1766">
                  <c:v>247</c:v>
                </c:pt>
                <c:pt idx="1767">
                  <c:v>389</c:v>
                </c:pt>
                <c:pt idx="1768">
                  <c:v>465</c:v>
                </c:pt>
                <c:pt idx="1769">
                  <c:v>348</c:v>
                </c:pt>
                <c:pt idx="1770">
                  <c:v>350</c:v>
                </c:pt>
                <c:pt idx="1771">
                  <c:v>101</c:v>
                </c:pt>
                <c:pt idx="1772">
                  <c:v>242</c:v>
                </c:pt>
                <c:pt idx="1773">
                  <c:v>231</c:v>
                </c:pt>
                <c:pt idx="1774">
                  <c:v>339</c:v>
                </c:pt>
                <c:pt idx="1775">
                  <c:v>146</c:v>
                </c:pt>
                <c:pt idx="1776">
                  <c:v>114</c:v>
                </c:pt>
                <c:pt idx="1777">
                  <c:v>253</c:v>
                </c:pt>
                <c:pt idx="1778">
                  <c:v>2756</c:v>
                </c:pt>
                <c:pt idx="1779">
                  <c:v>3063</c:v>
                </c:pt>
                <c:pt idx="1780">
                  <c:v>2800</c:v>
                </c:pt>
                <c:pt idx="1781">
                  <c:v>3063</c:v>
                </c:pt>
                <c:pt idx="1782">
                  <c:v>2800</c:v>
                </c:pt>
                <c:pt idx="1783">
                  <c:v>3063</c:v>
                </c:pt>
                <c:pt idx="1784">
                  <c:v>3500</c:v>
                </c:pt>
                <c:pt idx="1785">
                  <c:v>2450</c:v>
                </c:pt>
                <c:pt idx="1786">
                  <c:v>2800</c:v>
                </c:pt>
                <c:pt idx="1787">
                  <c:v>2188</c:v>
                </c:pt>
                <c:pt idx="1788">
                  <c:v>2756</c:v>
                </c:pt>
                <c:pt idx="1789">
                  <c:v>1575</c:v>
                </c:pt>
                <c:pt idx="1790">
                  <c:v>3150</c:v>
                </c:pt>
                <c:pt idx="1791">
                  <c:v>3150</c:v>
                </c:pt>
                <c:pt idx="1792">
                  <c:v>2100</c:v>
                </c:pt>
                <c:pt idx="1793">
                  <c:v>1838</c:v>
                </c:pt>
                <c:pt idx="1794">
                  <c:v>2450</c:v>
                </c:pt>
                <c:pt idx="1795">
                  <c:v>2144</c:v>
                </c:pt>
                <c:pt idx="1796">
                  <c:v>2756</c:v>
                </c:pt>
                <c:pt idx="1797">
                  <c:v>1531</c:v>
                </c:pt>
                <c:pt idx="1798">
                  <c:v>1838</c:v>
                </c:pt>
                <c:pt idx="1799">
                  <c:v>2450</c:v>
                </c:pt>
                <c:pt idx="1800">
                  <c:v>2756</c:v>
                </c:pt>
                <c:pt idx="1801">
                  <c:v>2450</c:v>
                </c:pt>
                <c:pt idx="1802">
                  <c:v>3150</c:v>
                </c:pt>
                <c:pt idx="1803">
                  <c:v>2363</c:v>
                </c:pt>
                <c:pt idx="1804">
                  <c:v>2363</c:v>
                </c:pt>
                <c:pt idx="1805">
                  <c:v>2363</c:v>
                </c:pt>
                <c:pt idx="1806">
                  <c:v>2188</c:v>
                </c:pt>
                <c:pt idx="1807">
                  <c:v>1313</c:v>
                </c:pt>
                <c:pt idx="1808">
                  <c:v>3150</c:v>
                </c:pt>
                <c:pt idx="1809">
                  <c:v>3150</c:v>
                </c:pt>
                <c:pt idx="1810">
                  <c:v>3938</c:v>
                </c:pt>
                <c:pt idx="1811">
                  <c:v>3544</c:v>
                </c:pt>
                <c:pt idx="1812">
                  <c:v>2756</c:v>
                </c:pt>
                <c:pt idx="1813">
                  <c:v>2756</c:v>
                </c:pt>
                <c:pt idx="1814">
                  <c:v>2800</c:v>
                </c:pt>
                <c:pt idx="1815">
                  <c:v>3150</c:v>
                </c:pt>
                <c:pt idx="1816">
                  <c:v>1400</c:v>
                </c:pt>
                <c:pt idx="1817">
                  <c:v>2144</c:v>
                </c:pt>
                <c:pt idx="1818">
                  <c:v>2450</c:v>
                </c:pt>
                <c:pt idx="1819">
                  <c:v>1225</c:v>
                </c:pt>
                <c:pt idx="1820">
                  <c:v>1838</c:v>
                </c:pt>
                <c:pt idx="1821">
                  <c:v>3063</c:v>
                </c:pt>
                <c:pt idx="1822">
                  <c:v>2100</c:v>
                </c:pt>
                <c:pt idx="1823">
                  <c:v>3063</c:v>
                </c:pt>
                <c:pt idx="1824">
                  <c:v>2363</c:v>
                </c:pt>
                <c:pt idx="1825">
                  <c:v>1838</c:v>
                </c:pt>
                <c:pt idx="1826">
                  <c:v>2756</c:v>
                </c:pt>
                <c:pt idx="1827">
                  <c:v>2100</c:v>
                </c:pt>
                <c:pt idx="1828">
                  <c:v>3063</c:v>
                </c:pt>
                <c:pt idx="1829">
                  <c:v>1838</c:v>
                </c:pt>
                <c:pt idx="1830">
                  <c:v>2363</c:v>
                </c:pt>
                <c:pt idx="1831">
                  <c:v>2756</c:v>
                </c:pt>
                <c:pt idx="1832">
                  <c:v>1838</c:v>
                </c:pt>
                <c:pt idx="1833">
                  <c:v>2756</c:v>
                </c:pt>
                <c:pt idx="1834">
                  <c:v>2100</c:v>
                </c:pt>
                <c:pt idx="1835">
                  <c:v>1575</c:v>
                </c:pt>
                <c:pt idx="1836">
                  <c:v>2450</c:v>
                </c:pt>
                <c:pt idx="1837">
                  <c:v>2100</c:v>
                </c:pt>
                <c:pt idx="1838">
                  <c:v>3063</c:v>
                </c:pt>
                <c:pt idx="1839">
                  <c:v>1575</c:v>
                </c:pt>
                <c:pt idx="1840">
                  <c:v>2100</c:v>
                </c:pt>
                <c:pt idx="1841">
                  <c:v>1225</c:v>
                </c:pt>
                <c:pt idx="1842">
                  <c:v>1225</c:v>
                </c:pt>
                <c:pt idx="1843">
                  <c:v>525</c:v>
                </c:pt>
                <c:pt idx="1844">
                  <c:v>1313</c:v>
                </c:pt>
                <c:pt idx="1845">
                  <c:v>3063</c:v>
                </c:pt>
                <c:pt idx="1846">
                  <c:v>2100</c:v>
                </c:pt>
                <c:pt idx="1847">
                  <c:v>4375</c:v>
                </c:pt>
                <c:pt idx="1848">
                  <c:v>1313</c:v>
                </c:pt>
                <c:pt idx="1849">
                  <c:v>1225</c:v>
                </c:pt>
                <c:pt idx="1850">
                  <c:v>1838</c:v>
                </c:pt>
                <c:pt idx="1851">
                  <c:v>3938</c:v>
                </c:pt>
                <c:pt idx="1852">
                  <c:v>1313</c:v>
                </c:pt>
                <c:pt idx="1853">
                  <c:v>3063</c:v>
                </c:pt>
                <c:pt idx="1854">
                  <c:v>2100</c:v>
                </c:pt>
                <c:pt idx="1855">
                  <c:v>4375</c:v>
                </c:pt>
                <c:pt idx="1856">
                  <c:v>1838</c:v>
                </c:pt>
                <c:pt idx="1857">
                  <c:v>2144</c:v>
                </c:pt>
                <c:pt idx="1858">
                  <c:v>1838</c:v>
                </c:pt>
                <c:pt idx="1859">
                  <c:v>2100</c:v>
                </c:pt>
                <c:pt idx="1860">
                  <c:v>2756</c:v>
                </c:pt>
                <c:pt idx="1861">
                  <c:v>2625</c:v>
                </c:pt>
                <c:pt idx="1862">
                  <c:v>1531</c:v>
                </c:pt>
                <c:pt idx="1863">
                  <c:v>2450</c:v>
                </c:pt>
                <c:pt idx="1864">
                  <c:v>1750</c:v>
                </c:pt>
                <c:pt idx="1865">
                  <c:v>1750</c:v>
                </c:pt>
                <c:pt idx="1866">
                  <c:v>2450</c:v>
                </c:pt>
                <c:pt idx="1867">
                  <c:v>2450</c:v>
                </c:pt>
                <c:pt idx="1868">
                  <c:v>3150</c:v>
                </c:pt>
                <c:pt idx="1869">
                  <c:v>1531</c:v>
                </c:pt>
                <c:pt idx="1870">
                  <c:v>1531</c:v>
                </c:pt>
                <c:pt idx="1871">
                  <c:v>1838</c:v>
                </c:pt>
                <c:pt idx="1872">
                  <c:v>2756</c:v>
                </c:pt>
                <c:pt idx="1873">
                  <c:v>2450</c:v>
                </c:pt>
                <c:pt idx="1874">
                  <c:v>2625</c:v>
                </c:pt>
                <c:pt idx="1875">
                  <c:v>3063</c:v>
                </c:pt>
                <c:pt idx="1876">
                  <c:v>3063</c:v>
                </c:pt>
                <c:pt idx="1877">
                  <c:v>2450</c:v>
                </c:pt>
                <c:pt idx="1878">
                  <c:v>2625</c:v>
                </c:pt>
                <c:pt idx="1879">
                  <c:v>2363</c:v>
                </c:pt>
                <c:pt idx="1880">
                  <c:v>2144</c:v>
                </c:pt>
                <c:pt idx="1881">
                  <c:v>2363</c:v>
                </c:pt>
                <c:pt idx="1882">
                  <c:v>2144</c:v>
                </c:pt>
                <c:pt idx="1883">
                  <c:v>1750</c:v>
                </c:pt>
                <c:pt idx="1884">
                  <c:v>2625</c:v>
                </c:pt>
                <c:pt idx="1885">
                  <c:v>2800</c:v>
                </c:pt>
                <c:pt idx="1886">
                  <c:v>2363</c:v>
                </c:pt>
                <c:pt idx="1887">
                  <c:v>1750</c:v>
                </c:pt>
                <c:pt idx="1888">
                  <c:v>1750</c:v>
                </c:pt>
                <c:pt idx="1889">
                  <c:v>2450</c:v>
                </c:pt>
                <c:pt idx="1890">
                  <c:v>2756</c:v>
                </c:pt>
                <c:pt idx="1891">
                  <c:v>2625</c:v>
                </c:pt>
                <c:pt idx="1892">
                  <c:v>2100</c:v>
                </c:pt>
                <c:pt idx="1893">
                  <c:v>1969</c:v>
                </c:pt>
                <c:pt idx="1894">
                  <c:v>1969</c:v>
                </c:pt>
                <c:pt idx="1895">
                  <c:v>2450</c:v>
                </c:pt>
                <c:pt idx="1896">
                  <c:v>2363</c:v>
                </c:pt>
                <c:pt idx="1897">
                  <c:v>2363</c:v>
                </c:pt>
                <c:pt idx="1898">
                  <c:v>327</c:v>
                </c:pt>
                <c:pt idx="1899">
                  <c:v>357</c:v>
                </c:pt>
                <c:pt idx="1900">
                  <c:v>331</c:v>
                </c:pt>
                <c:pt idx="1901">
                  <c:v>336</c:v>
                </c:pt>
                <c:pt idx="1902">
                  <c:v>305</c:v>
                </c:pt>
                <c:pt idx="1903">
                  <c:v>620</c:v>
                </c:pt>
                <c:pt idx="1904">
                  <c:v>472</c:v>
                </c:pt>
                <c:pt idx="1905">
                  <c:v>370</c:v>
                </c:pt>
                <c:pt idx="1906">
                  <c:v>378</c:v>
                </c:pt>
                <c:pt idx="1907">
                  <c:v>235</c:v>
                </c:pt>
                <c:pt idx="1908">
                  <c:v>197</c:v>
                </c:pt>
                <c:pt idx="1909">
                  <c:v>478</c:v>
                </c:pt>
                <c:pt idx="1910">
                  <c:v>266</c:v>
                </c:pt>
                <c:pt idx="1911">
                  <c:v>252</c:v>
                </c:pt>
                <c:pt idx="1912">
                  <c:v>369</c:v>
                </c:pt>
                <c:pt idx="1913">
                  <c:v>536</c:v>
                </c:pt>
                <c:pt idx="1914">
                  <c:v>694</c:v>
                </c:pt>
                <c:pt idx="1915">
                  <c:v>359</c:v>
                </c:pt>
                <c:pt idx="1916">
                  <c:v>454</c:v>
                </c:pt>
                <c:pt idx="1917">
                  <c:v>685</c:v>
                </c:pt>
                <c:pt idx="1918">
                  <c:v>463</c:v>
                </c:pt>
                <c:pt idx="1919">
                  <c:v>490</c:v>
                </c:pt>
                <c:pt idx="1920">
                  <c:v>528</c:v>
                </c:pt>
                <c:pt idx="1921">
                  <c:v>386</c:v>
                </c:pt>
                <c:pt idx="1922">
                  <c:v>250</c:v>
                </c:pt>
                <c:pt idx="1923">
                  <c:v>481</c:v>
                </c:pt>
                <c:pt idx="1924">
                  <c:v>489</c:v>
                </c:pt>
                <c:pt idx="1925">
                  <c:v>273</c:v>
                </c:pt>
                <c:pt idx="1926">
                  <c:v>189</c:v>
                </c:pt>
                <c:pt idx="1927">
                  <c:v>243</c:v>
                </c:pt>
                <c:pt idx="1928">
                  <c:v>301</c:v>
                </c:pt>
                <c:pt idx="1929">
                  <c:v>266</c:v>
                </c:pt>
                <c:pt idx="1930">
                  <c:v>243</c:v>
                </c:pt>
                <c:pt idx="1931">
                  <c:v>403</c:v>
                </c:pt>
                <c:pt idx="1932">
                  <c:v>373</c:v>
                </c:pt>
                <c:pt idx="1933">
                  <c:v>434</c:v>
                </c:pt>
                <c:pt idx="1934">
                  <c:v>356</c:v>
                </c:pt>
                <c:pt idx="1935">
                  <c:v>663</c:v>
                </c:pt>
                <c:pt idx="1936">
                  <c:v>660</c:v>
                </c:pt>
                <c:pt idx="1937">
                  <c:v>412</c:v>
                </c:pt>
                <c:pt idx="1938">
                  <c:v>508</c:v>
                </c:pt>
                <c:pt idx="1939">
                  <c:v>382</c:v>
                </c:pt>
                <c:pt idx="1940">
                  <c:v>468</c:v>
                </c:pt>
                <c:pt idx="1941">
                  <c:v>432</c:v>
                </c:pt>
                <c:pt idx="1942">
                  <c:v>382</c:v>
                </c:pt>
                <c:pt idx="1943">
                  <c:v>487</c:v>
                </c:pt>
                <c:pt idx="1944">
                  <c:v>310</c:v>
                </c:pt>
                <c:pt idx="1945">
                  <c:v>564</c:v>
                </c:pt>
                <c:pt idx="1946">
                  <c:v>522</c:v>
                </c:pt>
                <c:pt idx="1947">
                  <c:v>212</c:v>
                </c:pt>
                <c:pt idx="1948">
                  <c:v>258</c:v>
                </c:pt>
                <c:pt idx="1949">
                  <c:v>362</c:v>
                </c:pt>
                <c:pt idx="1950">
                  <c:v>306</c:v>
                </c:pt>
                <c:pt idx="1951">
                  <c:v>351</c:v>
                </c:pt>
                <c:pt idx="1952">
                  <c:v>328</c:v>
                </c:pt>
                <c:pt idx="1953">
                  <c:v>278</c:v>
                </c:pt>
                <c:pt idx="1954">
                  <c:v>284</c:v>
                </c:pt>
                <c:pt idx="1955">
                  <c:v>677</c:v>
                </c:pt>
                <c:pt idx="1956">
                  <c:v>234</c:v>
                </c:pt>
                <c:pt idx="1957">
                  <c:v>393</c:v>
                </c:pt>
                <c:pt idx="1958">
                  <c:v>216</c:v>
                </c:pt>
                <c:pt idx="1959">
                  <c:v>633</c:v>
                </c:pt>
                <c:pt idx="1960">
                  <c:v>304</c:v>
                </c:pt>
                <c:pt idx="1961">
                  <c:v>298</c:v>
                </c:pt>
                <c:pt idx="1962">
                  <c:v>325</c:v>
                </c:pt>
                <c:pt idx="1963">
                  <c:v>145</c:v>
                </c:pt>
                <c:pt idx="1964">
                  <c:v>563</c:v>
                </c:pt>
                <c:pt idx="1965">
                  <c:v>415</c:v>
                </c:pt>
                <c:pt idx="1966">
                  <c:v>672</c:v>
                </c:pt>
                <c:pt idx="1967">
                  <c:v>358</c:v>
                </c:pt>
                <c:pt idx="1968">
                  <c:v>540</c:v>
                </c:pt>
                <c:pt idx="1969">
                  <c:v>247</c:v>
                </c:pt>
                <c:pt idx="1970">
                  <c:v>350</c:v>
                </c:pt>
                <c:pt idx="1971">
                  <c:v>533</c:v>
                </c:pt>
                <c:pt idx="1972">
                  <c:v>346</c:v>
                </c:pt>
                <c:pt idx="1973">
                  <c:v>450</c:v>
                </c:pt>
                <c:pt idx="1974">
                  <c:v>542</c:v>
                </c:pt>
                <c:pt idx="1975">
                  <c:v>276</c:v>
                </c:pt>
                <c:pt idx="1976">
                  <c:v>360</c:v>
                </c:pt>
                <c:pt idx="1977">
                  <c:v>450</c:v>
                </c:pt>
                <c:pt idx="1978">
                  <c:v>382</c:v>
                </c:pt>
                <c:pt idx="1979">
                  <c:v>587</c:v>
                </c:pt>
                <c:pt idx="1980">
                  <c:v>405</c:v>
                </c:pt>
                <c:pt idx="1981">
                  <c:v>355</c:v>
                </c:pt>
                <c:pt idx="1982">
                  <c:v>204</c:v>
                </c:pt>
                <c:pt idx="1983">
                  <c:v>201</c:v>
                </c:pt>
                <c:pt idx="1984">
                  <c:v>343</c:v>
                </c:pt>
                <c:pt idx="1985">
                  <c:v>219</c:v>
                </c:pt>
                <c:pt idx="1986">
                  <c:v>390</c:v>
                </c:pt>
                <c:pt idx="1987">
                  <c:v>282</c:v>
                </c:pt>
                <c:pt idx="1988">
                  <c:v>256</c:v>
                </c:pt>
                <c:pt idx="1989">
                  <c:v>247</c:v>
                </c:pt>
                <c:pt idx="1990">
                  <c:v>286</c:v>
                </c:pt>
                <c:pt idx="1991">
                  <c:v>298</c:v>
                </c:pt>
                <c:pt idx="1992">
                  <c:v>187</c:v>
                </c:pt>
                <c:pt idx="1993">
                  <c:v>262</c:v>
                </c:pt>
                <c:pt idx="1994">
                  <c:v>294</c:v>
                </c:pt>
                <c:pt idx="1995">
                  <c:v>271</c:v>
                </c:pt>
                <c:pt idx="1996">
                  <c:v>247</c:v>
                </c:pt>
                <c:pt idx="1997">
                  <c:v>262</c:v>
                </c:pt>
                <c:pt idx="1998">
                  <c:v>163</c:v>
                </c:pt>
                <c:pt idx="1999">
                  <c:v>327</c:v>
                </c:pt>
                <c:pt idx="2000">
                  <c:v>250</c:v>
                </c:pt>
                <c:pt idx="2001">
                  <c:v>255</c:v>
                </c:pt>
                <c:pt idx="2002">
                  <c:v>253</c:v>
                </c:pt>
                <c:pt idx="2003">
                  <c:v>294</c:v>
                </c:pt>
                <c:pt idx="2004">
                  <c:v>353</c:v>
                </c:pt>
                <c:pt idx="2005">
                  <c:v>362</c:v>
                </c:pt>
                <c:pt idx="2006">
                  <c:v>321</c:v>
                </c:pt>
                <c:pt idx="2007">
                  <c:v>203</c:v>
                </c:pt>
                <c:pt idx="2008">
                  <c:v>289</c:v>
                </c:pt>
                <c:pt idx="2009">
                  <c:v>428</c:v>
                </c:pt>
                <c:pt idx="2010">
                  <c:v>247</c:v>
                </c:pt>
                <c:pt idx="2011">
                  <c:v>221</c:v>
                </c:pt>
                <c:pt idx="2012">
                  <c:v>2975</c:v>
                </c:pt>
                <c:pt idx="2013">
                  <c:v>468</c:v>
                </c:pt>
                <c:pt idx="2014">
                  <c:v>475</c:v>
                </c:pt>
                <c:pt idx="2015">
                  <c:v>280</c:v>
                </c:pt>
                <c:pt idx="2016">
                  <c:v>171</c:v>
                </c:pt>
                <c:pt idx="2017">
                  <c:v>216</c:v>
                </c:pt>
                <c:pt idx="2018">
                  <c:v>112</c:v>
                </c:pt>
                <c:pt idx="2019">
                  <c:v>272</c:v>
                </c:pt>
                <c:pt idx="2020">
                  <c:v>189</c:v>
                </c:pt>
                <c:pt idx="2021">
                  <c:v>104</c:v>
                </c:pt>
                <c:pt idx="2022">
                  <c:v>157</c:v>
                </c:pt>
                <c:pt idx="2023">
                  <c:v>256</c:v>
                </c:pt>
                <c:pt idx="2024">
                  <c:v>257</c:v>
                </c:pt>
                <c:pt idx="2025">
                  <c:v>286</c:v>
                </c:pt>
                <c:pt idx="2026">
                  <c:v>421</c:v>
                </c:pt>
                <c:pt idx="2027">
                  <c:v>344</c:v>
                </c:pt>
                <c:pt idx="2028">
                  <c:v>312</c:v>
                </c:pt>
                <c:pt idx="2029">
                  <c:v>277</c:v>
                </c:pt>
                <c:pt idx="2030">
                  <c:v>319</c:v>
                </c:pt>
                <c:pt idx="2031">
                  <c:v>372</c:v>
                </c:pt>
                <c:pt idx="2032">
                  <c:v>390</c:v>
                </c:pt>
                <c:pt idx="2033">
                  <c:v>278</c:v>
                </c:pt>
                <c:pt idx="2034">
                  <c:v>381</c:v>
                </c:pt>
                <c:pt idx="2035">
                  <c:v>397</c:v>
                </c:pt>
                <c:pt idx="2036">
                  <c:v>330</c:v>
                </c:pt>
                <c:pt idx="2037">
                  <c:v>328</c:v>
                </c:pt>
                <c:pt idx="2038">
                  <c:v>283</c:v>
                </c:pt>
                <c:pt idx="2039">
                  <c:v>359</c:v>
                </c:pt>
                <c:pt idx="2040">
                  <c:v>203</c:v>
                </c:pt>
                <c:pt idx="2041">
                  <c:v>161</c:v>
                </c:pt>
                <c:pt idx="2042">
                  <c:v>310</c:v>
                </c:pt>
                <c:pt idx="2043">
                  <c:v>477</c:v>
                </c:pt>
                <c:pt idx="2044">
                  <c:v>708</c:v>
                </c:pt>
                <c:pt idx="2045">
                  <c:v>195</c:v>
                </c:pt>
                <c:pt idx="2046">
                  <c:v>196</c:v>
                </c:pt>
                <c:pt idx="2047">
                  <c:v>852</c:v>
                </c:pt>
                <c:pt idx="2048">
                  <c:v>352</c:v>
                </c:pt>
                <c:pt idx="2049">
                  <c:v>206</c:v>
                </c:pt>
                <c:pt idx="2050">
                  <c:v>628</c:v>
                </c:pt>
                <c:pt idx="2051">
                  <c:v>302</c:v>
                </c:pt>
                <c:pt idx="2052">
                  <c:v>431</c:v>
                </c:pt>
                <c:pt idx="2053">
                  <c:v>389</c:v>
                </c:pt>
                <c:pt idx="2054">
                  <c:v>659</c:v>
                </c:pt>
                <c:pt idx="2055">
                  <c:v>688</c:v>
                </c:pt>
                <c:pt idx="2056">
                  <c:v>255</c:v>
                </c:pt>
                <c:pt idx="2057">
                  <c:v>513</c:v>
                </c:pt>
                <c:pt idx="2058">
                  <c:v>280</c:v>
                </c:pt>
                <c:pt idx="2059">
                  <c:v>251</c:v>
                </c:pt>
                <c:pt idx="2060">
                  <c:v>214</c:v>
                </c:pt>
                <c:pt idx="2061">
                  <c:v>283</c:v>
                </c:pt>
                <c:pt idx="2062">
                  <c:v>331</c:v>
                </c:pt>
                <c:pt idx="2063">
                  <c:v>429</c:v>
                </c:pt>
                <c:pt idx="2064">
                  <c:v>422</c:v>
                </c:pt>
                <c:pt idx="2065">
                  <c:v>538</c:v>
                </c:pt>
                <c:pt idx="2066">
                  <c:v>557</c:v>
                </c:pt>
                <c:pt idx="2067">
                  <c:v>299</c:v>
                </c:pt>
                <c:pt idx="2068">
                  <c:v>210</c:v>
                </c:pt>
                <c:pt idx="2069">
                  <c:v>582</c:v>
                </c:pt>
                <c:pt idx="2070">
                  <c:v>211</c:v>
                </c:pt>
                <c:pt idx="2071">
                  <c:v>595</c:v>
                </c:pt>
                <c:pt idx="2072">
                  <c:v>528</c:v>
                </c:pt>
                <c:pt idx="2073">
                  <c:v>660</c:v>
                </c:pt>
                <c:pt idx="2074">
                  <c:v>282</c:v>
                </c:pt>
                <c:pt idx="2075">
                  <c:v>438</c:v>
                </c:pt>
                <c:pt idx="2076">
                  <c:v>417</c:v>
                </c:pt>
                <c:pt idx="2077">
                  <c:v>301</c:v>
                </c:pt>
                <c:pt idx="2078">
                  <c:v>479</c:v>
                </c:pt>
                <c:pt idx="2079">
                  <c:v>234</c:v>
                </c:pt>
                <c:pt idx="2080">
                  <c:v>289</c:v>
                </c:pt>
                <c:pt idx="2081">
                  <c:v>303</c:v>
                </c:pt>
                <c:pt idx="2082">
                  <c:v>363</c:v>
                </c:pt>
                <c:pt idx="2083">
                  <c:v>290</c:v>
                </c:pt>
                <c:pt idx="2084">
                  <c:v>253</c:v>
                </c:pt>
                <c:pt idx="2085">
                  <c:v>780</c:v>
                </c:pt>
                <c:pt idx="2086">
                  <c:v>434</c:v>
                </c:pt>
                <c:pt idx="2087">
                  <c:v>403</c:v>
                </c:pt>
                <c:pt idx="2088">
                  <c:v>490</c:v>
                </c:pt>
                <c:pt idx="2089">
                  <c:v>645</c:v>
                </c:pt>
                <c:pt idx="2090">
                  <c:v>292</c:v>
                </c:pt>
                <c:pt idx="2091">
                  <c:v>259</c:v>
                </c:pt>
                <c:pt idx="2092">
                  <c:v>300</c:v>
                </c:pt>
                <c:pt idx="2093">
                  <c:v>444</c:v>
                </c:pt>
                <c:pt idx="2094">
                  <c:v>261</c:v>
                </c:pt>
                <c:pt idx="2095">
                  <c:v>488</c:v>
                </c:pt>
                <c:pt idx="2096">
                  <c:v>262</c:v>
                </c:pt>
                <c:pt idx="2097">
                  <c:v>361</c:v>
                </c:pt>
                <c:pt idx="2098">
                  <c:v>346</c:v>
                </c:pt>
                <c:pt idx="2099">
                  <c:v>374</c:v>
                </c:pt>
                <c:pt idx="2100">
                  <c:v>302</c:v>
                </c:pt>
                <c:pt idx="2101">
                  <c:v>415</c:v>
                </c:pt>
                <c:pt idx="2102">
                  <c:v>315</c:v>
                </c:pt>
                <c:pt idx="2103">
                  <c:v>443</c:v>
                </c:pt>
                <c:pt idx="2104">
                  <c:v>181</c:v>
                </c:pt>
                <c:pt idx="2105">
                  <c:v>307</c:v>
                </c:pt>
                <c:pt idx="2106">
                  <c:v>336</c:v>
                </c:pt>
                <c:pt idx="2107">
                  <c:v>343</c:v>
                </c:pt>
                <c:pt idx="2108">
                  <c:v>216</c:v>
                </c:pt>
                <c:pt idx="2109">
                  <c:v>791</c:v>
                </c:pt>
                <c:pt idx="2110">
                  <c:v>415</c:v>
                </c:pt>
                <c:pt idx="2111">
                  <c:v>212</c:v>
                </c:pt>
                <c:pt idx="2112">
                  <c:v>325</c:v>
                </c:pt>
                <c:pt idx="2113">
                  <c:v>346</c:v>
                </c:pt>
                <c:pt idx="2114">
                  <c:v>383</c:v>
                </c:pt>
                <c:pt idx="2115">
                  <c:v>319</c:v>
                </c:pt>
                <c:pt idx="2116">
                  <c:v>143</c:v>
                </c:pt>
                <c:pt idx="2117">
                  <c:v>328</c:v>
                </c:pt>
                <c:pt idx="2118">
                  <c:v>239</c:v>
                </c:pt>
                <c:pt idx="2119">
                  <c:v>157</c:v>
                </c:pt>
                <c:pt idx="2120">
                  <c:v>215</c:v>
                </c:pt>
                <c:pt idx="2121">
                  <c:v>251</c:v>
                </c:pt>
                <c:pt idx="2122">
                  <c:v>285</c:v>
                </c:pt>
                <c:pt idx="2123">
                  <c:v>181</c:v>
                </c:pt>
                <c:pt idx="2124">
                  <c:v>272</c:v>
                </c:pt>
                <c:pt idx="2125">
                  <c:v>161</c:v>
                </c:pt>
                <c:pt idx="2126">
                  <c:v>312</c:v>
                </c:pt>
                <c:pt idx="2127">
                  <c:v>117</c:v>
                </c:pt>
                <c:pt idx="2128">
                  <c:v>419</c:v>
                </c:pt>
                <c:pt idx="2129">
                  <c:v>604</c:v>
                </c:pt>
                <c:pt idx="2130">
                  <c:v>341</c:v>
                </c:pt>
                <c:pt idx="2131">
                  <c:v>293</c:v>
                </c:pt>
                <c:pt idx="2132">
                  <c:v>372</c:v>
                </c:pt>
                <c:pt idx="2133">
                  <c:v>399</c:v>
                </c:pt>
                <c:pt idx="2134">
                  <c:v>376</c:v>
                </c:pt>
                <c:pt idx="2135">
                  <c:v>362</c:v>
                </c:pt>
                <c:pt idx="2136">
                  <c:v>379</c:v>
                </c:pt>
                <c:pt idx="2137">
                  <c:v>334</c:v>
                </c:pt>
                <c:pt idx="2138">
                  <c:v>226</c:v>
                </c:pt>
                <c:pt idx="2139">
                  <c:v>334</c:v>
                </c:pt>
                <c:pt idx="2140">
                  <c:v>649</c:v>
                </c:pt>
                <c:pt idx="2141">
                  <c:v>497</c:v>
                </c:pt>
                <c:pt idx="2142">
                  <c:v>363</c:v>
                </c:pt>
                <c:pt idx="2143">
                  <c:v>396</c:v>
                </c:pt>
                <c:pt idx="2144">
                  <c:v>388</c:v>
                </c:pt>
                <c:pt idx="2145">
                  <c:v>236</c:v>
                </c:pt>
                <c:pt idx="2146">
                  <c:v>404</c:v>
                </c:pt>
                <c:pt idx="2147">
                  <c:v>395</c:v>
                </c:pt>
                <c:pt idx="2148">
                  <c:v>386</c:v>
                </c:pt>
                <c:pt idx="2149">
                  <c:v>155</c:v>
                </c:pt>
                <c:pt idx="2150">
                  <c:v>262</c:v>
                </c:pt>
                <c:pt idx="2151">
                  <c:v>295</c:v>
                </c:pt>
                <c:pt idx="2152">
                  <c:v>210</c:v>
                </c:pt>
                <c:pt idx="2153">
                  <c:v>350</c:v>
                </c:pt>
                <c:pt idx="2154">
                  <c:v>156</c:v>
                </c:pt>
                <c:pt idx="2155">
                  <c:v>324</c:v>
                </c:pt>
                <c:pt idx="2156">
                  <c:v>341</c:v>
                </c:pt>
                <c:pt idx="2157">
                  <c:v>284</c:v>
                </c:pt>
                <c:pt idx="2158">
                  <c:v>104</c:v>
                </c:pt>
                <c:pt idx="2159">
                  <c:v>341</c:v>
                </c:pt>
                <c:pt idx="2160">
                  <c:v>220</c:v>
                </c:pt>
                <c:pt idx="2161">
                  <c:v>443</c:v>
                </c:pt>
                <c:pt idx="2162">
                  <c:v>346</c:v>
                </c:pt>
                <c:pt idx="2163">
                  <c:v>585</c:v>
                </c:pt>
                <c:pt idx="2164">
                  <c:v>381</c:v>
                </c:pt>
                <c:pt idx="2165">
                  <c:v>633</c:v>
                </c:pt>
                <c:pt idx="2166">
                  <c:v>209</c:v>
                </c:pt>
                <c:pt idx="2167">
                  <c:v>446</c:v>
                </c:pt>
                <c:pt idx="2168">
                  <c:v>416</c:v>
                </c:pt>
                <c:pt idx="2169">
                  <c:v>314</c:v>
                </c:pt>
                <c:pt idx="2170">
                  <c:v>507</c:v>
                </c:pt>
                <c:pt idx="2171">
                  <c:v>251</c:v>
                </c:pt>
                <c:pt idx="2172">
                  <c:v>433</c:v>
                </c:pt>
                <c:pt idx="2173">
                  <c:v>938</c:v>
                </c:pt>
                <c:pt idx="2174">
                  <c:v>352</c:v>
                </c:pt>
                <c:pt idx="2175">
                  <c:v>331</c:v>
                </c:pt>
                <c:pt idx="2176">
                  <c:v>302</c:v>
                </c:pt>
                <c:pt idx="2177">
                  <c:v>308</c:v>
                </c:pt>
                <c:pt idx="2178">
                  <c:v>287</c:v>
                </c:pt>
                <c:pt idx="2179">
                  <c:v>625</c:v>
                </c:pt>
                <c:pt idx="2180">
                  <c:v>348</c:v>
                </c:pt>
                <c:pt idx="2181">
                  <c:v>659</c:v>
                </c:pt>
                <c:pt idx="2182">
                  <c:v>150</c:v>
                </c:pt>
                <c:pt idx="2183">
                  <c:v>688</c:v>
                </c:pt>
                <c:pt idx="2184">
                  <c:v>408</c:v>
                </c:pt>
                <c:pt idx="2185">
                  <c:v>359</c:v>
                </c:pt>
                <c:pt idx="2186">
                  <c:v>487</c:v>
                </c:pt>
                <c:pt idx="2187">
                  <c:v>457</c:v>
                </c:pt>
                <c:pt idx="2188">
                  <c:v>575</c:v>
                </c:pt>
                <c:pt idx="2189">
                  <c:v>246</c:v>
                </c:pt>
                <c:pt idx="2190">
                  <c:v>399</c:v>
                </c:pt>
                <c:pt idx="2191">
                  <c:v>457</c:v>
                </c:pt>
                <c:pt idx="2192">
                  <c:v>548</c:v>
                </c:pt>
                <c:pt idx="2193">
                  <c:v>188</c:v>
                </c:pt>
                <c:pt idx="2194">
                  <c:v>211</c:v>
                </c:pt>
                <c:pt idx="2195">
                  <c:v>300</c:v>
                </c:pt>
                <c:pt idx="2196">
                  <c:v>291</c:v>
                </c:pt>
                <c:pt idx="2197">
                  <c:v>300</c:v>
                </c:pt>
                <c:pt idx="2198">
                  <c:v>210</c:v>
                </c:pt>
                <c:pt idx="2199">
                  <c:v>294</c:v>
                </c:pt>
                <c:pt idx="2200">
                  <c:v>217</c:v>
                </c:pt>
                <c:pt idx="2201">
                  <c:v>267</c:v>
                </c:pt>
                <c:pt idx="2202">
                  <c:v>345</c:v>
                </c:pt>
                <c:pt idx="2203">
                  <c:v>306</c:v>
                </c:pt>
                <c:pt idx="2204">
                  <c:v>336</c:v>
                </c:pt>
                <c:pt idx="2205">
                  <c:v>507</c:v>
                </c:pt>
                <c:pt idx="2206">
                  <c:v>385</c:v>
                </c:pt>
                <c:pt idx="2207">
                  <c:v>404</c:v>
                </c:pt>
                <c:pt idx="2208">
                  <c:v>822</c:v>
                </c:pt>
                <c:pt idx="2209">
                  <c:v>389</c:v>
                </c:pt>
                <c:pt idx="2210">
                  <c:v>757</c:v>
                </c:pt>
                <c:pt idx="2211">
                  <c:v>581</c:v>
                </c:pt>
                <c:pt idx="2212">
                  <c:v>432</c:v>
                </c:pt>
                <c:pt idx="2213">
                  <c:v>175</c:v>
                </c:pt>
                <c:pt idx="2214">
                  <c:v>291</c:v>
                </c:pt>
                <c:pt idx="2215">
                  <c:v>388</c:v>
                </c:pt>
                <c:pt idx="2216">
                  <c:v>174</c:v>
                </c:pt>
                <c:pt idx="2217">
                  <c:v>306</c:v>
                </c:pt>
                <c:pt idx="2218">
                  <c:v>185</c:v>
                </c:pt>
                <c:pt idx="2219">
                  <c:v>126</c:v>
                </c:pt>
                <c:pt idx="2220">
                  <c:v>114</c:v>
                </c:pt>
                <c:pt idx="2221">
                  <c:v>294</c:v>
                </c:pt>
                <c:pt idx="2222">
                  <c:v>126</c:v>
                </c:pt>
                <c:pt idx="2223">
                  <c:v>264</c:v>
                </c:pt>
                <c:pt idx="2224">
                  <c:v>240</c:v>
                </c:pt>
                <c:pt idx="2225">
                  <c:v>236</c:v>
                </c:pt>
                <c:pt idx="2226">
                  <c:v>156</c:v>
                </c:pt>
                <c:pt idx="2227">
                  <c:v>340</c:v>
                </c:pt>
                <c:pt idx="2228">
                  <c:v>354</c:v>
                </c:pt>
                <c:pt idx="2229">
                  <c:v>517</c:v>
                </c:pt>
                <c:pt idx="2230">
                  <c:v>393</c:v>
                </c:pt>
                <c:pt idx="2231">
                  <c:v>507</c:v>
                </c:pt>
                <c:pt idx="2232">
                  <c:v>593</c:v>
                </c:pt>
                <c:pt idx="2233">
                  <c:v>418</c:v>
                </c:pt>
                <c:pt idx="2234">
                  <c:v>263</c:v>
                </c:pt>
                <c:pt idx="2235">
                  <c:v>387</c:v>
                </c:pt>
                <c:pt idx="2236">
                  <c:v>191</c:v>
                </c:pt>
                <c:pt idx="2237">
                  <c:v>415</c:v>
                </c:pt>
                <c:pt idx="2238">
                  <c:v>401</c:v>
                </c:pt>
                <c:pt idx="2239">
                  <c:v>345</c:v>
                </c:pt>
                <c:pt idx="2240">
                  <c:v>726</c:v>
                </c:pt>
                <c:pt idx="2241">
                  <c:v>459</c:v>
                </c:pt>
                <c:pt idx="2242">
                  <c:v>384</c:v>
                </c:pt>
                <c:pt idx="2243">
                  <c:v>494</c:v>
                </c:pt>
                <c:pt idx="2244">
                  <c:v>354</c:v>
                </c:pt>
                <c:pt idx="2245">
                  <c:v>321</c:v>
                </c:pt>
                <c:pt idx="2246">
                  <c:v>378</c:v>
                </c:pt>
                <c:pt idx="2247">
                  <c:v>479</c:v>
                </c:pt>
                <c:pt idx="2248">
                  <c:v>368</c:v>
                </c:pt>
                <c:pt idx="2249">
                  <c:v>394</c:v>
                </c:pt>
                <c:pt idx="2250">
                  <c:v>337</c:v>
                </c:pt>
                <c:pt idx="2251">
                  <c:v>472</c:v>
                </c:pt>
                <c:pt idx="2252">
                  <c:v>302</c:v>
                </c:pt>
                <c:pt idx="2253">
                  <c:v>282</c:v>
                </c:pt>
                <c:pt idx="2254">
                  <c:v>536</c:v>
                </c:pt>
                <c:pt idx="2255">
                  <c:v>400</c:v>
                </c:pt>
                <c:pt idx="2256">
                  <c:v>223</c:v>
                </c:pt>
                <c:pt idx="2257">
                  <c:v>365</c:v>
                </c:pt>
                <c:pt idx="2258">
                  <c:v>445</c:v>
                </c:pt>
                <c:pt idx="2259">
                  <c:v>455</c:v>
                </c:pt>
                <c:pt idx="2260">
                  <c:v>406</c:v>
                </c:pt>
                <c:pt idx="2261">
                  <c:v>294</c:v>
                </c:pt>
                <c:pt idx="2262">
                  <c:v>467</c:v>
                </c:pt>
                <c:pt idx="2263">
                  <c:v>376</c:v>
                </c:pt>
                <c:pt idx="2264">
                  <c:v>225</c:v>
                </c:pt>
                <c:pt idx="2265">
                  <c:v>299</c:v>
                </c:pt>
                <c:pt idx="2266">
                  <c:v>392</c:v>
                </c:pt>
                <c:pt idx="2267">
                  <c:v>148</c:v>
                </c:pt>
                <c:pt idx="2268">
                  <c:v>416</c:v>
                </c:pt>
                <c:pt idx="2269">
                  <c:v>286</c:v>
                </c:pt>
                <c:pt idx="2270">
                  <c:v>186</c:v>
                </c:pt>
                <c:pt idx="2271">
                  <c:v>205</c:v>
                </c:pt>
                <c:pt idx="2272">
                  <c:v>251</c:v>
                </c:pt>
                <c:pt idx="2273">
                  <c:v>288</c:v>
                </c:pt>
                <c:pt idx="2274">
                  <c:v>226</c:v>
                </c:pt>
                <c:pt idx="2275">
                  <c:v>182</c:v>
                </c:pt>
                <c:pt idx="2276">
                  <c:v>233</c:v>
                </c:pt>
                <c:pt idx="2277">
                  <c:v>300</c:v>
                </c:pt>
                <c:pt idx="2278">
                  <c:v>355</c:v>
                </c:pt>
                <c:pt idx="2279">
                  <c:v>175</c:v>
                </c:pt>
                <c:pt idx="2280">
                  <c:v>458</c:v>
                </c:pt>
                <c:pt idx="2281">
                  <c:v>626</c:v>
                </c:pt>
                <c:pt idx="2282">
                  <c:v>269</c:v>
                </c:pt>
                <c:pt idx="2283">
                  <c:v>306</c:v>
                </c:pt>
                <c:pt idx="2284">
                  <c:v>289</c:v>
                </c:pt>
                <c:pt idx="2285">
                  <c:v>401</c:v>
                </c:pt>
                <c:pt idx="2286">
                  <c:v>298</c:v>
                </c:pt>
                <c:pt idx="2287">
                  <c:v>298</c:v>
                </c:pt>
                <c:pt idx="2288">
                  <c:v>326</c:v>
                </c:pt>
                <c:pt idx="2289">
                  <c:v>334</c:v>
                </c:pt>
                <c:pt idx="2290">
                  <c:v>384</c:v>
                </c:pt>
                <c:pt idx="2291">
                  <c:v>585</c:v>
                </c:pt>
                <c:pt idx="2292">
                  <c:v>263</c:v>
                </c:pt>
                <c:pt idx="2293">
                  <c:v>182</c:v>
                </c:pt>
                <c:pt idx="2294">
                  <c:v>330</c:v>
                </c:pt>
                <c:pt idx="2295">
                  <c:v>513</c:v>
                </c:pt>
                <c:pt idx="2296">
                  <c:v>156</c:v>
                </c:pt>
                <c:pt idx="2297">
                  <c:v>284</c:v>
                </c:pt>
                <c:pt idx="2298">
                  <c:v>655</c:v>
                </c:pt>
                <c:pt idx="2299">
                  <c:v>292</c:v>
                </c:pt>
                <c:pt idx="2300">
                  <c:v>305</c:v>
                </c:pt>
                <c:pt idx="2301">
                  <c:v>262</c:v>
                </c:pt>
                <c:pt idx="2302">
                  <c:v>416</c:v>
                </c:pt>
                <c:pt idx="2303">
                  <c:v>324</c:v>
                </c:pt>
                <c:pt idx="2304">
                  <c:v>279</c:v>
                </c:pt>
                <c:pt idx="2305">
                  <c:v>179</c:v>
                </c:pt>
                <c:pt idx="2306">
                  <c:v>149</c:v>
                </c:pt>
                <c:pt idx="2307">
                  <c:v>114</c:v>
                </c:pt>
                <c:pt idx="2308">
                  <c:v>304</c:v>
                </c:pt>
                <c:pt idx="2309">
                  <c:v>258</c:v>
                </c:pt>
                <c:pt idx="2310">
                  <c:v>218</c:v>
                </c:pt>
                <c:pt idx="2311">
                  <c:v>231</c:v>
                </c:pt>
                <c:pt idx="2312">
                  <c:v>318</c:v>
                </c:pt>
                <c:pt idx="2313">
                  <c:v>353</c:v>
                </c:pt>
                <c:pt idx="2314">
                  <c:v>225</c:v>
                </c:pt>
                <c:pt idx="2315">
                  <c:v>234</c:v>
                </c:pt>
                <c:pt idx="2316">
                  <c:v>232</c:v>
                </c:pt>
                <c:pt idx="2317">
                  <c:v>214</c:v>
                </c:pt>
                <c:pt idx="2318">
                  <c:v>306</c:v>
                </c:pt>
                <c:pt idx="2319">
                  <c:v>122</c:v>
                </c:pt>
                <c:pt idx="2320">
                  <c:v>348</c:v>
                </c:pt>
                <c:pt idx="2321">
                  <c:v>370</c:v>
                </c:pt>
                <c:pt idx="2322">
                  <c:v>389</c:v>
                </c:pt>
                <c:pt idx="2323">
                  <c:v>116</c:v>
                </c:pt>
                <c:pt idx="2324">
                  <c:v>398</c:v>
                </c:pt>
                <c:pt idx="2325">
                  <c:v>239</c:v>
                </c:pt>
                <c:pt idx="2326">
                  <c:v>196</c:v>
                </c:pt>
                <c:pt idx="2327">
                  <c:v>226</c:v>
                </c:pt>
                <c:pt idx="2328">
                  <c:v>232</c:v>
                </c:pt>
                <c:pt idx="2329">
                  <c:v>209</c:v>
                </c:pt>
                <c:pt idx="2330">
                  <c:v>238</c:v>
                </c:pt>
                <c:pt idx="2331">
                  <c:v>322</c:v>
                </c:pt>
                <c:pt idx="2332">
                  <c:v>325</c:v>
                </c:pt>
                <c:pt idx="2333">
                  <c:v>275</c:v>
                </c:pt>
                <c:pt idx="2334">
                  <c:v>558</c:v>
                </c:pt>
                <c:pt idx="2335">
                  <c:v>280</c:v>
                </c:pt>
                <c:pt idx="2336">
                  <c:v>304</c:v>
                </c:pt>
                <c:pt idx="2337">
                  <c:v>409</c:v>
                </c:pt>
                <c:pt idx="2338">
                  <c:v>275</c:v>
                </c:pt>
                <c:pt idx="2339">
                  <c:v>329</c:v>
                </c:pt>
                <c:pt idx="2340">
                  <c:v>202</c:v>
                </c:pt>
                <c:pt idx="2341">
                  <c:v>348</c:v>
                </c:pt>
                <c:pt idx="2342">
                  <c:v>746</c:v>
                </c:pt>
                <c:pt idx="2343">
                  <c:v>416</c:v>
                </c:pt>
                <c:pt idx="2344">
                  <c:v>552</c:v>
                </c:pt>
                <c:pt idx="2345">
                  <c:v>330</c:v>
                </c:pt>
                <c:pt idx="2346">
                  <c:v>619</c:v>
                </c:pt>
                <c:pt idx="2347">
                  <c:v>274</c:v>
                </c:pt>
                <c:pt idx="2348">
                  <c:v>237</c:v>
                </c:pt>
                <c:pt idx="2349">
                  <c:v>324</c:v>
                </c:pt>
                <c:pt idx="2350">
                  <c:v>211</c:v>
                </c:pt>
                <c:pt idx="2351">
                  <c:v>655</c:v>
                </c:pt>
                <c:pt idx="2352">
                  <c:v>607</c:v>
                </c:pt>
                <c:pt idx="2353">
                  <c:v>197</c:v>
                </c:pt>
                <c:pt idx="2354">
                  <c:v>367</c:v>
                </c:pt>
                <c:pt idx="2355">
                  <c:v>406</c:v>
                </c:pt>
                <c:pt idx="2356">
                  <c:v>403</c:v>
                </c:pt>
                <c:pt idx="2357">
                  <c:v>301</c:v>
                </c:pt>
                <c:pt idx="2358">
                  <c:v>273</c:v>
                </c:pt>
                <c:pt idx="2359">
                  <c:v>693</c:v>
                </c:pt>
                <c:pt idx="2360">
                  <c:v>326</c:v>
                </c:pt>
                <c:pt idx="2361">
                  <c:v>390</c:v>
                </c:pt>
                <c:pt idx="2362">
                  <c:v>372</c:v>
                </c:pt>
                <c:pt idx="2363">
                  <c:v>302</c:v>
                </c:pt>
                <c:pt idx="2364">
                  <c:v>323</c:v>
                </c:pt>
                <c:pt idx="2365">
                  <c:v>353</c:v>
                </c:pt>
                <c:pt idx="2366">
                  <c:v>150</c:v>
                </c:pt>
                <c:pt idx="2367">
                  <c:v>634</c:v>
                </c:pt>
                <c:pt idx="2368">
                  <c:v>424</c:v>
                </c:pt>
                <c:pt idx="2369">
                  <c:v>515</c:v>
                </c:pt>
                <c:pt idx="2370">
                  <c:v>505</c:v>
                </c:pt>
                <c:pt idx="2371">
                  <c:v>429</c:v>
                </c:pt>
                <c:pt idx="2372">
                  <c:v>387</c:v>
                </c:pt>
                <c:pt idx="2373">
                  <c:v>501</c:v>
                </c:pt>
                <c:pt idx="2374">
                  <c:v>343</c:v>
                </c:pt>
                <c:pt idx="2375">
                  <c:v>428</c:v>
                </c:pt>
                <c:pt idx="2376">
                  <c:v>306</c:v>
                </c:pt>
                <c:pt idx="2377">
                  <c:v>384</c:v>
                </c:pt>
                <c:pt idx="2378">
                  <c:v>204</c:v>
                </c:pt>
                <c:pt idx="2379">
                  <c:v>441</c:v>
                </c:pt>
                <c:pt idx="2380">
                  <c:v>307</c:v>
                </c:pt>
                <c:pt idx="2381">
                  <c:v>332</c:v>
                </c:pt>
                <c:pt idx="2382">
                  <c:v>174</c:v>
                </c:pt>
                <c:pt idx="2383">
                  <c:v>329</c:v>
                </c:pt>
                <c:pt idx="2384">
                  <c:v>206</c:v>
                </c:pt>
                <c:pt idx="2385">
                  <c:v>118</c:v>
                </c:pt>
                <c:pt idx="2386">
                  <c:v>291</c:v>
                </c:pt>
                <c:pt idx="2387">
                  <c:v>252</c:v>
                </c:pt>
                <c:pt idx="2388">
                  <c:v>254</c:v>
                </c:pt>
                <c:pt idx="2389">
                  <c:v>285</c:v>
                </c:pt>
                <c:pt idx="2390">
                  <c:v>186</c:v>
                </c:pt>
                <c:pt idx="2391">
                  <c:v>285</c:v>
                </c:pt>
                <c:pt idx="2392">
                  <c:v>200</c:v>
                </c:pt>
                <c:pt idx="2393">
                  <c:v>149</c:v>
                </c:pt>
                <c:pt idx="2394">
                  <c:v>148</c:v>
                </c:pt>
                <c:pt idx="2395">
                  <c:v>238</c:v>
                </c:pt>
                <c:pt idx="2396">
                  <c:v>610</c:v>
                </c:pt>
                <c:pt idx="2397">
                  <c:v>284</c:v>
                </c:pt>
                <c:pt idx="2398">
                  <c:v>303</c:v>
                </c:pt>
                <c:pt idx="2399">
                  <c:v>314</c:v>
                </c:pt>
                <c:pt idx="2400">
                  <c:v>769</c:v>
                </c:pt>
                <c:pt idx="2401">
                  <c:v>354</c:v>
                </c:pt>
                <c:pt idx="2402">
                  <c:v>430</c:v>
                </c:pt>
                <c:pt idx="2403">
                  <c:v>473</c:v>
                </c:pt>
                <c:pt idx="2404">
                  <c:v>267</c:v>
                </c:pt>
                <c:pt idx="2405">
                  <c:v>353</c:v>
                </c:pt>
                <c:pt idx="2406">
                  <c:v>432</c:v>
                </c:pt>
                <c:pt idx="2407">
                  <c:v>418</c:v>
                </c:pt>
                <c:pt idx="2408">
                  <c:v>146</c:v>
                </c:pt>
                <c:pt idx="2409">
                  <c:v>333</c:v>
                </c:pt>
                <c:pt idx="2410">
                  <c:v>267</c:v>
                </c:pt>
                <c:pt idx="2411">
                  <c:v>483</c:v>
                </c:pt>
                <c:pt idx="2412">
                  <c:v>392</c:v>
                </c:pt>
                <c:pt idx="2413">
                  <c:v>472</c:v>
                </c:pt>
                <c:pt idx="2414">
                  <c:v>397</c:v>
                </c:pt>
                <c:pt idx="2415">
                  <c:v>150</c:v>
                </c:pt>
                <c:pt idx="2416">
                  <c:v>223</c:v>
                </c:pt>
                <c:pt idx="2417">
                  <c:v>209</c:v>
                </c:pt>
                <c:pt idx="2418">
                  <c:v>239</c:v>
                </c:pt>
                <c:pt idx="2419">
                  <c:v>257</c:v>
                </c:pt>
                <c:pt idx="2420">
                  <c:v>186</c:v>
                </c:pt>
                <c:pt idx="2421">
                  <c:v>113</c:v>
                </c:pt>
                <c:pt idx="2422">
                  <c:v>138</c:v>
                </c:pt>
                <c:pt idx="2423">
                  <c:v>503</c:v>
                </c:pt>
                <c:pt idx="2424">
                  <c:v>232</c:v>
                </c:pt>
                <c:pt idx="2425">
                  <c:v>245</c:v>
                </c:pt>
                <c:pt idx="2426">
                  <c:v>87</c:v>
                </c:pt>
                <c:pt idx="2427">
                  <c:v>289</c:v>
                </c:pt>
                <c:pt idx="2428">
                  <c:v>296</c:v>
                </c:pt>
                <c:pt idx="2429">
                  <c:v>187</c:v>
                </c:pt>
                <c:pt idx="2430">
                  <c:v>583</c:v>
                </c:pt>
                <c:pt idx="2431">
                  <c:v>305</c:v>
                </c:pt>
                <c:pt idx="2432">
                  <c:v>320</c:v>
                </c:pt>
                <c:pt idx="2433">
                  <c:v>264</c:v>
                </c:pt>
                <c:pt idx="2434">
                  <c:v>186</c:v>
                </c:pt>
                <c:pt idx="2435">
                  <c:v>474</c:v>
                </c:pt>
                <c:pt idx="2436">
                  <c:v>287</c:v>
                </c:pt>
                <c:pt idx="2437">
                  <c:v>186</c:v>
                </c:pt>
                <c:pt idx="2438">
                  <c:v>249</c:v>
                </c:pt>
                <c:pt idx="2439">
                  <c:v>366</c:v>
                </c:pt>
                <c:pt idx="2440">
                  <c:v>388</c:v>
                </c:pt>
                <c:pt idx="2441">
                  <c:v>477</c:v>
                </c:pt>
                <c:pt idx="2442">
                  <c:v>292</c:v>
                </c:pt>
                <c:pt idx="2443">
                  <c:v>435</c:v>
                </c:pt>
                <c:pt idx="2444">
                  <c:v>365</c:v>
                </c:pt>
                <c:pt idx="2445">
                  <c:v>193</c:v>
                </c:pt>
                <c:pt idx="2446">
                  <c:v>233</c:v>
                </c:pt>
                <c:pt idx="2447">
                  <c:v>393</c:v>
                </c:pt>
                <c:pt idx="2448">
                  <c:v>368</c:v>
                </c:pt>
                <c:pt idx="2449">
                  <c:v>268</c:v>
                </c:pt>
                <c:pt idx="2450">
                  <c:v>448</c:v>
                </c:pt>
                <c:pt idx="2451">
                  <c:v>215</c:v>
                </c:pt>
                <c:pt idx="2452">
                  <c:v>79</c:v>
                </c:pt>
                <c:pt idx="2453">
                  <c:v>204</c:v>
                </c:pt>
                <c:pt idx="2454">
                  <c:v>350</c:v>
                </c:pt>
                <c:pt idx="2455">
                  <c:v>168</c:v>
                </c:pt>
                <c:pt idx="2456">
                  <c:v>259</c:v>
                </c:pt>
                <c:pt idx="2457">
                  <c:v>231</c:v>
                </c:pt>
                <c:pt idx="2458">
                  <c:v>177</c:v>
                </c:pt>
                <c:pt idx="2459">
                  <c:v>2625</c:v>
                </c:pt>
                <c:pt idx="2460">
                  <c:v>2625</c:v>
                </c:pt>
                <c:pt idx="2461">
                  <c:v>3150</c:v>
                </c:pt>
                <c:pt idx="2462">
                  <c:v>2625</c:v>
                </c:pt>
                <c:pt idx="2463">
                  <c:v>2250</c:v>
                </c:pt>
                <c:pt idx="2464">
                  <c:v>2100</c:v>
                </c:pt>
                <c:pt idx="2465">
                  <c:v>2888</c:v>
                </c:pt>
                <c:pt idx="2466">
                  <c:v>3300</c:v>
                </c:pt>
                <c:pt idx="2467">
                  <c:v>4500</c:v>
                </c:pt>
                <c:pt idx="2468">
                  <c:v>2025</c:v>
                </c:pt>
                <c:pt idx="2469">
                  <c:v>1575</c:v>
                </c:pt>
                <c:pt idx="2470">
                  <c:v>2025</c:v>
                </c:pt>
                <c:pt idx="2471">
                  <c:v>2025</c:v>
                </c:pt>
                <c:pt idx="2472">
                  <c:v>1838</c:v>
                </c:pt>
                <c:pt idx="2473">
                  <c:v>2250</c:v>
                </c:pt>
                <c:pt idx="2474">
                  <c:v>2025</c:v>
                </c:pt>
                <c:pt idx="2475">
                  <c:v>1125</c:v>
                </c:pt>
                <c:pt idx="2476">
                  <c:v>2100</c:v>
                </c:pt>
                <c:pt idx="2477">
                  <c:v>1575</c:v>
                </c:pt>
                <c:pt idx="2478">
                  <c:v>3000</c:v>
                </c:pt>
                <c:pt idx="2479">
                  <c:v>2625</c:v>
                </c:pt>
                <c:pt idx="2480">
                  <c:v>4125</c:v>
                </c:pt>
                <c:pt idx="2481">
                  <c:v>1838</c:v>
                </c:pt>
                <c:pt idx="2482">
                  <c:v>1800</c:v>
                </c:pt>
                <c:pt idx="2483">
                  <c:v>2363</c:v>
                </c:pt>
                <c:pt idx="2484">
                  <c:v>2625</c:v>
                </c:pt>
                <c:pt idx="2485">
                  <c:v>1575</c:v>
                </c:pt>
                <c:pt idx="2486">
                  <c:v>3375</c:v>
                </c:pt>
                <c:pt idx="2487">
                  <c:v>1575</c:v>
                </c:pt>
                <c:pt idx="2488">
                  <c:v>2400</c:v>
                </c:pt>
                <c:pt idx="2489">
                  <c:v>2625</c:v>
                </c:pt>
                <c:pt idx="2490">
                  <c:v>1875</c:v>
                </c:pt>
                <c:pt idx="2491">
                  <c:v>2100</c:v>
                </c:pt>
                <c:pt idx="2492">
                  <c:v>1875</c:v>
                </c:pt>
                <c:pt idx="2493">
                  <c:v>2100</c:v>
                </c:pt>
                <c:pt idx="2494">
                  <c:v>1800</c:v>
                </c:pt>
                <c:pt idx="2495">
                  <c:v>2063</c:v>
                </c:pt>
                <c:pt idx="2496">
                  <c:v>2063</c:v>
                </c:pt>
                <c:pt idx="2497">
                  <c:v>2700</c:v>
                </c:pt>
                <c:pt idx="2498">
                  <c:v>1875</c:v>
                </c:pt>
                <c:pt idx="2499">
                  <c:v>2250</c:v>
                </c:pt>
                <c:pt idx="2500">
                  <c:v>1125</c:v>
                </c:pt>
                <c:pt idx="2501">
                  <c:v>1238</c:v>
                </c:pt>
                <c:pt idx="2502">
                  <c:v>2700</c:v>
                </c:pt>
                <c:pt idx="2503">
                  <c:v>2700</c:v>
                </c:pt>
                <c:pt idx="2504">
                  <c:v>4050</c:v>
                </c:pt>
                <c:pt idx="2505">
                  <c:v>2025</c:v>
                </c:pt>
                <c:pt idx="2506">
                  <c:v>2475</c:v>
                </c:pt>
                <c:pt idx="2507">
                  <c:v>2888</c:v>
                </c:pt>
                <c:pt idx="2508">
                  <c:v>2100</c:v>
                </c:pt>
                <c:pt idx="2509">
                  <c:v>2888</c:v>
                </c:pt>
                <c:pt idx="2510">
                  <c:v>2625</c:v>
                </c:pt>
                <c:pt idx="2511">
                  <c:v>2700</c:v>
                </c:pt>
                <c:pt idx="2512">
                  <c:v>2888</c:v>
                </c:pt>
                <c:pt idx="2513">
                  <c:v>1200</c:v>
                </c:pt>
                <c:pt idx="2514">
                  <c:v>1050</c:v>
                </c:pt>
                <c:pt idx="2515">
                  <c:v>1838</c:v>
                </c:pt>
                <c:pt idx="2516">
                  <c:v>2100</c:v>
                </c:pt>
                <c:pt idx="2517">
                  <c:v>1800</c:v>
                </c:pt>
                <c:pt idx="2518">
                  <c:v>1350</c:v>
                </c:pt>
                <c:pt idx="2519">
                  <c:v>1575</c:v>
                </c:pt>
                <c:pt idx="2520">
                  <c:v>2363</c:v>
                </c:pt>
                <c:pt idx="2521">
                  <c:v>2025</c:v>
                </c:pt>
                <c:pt idx="2522">
                  <c:v>3150</c:v>
                </c:pt>
                <c:pt idx="2523">
                  <c:v>1350</c:v>
                </c:pt>
                <c:pt idx="2524">
                  <c:v>900</c:v>
                </c:pt>
                <c:pt idx="2525">
                  <c:v>1350</c:v>
                </c:pt>
                <c:pt idx="2526">
                  <c:v>2100</c:v>
                </c:pt>
                <c:pt idx="2527">
                  <c:v>1800</c:v>
                </c:pt>
                <c:pt idx="2528">
                  <c:v>3150</c:v>
                </c:pt>
                <c:pt idx="2529">
                  <c:v>3000</c:v>
                </c:pt>
                <c:pt idx="2530">
                  <c:v>1575</c:v>
                </c:pt>
                <c:pt idx="2531">
                  <c:v>3000</c:v>
                </c:pt>
                <c:pt idx="2532">
                  <c:v>2250</c:v>
                </c:pt>
                <c:pt idx="2533">
                  <c:v>3375</c:v>
                </c:pt>
                <c:pt idx="2534">
                  <c:v>1125</c:v>
                </c:pt>
                <c:pt idx="2535">
                  <c:v>2625</c:v>
                </c:pt>
                <c:pt idx="2536">
                  <c:v>1575</c:v>
                </c:pt>
                <c:pt idx="2537">
                  <c:v>3000</c:v>
                </c:pt>
                <c:pt idx="2538">
                  <c:v>1575</c:v>
                </c:pt>
                <c:pt idx="2539">
                  <c:v>3000</c:v>
                </c:pt>
                <c:pt idx="2540">
                  <c:v>1050</c:v>
                </c:pt>
                <c:pt idx="2541">
                  <c:v>450</c:v>
                </c:pt>
                <c:pt idx="2542">
                  <c:v>1575</c:v>
                </c:pt>
                <c:pt idx="2543">
                  <c:v>1125</c:v>
                </c:pt>
                <c:pt idx="2544">
                  <c:v>1575</c:v>
                </c:pt>
                <c:pt idx="2545">
                  <c:v>1313</c:v>
                </c:pt>
                <c:pt idx="2546">
                  <c:v>1575</c:v>
                </c:pt>
                <c:pt idx="2547">
                  <c:v>1838</c:v>
                </c:pt>
                <c:pt idx="2548">
                  <c:v>1838</c:v>
                </c:pt>
                <c:pt idx="2549">
                  <c:v>2025</c:v>
                </c:pt>
                <c:pt idx="2550">
                  <c:v>1800</c:v>
                </c:pt>
                <c:pt idx="2551">
                  <c:v>1838</c:v>
                </c:pt>
                <c:pt idx="2552">
                  <c:v>2100</c:v>
                </c:pt>
                <c:pt idx="2553">
                  <c:v>2100</c:v>
                </c:pt>
                <c:pt idx="2554">
                  <c:v>2250</c:v>
                </c:pt>
                <c:pt idx="2555">
                  <c:v>2100</c:v>
                </c:pt>
                <c:pt idx="2556">
                  <c:v>2100</c:v>
                </c:pt>
                <c:pt idx="2557">
                  <c:v>2625</c:v>
                </c:pt>
                <c:pt idx="2558">
                  <c:v>2100</c:v>
                </c:pt>
                <c:pt idx="2559">
                  <c:v>2100</c:v>
                </c:pt>
                <c:pt idx="2560">
                  <c:v>2250</c:v>
                </c:pt>
                <c:pt idx="2561">
                  <c:v>2400</c:v>
                </c:pt>
                <c:pt idx="2562">
                  <c:v>2250</c:v>
                </c:pt>
                <c:pt idx="2563">
                  <c:v>3000</c:v>
                </c:pt>
                <c:pt idx="2564">
                  <c:v>1575</c:v>
                </c:pt>
                <c:pt idx="2565">
                  <c:v>2250</c:v>
                </c:pt>
                <c:pt idx="2566">
                  <c:v>2475</c:v>
                </c:pt>
                <c:pt idx="2567">
                  <c:v>1838</c:v>
                </c:pt>
                <c:pt idx="2568">
                  <c:v>2400</c:v>
                </c:pt>
                <c:pt idx="2569">
                  <c:v>2400</c:v>
                </c:pt>
                <c:pt idx="2570">
                  <c:v>1875</c:v>
                </c:pt>
                <c:pt idx="2571">
                  <c:v>1800</c:v>
                </c:pt>
                <c:pt idx="2572">
                  <c:v>1875</c:v>
                </c:pt>
                <c:pt idx="2573">
                  <c:v>1800</c:v>
                </c:pt>
                <c:pt idx="2574">
                  <c:v>1125</c:v>
                </c:pt>
                <c:pt idx="2575">
                  <c:v>2063</c:v>
                </c:pt>
                <c:pt idx="2576">
                  <c:v>1688</c:v>
                </c:pt>
                <c:pt idx="2577">
                  <c:v>2100</c:v>
                </c:pt>
                <c:pt idx="2578">
                  <c:v>2100</c:v>
                </c:pt>
                <c:pt idx="2579">
                  <c:v>2888</c:v>
                </c:pt>
                <c:pt idx="2580">
                  <c:v>2025</c:v>
                </c:pt>
                <c:pt idx="2581">
                  <c:v>1875</c:v>
                </c:pt>
                <c:pt idx="2582">
                  <c:v>258</c:v>
                </c:pt>
                <c:pt idx="2583">
                  <c:v>296</c:v>
                </c:pt>
                <c:pt idx="2584">
                  <c:v>470</c:v>
                </c:pt>
                <c:pt idx="2585">
                  <c:v>393</c:v>
                </c:pt>
                <c:pt idx="2586">
                  <c:v>326</c:v>
                </c:pt>
                <c:pt idx="2587">
                  <c:v>300</c:v>
                </c:pt>
                <c:pt idx="2588">
                  <c:v>614</c:v>
                </c:pt>
                <c:pt idx="2589">
                  <c:v>429</c:v>
                </c:pt>
                <c:pt idx="2590">
                  <c:v>305</c:v>
                </c:pt>
                <c:pt idx="2591">
                  <c:v>439</c:v>
                </c:pt>
                <c:pt idx="2592">
                  <c:v>333</c:v>
                </c:pt>
                <c:pt idx="2593">
                  <c:v>297</c:v>
                </c:pt>
                <c:pt idx="2594">
                  <c:v>288</c:v>
                </c:pt>
                <c:pt idx="2595">
                  <c:v>427</c:v>
                </c:pt>
                <c:pt idx="2596">
                  <c:v>427</c:v>
                </c:pt>
                <c:pt idx="2597">
                  <c:v>413</c:v>
                </c:pt>
                <c:pt idx="2598">
                  <c:v>274</c:v>
                </c:pt>
                <c:pt idx="2599">
                  <c:v>456</c:v>
                </c:pt>
                <c:pt idx="2600">
                  <c:v>342</c:v>
                </c:pt>
                <c:pt idx="2601">
                  <c:v>246</c:v>
                </c:pt>
                <c:pt idx="2602">
                  <c:v>416</c:v>
                </c:pt>
                <c:pt idx="2603">
                  <c:v>275</c:v>
                </c:pt>
                <c:pt idx="2604">
                  <c:v>284</c:v>
                </c:pt>
                <c:pt idx="2605">
                  <c:v>305</c:v>
                </c:pt>
                <c:pt idx="2606">
                  <c:v>529</c:v>
                </c:pt>
                <c:pt idx="2607">
                  <c:v>148</c:v>
                </c:pt>
                <c:pt idx="2608">
                  <c:v>388</c:v>
                </c:pt>
                <c:pt idx="2609">
                  <c:v>578</c:v>
                </c:pt>
                <c:pt idx="2610">
                  <c:v>260</c:v>
                </c:pt>
                <c:pt idx="2611">
                  <c:v>342</c:v>
                </c:pt>
                <c:pt idx="2612">
                  <c:v>371</c:v>
                </c:pt>
                <c:pt idx="2613">
                  <c:v>611</c:v>
                </c:pt>
                <c:pt idx="2614">
                  <c:v>470</c:v>
                </c:pt>
                <c:pt idx="2615">
                  <c:v>344</c:v>
                </c:pt>
                <c:pt idx="2616">
                  <c:v>478</c:v>
                </c:pt>
                <c:pt idx="2617">
                  <c:v>352</c:v>
                </c:pt>
                <c:pt idx="2618">
                  <c:v>373</c:v>
                </c:pt>
                <c:pt idx="2619">
                  <c:v>196</c:v>
                </c:pt>
                <c:pt idx="2620">
                  <c:v>308</c:v>
                </c:pt>
                <c:pt idx="2621">
                  <c:v>338</c:v>
                </c:pt>
                <c:pt idx="2622">
                  <c:v>210</c:v>
                </c:pt>
                <c:pt idx="2623">
                  <c:v>260</c:v>
                </c:pt>
                <c:pt idx="2624">
                  <c:v>248</c:v>
                </c:pt>
                <c:pt idx="2625">
                  <c:v>437</c:v>
                </c:pt>
                <c:pt idx="2626">
                  <c:v>405</c:v>
                </c:pt>
                <c:pt idx="2627">
                  <c:v>425</c:v>
                </c:pt>
                <c:pt idx="2628">
                  <c:v>510</c:v>
                </c:pt>
                <c:pt idx="2629">
                  <c:v>203</c:v>
                </c:pt>
                <c:pt idx="2630">
                  <c:v>536</c:v>
                </c:pt>
                <c:pt idx="2631">
                  <c:v>397</c:v>
                </c:pt>
                <c:pt idx="2632">
                  <c:v>162</c:v>
                </c:pt>
                <c:pt idx="2633">
                  <c:v>495</c:v>
                </c:pt>
                <c:pt idx="2634">
                  <c:v>380</c:v>
                </c:pt>
                <c:pt idx="2635">
                  <c:v>444</c:v>
                </c:pt>
                <c:pt idx="2636">
                  <c:v>335</c:v>
                </c:pt>
                <c:pt idx="2637">
                  <c:v>270</c:v>
                </c:pt>
                <c:pt idx="2638">
                  <c:v>451</c:v>
                </c:pt>
                <c:pt idx="2639">
                  <c:v>328</c:v>
                </c:pt>
                <c:pt idx="2640">
                  <c:v>394</c:v>
                </c:pt>
                <c:pt idx="2641">
                  <c:v>222</c:v>
                </c:pt>
                <c:pt idx="2642">
                  <c:v>343</c:v>
                </c:pt>
                <c:pt idx="2643">
                  <c:v>416</c:v>
                </c:pt>
                <c:pt idx="2644">
                  <c:v>176</c:v>
                </c:pt>
                <c:pt idx="2645">
                  <c:v>209</c:v>
                </c:pt>
                <c:pt idx="2646">
                  <c:v>177</c:v>
                </c:pt>
                <c:pt idx="2647">
                  <c:v>271</c:v>
                </c:pt>
                <c:pt idx="2648">
                  <c:v>148</c:v>
                </c:pt>
                <c:pt idx="2649">
                  <c:v>265</c:v>
                </c:pt>
                <c:pt idx="2650">
                  <c:v>294</c:v>
                </c:pt>
                <c:pt idx="2651">
                  <c:v>170</c:v>
                </c:pt>
                <c:pt idx="2652">
                  <c:v>255</c:v>
                </c:pt>
                <c:pt idx="2653">
                  <c:v>240</c:v>
                </c:pt>
                <c:pt idx="2654">
                  <c:v>372</c:v>
                </c:pt>
                <c:pt idx="2655">
                  <c:v>501</c:v>
                </c:pt>
                <c:pt idx="2656">
                  <c:v>346</c:v>
                </c:pt>
                <c:pt idx="2657">
                  <c:v>555</c:v>
                </c:pt>
                <c:pt idx="2658">
                  <c:v>224</c:v>
                </c:pt>
                <c:pt idx="2659">
                  <c:v>358</c:v>
                </c:pt>
                <c:pt idx="2660">
                  <c:v>333</c:v>
                </c:pt>
                <c:pt idx="2661">
                  <c:v>339</c:v>
                </c:pt>
                <c:pt idx="2662">
                  <c:v>372</c:v>
                </c:pt>
                <c:pt idx="2663">
                  <c:v>181</c:v>
                </c:pt>
                <c:pt idx="2664">
                  <c:v>188</c:v>
                </c:pt>
                <c:pt idx="2665">
                  <c:v>272</c:v>
                </c:pt>
                <c:pt idx="2666">
                  <c:v>562</c:v>
                </c:pt>
                <c:pt idx="2667">
                  <c:v>441</c:v>
                </c:pt>
                <c:pt idx="2668">
                  <c:v>137</c:v>
                </c:pt>
                <c:pt idx="2669">
                  <c:v>216</c:v>
                </c:pt>
                <c:pt idx="2670">
                  <c:v>476</c:v>
                </c:pt>
                <c:pt idx="2671">
                  <c:v>402</c:v>
                </c:pt>
                <c:pt idx="2672">
                  <c:v>395</c:v>
                </c:pt>
                <c:pt idx="2673">
                  <c:v>294</c:v>
                </c:pt>
                <c:pt idx="2674">
                  <c:v>168</c:v>
                </c:pt>
                <c:pt idx="2675">
                  <c:v>282</c:v>
                </c:pt>
                <c:pt idx="2676">
                  <c:v>403</c:v>
                </c:pt>
                <c:pt idx="2677">
                  <c:v>266</c:v>
                </c:pt>
                <c:pt idx="2678">
                  <c:v>393</c:v>
                </c:pt>
                <c:pt idx="2679">
                  <c:v>291</c:v>
                </c:pt>
                <c:pt idx="2680">
                  <c:v>345</c:v>
                </c:pt>
                <c:pt idx="2681">
                  <c:v>146</c:v>
                </c:pt>
                <c:pt idx="2682">
                  <c:v>221</c:v>
                </c:pt>
                <c:pt idx="2683">
                  <c:v>119</c:v>
                </c:pt>
                <c:pt idx="2684">
                  <c:v>265</c:v>
                </c:pt>
                <c:pt idx="2685">
                  <c:v>224</c:v>
                </c:pt>
                <c:pt idx="2686">
                  <c:v>219</c:v>
                </c:pt>
                <c:pt idx="2687">
                  <c:v>148</c:v>
                </c:pt>
                <c:pt idx="2688">
                  <c:v>187</c:v>
                </c:pt>
                <c:pt idx="2689">
                  <c:v>238</c:v>
                </c:pt>
                <c:pt idx="2690">
                  <c:v>232</c:v>
                </c:pt>
                <c:pt idx="2691">
                  <c:v>244</c:v>
                </c:pt>
                <c:pt idx="2692">
                  <c:v>254</c:v>
                </c:pt>
                <c:pt idx="2693">
                  <c:v>164</c:v>
                </c:pt>
                <c:pt idx="2694">
                  <c:v>282</c:v>
                </c:pt>
                <c:pt idx="2695">
                  <c:v>218</c:v>
                </c:pt>
                <c:pt idx="2696">
                  <c:v>145</c:v>
                </c:pt>
                <c:pt idx="2697">
                  <c:v>238</c:v>
                </c:pt>
                <c:pt idx="2698">
                  <c:v>282</c:v>
                </c:pt>
                <c:pt idx="2699">
                  <c:v>266</c:v>
                </c:pt>
                <c:pt idx="2700">
                  <c:v>327</c:v>
                </c:pt>
                <c:pt idx="2701">
                  <c:v>144</c:v>
                </c:pt>
                <c:pt idx="2702">
                  <c:v>138</c:v>
                </c:pt>
                <c:pt idx="2703">
                  <c:v>333</c:v>
                </c:pt>
                <c:pt idx="2704">
                  <c:v>308</c:v>
                </c:pt>
                <c:pt idx="2705">
                  <c:v>378</c:v>
                </c:pt>
                <c:pt idx="2706">
                  <c:v>259</c:v>
                </c:pt>
                <c:pt idx="2707">
                  <c:v>267</c:v>
                </c:pt>
                <c:pt idx="2708">
                  <c:v>449</c:v>
                </c:pt>
                <c:pt idx="2709">
                  <c:v>253</c:v>
                </c:pt>
                <c:pt idx="2710">
                  <c:v>307</c:v>
                </c:pt>
                <c:pt idx="2711">
                  <c:v>338</c:v>
                </c:pt>
                <c:pt idx="2712">
                  <c:v>274</c:v>
                </c:pt>
                <c:pt idx="2713">
                  <c:v>319</c:v>
                </c:pt>
                <c:pt idx="2714">
                  <c:v>442</c:v>
                </c:pt>
                <c:pt idx="2715">
                  <c:v>284</c:v>
                </c:pt>
                <c:pt idx="2716">
                  <c:v>238</c:v>
                </c:pt>
                <c:pt idx="2717">
                  <c:v>274</c:v>
                </c:pt>
                <c:pt idx="2718">
                  <c:v>330</c:v>
                </c:pt>
                <c:pt idx="2719">
                  <c:v>325</c:v>
                </c:pt>
                <c:pt idx="2720">
                  <c:v>352</c:v>
                </c:pt>
                <c:pt idx="2721">
                  <c:v>238</c:v>
                </c:pt>
                <c:pt idx="2722">
                  <c:v>405</c:v>
                </c:pt>
                <c:pt idx="2723">
                  <c:v>352</c:v>
                </c:pt>
                <c:pt idx="2724">
                  <c:v>463</c:v>
                </c:pt>
                <c:pt idx="2725">
                  <c:v>367</c:v>
                </c:pt>
                <c:pt idx="2726">
                  <c:v>278</c:v>
                </c:pt>
                <c:pt idx="2727">
                  <c:v>311</c:v>
                </c:pt>
                <c:pt idx="2728">
                  <c:v>331</c:v>
                </c:pt>
                <c:pt idx="2729">
                  <c:v>333</c:v>
                </c:pt>
                <c:pt idx="2730">
                  <c:v>240</c:v>
                </c:pt>
                <c:pt idx="2731">
                  <c:v>238</c:v>
                </c:pt>
                <c:pt idx="2732">
                  <c:v>275</c:v>
                </c:pt>
                <c:pt idx="2733">
                  <c:v>310</c:v>
                </c:pt>
                <c:pt idx="2734">
                  <c:v>230</c:v>
                </c:pt>
                <c:pt idx="2735">
                  <c:v>207</c:v>
                </c:pt>
                <c:pt idx="2736">
                  <c:v>366</c:v>
                </c:pt>
                <c:pt idx="2737">
                  <c:v>169</c:v>
                </c:pt>
                <c:pt idx="2738">
                  <c:v>259</c:v>
                </c:pt>
                <c:pt idx="2739">
                  <c:v>229</c:v>
                </c:pt>
                <c:pt idx="2740">
                  <c:v>207</c:v>
                </c:pt>
                <c:pt idx="2741">
                  <c:v>241</c:v>
                </c:pt>
                <c:pt idx="2742">
                  <c:v>222</c:v>
                </c:pt>
                <c:pt idx="2743">
                  <c:v>171</c:v>
                </c:pt>
                <c:pt idx="2744">
                  <c:v>198</c:v>
                </c:pt>
                <c:pt idx="2745">
                  <c:v>307</c:v>
                </c:pt>
                <c:pt idx="2746">
                  <c:v>350</c:v>
                </c:pt>
                <c:pt idx="2747">
                  <c:v>1740</c:v>
                </c:pt>
                <c:pt idx="2748">
                  <c:v>566</c:v>
                </c:pt>
                <c:pt idx="2749">
                  <c:v>469</c:v>
                </c:pt>
                <c:pt idx="2750">
                  <c:v>191</c:v>
                </c:pt>
                <c:pt idx="2751">
                  <c:v>281</c:v>
                </c:pt>
                <c:pt idx="2752">
                  <c:v>530</c:v>
                </c:pt>
                <c:pt idx="2753">
                  <c:v>583</c:v>
                </c:pt>
                <c:pt idx="2754">
                  <c:v>339</c:v>
                </c:pt>
                <c:pt idx="2755">
                  <c:v>299</c:v>
                </c:pt>
                <c:pt idx="2756">
                  <c:v>315</c:v>
                </c:pt>
                <c:pt idx="2757">
                  <c:v>391</c:v>
                </c:pt>
                <c:pt idx="2758">
                  <c:v>471</c:v>
                </c:pt>
                <c:pt idx="2759">
                  <c:v>370</c:v>
                </c:pt>
                <c:pt idx="2760">
                  <c:v>220</c:v>
                </c:pt>
                <c:pt idx="2761">
                  <c:v>320</c:v>
                </c:pt>
                <c:pt idx="2762">
                  <c:v>220</c:v>
                </c:pt>
                <c:pt idx="2763">
                  <c:v>279</c:v>
                </c:pt>
                <c:pt idx="2764">
                  <c:v>187</c:v>
                </c:pt>
                <c:pt idx="2765">
                  <c:v>277</c:v>
                </c:pt>
                <c:pt idx="2766">
                  <c:v>352</c:v>
                </c:pt>
                <c:pt idx="2767">
                  <c:v>207</c:v>
                </c:pt>
                <c:pt idx="2768">
                  <c:v>335</c:v>
                </c:pt>
                <c:pt idx="2769">
                  <c:v>199</c:v>
                </c:pt>
                <c:pt idx="2770">
                  <c:v>313</c:v>
                </c:pt>
                <c:pt idx="2771">
                  <c:v>343</c:v>
                </c:pt>
                <c:pt idx="2772">
                  <c:v>252</c:v>
                </c:pt>
                <c:pt idx="2773">
                  <c:v>361</c:v>
                </c:pt>
                <c:pt idx="2774">
                  <c:v>355</c:v>
                </c:pt>
                <c:pt idx="2775">
                  <c:v>367</c:v>
                </c:pt>
                <c:pt idx="2776">
                  <c:v>223</c:v>
                </c:pt>
                <c:pt idx="2777">
                  <c:v>163</c:v>
                </c:pt>
                <c:pt idx="2778">
                  <c:v>193</c:v>
                </c:pt>
                <c:pt idx="2779">
                  <c:v>179</c:v>
                </c:pt>
                <c:pt idx="2780">
                  <c:v>399</c:v>
                </c:pt>
                <c:pt idx="2781">
                  <c:v>347</c:v>
                </c:pt>
                <c:pt idx="2782">
                  <c:v>235</c:v>
                </c:pt>
                <c:pt idx="2783">
                  <c:v>157</c:v>
                </c:pt>
                <c:pt idx="2784">
                  <c:v>307</c:v>
                </c:pt>
                <c:pt idx="2785">
                  <c:v>112</c:v>
                </c:pt>
                <c:pt idx="2786">
                  <c:v>221</c:v>
                </c:pt>
                <c:pt idx="2787">
                  <c:v>334</c:v>
                </c:pt>
                <c:pt idx="2788">
                  <c:v>175</c:v>
                </c:pt>
                <c:pt idx="2789">
                  <c:v>215</c:v>
                </c:pt>
                <c:pt idx="2790">
                  <c:v>200</c:v>
                </c:pt>
                <c:pt idx="2791">
                  <c:v>182</c:v>
                </c:pt>
                <c:pt idx="2792">
                  <c:v>220</c:v>
                </c:pt>
                <c:pt idx="2793">
                  <c:v>203</c:v>
                </c:pt>
                <c:pt idx="2794">
                  <c:v>226</c:v>
                </c:pt>
                <c:pt idx="2795">
                  <c:v>226</c:v>
                </c:pt>
                <c:pt idx="2796">
                  <c:v>102</c:v>
                </c:pt>
                <c:pt idx="2797">
                  <c:v>97</c:v>
                </c:pt>
                <c:pt idx="2798">
                  <c:v>225</c:v>
                </c:pt>
                <c:pt idx="2799">
                  <c:v>305</c:v>
                </c:pt>
                <c:pt idx="2800">
                  <c:v>409</c:v>
                </c:pt>
                <c:pt idx="2801">
                  <c:v>247</c:v>
                </c:pt>
                <c:pt idx="2802">
                  <c:v>372</c:v>
                </c:pt>
                <c:pt idx="2803">
                  <c:v>307</c:v>
                </c:pt>
                <c:pt idx="2804">
                  <c:v>425</c:v>
                </c:pt>
                <c:pt idx="2805">
                  <c:v>388</c:v>
                </c:pt>
                <c:pt idx="2806">
                  <c:v>454</c:v>
                </c:pt>
                <c:pt idx="2807">
                  <c:v>396</c:v>
                </c:pt>
                <c:pt idx="2808">
                  <c:v>337</c:v>
                </c:pt>
                <c:pt idx="2809">
                  <c:v>323</c:v>
                </c:pt>
                <c:pt idx="2810">
                  <c:v>289</c:v>
                </c:pt>
                <c:pt idx="2811">
                  <c:v>271</c:v>
                </c:pt>
                <c:pt idx="2812">
                  <c:v>254</c:v>
                </c:pt>
                <c:pt idx="2813">
                  <c:v>247</c:v>
                </c:pt>
                <c:pt idx="2814">
                  <c:v>163</c:v>
                </c:pt>
                <c:pt idx="2815">
                  <c:v>158</c:v>
                </c:pt>
                <c:pt idx="2816">
                  <c:v>624</c:v>
                </c:pt>
                <c:pt idx="2817">
                  <c:v>266</c:v>
                </c:pt>
                <c:pt idx="2818">
                  <c:v>281</c:v>
                </c:pt>
                <c:pt idx="2819">
                  <c:v>212</c:v>
                </c:pt>
                <c:pt idx="2820">
                  <c:v>272</c:v>
                </c:pt>
                <c:pt idx="2821">
                  <c:v>222</c:v>
                </c:pt>
                <c:pt idx="2822">
                  <c:v>147</c:v>
                </c:pt>
                <c:pt idx="2823">
                  <c:v>202</c:v>
                </c:pt>
                <c:pt idx="2824">
                  <c:v>351</c:v>
                </c:pt>
                <c:pt idx="2825">
                  <c:v>532</c:v>
                </c:pt>
                <c:pt idx="2826">
                  <c:v>423</c:v>
                </c:pt>
                <c:pt idx="2827">
                  <c:v>462</c:v>
                </c:pt>
                <c:pt idx="2828">
                  <c:v>454</c:v>
                </c:pt>
                <c:pt idx="2829">
                  <c:v>546</c:v>
                </c:pt>
                <c:pt idx="2830">
                  <c:v>371</c:v>
                </c:pt>
                <c:pt idx="2831">
                  <c:v>290</c:v>
                </c:pt>
                <c:pt idx="2832">
                  <c:v>314</c:v>
                </c:pt>
                <c:pt idx="2833">
                  <c:v>386</c:v>
                </c:pt>
                <c:pt idx="2834">
                  <c:v>676</c:v>
                </c:pt>
                <c:pt idx="2835">
                  <c:v>357</c:v>
                </c:pt>
                <c:pt idx="2836">
                  <c:v>170</c:v>
                </c:pt>
                <c:pt idx="2837">
                  <c:v>543</c:v>
                </c:pt>
                <c:pt idx="2838">
                  <c:v>462</c:v>
                </c:pt>
                <c:pt idx="2839">
                  <c:v>328</c:v>
                </c:pt>
                <c:pt idx="2840">
                  <c:v>203</c:v>
                </c:pt>
                <c:pt idx="2841">
                  <c:v>245</c:v>
                </c:pt>
                <c:pt idx="2842">
                  <c:v>299</c:v>
                </c:pt>
                <c:pt idx="2843">
                  <c:v>255</c:v>
                </c:pt>
                <c:pt idx="2844">
                  <c:v>326</c:v>
                </c:pt>
                <c:pt idx="2845">
                  <c:v>394</c:v>
                </c:pt>
                <c:pt idx="2846">
                  <c:v>409</c:v>
                </c:pt>
                <c:pt idx="2847">
                  <c:v>250</c:v>
                </c:pt>
                <c:pt idx="2848">
                  <c:v>94</c:v>
                </c:pt>
                <c:pt idx="2849">
                  <c:v>431</c:v>
                </c:pt>
                <c:pt idx="2850">
                  <c:v>292</c:v>
                </c:pt>
                <c:pt idx="2851">
                  <c:v>405</c:v>
                </c:pt>
                <c:pt idx="2852">
                  <c:v>207</c:v>
                </c:pt>
                <c:pt idx="2853">
                  <c:v>370</c:v>
                </c:pt>
                <c:pt idx="2854">
                  <c:v>309</c:v>
                </c:pt>
                <c:pt idx="2855">
                  <c:v>364</c:v>
                </c:pt>
                <c:pt idx="2856">
                  <c:v>236</c:v>
                </c:pt>
                <c:pt idx="2857">
                  <c:v>253</c:v>
                </c:pt>
                <c:pt idx="2858">
                  <c:v>284</c:v>
                </c:pt>
                <c:pt idx="2859">
                  <c:v>485</c:v>
                </c:pt>
                <c:pt idx="2860">
                  <c:v>322</c:v>
                </c:pt>
                <c:pt idx="2861">
                  <c:v>372</c:v>
                </c:pt>
                <c:pt idx="2862">
                  <c:v>172</c:v>
                </c:pt>
                <c:pt idx="2863">
                  <c:v>232</c:v>
                </c:pt>
                <c:pt idx="2864">
                  <c:v>193</c:v>
                </c:pt>
                <c:pt idx="2865">
                  <c:v>197</c:v>
                </c:pt>
                <c:pt idx="2866">
                  <c:v>384</c:v>
                </c:pt>
                <c:pt idx="2867">
                  <c:v>316</c:v>
                </c:pt>
                <c:pt idx="2868">
                  <c:v>135</c:v>
                </c:pt>
                <c:pt idx="2869">
                  <c:v>462</c:v>
                </c:pt>
                <c:pt idx="2870">
                  <c:v>224</c:v>
                </c:pt>
                <c:pt idx="2871">
                  <c:v>225</c:v>
                </c:pt>
                <c:pt idx="2872">
                  <c:v>184</c:v>
                </c:pt>
                <c:pt idx="2873">
                  <c:v>160</c:v>
                </c:pt>
                <c:pt idx="2874">
                  <c:v>370</c:v>
                </c:pt>
                <c:pt idx="2875">
                  <c:v>216</c:v>
                </c:pt>
                <c:pt idx="2876">
                  <c:v>246</c:v>
                </c:pt>
                <c:pt idx="2877">
                  <c:v>203</c:v>
                </c:pt>
                <c:pt idx="2878">
                  <c:v>276</c:v>
                </c:pt>
                <c:pt idx="2879">
                  <c:v>240</c:v>
                </c:pt>
                <c:pt idx="2880">
                  <c:v>361</c:v>
                </c:pt>
                <c:pt idx="2881">
                  <c:v>230</c:v>
                </c:pt>
                <c:pt idx="2882">
                  <c:v>362</c:v>
                </c:pt>
                <c:pt idx="2883">
                  <c:v>632</c:v>
                </c:pt>
                <c:pt idx="2884">
                  <c:v>501</c:v>
                </c:pt>
                <c:pt idx="2885">
                  <c:v>355</c:v>
                </c:pt>
                <c:pt idx="2886">
                  <c:v>217</c:v>
                </c:pt>
                <c:pt idx="2887">
                  <c:v>388</c:v>
                </c:pt>
                <c:pt idx="2888">
                  <c:v>327</c:v>
                </c:pt>
                <c:pt idx="2889">
                  <c:v>354</c:v>
                </c:pt>
                <c:pt idx="2890">
                  <c:v>394</c:v>
                </c:pt>
                <c:pt idx="2891">
                  <c:v>545</c:v>
                </c:pt>
                <c:pt idx="2892">
                  <c:v>362</c:v>
                </c:pt>
                <c:pt idx="2893">
                  <c:v>379</c:v>
                </c:pt>
                <c:pt idx="2894">
                  <c:v>326</c:v>
                </c:pt>
                <c:pt idx="2895">
                  <c:v>354</c:v>
                </c:pt>
                <c:pt idx="2896">
                  <c:v>347</c:v>
                </c:pt>
                <c:pt idx="2897">
                  <c:v>206</c:v>
                </c:pt>
                <c:pt idx="2898">
                  <c:v>376</c:v>
                </c:pt>
                <c:pt idx="2899">
                  <c:v>473</c:v>
                </c:pt>
                <c:pt idx="2900">
                  <c:v>256</c:v>
                </c:pt>
                <c:pt idx="2901">
                  <c:v>185</c:v>
                </c:pt>
                <c:pt idx="2902">
                  <c:v>341</c:v>
                </c:pt>
                <c:pt idx="2903">
                  <c:v>468</c:v>
                </c:pt>
                <c:pt idx="2904">
                  <c:v>348</c:v>
                </c:pt>
                <c:pt idx="2905">
                  <c:v>391</c:v>
                </c:pt>
                <c:pt idx="2906">
                  <c:v>375</c:v>
                </c:pt>
                <c:pt idx="2907">
                  <c:v>110</c:v>
                </c:pt>
                <c:pt idx="2908">
                  <c:v>427</c:v>
                </c:pt>
                <c:pt idx="2909">
                  <c:v>251</c:v>
                </c:pt>
                <c:pt idx="2910">
                  <c:v>756</c:v>
                </c:pt>
                <c:pt idx="2911">
                  <c:v>350</c:v>
                </c:pt>
                <c:pt idx="2912">
                  <c:v>261</c:v>
                </c:pt>
                <c:pt idx="2913">
                  <c:v>597</c:v>
                </c:pt>
                <c:pt idx="2914">
                  <c:v>325</c:v>
                </c:pt>
                <c:pt idx="2915">
                  <c:v>246</c:v>
                </c:pt>
                <c:pt idx="2916">
                  <c:v>250</c:v>
                </c:pt>
                <c:pt idx="2917">
                  <c:v>270</c:v>
                </c:pt>
                <c:pt idx="2918">
                  <c:v>245</c:v>
                </c:pt>
                <c:pt idx="2919">
                  <c:v>367</c:v>
                </c:pt>
                <c:pt idx="2920">
                  <c:v>393</c:v>
                </c:pt>
                <c:pt idx="2921">
                  <c:v>181</c:v>
                </c:pt>
                <c:pt idx="2922">
                  <c:v>350</c:v>
                </c:pt>
                <c:pt idx="2923">
                  <c:v>151</c:v>
                </c:pt>
                <c:pt idx="2924">
                  <c:v>421</c:v>
                </c:pt>
                <c:pt idx="2925">
                  <c:v>355</c:v>
                </c:pt>
                <c:pt idx="2926">
                  <c:v>412</c:v>
                </c:pt>
                <c:pt idx="2927">
                  <c:v>374</c:v>
                </c:pt>
                <c:pt idx="2928">
                  <c:v>166</c:v>
                </c:pt>
                <c:pt idx="2929">
                  <c:v>233</c:v>
                </c:pt>
                <c:pt idx="2930">
                  <c:v>207</c:v>
                </c:pt>
                <c:pt idx="2931">
                  <c:v>319</c:v>
                </c:pt>
                <c:pt idx="2932">
                  <c:v>314</c:v>
                </c:pt>
                <c:pt idx="2933">
                  <c:v>171</c:v>
                </c:pt>
                <c:pt idx="2934">
                  <c:v>279</c:v>
                </c:pt>
                <c:pt idx="2935">
                  <c:v>237</c:v>
                </c:pt>
                <c:pt idx="2936">
                  <c:v>187</c:v>
                </c:pt>
                <c:pt idx="2937">
                  <c:v>100</c:v>
                </c:pt>
                <c:pt idx="2938">
                  <c:v>242</c:v>
                </c:pt>
                <c:pt idx="2939">
                  <c:v>270</c:v>
                </c:pt>
                <c:pt idx="2940">
                  <c:v>159</c:v>
                </c:pt>
                <c:pt idx="2941">
                  <c:v>259</c:v>
                </c:pt>
                <c:pt idx="2942">
                  <c:v>126</c:v>
                </c:pt>
                <c:pt idx="2943">
                  <c:v>277</c:v>
                </c:pt>
                <c:pt idx="2944">
                  <c:v>166</c:v>
                </c:pt>
                <c:pt idx="2945">
                  <c:v>332</c:v>
                </c:pt>
                <c:pt idx="2946">
                  <c:v>294</c:v>
                </c:pt>
                <c:pt idx="2947">
                  <c:v>147</c:v>
                </c:pt>
                <c:pt idx="2948">
                  <c:v>202</c:v>
                </c:pt>
                <c:pt idx="2949">
                  <c:v>386</c:v>
                </c:pt>
                <c:pt idx="2950">
                  <c:v>189</c:v>
                </c:pt>
                <c:pt idx="2951">
                  <c:v>87</c:v>
                </c:pt>
                <c:pt idx="2952">
                  <c:v>168</c:v>
                </c:pt>
                <c:pt idx="2953">
                  <c:v>149</c:v>
                </c:pt>
                <c:pt idx="2954">
                  <c:v>189</c:v>
                </c:pt>
                <c:pt idx="2955">
                  <c:v>431</c:v>
                </c:pt>
                <c:pt idx="2956">
                  <c:v>190</c:v>
                </c:pt>
                <c:pt idx="2957">
                  <c:v>246</c:v>
                </c:pt>
                <c:pt idx="2958">
                  <c:v>241</c:v>
                </c:pt>
                <c:pt idx="2959">
                  <c:v>181</c:v>
                </c:pt>
                <c:pt idx="2960">
                  <c:v>102</c:v>
                </c:pt>
                <c:pt idx="2961">
                  <c:v>153</c:v>
                </c:pt>
                <c:pt idx="2962">
                  <c:v>137</c:v>
                </c:pt>
                <c:pt idx="2963">
                  <c:v>259</c:v>
                </c:pt>
                <c:pt idx="2964">
                  <c:v>178</c:v>
                </c:pt>
                <c:pt idx="2965">
                  <c:v>188</c:v>
                </c:pt>
                <c:pt idx="2966">
                  <c:v>125</c:v>
                </c:pt>
                <c:pt idx="2967">
                  <c:v>278</c:v>
                </c:pt>
                <c:pt idx="2968">
                  <c:v>238</c:v>
                </c:pt>
                <c:pt idx="2969">
                  <c:v>161</c:v>
                </c:pt>
                <c:pt idx="2970">
                  <c:v>68</c:v>
                </c:pt>
                <c:pt idx="2971">
                  <c:v>197</c:v>
                </c:pt>
                <c:pt idx="2972">
                  <c:v>129</c:v>
                </c:pt>
                <c:pt idx="2973">
                  <c:v>218</c:v>
                </c:pt>
                <c:pt idx="2974">
                  <c:v>129</c:v>
                </c:pt>
                <c:pt idx="2975">
                  <c:v>378</c:v>
                </c:pt>
                <c:pt idx="2976">
                  <c:v>251</c:v>
                </c:pt>
                <c:pt idx="2977">
                  <c:v>263</c:v>
                </c:pt>
                <c:pt idx="2978">
                  <c:v>379</c:v>
                </c:pt>
                <c:pt idx="2979">
                  <c:v>371</c:v>
                </c:pt>
                <c:pt idx="2980">
                  <c:v>638</c:v>
                </c:pt>
                <c:pt idx="2981">
                  <c:v>379</c:v>
                </c:pt>
                <c:pt idx="2982">
                  <c:v>214</c:v>
                </c:pt>
                <c:pt idx="2983">
                  <c:v>327</c:v>
                </c:pt>
                <c:pt idx="2984">
                  <c:v>376</c:v>
                </c:pt>
                <c:pt idx="2985">
                  <c:v>393</c:v>
                </c:pt>
                <c:pt idx="2986">
                  <c:v>451</c:v>
                </c:pt>
                <c:pt idx="2987">
                  <c:v>231</c:v>
                </c:pt>
                <c:pt idx="2988">
                  <c:v>213</c:v>
                </c:pt>
                <c:pt idx="2989">
                  <c:v>291</c:v>
                </c:pt>
                <c:pt idx="2990">
                  <c:v>309</c:v>
                </c:pt>
                <c:pt idx="2991">
                  <c:v>411</c:v>
                </c:pt>
                <c:pt idx="2992">
                  <c:v>253</c:v>
                </c:pt>
                <c:pt idx="2993">
                  <c:v>359</c:v>
                </c:pt>
                <c:pt idx="2994">
                  <c:v>284</c:v>
                </c:pt>
                <c:pt idx="2995">
                  <c:v>198</c:v>
                </c:pt>
                <c:pt idx="2996">
                  <c:v>285</c:v>
                </c:pt>
                <c:pt idx="2997">
                  <c:v>310</c:v>
                </c:pt>
                <c:pt idx="2998">
                  <c:v>305</c:v>
                </c:pt>
                <c:pt idx="2999">
                  <c:v>249</c:v>
                </c:pt>
                <c:pt idx="3000">
                  <c:v>277</c:v>
                </c:pt>
                <c:pt idx="3001">
                  <c:v>318</c:v>
                </c:pt>
                <c:pt idx="3002">
                  <c:v>212</c:v>
                </c:pt>
                <c:pt idx="3003">
                  <c:v>159</c:v>
                </c:pt>
                <c:pt idx="3004">
                  <c:v>521</c:v>
                </c:pt>
                <c:pt idx="3005">
                  <c:v>156</c:v>
                </c:pt>
                <c:pt idx="3006">
                  <c:v>236</c:v>
                </c:pt>
                <c:pt idx="3007">
                  <c:v>366</c:v>
                </c:pt>
                <c:pt idx="3008">
                  <c:v>317</c:v>
                </c:pt>
                <c:pt idx="3009">
                  <c:v>307</c:v>
                </c:pt>
                <c:pt idx="3010">
                  <c:v>267</c:v>
                </c:pt>
                <c:pt idx="3011">
                  <c:v>358</c:v>
                </c:pt>
                <c:pt idx="3012">
                  <c:v>366</c:v>
                </c:pt>
                <c:pt idx="3013">
                  <c:v>260</c:v>
                </c:pt>
                <c:pt idx="3014">
                  <c:v>175</c:v>
                </c:pt>
                <c:pt idx="3015">
                  <c:v>317</c:v>
                </c:pt>
                <c:pt idx="3016">
                  <c:v>188</c:v>
                </c:pt>
                <c:pt idx="3017">
                  <c:v>514</c:v>
                </c:pt>
                <c:pt idx="3018">
                  <c:v>278</c:v>
                </c:pt>
                <c:pt idx="3019">
                  <c:v>257</c:v>
                </c:pt>
                <c:pt idx="3020">
                  <c:v>261</c:v>
                </c:pt>
                <c:pt idx="3021">
                  <c:v>298</c:v>
                </c:pt>
                <c:pt idx="3022">
                  <c:v>328</c:v>
                </c:pt>
                <c:pt idx="3023">
                  <c:v>234</c:v>
                </c:pt>
                <c:pt idx="3024">
                  <c:v>221</c:v>
                </c:pt>
                <c:pt idx="3025">
                  <c:v>292</c:v>
                </c:pt>
                <c:pt idx="3026">
                  <c:v>428</c:v>
                </c:pt>
                <c:pt idx="3027">
                  <c:v>427</c:v>
                </c:pt>
                <c:pt idx="3028">
                  <c:v>349</c:v>
                </c:pt>
                <c:pt idx="3029">
                  <c:v>339</c:v>
                </c:pt>
                <c:pt idx="3030">
                  <c:v>438</c:v>
                </c:pt>
                <c:pt idx="3031">
                  <c:v>303</c:v>
                </c:pt>
                <c:pt idx="3032">
                  <c:v>207</c:v>
                </c:pt>
                <c:pt idx="3033">
                  <c:v>376</c:v>
                </c:pt>
                <c:pt idx="3034">
                  <c:v>247</c:v>
                </c:pt>
                <c:pt idx="3035">
                  <c:v>252</c:v>
                </c:pt>
                <c:pt idx="3036">
                  <c:v>276</c:v>
                </c:pt>
                <c:pt idx="3037">
                  <c:v>239</c:v>
                </c:pt>
                <c:pt idx="3038">
                  <c:v>499</c:v>
                </c:pt>
                <c:pt idx="3039">
                  <c:v>271</c:v>
                </c:pt>
                <c:pt idx="3040">
                  <c:v>412</c:v>
                </c:pt>
                <c:pt idx="3041">
                  <c:v>253</c:v>
                </c:pt>
                <c:pt idx="3042">
                  <c:v>343</c:v>
                </c:pt>
                <c:pt idx="3043">
                  <c:v>356</c:v>
                </c:pt>
                <c:pt idx="3044">
                  <c:v>303</c:v>
                </c:pt>
                <c:pt idx="3045">
                  <c:v>349</c:v>
                </c:pt>
                <c:pt idx="3046">
                  <c:v>436</c:v>
                </c:pt>
                <c:pt idx="3047">
                  <c:v>215</c:v>
                </c:pt>
                <c:pt idx="3048">
                  <c:v>184</c:v>
                </c:pt>
                <c:pt idx="3049">
                  <c:v>222</c:v>
                </c:pt>
                <c:pt idx="3050">
                  <c:v>315</c:v>
                </c:pt>
                <c:pt idx="3051">
                  <c:v>437</c:v>
                </c:pt>
                <c:pt idx="3052">
                  <c:v>430</c:v>
                </c:pt>
                <c:pt idx="3053">
                  <c:v>497</c:v>
                </c:pt>
                <c:pt idx="3054">
                  <c:v>103</c:v>
                </c:pt>
                <c:pt idx="3055">
                  <c:v>171</c:v>
                </c:pt>
                <c:pt idx="3056">
                  <c:v>360</c:v>
                </c:pt>
                <c:pt idx="3057">
                  <c:v>310</c:v>
                </c:pt>
                <c:pt idx="3058">
                  <c:v>156</c:v>
                </c:pt>
                <c:pt idx="3059">
                  <c:v>276</c:v>
                </c:pt>
                <c:pt idx="3060">
                  <c:v>335</c:v>
                </c:pt>
                <c:pt idx="3061">
                  <c:v>120</c:v>
                </c:pt>
                <c:pt idx="3062">
                  <c:v>141</c:v>
                </c:pt>
                <c:pt idx="3063">
                  <c:v>74</c:v>
                </c:pt>
                <c:pt idx="3064">
                  <c:v>126</c:v>
                </c:pt>
                <c:pt idx="3065">
                  <c:v>303</c:v>
                </c:pt>
                <c:pt idx="3066">
                  <c:v>211</c:v>
                </c:pt>
                <c:pt idx="3067">
                  <c:v>299</c:v>
                </c:pt>
                <c:pt idx="3068">
                  <c:v>125</c:v>
                </c:pt>
                <c:pt idx="3069">
                  <c:v>226</c:v>
                </c:pt>
                <c:pt idx="3070">
                  <c:v>195</c:v>
                </c:pt>
                <c:pt idx="3071">
                  <c:v>230</c:v>
                </c:pt>
                <c:pt idx="3072">
                  <c:v>220</c:v>
                </c:pt>
                <c:pt idx="3073">
                  <c:v>263</c:v>
                </c:pt>
                <c:pt idx="3074">
                  <c:v>223</c:v>
                </c:pt>
                <c:pt idx="3075">
                  <c:v>220</c:v>
                </c:pt>
                <c:pt idx="3076">
                  <c:v>138</c:v>
                </c:pt>
                <c:pt idx="3077">
                  <c:v>70</c:v>
                </c:pt>
                <c:pt idx="3078">
                  <c:v>125</c:v>
                </c:pt>
                <c:pt idx="3079">
                  <c:v>152</c:v>
                </c:pt>
                <c:pt idx="3080">
                  <c:v>63</c:v>
                </c:pt>
                <c:pt idx="3081">
                  <c:v>217</c:v>
                </c:pt>
                <c:pt idx="3082">
                  <c:v>257</c:v>
                </c:pt>
                <c:pt idx="3083">
                  <c:v>342</c:v>
                </c:pt>
                <c:pt idx="3084">
                  <c:v>317</c:v>
                </c:pt>
                <c:pt idx="3085">
                  <c:v>272</c:v>
                </c:pt>
                <c:pt idx="3086">
                  <c:v>351</c:v>
                </c:pt>
                <c:pt idx="3087">
                  <c:v>562</c:v>
                </c:pt>
                <c:pt idx="3088">
                  <c:v>502</c:v>
                </c:pt>
                <c:pt idx="3089">
                  <c:v>459</c:v>
                </c:pt>
                <c:pt idx="3090">
                  <c:v>217</c:v>
                </c:pt>
                <c:pt idx="3091">
                  <c:v>315</c:v>
                </c:pt>
                <c:pt idx="3092">
                  <c:v>194</c:v>
                </c:pt>
                <c:pt idx="3093">
                  <c:v>246</c:v>
                </c:pt>
                <c:pt idx="3094">
                  <c:v>141</c:v>
                </c:pt>
                <c:pt idx="3095">
                  <c:v>312</c:v>
                </c:pt>
                <c:pt idx="3096">
                  <c:v>238</c:v>
                </c:pt>
                <c:pt idx="3097">
                  <c:v>350</c:v>
                </c:pt>
                <c:pt idx="3098">
                  <c:v>300</c:v>
                </c:pt>
                <c:pt idx="3099">
                  <c:v>205</c:v>
                </c:pt>
                <c:pt idx="3100">
                  <c:v>249</c:v>
                </c:pt>
                <c:pt idx="3101">
                  <c:v>291</c:v>
                </c:pt>
                <c:pt idx="3102">
                  <c:v>251</c:v>
                </c:pt>
                <c:pt idx="3103">
                  <c:v>278</c:v>
                </c:pt>
                <c:pt idx="3104">
                  <c:v>291</c:v>
                </c:pt>
                <c:pt idx="3105">
                  <c:v>153</c:v>
                </c:pt>
                <c:pt idx="3106">
                  <c:v>301</c:v>
                </c:pt>
                <c:pt idx="3107">
                  <c:v>266</c:v>
                </c:pt>
                <c:pt idx="3108">
                  <c:v>266</c:v>
                </c:pt>
                <c:pt idx="3109">
                  <c:v>290</c:v>
                </c:pt>
                <c:pt idx="3110">
                  <c:v>328</c:v>
                </c:pt>
                <c:pt idx="3111">
                  <c:v>269</c:v>
                </c:pt>
                <c:pt idx="3112">
                  <c:v>266</c:v>
                </c:pt>
                <c:pt idx="3113">
                  <c:v>302</c:v>
                </c:pt>
                <c:pt idx="3114">
                  <c:v>291</c:v>
                </c:pt>
                <c:pt idx="3115">
                  <c:v>331</c:v>
                </c:pt>
                <c:pt idx="3116">
                  <c:v>398</c:v>
                </c:pt>
                <c:pt idx="3117">
                  <c:v>270</c:v>
                </c:pt>
                <c:pt idx="3118">
                  <c:v>346</c:v>
                </c:pt>
                <c:pt idx="3119">
                  <c:v>255</c:v>
                </c:pt>
                <c:pt idx="3120">
                  <c:v>365</c:v>
                </c:pt>
                <c:pt idx="3121">
                  <c:v>343</c:v>
                </c:pt>
                <c:pt idx="3122">
                  <c:v>401</c:v>
                </c:pt>
                <c:pt idx="3123">
                  <c:v>381</c:v>
                </c:pt>
                <c:pt idx="3124">
                  <c:v>365</c:v>
                </c:pt>
                <c:pt idx="3125">
                  <c:v>301</c:v>
                </c:pt>
                <c:pt idx="3126">
                  <c:v>423</c:v>
                </c:pt>
                <c:pt idx="3127">
                  <c:v>304</c:v>
                </c:pt>
                <c:pt idx="3128">
                  <c:v>146</c:v>
                </c:pt>
                <c:pt idx="3129">
                  <c:v>326</c:v>
                </c:pt>
                <c:pt idx="3130">
                  <c:v>183</c:v>
                </c:pt>
                <c:pt idx="3131">
                  <c:v>103</c:v>
                </c:pt>
                <c:pt idx="3132">
                  <c:v>163</c:v>
                </c:pt>
                <c:pt idx="3133">
                  <c:v>255</c:v>
                </c:pt>
                <c:pt idx="3134">
                  <c:v>160</c:v>
                </c:pt>
                <c:pt idx="3135">
                  <c:v>186</c:v>
                </c:pt>
                <c:pt idx="3136">
                  <c:v>241</c:v>
                </c:pt>
                <c:pt idx="3137">
                  <c:v>97</c:v>
                </c:pt>
                <c:pt idx="3138">
                  <c:v>238</c:v>
                </c:pt>
                <c:pt idx="3139">
                  <c:v>144</c:v>
                </c:pt>
                <c:pt idx="3140">
                  <c:v>322</c:v>
                </c:pt>
                <c:pt idx="3141">
                  <c:v>180</c:v>
                </c:pt>
                <c:pt idx="3142">
                  <c:v>247</c:v>
                </c:pt>
                <c:pt idx="3143">
                  <c:v>420</c:v>
                </c:pt>
                <c:pt idx="3144">
                  <c:v>183</c:v>
                </c:pt>
                <c:pt idx="3145">
                  <c:v>319</c:v>
                </c:pt>
                <c:pt idx="3146">
                  <c:v>235</c:v>
                </c:pt>
                <c:pt idx="3147">
                  <c:v>334</c:v>
                </c:pt>
                <c:pt idx="3148">
                  <c:v>423</c:v>
                </c:pt>
                <c:pt idx="3149">
                  <c:v>414</c:v>
                </c:pt>
                <c:pt idx="3150">
                  <c:v>283</c:v>
                </c:pt>
                <c:pt idx="3151">
                  <c:v>335</c:v>
                </c:pt>
                <c:pt idx="3152">
                  <c:v>272</c:v>
                </c:pt>
                <c:pt idx="3153">
                  <c:v>385</c:v>
                </c:pt>
                <c:pt idx="3154">
                  <c:v>345</c:v>
                </c:pt>
                <c:pt idx="3155">
                  <c:v>477</c:v>
                </c:pt>
                <c:pt idx="3156">
                  <c:v>374</c:v>
                </c:pt>
                <c:pt idx="3157">
                  <c:v>207</c:v>
                </c:pt>
                <c:pt idx="3158">
                  <c:v>332</c:v>
                </c:pt>
                <c:pt idx="3159">
                  <c:v>251</c:v>
                </c:pt>
                <c:pt idx="3160">
                  <c:v>488</c:v>
                </c:pt>
                <c:pt idx="3161">
                  <c:v>234</c:v>
                </c:pt>
                <c:pt idx="3162">
                  <c:v>144</c:v>
                </c:pt>
                <c:pt idx="3163">
                  <c:v>479</c:v>
                </c:pt>
                <c:pt idx="3164">
                  <c:v>233</c:v>
                </c:pt>
                <c:pt idx="3165">
                  <c:v>318</c:v>
                </c:pt>
                <c:pt idx="3166">
                  <c:v>326</c:v>
                </c:pt>
                <c:pt idx="3167">
                  <c:v>319</c:v>
                </c:pt>
                <c:pt idx="3168">
                  <c:v>215</c:v>
                </c:pt>
                <c:pt idx="3169">
                  <c:v>282</c:v>
                </c:pt>
                <c:pt idx="3170">
                  <c:v>387</c:v>
                </c:pt>
                <c:pt idx="3171">
                  <c:v>165</c:v>
                </c:pt>
                <c:pt idx="3172">
                  <c:v>239</c:v>
                </c:pt>
                <c:pt idx="3173">
                  <c:v>181</c:v>
                </c:pt>
                <c:pt idx="3174">
                  <c:v>237</c:v>
                </c:pt>
                <c:pt idx="3175">
                  <c:v>452</c:v>
                </c:pt>
                <c:pt idx="3176">
                  <c:v>226</c:v>
                </c:pt>
                <c:pt idx="3177">
                  <c:v>495</c:v>
                </c:pt>
                <c:pt idx="3178">
                  <c:v>304</c:v>
                </c:pt>
                <c:pt idx="3179">
                  <c:v>199</c:v>
                </c:pt>
                <c:pt idx="3180">
                  <c:v>179</c:v>
                </c:pt>
                <c:pt idx="3181">
                  <c:v>216</c:v>
                </c:pt>
                <c:pt idx="3182">
                  <c:v>220</c:v>
                </c:pt>
                <c:pt idx="3183">
                  <c:v>170</c:v>
                </c:pt>
                <c:pt idx="3184">
                  <c:v>219</c:v>
                </c:pt>
                <c:pt idx="3185">
                  <c:v>303</c:v>
                </c:pt>
                <c:pt idx="3186">
                  <c:v>95</c:v>
                </c:pt>
                <c:pt idx="3187">
                  <c:v>74</c:v>
                </c:pt>
                <c:pt idx="3188">
                  <c:v>117</c:v>
                </c:pt>
                <c:pt idx="3189">
                  <c:v>135</c:v>
                </c:pt>
                <c:pt idx="3190">
                  <c:v>74</c:v>
                </c:pt>
                <c:pt idx="3191">
                  <c:v>126</c:v>
                </c:pt>
                <c:pt idx="3192">
                  <c:v>193</c:v>
                </c:pt>
                <c:pt idx="3193">
                  <c:v>206</c:v>
                </c:pt>
                <c:pt idx="3194">
                  <c:v>182</c:v>
                </c:pt>
                <c:pt idx="3195">
                  <c:v>185</c:v>
                </c:pt>
                <c:pt idx="3196">
                  <c:v>214</c:v>
                </c:pt>
                <c:pt idx="3197">
                  <c:v>187</c:v>
                </c:pt>
                <c:pt idx="3198">
                  <c:v>176</c:v>
                </c:pt>
                <c:pt idx="3199">
                  <c:v>180</c:v>
                </c:pt>
                <c:pt idx="3200">
                  <c:v>110</c:v>
                </c:pt>
                <c:pt idx="3201">
                  <c:v>312</c:v>
                </c:pt>
                <c:pt idx="3202">
                  <c:v>172</c:v>
                </c:pt>
                <c:pt idx="3203">
                  <c:v>74</c:v>
                </c:pt>
                <c:pt idx="3204">
                  <c:v>119</c:v>
                </c:pt>
                <c:pt idx="3205">
                  <c:v>264</c:v>
                </c:pt>
                <c:pt idx="3206">
                  <c:v>155</c:v>
                </c:pt>
                <c:pt idx="3207">
                  <c:v>173</c:v>
                </c:pt>
                <c:pt idx="3208">
                  <c:v>174</c:v>
                </c:pt>
                <c:pt idx="3209">
                  <c:v>276</c:v>
                </c:pt>
                <c:pt idx="3210">
                  <c:v>383</c:v>
                </c:pt>
                <c:pt idx="3211">
                  <c:v>289</c:v>
                </c:pt>
                <c:pt idx="3212">
                  <c:v>358</c:v>
                </c:pt>
                <c:pt idx="3213">
                  <c:v>170</c:v>
                </c:pt>
                <c:pt idx="3214">
                  <c:v>339</c:v>
                </c:pt>
                <c:pt idx="3215">
                  <c:v>440</c:v>
                </c:pt>
                <c:pt idx="3216">
                  <c:v>614</c:v>
                </c:pt>
                <c:pt idx="3217">
                  <c:v>252</c:v>
                </c:pt>
                <c:pt idx="3218">
                  <c:v>240</c:v>
                </c:pt>
                <c:pt idx="3219">
                  <c:v>195</c:v>
                </c:pt>
                <c:pt idx="3220">
                  <c:v>400</c:v>
                </c:pt>
                <c:pt idx="3221">
                  <c:v>342</c:v>
                </c:pt>
                <c:pt idx="3222">
                  <c:v>228</c:v>
                </c:pt>
                <c:pt idx="3223">
                  <c:v>421</c:v>
                </c:pt>
                <c:pt idx="3224">
                  <c:v>325</c:v>
                </c:pt>
                <c:pt idx="3225">
                  <c:v>402</c:v>
                </c:pt>
                <c:pt idx="3226">
                  <c:v>321</c:v>
                </c:pt>
                <c:pt idx="3227">
                  <c:v>209</c:v>
                </c:pt>
                <c:pt idx="3228">
                  <c:v>213</c:v>
                </c:pt>
                <c:pt idx="3229">
                  <c:v>255</c:v>
                </c:pt>
                <c:pt idx="3230">
                  <c:v>224</c:v>
                </c:pt>
                <c:pt idx="3231">
                  <c:v>227</c:v>
                </c:pt>
                <c:pt idx="3232">
                  <c:v>195</c:v>
                </c:pt>
                <c:pt idx="3233">
                  <c:v>209</c:v>
                </c:pt>
                <c:pt idx="3234">
                  <c:v>307</c:v>
                </c:pt>
                <c:pt idx="3235">
                  <c:v>623</c:v>
                </c:pt>
                <c:pt idx="3236">
                  <c:v>245</c:v>
                </c:pt>
                <c:pt idx="3237">
                  <c:v>333</c:v>
                </c:pt>
                <c:pt idx="3238">
                  <c:v>274</c:v>
                </c:pt>
                <c:pt idx="3239">
                  <c:v>353</c:v>
                </c:pt>
                <c:pt idx="3240">
                  <c:v>330</c:v>
                </c:pt>
                <c:pt idx="3241">
                  <c:v>194</c:v>
                </c:pt>
                <c:pt idx="3242">
                  <c:v>309</c:v>
                </c:pt>
                <c:pt idx="3243">
                  <c:v>281</c:v>
                </c:pt>
                <c:pt idx="3244">
                  <c:v>275</c:v>
                </c:pt>
                <c:pt idx="3245">
                  <c:v>218</c:v>
                </c:pt>
                <c:pt idx="3246">
                  <c:v>147</c:v>
                </c:pt>
                <c:pt idx="3247">
                  <c:v>308</c:v>
                </c:pt>
                <c:pt idx="3248">
                  <c:v>270</c:v>
                </c:pt>
                <c:pt idx="3249">
                  <c:v>313</c:v>
                </c:pt>
                <c:pt idx="3250">
                  <c:v>334</c:v>
                </c:pt>
                <c:pt idx="3251">
                  <c:v>236</c:v>
                </c:pt>
                <c:pt idx="3252">
                  <c:v>375</c:v>
                </c:pt>
                <c:pt idx="3253">
                  <c:v>353</c:v>
                </c:pt>
                <c:pt idx="3254">
                  <c:v>360</c:v>
                </c:pt>
                <c:pt idx="3255">
                  <c:v>236</c:v>
                </c:pt>
                <c:pt idx="3256">
                  <c:v>296</c:v>
                </c:pt>
                <c:pt idx="3257">
                  <c:v>155</c:v>
                </c:pt>
                <c:pt idx="3258">
                  <c:v>176</c:v>
                </c:pt>
                <c:pt idx="3259">
                  <c:v>179</c:v>
                </c:pt>
                <c:pt idx="3260">
                  <c:v>231</c:v>
                </c:pt>
                <c:pt idx="3261">
                  <c:v>262</c:v>
                </c:pt>
                <c:pt idx="3262">
                  <c:v>106</c:v>
                </c:pt>
                <c:pt idx="3263">
                  <c:v>56</c:v>
                </c:pt>
                <c:pt idx="3264">
                  <c:v>186</c:v>
                </c:pt>
                <c:pt idx="3265">
                  <c:v>259</c:v>
                </c:pt>
                <c:pt idx="3266">
                  <c:v>218</c:v>
                </c:pt>
                <c:pt idx="3267">
                  <c:v>231</c:v>
                </c:pt>
                <c:pt idx="3268">
                  <c:v>546</c:v>
                </c:pt>
                <c:pt idx="3269">
                  <c:v>294</c:v>
                </c:pt>
                <c:pt idx="3270">
                  <c:v>376</c:v>
                </c:pt>
                <c:pt idx="3271">
                  <c:v>286</c:v>
                </c:pt>
                <c:pt idx="3272">
                  <c:v>158</c:v>
                </c:pt>
                <c:pt idx="3273">
                  <c:v>392</c:v>
                </c:pt>
                <c:pt idx="3274">
                  <c:v>276</c:v>
                </c:pt>
                <c:pt idx="3275">
                  <c:v>380</c:v>
                </c:pt>
                <c:pt idx="3276">
                  <c:v>244</c:v>
                </c:pt>
                <c:pt idx="3277">
                  <c:v>202</c:v>
                </c:pt>
                <c:pt idx="3278">
                  <c:v>236</c:v>
                </c:pt>
                <c:pt idx="3279">
                  <c:v>281</c:v>
                </c:pt>
                <c:pt idx="3280">
                  <c:v>376</c:v>
                </c:pt>
                <c:pt idx="3281">
                  <c:v>258</c:v>
                </c:pt>
                <c:pt idx="3282">
                  <c:v>293</c:v>
                </c:pt>
                <c:pt idx="3283">
                  <c:v>254</c:v>
                </c:pt>
                <c:pt idx="3284">
                  <c:v>341</c:v>
                </c:pt>
                <c:pt idx="3285">
                  <c:v>294</c:v>
                </c:pt>
                <c:pt idx="3286">
                  <c:v>217</c:v>
                </c:pt>
                <c:pt idx="3287">
                  <c:v>219</c:v>
                </c:pt>
                <c:pt idx="3288">
                  <c:v>157</c:v>
                </c:pt>
                <c:pt idx="3289">
                  <c:v>220</c:v>
                </c:pt>
                <c:pt idx="3290">
                  <c:v>123</c:v>
                </c:pt>
                <c:pt idx="3291">
                  <c:v>346</c:v>
                </c:pt>
                <c:pt idx="3292">
                  <c:v>231</c:v>
                </c:pt>
                <c:pt idx="3293">
                  <c:v>306</c:v>
                </c:pt>
                <c:pt idx="3294">
                  <c:v>213</c:v>
                </c:pt>
                <c:pt idx="3295">
                  <c:v>280</c:v>
                </c:pt>
                <c:pt idx="3296">
                  <c:v>307</c:v>
                </c:pt>
                <c:pt idx="3297">
                  <c:v>304</c:v>
                </c:pt>
                <c:pt idx="3298">
                  <c:v>262</c:v>
                </c:pt>
                <c:pt idx="3299">
                  <c:v>171</c:v>
                </c:pt>
                <c:pt idx="3300">
                  <c:v>300</c:v>
                </c:pt>
                <c:pt idx="3301">
                  <c:v>188</c:v>
                </c:pt>
                <c:pt idx="3302">
                  <c:v>238</c:v>
                </c:pt>
                <c:pt idx="3303">
                  <c:v>441</c:v>
                </c:pt>
                <c:pt idx="3304">
                  <c:v>269</c:v>
                </c:pt>
                <c:pt idx="3305">
                  <c:v>502</c:v>
                </c:pt>
                <c:pt idx="3306">
                  <c:v>178</c:v>
                </c:pt>
                <c:pt idx="3307">
                  <c:v>286</c:v>
                </c:pt>
                <c:pt idx="3308">
                  <c:v>248</c:v>
                </c:pt>
                <c:pt idx="3309">
                  <c:v>194</c:v>
                </c:pt>
                <c:pt idx="3310">
                  <c:v>300</c:v>
                </c:pt>
                <c:pt idx="3311">
                  <c:v>326</c:v>
                </c:pt>
                <c:pt idx="3312">
                  <c:v>282</c:v>
                </c:pt>
                <c:pt idx="3313">
                  <c:v>219</c:v>
                </c:pt>
                <c:pt idx="3314">
                  <c:v>95</c:v>
                </c:pt>
                <c:pt idx="3315">
                  <c:v>260</c:v>
                </c:pt>
                <c:pt idx="3316">
                  <c:v>190</c:v>
                </c:pt>
                <c:pt idx="3317">
                  <c:v>215</c:v>
                </c:pt>
                <c:pt idx="3318">
                  <c:v>320</c:v>
                </c:pt>
                <c:pt idx="3319">
                  <c:v>277</c:v>
                </c:pt>
                <c:pt idx="3320">
                  <c:v>323</c:v>
                </c:pt>
                <c:pt idx="3321">
                  <c:v>296</c:v>
                </c:pt>
                <c:pt idx="3322">
                  <c:v>272</c:v>
                </c:pt>
                <c:pt idx="3323">
                  <c:v>154</c:v>
                </c:pt>
                <c:pt idx="3324">
                  <c:v>270</c:v>
                </c:pt>
                <c:pt idx="3325">
                  <c:v>259</c:v>
                </c:pt>
                <c:pt idx="3326">
                  <c:v>183</c:v>
                </c:pt>
                <c:pt idx="3327">
                  <c:v>360</c:v>
                </c:pt>
                <c:pt idx="3328">
                  <c:v>140</c:v>
                </c:pt>
                <c:pt idx="3329">
                  <c:v>176</c:v>
                </c:pt>
                <c:pt idx="3330">
                  <c:v>143</c:v>
                </c:pt>
                <c:pt idx="3331">
                  <c:v>187</c:v>
                </c:pt>
                <c:pt idx="3332">
                  <c:v>400</c:v>
                </c:pt>
                <c:pt idx="3333">
                  <c:v>118</c:v>
                </c:pt>
                <c:pt idx="3334">
                  <c:v>233</c:v>
                </c:pt>
                <c:pt idx="3335">
                  <c:v>62</c:v>
                </c:pt>
                <c:pt idx="3336">
                  <c:v>96</c:v>
                </c:pt>
                <c:pt idx="3337">
                  <c:v>243</c:v>
                </c:pt>
                <c:pt idx="3338">
                  <c:v>182</c:v>
                </c:pt>
                <c:pt idx="3339">
                  <c:v>225</c:v>
                </c:pt>
                <c:pt idx="3340">
                  <c:v>190</c:v>
                </c:pt>
                <c:pt idx="3341">
                  <c:v>125</c:v>
                </c:pt>
                <c:pt idx="3342">
                  <c:v>154</c:v>
                </c:pt>
                <c:pt idx="3343">
                  <c:v>173</c:v>
                </c:pt>
                <c:pt idx="3344">
                  <c:v>168</c:v>
                </c:pt>
                <c:pt idx="3345">
                  <c:v>189</c:v>
                </c:pt>
                <c:pt idx="3346">
                  <c:v>232</c:v>
                </c:pt>
                <c:pt idx="3347">
                  <c:v>225</c:v>
                </c:pt>
                <c:pt idx="3348">
                  <c:v>186</c:v>
                </c:pt>
                <c:pt idx="3349">
                  <c:v>100</c:v>
                </c:pt>
                <c:pt idx="3350">
                  <c:v>231</c:v>
                </c:pt>
                <c:pt idx="3351">
                  <c:v>147</c:v>
                </c:pt>
                <c:pt idx="3352">
                  <c:v>330</c:v>
                </c:pt>
                <c:pt idx="3353">
                  <c:v>281</c:v>
                </c:pt>
                <c:pt idx="3354">
                  <c:v>220</c:v>
                </c:pt>
                <c:pt idx="3355">
                  <c:v>195</c:v>
                </c:pt>
                <c:pt idx="3356">
                  <c:v>187</c:v>
                </c:pt>
                <c:pt idx="3357">
                  <c:v>210</c:v>
                </c:pt>
                <c:pt idx="3358">
                  <c:v>215</c:v>
                </c:pt>
                <c:pt idx="3359">
                  <c:v>343</c:v>
                </c:pt>
                <c:pt idx="3360">
                  <c:v>170</c:v>
                </c:pt>
                <c:pt idx="3361">
                  <c:v>263</c:v>
                </c:pt>
                <c:pt idx="3362">
                  <c:v>217</c:v>
                </c:pt>
                <c:pt idx="3363">
                  <c:v>243</c:v>
                </c:pt>
                <c:pt idx="3364">
                  <c:v>212</c:v>
                </c:pt>
                <c:pt idx="3365">
                  <c:v>459</c:v>
                </c:pt>
                <c:pt idx="3366">
                  <c:v>279</c:v>
                </c:pt>
                <c:pt idx="3367">
                  <c:v>355</c:v>
                </c:pt>
                <c:pt idx="3368">
                  <c:v>359</c:v>
                </c:pt>
                <c:pt idx="3369">
                  <c:v>266</c:v>
                </c:pt>
                <c:pt idx="3370">
                  <c:v>284</c:v>
                </c:pt>
                <c:pt idx="3371">
                  <c:v>218</c:v>
                </c:pt>
                <c:pt idx="3372">
                  <c:v>265</c:v>
                </c:pt>
                <c:pt idx="3373">
                  <c:v>409</c:v>
                </c:pt>
                <c:pt idx="3374">
                  <c:v>361</c:v>
                </c:pt>
                <c:pt idx="3375">
                  <c:v>332</c:v>
                </c:pt>
                <c:pt idx="3376">
                  <c:v>335</c:v>
                </c:pt>
                <c:pt idx="3377">
                  <c:v>215</c:v>
                </c:pt>
                <c:pt idx="3378">
                  <c:v>363</c:v>
                </c:pt>
                <c:pt idx="3379">
                  <c:v>153</c:v>
                </c:pt>
                <c:pt idx="3380">
                  <c:v>284</c:v>
                </c:pt>
                <c:pt idx="3381">
                  <c:v>367</c:v>
                </c:pt>
                <c:pt idx="3382">
                  <c:v>276</c:v>
                </c:pt>
                <c:pt idx="3383">
                  <c:v>308</c:v>
                </c:pt>
                <c:pt idx="3384">
                  <c:v>236</c:v>
                </c:pt>
                <c:pt idx="3385">
                  <c:v>374</c:v>
                </c:pt>
                <c:pt idx="3386">
                  <c:v>159</c:v>
                </c:pt>
                <c:pt idx="3387">
                  <c:v>206</c:v>
                </c:pt>
                <c:pt idx="3388">
                  <c:v>484</c:v>
                </c:pt>
                <c:pt idx="3389">
                  <c:v>2000</c:v>
                </c:pt>
                <c:pt idx="3390">
                  <c:v>2625</c:v>
                </c:pt>
                <c:pt idx="3391">
                  <c:v>2625</c:v>
                </c:pt>
                <c:pt idx="3392">
                  <c:v>2500</c:v>
                </c:pt>
                <c:pt idx="3393">
                  <c:v>2625</c:v>
                </c:pt>
                <c:pt idx="3394">
                  <c:v>2406</c:v>
                </c:pt>
                <c:pt idx="3395">
                  <c:v>1969</c:v>
                </c:pt>
                <c:pt idx="3396">
                  <c:v>2406</c:v>
                </c:pt>
                <c:pt idx="3397">
                  <c:v>2438</c:v>
                </c:pt>
                <c:pt idx="3398">
                  <c:v>2063</c:v>
                </c:pt>
                <c:pt idx="3399">
                  <c:v>2188</c:v>
                </c:pt>
                <c:pt idx="3400">
                  <c:v>1500</c:v>
                </c:pt>
                <c:pt idx="3401">
                  <c:v>1500</c:v>
                </c:pt>
                <c:pt idx="3402">
                  <c:v>1094</c:v>
                </c:pt>
                <c:pt idx="3403">
                  <c:v>1313</c:v>
                </c:pt>
                <c:pt idx="3404">
                  <c:v>2063</c:v>
                </c:pt>
                <c:pt idx="3405">
                  <c:v>1969</c:v>
                </c:pt>
                <c:pt idx="3406">
                  <c:v>1531</c:v>
                </c:pt>
                <c:pt idx="3407">
                  <c:v>1969</c:v>
                </c:pt>
                <c:pt idx="3408">
                  <c:v>1750</c:v>
                </c:pt>
                <c:pt idx="3409">
                  <c:v>1500</c:v>
                </c:pt>
                <c:pt idx="3410">
                  <c:v>1500</c:v>
                </c:pt>
                <c:pt idx="3411">
                  <c:v>1688</c:v>
                </c:pt>
                <c:pt idx="3412">
                  <c:v>1688</c:v>
                </c:pt>
                <c:pt idx="3413">
                  <c:v>1719</c:v>
                </c:pt>
                <c:pt idx="3414">
                  <c:v>2750</c:v>
                </c:pt>
                <c:pt idx="3415">
                  <c:v>1563</c:v>
                </c:pt>
                <c:pt idx="3416">
                  <c:v>1125</c:v>
                </c:pt>
                <c:pt idx="3417">
                  <c:v>2250</c:v>
                </c:pt>
                <c:pt idx="3418">
                  <c:v>2500</c:v>
                </c:pt>
                <c:pt idx="3419">
                  <c:v>2250</c:v>
                </c:pt>
                <c:pt idx="3420">
                  <c:v>2500</c:v>
                </c:pt>
                <c:pt idx="3421">
                  <c:v>2063</c:v>
                </c:pt>
                <c:pt idx="3422">
                  <c:v>1750</c:v>
                </c:pt>
                <c:pt idx="3423">
                  <c:v>2188</c:v>
                </c:pt>
                <c:pt idx="3424">
                  <c:v>2000</c:v>
                </c:pt>
                <c:pt idx="3425">
                  <c:v>1000</c:v>
                </c:pt>
                <c:pt idx="3426">
                  <c:v>875</c:v>
                </c:pt>
                <c:pt idx="3427">
                  <c:v>1313</c:v>
                </c:pt>
                <c:pt idx="3428">
                  <c:v>2188</c:v>
                </c:pt>
                <c:pt idx="3429">
                  <c:v>2406</c:v>
                </c:pt>
                <c:pt idx="3430">
                  <c:v>1688</c:v>
                </c:pt>
                <c:pt idx="3431">
                  <c:v>2406</c:v>
                </c:pt>
                <c:pt idx="3432">
                  <c:v>1125</c:v>
                </c:pt>
                <c:pt idx="3433">
                  <c:v>1750</c:v>
                </c:pt>
                <c:pt idx="3434">
                  <c:v>2188</c:v>
                </c:pt>
                <c:pt idx="3435">
                  <c:v>1500</c:v>
                </c:pt>
                <c:pt idx="3436">
                  <c:v>2188</c:v>
                </c:pt>
                <c:pt idx="3437">
                  <c:v>3750</c:v>
                </c:pt>
                <c:pt idx="3438">
                  <c:v>1313</c:v>
                </c:pt>
                <c:pt idx="3439">
                  <c:v>1313</c:v>
                </c:pt>
                <c:pt idx="3440">
                  <c:v>2813</c:v>
                </c:pt>
                <c:pt idx="3441">
                  <c:v>1875</c:v>
                </c:pt>
                <c:pt idx="3442">
                  <c:v>938</c:v>
                </c:pt>
                <c:pt idx="3443">
                  <c:v>2188</c:v>
                </c:pt>
                <c:pt idx="3444">
                  <c:v>1313</c:v>
                </c:pt>
                <c:pt idx="3445">
                  <c:v>1313</c:v>
                </c:pt>
                <c:pt idx="3446">
                  <c:v>2813</c:v>
                </c:pt>
                <c:pt idx="3447">
                  <c:v>1313</c:v>
                </c:pt>
                <c:pt idx="3448">
                  <c:v>875</c:v>
                </c:pt>
                <c:pt idx="3449">
                  <c:v>875</c:v>
                </c:pt>
                <c:pt idx="3450">
                  <c:v>1688</c:v>
                </c:pt>
                <c:pt idx="3451">
                  <c:v>1531</c:v>
                </c:pt>
                <c:pt idx="3452">
                  <c:v>1688</c:v>
                </c:pt>
                <c:pt idx="3453">
                  <c:v>1531</c:v>
                </c:pt>
                <c:pt idx="3454">
                  <c:v>1094</c:v>
                </c:pt>
                <c:pt idx="3455">
                  <c:v>1875</c:v>
                </c:pt>
                <c:pt idx="3456">
                  <c:v>1875</c:v>
                </c:pt>
                <c:pt idx="3457">
                  <c:v>1750</c:v>
                </c:pt>
                <c:pt idx="3458">
                  <c:v>2250</c:v>
                </c:pt>
                <c:pt idx="3459">
                  <c:v>1750</c:v>
                </c:pt>
                <c:pt idx="3460">
                  <c:v>1500</c:v>
                </c:pt>
                <c:pt idx="3461">
                  <c:v>1688</c:v>
                </c:pt>
                <c:pt idx="3462">
                  <c:v>2500</c:v>
                </c:pt>
                <c:pt idx="3463">
                  <c:v>2250</c:v>
                </c:pt>
                <c:pt idx="3464">
                  <c:v>1313</c:v>
                </c:pt>
                <c:pt idx="3465">
                  <c:v>1313</c:v>
                </c:pt>
                <c:pt idx="3466">
                  <c:v>1875</c:v>
                </c:pt>
                <c:pt idx="3467">
                  <c:v>1688</c:v>
                </c:pt>
                <c:pt idx="3468">
                  <c:v>1531</c:v>
                </c:pt>
                <c:pt idx="3469">
                  <c:v>1688</c:v>
                </c:pt>
                <c:pt idx="3470">
                  <c:v>1531</c:v>
                </c:pt>
                <c:pt idx="3471">
                  <c:v>1250</c:v>
                </c:pt>
                <c:pt idx="3472">
                  <c:v>1875</c:v>
                </c:pt>
                <c:pt idx="3473">
                  <c:v>2000</c:v>
                </c:pt>
                <c:pt idx="3474">
                  <c:v>1094</c:v>
                </c:pt>
                <c:pt idx="3475">
                  <c:v>1563</c:v>
                </c:pt>
                <c:pt idx="3476">
                  <c:v>1406</c:v>
                </c:pt>
                <c:pt idx="3477">
                  <c:v>1719</c:v>
                </c:pt>
                <c:pt idx="3478">
                  <c:v>1719</c:v>
                </c:pt>
                <c:pt idx="3479">
                  <c:v>1750</c:v>
                </c:pt>
                <c:pt idx="3480">
                  <c:v>214</c:v>
                </c:pt>
                <c:pt idx="3481">
                  <c:v>205</c:v>
                </c:pt>
                <c:pt idx="3482">
                  <c:v>388</c:v>
                </c:pt>
                <c:pt idx="3483">
                  <c:v>413</c:v>
                </c:pt>
                <c:pt idx="3484">
                  <c:v>354</c:v>
                </c:pt>
                <c:pt idx="3485">
                  <c:v>178</c:v>
                </c:pt>
                <c:pt idx="3486">
                  <c:v>309</c:v>
                </c:pt>
                <c:pt idx="3487">
                  <c:v>375</c:v>
                </c:pt>
                <c:pt idx="3488">
                  <c:v>268</c:v>
                </c:pt>
                <c:pt idx="3489">
                  <c:v>258</c:v>
                </c:pt>
                <c:pt idx="3490">
                  <c:v>242</c:v>
                </c:pt>
                <c:pt idx="3491">
                  <c:v>265</c:v>
                </c:pt>
                <c:pt idx="3492">
                  <c:v>320</c:v>
                </c:pt>
                <c:pt idx="3493">
                  <c:v>293</c:v>
                </c:pt>
                <c:pt idx="3494">
                  <c:v>300</c:v>
                </c:pt>
                <c:pt idx="3495">
                  <c:v>180</c:v>
                </c:pt>
                <c:pt idx="3496">
                  <c:v>217</c:v>
                </c:pt>
                <c:pt idx="3497">
                  <c:v>203</c:v>
                </c:pt>
                <c:pt idx="3498">
                  <c:v>158</c:v>
                </c:pt>
                <c:pt idx="3499">
                  <c:v>208</c:v>
                </c:pt>
                <c:pt idx="3500">
                  <c:v>212</c:v>
                </c:pt>
                <c:pt idx="3501">
                  <c:v>294</c:v>
                </c:pt>
                <c:pt idx="3502">
                  <c:v>242</c:v>
                </c:pt>
                <c:pt idx="3503">
                  <c:v>351</c:v>
                </c:pt>
                <c:pt idx="3504">
                  <c:v>397</c:v>
                </c:pt>
                <c:pt idx="3505">
                  <c:v>284</c:v>
                </c:pt>
                <c:pt idx="3506">
                  <c:v>573</c:v>
                </c:pt>
                <c:pt idx="3507">
                  <c:v>373</c:v>
                </c:pt>
                <c:pt idx="3508">
                  <c:v>248</c:v>
                </c:pt>
                <c:pt idx="3509">
                  <c:v>310</c:v>
                </c:pt>
                <c:pt idx="3510">
                  <c:v>365</c:v>
                </c:pt>
                <c:pt idx="3511">
                  <c:v>191</c:v>
                </c:pt>
                <c:pt idx="3512">
                  <c:v>238</c:v>
                </c:pt>
                <c:pt idx="3513">
                  <c:v>258</c:v>
                </c:pt>
                <c:pt idx="3514">
                  <c:v>358</c:v>
                </c:pt>
                <c:pt idx="3515">
                  <c:v>286</c:v>
                </c:pt>
                <c:pt idx="3516">
                  <c:v>291</c:v>
                </c:pt>
                <c:pt idx="3517">
                  <c:v>310</c:v>
                </c:pt>
                <c:pt idx="3518">
                  <c:v>124</c:v>
                </c:pt>
                <c:pt idx="3519">
                  <c:v>342</c:v>
                </c:pt>
                <c:pt idx="3520">
                  <c:v>291</c:v>
                </c:pt>
                <c:pt idx="3521">
                  <c:v>387</c:v>
                </c:pt>
                <c:pt idx="3522">
                  <c:v>332</c:v>
                </c:pt>
                <c:pt idx="3523">
                  <c:v>282</c:v>
                </c:pt>
                <c:pt idx="3524">
                  <c:v>167</c:v>
                </c:pt>
                <c:pt idx="3525">
                  <c:v>131</c:v>
                </c:pt>
                <c:pt idx="3526">
                  <c:v>123</c:v>
                </c:pt>
                <c:pt idx="3527">
                  <c:v>212</c:v>
                </c:pt>
                <c:pt idx="3528">
                  <c:v>315</c:v>
                </c:pt>
                <c:pt idx="3529">
                  <c:v>262</c:v>
                </c:pt>
                <c:pt idx="3530">
                  <c:v>403</c:v>
                </c:pt>
                <c:pt idx="3531">
                  <c:v>348</c:v>
                </c:pt>
                <c:pt idx="3532">
                  <c:v>322</c:v>
                </c:pt>
                <c:pt idx="3533">
                  <c:v>237</c:v>
                </c:pt>
                <c:pt idx="3534">
                  <c:v>112</c:v>
                </c:pt>
                <c:pt idx="3535">
                  <c:v>279</c:v>
                </c:pt>
                <c:pt idx="3536">
                  <c:v>309</c:v>
                </c:pt>
                <c:pt idx="3537">
                  <c:v>357</c:v>
                </c:pt>
                <c:pt idx="3538">
                  <c:v>167</c:v>
                </c:pt>
                <c:pt idx="3539">
                  <c:v>126</c:v>
                </c:pt>
                <c:pt idx="3540">
                  <c:v>187</c:v>
                </c:pt>
                <c:pt idx="3541">
                  <c:v>174</c:v>
                </c:pt>
                <c:pt idx="3542">
                  <c:v>209</c:v>
                </c:pt>
                <c:pt idx="3543">
                  <c:v>169</c:v>
                </c:pt>
                <c:pt idx="3544">
                  <c:v>82</c:v>
                </c:pt>
                <c:pt idx="3545">
                  <c:v>78</c:v>
                </c:pt>
                <c:pt idx="3546">
                  <c:v>137</c:v>
                </c:pt>
                <c:pt idx="3547">
                  <c:v>169</c:v>
                </c:pt>
                <c:pt idx="3548">
                  <c:v>165</c:v>
                </c:pt>
                <c:pt idx="3549">
                  <c:v>133</c:v>
                </c:pt>
                <c:pt idx="3550">
                  <c:v>164</c:v>
                </c:pt>
                <c:pt idx="3551">
                  <c:v>146</c:v>
                </c:pt>
                <c:pt idx="3552">
                  <c:v>191</c:v>
                </c:pt>
                <c:pt idx="3553">
                  <c:v>151</c:v>
                </c:pt>
                <c:pt idx="3554">
                  <c:v>160</c:v>
                </c:pt>
                <c:pt idx="3555">
                  <c:v>207</c:v>
                </c:pt>
                <c:pt idx="3556">
                  <c:v>154</c:v>
                </c:pt>
                <c:pt idx="3557">
                  <c:v>184</c:v>
                </c:pt>
                <c:pt idx="3558">
                  <c:v>204</c:v>
                </c:pt>
                <c:pt idx="3559">
                  <c:v>61</c:v>
                </c:pt>
                <c:pt idx="3560">
                  <c:v>156</c:v>
                </c:pt>
                <c:pt idx="3561">
                  <c:v>158</c:v>
                </c:pt>
                <c:pt idx="3562">
                  <c:v>228</c:v>
                </c:pt>
                <c:pt idx="3563">
                  <c:v>85</c:v>
                </c:pt>
                <c:pt idx="3564">
                  <c:v>100</c:v>
                </c:pt>
                <c:pt idx="3565">
                  <c:v>221</c:v>
                </c:pt>
                <c:pt idx="3566">
                  <c:v>207</c:v>
                </c:pt>
                <c:pt idx="3567">
                  <c:v>179</c:v>
                </c:pt>
                <c:pt idx="3568">
                  <c:v>172</c:v>
                </c:pt>
                <c:pt idx="3569">
                  <c:v>154</c:v>
                </c:pt>
                <c:pt idx="3570">
                  <c:v>234</c:v>
                </c:pt>
                <c:pt idx="3571">
                  <c:v>175</c:v>
                </c:pt>
                <c:pt idx="3572">
                  <c:v>232</c:v>
                </c:pt>
                <c:pt idx="3573">
                  <c:v>259</c:v>
                </c:pt>
                <c:pt idx="3574">
                  <c:v>363</c:v>
                </c:pt>
                <c:pt idx="3575">
                  <c:v>401</c:v>
                </c:pt>
                <c:pt idx="3576">
                  <c:v>279</c:v>
                </c:pt>
                <c:pt idx="3577">
                  <c:v>246</c:v>
                </c:pt>
                <c:pt idx="3578">
                  <c:v>207</c:v>
                </c:pt>
                <c:pt idx="3579">
                  <c:v>227</c:v>
                </c:pt>
                <c:pt idx="3580">
                  <c:v>189</c:v>
                </c:pt>
                <c:pt idx="3581">
                  <c:v>205</c:v>
                </c:pt>
                <c:pt idx="3582">
                  <c:v>168</c:v>
                </c:pt>
                <c:pt idx="3583">
                  <c:v>105</c:v>
                </c:pt>
                <c:pt idx="3584">
                  <c:v>225</c:v>
                </c:pt>
                <c:pt idx="3585">
                  <c:v>313</c:v>
                </c:pt>
                <c:pt idx="3586">
                  <c:v>254</c:v>
                </c:pt>
                <c:pt idx="3587">
                  <c:v>283</c:v>
                </c:pt>
                <c:pt idx="3588">
                  <c:v>320</c:v>
                </c:pt>
                <c:pt idx="3589">
                  <c:v>185</c:v>
                </c:pt>
                <c:pt idx="3590">
                  <c:v>257</c:v>
                </c:pt>
                <c:pt idx="3591">
                  <c:v>307</c:v>
                </c:pt>
                <c:pt idx="3592">
                  <c:v>183</c:v>
                </c:pt>
                <c:pt idx="3593">
                  <c:v>117</c:v>
                </c:pt>
                <c:pt idx="3594">
                  <c:v>393</c:v>
                </c:pt>
                <c:pt idx="3595">
                  <c:v>418</c:v>
                </c:pt>
                <c:pt idx="3596">
                  <c:v>257</c:v>
                </c:pt>
                <c:pt idx="3597">
                  <c:v>400</c:v>
                </c:pt>
                <c:pt idx="3598">
                  <c:v>338</c:v>
                </c:pt>
                <c:pt idx="3599">
                  <c:v>351</c:v>
                </c:pt>
                <c:pt idx="3600">
                  <c:v>217</c:v>
                </c:pt>
                <c:pt idx="3601">
                  <c:v>179</c:v>
                </c:pt>
                <c:pt idx="3602">
                  <c:v>125</c:v>
                </c:pt>
                <c:pt idx="3603">
                  <c:v>131</c:v>
                </c:pt>
                <c:pt idx="3604">
                  <c:v>143</c:v>
                </c:pt>
                <c:pt idx="3605">
                  <c:v>150</c:v>
                </c:pt>
                <c:pt idx="3606">
                  <c:v>127</c:v>
                </c:pt>
                <c:pt idx="3607">
                  <c:v>187</c:v>
                </c:pt>
                <c:pt idx="3608">
                  <c:v>177</c:v>
                </c:pt>
                <c:pt idx="3609">
                  <c:v>120</c:v>
                </c:pt>
                <c:pt idx="3610">
                  <c:v>191</c:v>
                </c:pt>
                <c:pt idx="3611">
                  <c:v>150</c:v>
                </c:pt>
                <c:pt idx="3612">
                  <c:v>122</c:v>
                </c:pt>
                <c:pt idx="3613">
                  <c:v>64</c:v>
                </c:pt>
                <c:pt idx="3614">
                  <c:v>120</c:v>
                </c:pt>
                <c:pt idx="3615">
                  <c:v>207</c:v>
                </c:pt>
                <c:pt idx="3616">
                  <c:v>228</c:v>
                </c:pt>
                <c:pt idx="3617">
                  <c:v>305</c:v>
                </c:pt>
                <c:pt idx="3618">
                  <c:v>354</c:v>
                </c:pt>
                <c:pt idx="3619">
                  <c:v>199</c:v>
                </c:pt>
                <c:pt idx="3620">
                  <c:v>224</c:v>
                </c:pt>
                <c:pt idx="3621">
                  <c:v>299</c:v>
                </c:pt>
                <c:pt idx="3622">
                  <c:v>288</c:v>
                </c:pt>
                <c:pt idx="3623">
                  <c:v>187</c:v>
                </c:pt>
                <c:pt idx="3624">
                  <c:v>250</c:v>
                </c:pt>
                <c:pt idx="3625">
                  <c:v>217</c:v>
                </c:pt>
                <c:pt idx="3626">
                  <c:v>310</c:v>
                </c:pt>
                <c:pt idx="3627">
                  <c:v>273</c:v>
                </c:pt>
                <c:pt idx="3628">
                  <c:v>126</c:v>
                </c:pt>
                <c:pt idx="3629">
                  <c:v>253</c:v>
                </c:pt>
                <c:pt idx="3630">
                  <c:v>286</c:v>
                </c:pt>
                <c:pt idx="3631">
                  <c:v>240</c:v>
                </c:pt>
                <c:pt idx="3632">
                  <c:v>402</c:v>
                </c:pt>
                <c:pt idx="3633">
                  <c:v>230</c:v>
                </c:pt>
                <c:pt idx="3634">
                  <c:v>187</c:v>
                </c:pt>
                <c:pt idx="3635">
                  <c:v>253</c:v>
                </c:pt>
                <c:pt idx="3636">
                  <c:v>146</c:v>
                </c:pt>
                <c:pt idx="3637">
                  <c:v>132</c:v>
                </c:pt>
                <c:pt idx="3638">
                  <c:v>90</c:v>
                </c:pt>
                <c:pt idx="3639">
                  <c:v>456</c:v>
                </c:pt>
                <c:pt idx="3640">
                  <c:v>348</c:v>
                </c:pt>
                <c:pt idx="3641">
                  <c:v>299</c:v>
                </c:pt>
                <c:pt idx="3642">
                  <c:v>395</c:v>
                </c:pt>
                <c:pt idx="3643">
                  <c:v>412</c:v>
                </c:pt>
                <c:pt idx="3644">
                  <c:v>240</c:v>
                </c:pt>
                <c:pt idx="3645">
                  <c:v>388</c:v>
                </c:pt>
                <c:pt idx="3646">
                  <c:v>490</c:v>
                </c:pt>
                <c:pt idx="3647">
                  <c:v>613</c:v>
                </c:pt>
                <c:pt idx="3648">
                  <c:v>346</c:v>
                </c:pt>
                <c:pt idx="3649">
                  <c:v>278</c:v>
                </c:pt>
                <c:pt idx="3650">
                  <c:v>203</c:v>
                </c:pt>
                <c:pt idx="3651">
                  <c:v>317</c:v>
                </c:pt>
                <c:pt idx="3652">
                  <c:v>464</c:v>
                </c:pt>
                <c:pt idx="3653">
                  <c:v>288</c:v>
                </c:pt>
                <c:pt idx="3654">
                  <c:v>229</c:v>
                </c:pt>
                <c:pt idx="3655">
                  <c:v>318</c:v>
                </c:pt>
                <c:pt idx="3656">
                  <c:v>330</c:v>
                </c:pt>
                <c:pt idx="3657">
                  <c:v>325</c:v>
                </c:pt>
                <c:pt idx="3658">
                  <c:v>270</c:v>
                </c:pt>
                <c:pt idx="3659">
                  <c:v>232</c:v>
                </c:pt>
                <c:pt idx="3660">
                  <c:v>212</c:v>
                </c:pt>
                <c:pt idx="3661">
                  <c:v>177</c:v>
                </c:pt>
                <c:pt idx="3662">
                  <c:v>180</c:v>
                </c:pt>
                <c:pt idx="3663">
                  <c:v>343</c:v>
                </c:pt>
                <c:pt idx="3664">
                  <c:v>184</c:v>
                </c:pt>
                <c:pt idx="3665">
                  <c:v>256</c:v>
                </c:pt>
                <c:pt idx="3666">
                  <c:v>226</c:v>
                </c:pt>
                <c:pt idx="3667">
                  <c:v>282</c:v>
                </c:pt>
                <c:pt idx="3668">
                  <c:v>307</c:v>
                </c:pt>
                <c:pt idx="3669">
                  <c:v>300</c:v>
                </c:pt>
                <c:pt idx="3670">
                  <c:v>279</c:v>
                </c:pt>
                <c:pt idx="3671">
                  <c:v>330</c:v>
                </c:pt>
                <c:pt idx="3672">
                  <c:v>84</c:v>
                </c:pt>
                <c:pt idx="3673">
                  <c:v>349</c:v>
                </c:pt>
                <c:pt idx="3674">
                  <c:v>354</c:v>
                </c:pt>
                <c:pt idx="3675">
                  <c:v>294</c:v>
                </c:pt>
                <c:pt idx="3676">
                  <c:v>372</c:v>
                </c:pt>
                <c:pt idx="3677">
                  <c:v>259</c:v>
                </c:pt>
                <c:pt idx="3678">
                  <c:v>368</c:v>
                </c:pt>
                <c:pt idx="3679">
                  <c:v>300</c:v>
                </c:pt>
                <c:pt idx="3680">
                  <c:v>308</c:v>
                </c:pt>
                <c:pt idx="3681">
                  <c:v>374</c:v>
                </c:pt>
                <c:pt idx="3682">
                  <c:v>254</c:v>
                </c:pt>
                <c:pt idx="3683">
                  <c:v>181</c:v>
                </c:pt>
                <c:pt idx="3684">
                  <c:v>140</c:v>
                </c:pt>
                <c:pt idx="3685">
                  <c:v>201</c:v>
                </c:pt>
                <c:pt idx="3686">
                  <c:v>206</c:v>
                </c:pt>
                <c:pt idx="3687">
                  <c:v>168</c:v>
                </c:pt>
                <c:pt idx="3688">
                  <c:v>141</c:v>
                </c:pt>
                <c:pt idx="3689">
                  <c:v>141</c:v>
                </c:pt>
                <c:pt idx="3690">
                  <c:v>201</c:v>
                </c:pt>
                <c:pt idx="3691">
                  <c:v>211</c:v>
                </c:pt>
                <c:pt idx="3692">
                  <c:v>202</c:v>
                </c:pt>
                <c:pt idx="3693">
                  <c:v>160</c:v>
                </c:pt>
                <c:pt idx="3694">
                  <c:v>143</c:v>
                </c:pt>
                <c:pt idx="3695">
                  <c:v>217</c:v>
                </c:pt>
                <c:pt idx="3696">
                  <c:v>163</c:v>
                </c:pt>
                <c:pt idx="3697">
                  <c:v>138</c:v>
                </c:pt>
                <c:pt idx="3698">
                  <c:v>193</c:v>
                </c:pt>
                <c:pt idx="3699">
                  <c:v>201</c:v>
                </c:pt>
                <c:pt idx="3700">
                  <c:v>86</c:v>
                </c:pt>
                <c:pt idx="3701">
                  <c:v>107</c:v>
                </c:pt>
                <c:pt idx="3702">
                  <c:v>127</c:v>
                </c:pt>
                <c:pt idx="3703">
                  <c:v>181</c:v>
                </c:pt>
                <c:pt idx="3704">
                  <c:v>192</c:v>
                </c:pt>
                <c:pt idx="3705">
                  <c:v>231</c:v>
                </c:pt>
                <c:pt idx="3706">
                  <c:v>197</c:v>
                </c:pt>
                <c:pt idx="3707">
                  <c:v>206</c:v>
                </c:pt>
                <c:pt idx="3708">
                  <c:v>259</c:v>
                </c:pt>
                <c:pt idx="3709">
                  <c:v>264</c:v>
                </c:pt>
                <c:pt idx="3710">
                  <c:v>300</c:v>
                </c:pt>
                <c:pt idx="3711">
                  <c:v>385</c:v>
                </c:pt>
                <c:pt idx="3712">
                  <c:v>174</c:v>
                </c:pt>
                <c:pt idx="3713">
                  <c:v>335</c:v>
                </c:pt>
                <c:pt idx="3714">
                  <c:v>259</c:v>
                </c:pt>
                <c:pt idx="3715">
                  <c:v>330</c:v>
                </c:pt>
                <c:pt idx="3716">
                  <c:v>221</c:v>
                </c:pt>
                <c:pt idx="3717">
                  <c:v>288</c:v>
                </c:pt>
                <c:pt idx="3718">
                  <c:v>189</c:v>
                </c:pt>
                <c:pt idx="3719">
                  <c:v>255</c:v>
                </c:pt>
                <c:pt idx="3720">
                  <c:v>190</c:v>
                </c:pt>
                <c:pt idx="3721">
                  <c:v>206</c:v>
                </c:pt>
                <c:pt idx="3722">
                  <c:v>98</c:v>
                </c:pt>
                <c:pt idx="3723">
                  <c:v>389</c:v>
                </c:pt>
                <c:pt idx="3724">
                  <c:v>316</c:v>
                </c:pt>
                <c:pt idx="3725">
                  <c:v>185</c:v>
                </c:pt>
                <c:pt idx="3726">
                  <c:v>224</c:v>
                </c:pt>
                <c:pt idx="3727">
                  <c:v>182</c:v>
                </c:pt>
                <c:pt idx="3728">
                  <c:v>372</c:v>
                </c:pt>
                <c:pt idx="3729">
                  <c:v>445</c:v>
                </c:pt>
                <c:pt idx="3730">
                  <c:v>133</c:v>
                </c:pt>
                <c:pt idx="3731">
                  <c:v>166</c:v>
                </c:pt>
                <c:pt idx="3732">
                  <c:v>247</c:v>
                </c:pt>
                <c:pt idx="3733">
                  <c:v>343</c:v>
                </c:pt>
                <c:pt idx="3734">
                  <c:v>283</c:v>
                </c:pt>
                <c:pt idx="3735">
                  <c:v>268</c:v>
                </c:pt>
                <c:pt idx="3736">
                  <c:v>212</c:v>
                </c:pt>
                <c:pt idx="3737">
                  <c:v>321</c:v>
                </c:pt>
                <c:pt idx="3738">
                  <c:v>186</c:v>
                </c:pt>
                <c:pt idx="3739">
                  <c:v>311</c:v>
                </c:pt>
                <c:pt idx="3740">
                  <c:v>292</c:v>
                </c:pt>
                <c:pt idx="3741">
                  <c:v>220</c:v>
                </c:pt>
                <c:pt idx="3742">
                  <c:v>252</c:v>
                </c:pt>
                <c:pt idx="3743">
                  <c:v>290</c:v>
                </c:pt>
                <c:pt idx="3744">
                  <c:v>198</c:v>
                </c:pt>
                <c:pt idx="3745">
                  <c:v>404</c:v>
                </c:pt>
                <c:pt idx="3746">
                  <c:v>169</c:v>
                </c:pt>
                <c:pt idx="3747">
                  <c:v>296</c:v>
                </c:pt>
                <c:pt idx="3748">
                  <c:v>133</c:v>
                </c:pt>
                <c:pt idx="3749">
                  <c:v>195</c:v>
                </c:pt>
                <c:pt idx="3750">
                  <c:v>181</c:v>
                </c:pt>
                <c:pt idx="3751">
                  <c:v>135</c:v>
                </c:pt>
                <c:pt idx="3752">
                  <c:v>181</c:v>
                </c:pt>
                <c:pt idx="3753">
                  <c:v>213</c:v>
                </c:pt>
                <c:pt idx="3754">
                  <c:v>110</c:v>
                </c:pt>
                <c:pt idx="3755">
                  <c:v>141</c:v>
                </c:pt>
                <c:pt idx="3756">
                  <c:v>129</c:v>
                </c:pt>
                <c:pt idx="3757">
                  <c:v>75</c:v>
                </c:pt>
                <c:pt idx="3758">
                  <c:v>230</c:v>
                </c:pt>
                <c:pt idx="3759">
                  <c:v>207</c:v>
                </c:pt>
                <c:pt idx="3760">
                  <c:v>280</c:v>
                </c:pt>
                <c:pt idx="3761">
                  <c:v>301</c:v>
                </c:pt>
                <c:pt idx="3762">
                  <c:v>190</c:v>
                </c:pt>
                <c:pt idx="3763">
                  <c:v>259</c:v>
                </c:pt>
                <c:pt idx="3764">
                  <c:v>315</c:v>
                </c:pt>
                <c:pt idx="3765">
                  <c:v>333</c:v>
                </c:pt>
                <c:pt idx="3766">
                  <c:v>173</c:v>
                </c:pt>
                <c:pt idx="3767">
                  <c:v>347</c:v>
                </c:pt>
                <c:pt idx="3768">
                  <c:v>275</c:v>
                </c:pt>
                <c:pt idx="3769">
                  <c:v>287</c:v>
                </c:pt>
                <c:pt idx="3770">
                  <c:v>183</c:v>
                </c:pt>
                <c:pt idx="3771">
                  <c:v>222</c:v>
                </c:pt>
                <c:pt idx="3772">
                  <c:v>201</c:v>
                </c:pt>
                <c:pt idx="3773">
                  <c:v>153</c:v>
                </c:pt>
                <c:pt idx="3774">
                  <c:v>614</c:v>
                </c:pt>
                <c:pt idx="3775">
                  <c:v>262</c:v>
                </c:pt>
                <c:pt idx="3776">
                  <c:v>303</c:v>
                </c:pt>
                <c:pt idx="3777">
                  <c:v>164</c:v>
                </c:pt>
                <c:pt idx="3778">
                  <c:v>252</c:v>
                </c:pt>
                <c:pt idx="3779">
                  <c:v>95</c:v>
                </c:pt>
                <c:pt idx="3780">
                  <c:v>335</c:v>
                </c:pt>
                <c:pt idx="3781">
                  <c:v>84</c:v>
                </c:pt>
                <c:pt idx="3782">
                  <c:v>453</c:v>
                </c:pt>
                <c:pt idx="3783">
                  <c:v>263</c:v>
                </c:pt>
                <c:pt idx="3784">
                  <c:v>333</c:v>
                </c:pt>
                <c:pt idx="3785">
                  <c:v>268</c:v>
                </c:pt>
                <c:pt idx="3786">
                  <c:v>200</c:v>
                </c:pt>
                <c:pt idx="3787">
                  <c:v>377</c:v>
                </c:pt>
                <c:pt idx="3788">
                  <c:v>422</c:v>
                </c:pt>
                <c:pt idx="3789">
                  <c:v>424</c:v>
                </c:pt>
                <c:pt idx="3790">
                  <c:v>212</c:v>
                </c:pt>
                <c:pt idx="3791">
                  <c:v>162</c:v>
                </c:pt>
                <c:pt idx="3792">
                  <c:v>417</c:v>
                </c:pt>
                <c:pt idx="3793">
                  <c:v>116</c:v>
                </c:pt>
                <c:pt idx="3794">
                  <c:v>290</c:v>
                </c:pt>
                <c:pt idx="3795">
                  <c:v>334</c:v>
                </c:pt>
                <c:pt idx="3796">
                  <c:v>226</c:v>
                </c:pt>
                <c:pt idx="3797">
                  <c:v>262</c:v>
                </c:pt>
                <c:pt idx="3798">
                  <c:v>262</c:v>
                </c:pt>
                <c:pt idx="3799">
                  <c:v>271</c:v>
                </c:pt>
                <c:pt idx="3800">
                  <c:v>198</c:v>
                </c:pt>
                <c:pt idx="3801">
                  <c:v>168</c:v>
                </c:pt>
                <c:pt idx="3802">
                  <c:v>220</c:v>
                </c:pt>
                <c:pt idx="3803">
                  <c:v>243</c:v>
                </c:pt>
                <c:pt idx="3804">
                  <c:v>357</c:v>
                </c:pt>
                <c:pt idx="3805">
                  <c:v>249</c:v>
                </c:pt>
                <c:pt idx="3806">
                  <c:v>402</c:v>
                </c:pt>
                <c:pt idx="3807">
                  <c:v>281</c:v>
                </c:pt>
                <c:pt idx="3808">
                  <c:v>319</c:v>
                </c:pt>
                <c:pt idx="3809">
                  <c:v>308</c:v>
                </c:pt>
                <c:pt idx="3810">
                  <c:v>371</c:v>
                </c:pt>
                <c:pt idx="3811">
                  <c:v>197</c:v>
                </c:pt>
                <c:pt idx="3812">
                  <c:v>186</c:v>
                </c:pt>
                <c:pt idx="3813">
                  <c:v>224</c:v>
                </c:pt>
                <c:pt idx="3814">
                  <c:v>166</c:v>
                </c:pt>
                <c:pt idx="3815">
                  <c:v>257</c:v>
                </c:pt>
                <c:pt idx="3816">
                  <c:v>267</c:v>
                </c:pt>
                <c:pt idx="3817">
                  <c:v>252</c:v>
                </c:pt>
                <c:pt idx="3818">
                  <c:v>307</c:v>
                </c:pt>
                <c:pt idx="3819">
                  <c:v>290</c:v>
                </c:pt>
                <c:pt idx="3820">
                  <c:v>363</c:v>
                </c:pt>
                <c:pt idx="3821">
                  <c:v>425</c:v>
                </c:pt>
                <c:pt idx="3822">
                  <c:v>209</c:v>
                </c:pt>
                <c:pt idx="3823">
                  <c:v>155</c:v>
                </c:pt>
                <c:pt idx="3824">
                  <c:v>163</c:v>
                </c:pt>
                <c:pt idx="3825">
                  <c:v>104</c:v>
                </c:pt>
                <c:pt idx="3826">
                  <c:v>195</c:v>
                </c:pt>
                <c:pt idx="3827">
                  <c:v>120</c:v>
                </c:pt>
                <c:pt idx="3828">
                  <c:v>132</c:v>
                </c:pt>
                <c:pt idx="3829">
                  <c:v>114</c:v>
                </c:pt>
                <c:pt idx="3830">
                  <c:v>215</c:v>
                </c:pt>
                <c:pt idx="3831">
                  <c:v>97</c:v>
                </c:pt>
                <c:pt idx="3832">
                  <c:v>194</c:v>
                </c:pt>
                <c:pt idx="3833">
                  <c:v>175</c:v>
                </c:pt>
                <c:pt idx="3834">
                  <c:v>161</c:v>
                </c:pt>
                <c:pt idx="3835">
                  <c:v>182</c:v>
                </c:pt>
                <c:pt idx="3836">
                  <c:v>93</c:v>
                </c:pt>
                <c:pt idx="3837">
                  <c:v>128</c:v>
                </c:pt>
                <c:pt idx="3838">
                  <c:v>136</c:v>
                </c:pt>
                <c:pt idx="3839">
                  <c:v>167</c:v>
                </c:pt>
                <c:pt idx="3840">
                  <c:v>54</c:v>
                </c:pt>
                <c:pt idx="3841">
                  <c:v>172</c:v>
                </c:pt>
                <c:pt idx="3842">
                  <c:v>205</c:v>
                </c:pt>
                <c:pt idx="3843">
                  <c:v>56</c:v>
                </c:pt>
                <c:pt idx="3844">
                  <c:v>235</c:v>
                </c:pt>
                <c:pt idx="3845">
                  <c:v>165</c:v>
                </c:pt>
                <c:pt idx="3846">
                  <c:v>154</c:v>
                </c:pt>
                <c:pt idx="3847">
                  <c:v>209</c:v>
                </c:pt>
                <c:pt idx="3848">
                  <c:v>199</c:v>
                </c:pt>
                <c:pt idx="3849">
                  <c:v>354</c:v>
                </c:pt>
                <c:pt idx="3850">
                  <c:v>206</c:v>
                </c:pt>
                <c:pt idx="3851">
                  <c:v>524</c:v>
                </c:pt>
                <c:pt idx="3852">
                  <c:v>240</c:v>
                </c:pt>
                <c:pt idx="3853">
                  <c:v>276</c:v>
                </c:pt>
                <c:pt idx="3854">
                  <c:v>391</c:v>
                </c:pt>
                <c:pt idx="3855">
                  <c:v>193</c:v>
                </c:pt>
                <c:pt idx="3856">
                  <c:v>188</c:v>
                </c:pt>
                <c:pt idx="3857">
                  <c:v>292</c:v>
                </c:pt>
                <c:pt idx="3858">
                  <c:v>72</c:v>
                </c:pt>
                <c:pt idx="3859">
                  <c:v>107</c:v>
                </c:pt>
                <c:pt idx="3860">
                  <c:v>132</c:v>
                </c:pt>
                <c:pt idx="3861">
                  <c:v>228</c:v>
                </c:pt>
                <c:pt idx="3862">
                  <c:v>309</c:v>
                </c:pt>
                <c:pt idx="3863">
                  <c:v>297</c:v>
                </c:pt>
                <c:pt idx="3864">
                  <c:v>292</c:v>
                </c:pt>
                <c:pt idx="3865">
                  <c:v>311</c:v>
                </c:pt>
                <c:pt idx="3866">
                  <c:v>210</c:v>
                </c:pt>
                <c:pt idx="3867">
                  <c:v>118</c:v>
                </c:pt>
                <c:pt idx="3868">
                  <c:v>353</c:v>
                </c:pt>
                <c:pt idx="3869">
                  <c:v>335</c:v>
                </c:pt>
                <c:pt idx="3870">
                  <c:v>255</c:v>
                </c:pt>
                <c:pt idx="3871">
                  <c:v>180</c:v>
                </c:pt>
                <c:pt idx="3872">
                  <c:v>328</c:v>
                </c:pt>
                <c:pt idx="3873">
                  <c:v>344</c:v>
                </c:pt>
                <c:pt idx="3874">
                  <c:v>373</c:v>
                </c:pt>
                <c:pt idx="3875">
                  <c:v>145</c:v>
                </c:pt>
                <c:pt idx="3876">
                  <c:v>168</c:v>
                </c:pt>
                <c:pt idx="3877">
                  <c:v>173</c:v>
                </c:pt>
                <c:pt idx="3878">
                  <c:v>75</c:v>
                </c:pt>
                <c:pt idx="3879">
                  <c:v>220</c:v>
                </c:pt>
                <c:pt idx="3880">
                  <c:v>151</c:v>
                </c:pt>
                <c:pt idx="3881">
                  <c:v>154</c:v>
                </c:pt>
                <c:pt idx="3882">
                  <c:v>167</c:v>
                </c:pt>
                <c:pt idx="3883">
                  <c:v>161</c:v>
                </c:pt>
                <c:pt idx="3884">
                  <c:v>231</c:v>
                </c:pt>
                <c:pt idx="3885">
                  <c:v>135</c:v>
                </c:pt>
                <c:pt idx="3886">
                  <c:v>131</c:v>
                </c:pt>
                <c:pt idx="3887">
                  <c:v>169</c:v>
                </c:pt>
                <c:pt idx="3888">
                  <c:v>198</c:v>
                </c:pt>
                <c:pt idx="3889">
                  <c:v>206</c:v>
                </c:pt>
                <c:pt idx="3890">
                  <c:v>203</c:v>
                </c:pt>
                <c:pt idx="3891">
                  <c:v>167</c:v>
                </c:pt>
                <c:pt idx="3892">
                  <c:v>353</c:v>
                </c:pt>
                <c:pt idx="3893">
                  <c:v>485</c:v>
                </c:pt>
                <c:pt idx="3894">
                  <c:v>251</c:v>
                </c:pt>
                <c:pt idx="3895">
                  <c:v>345</c:v>
                </c:pt>
                <c:pt idx="3896">
                  <c:v>339</c:v>
                </c:pt>
                <c:pt idx="3897">
                  <c:v>245</c:v>
                </c:pt>
                <c:pt idx="3898">
                  <c:v>228</c:v>
                </c:pt>
                <c:pt idx="3899">
                  <c:v>233</c:v>
                </c:pt>
                <c:pt idx="3900">
                  <c:v>216</c:v>
                </c:pt>
                <c:pt idx="3901">
                  <c:v>426</c:v>
                </c:pt>
                <c:pt idx="3902">
                  <c:v>305</c:v>
                </c:pt>
                <c:pt idx="3903">
                  <c:v>134</c:v>
                </c:pt>
                <c:pt idx="3904">
                  <c:v>354</c:v>
                </c:pt>
                <c:pt idx="3905">
                  <c:v>361</c:v>
                </c:pt>
                <c:pt idx="3906">
                  <c:v>167</c:v>
                </c:pt>
                <c:pt idx="3907">
                  <c:v>281</c:v>
                </c:pt>
                <c:pt idx="3908">
                  <c:v>236</c:v>
                </c:pt>
                <c:pt idx="3909">
                  <c:v>140</c:v>
                </c:pt>
                <c:pt idx="3910">
                  <c:v>260</c:v>
                </c:pt>
                <c:pt idx="3911">
                  <c:v>270</c:v>
                </c:pt>
                <c:pt idx="3912">
                  <c:v>282</c:v>
                </c:pt>
                <c:pt idx="3913">
                  <c:v>97</c:v>
                </c:pt>
                <c:pt idx="3914">
                  <c:v>127</c:v>
                </c:pt>
                <c:pt idx="3915">
                  <c:v>174</c:v>
                </c:pt>
                <c:pt idx="3916">
                  <c:v>161</c:v>
                </c:pt>
                <c:pt idx="3917">
                  <c:v>109</c:v>
                </c:pt>
                <c:pt idx="3918">
                  <c:v>316</c:v>
                </c:pt>
                <c:pt idx="3919">
                  <c:v>154</c:v>
                </c:pt>
                <c:pt idx="3920">
                  <c:v>155</c:v>
                </c:pt>
                <c:pt idx="3921">
                  <c:v>180</c:v>
                </c:pt>
                <c:pt idx="3922">
                  <c:v>232</c:v>
                </c:pt>
                <c:pt idx="3923">
                  <c:v>323</c:v>
                </c:pt>
                <c:pt idx="3924">
                  <c:v>299</c:v>
                </c:pt>
                <c:pt idx="3925">
                  <c:v>218</c:v>
                </c:pt>
                <c:pt idx="3926">
                  <c:v>323</c:v>
                </c:pt>
                <c:pt idx="3927">
                  <c:v>271</c:v>
                </c:pt>
                <c:pt idx="3928">
                  <c:v>311</c:v>
                </c:pt>
                <c:pt idx="3929">
                  <c:v>205</c:v>
                </c:pt>
                <c:pt idx="3930">
                  <c:v>138</c:v>
                </c:pt>
                <c:pt idx="3931">
                  <c:v>215</c:v>
                </c:pt>
                <c:pt idx="3932">
                  <c:v>266</c:v>
                </c:pt>
                <c:pt idx="3933">
                  <c:v>271</c:v>
                </c:pt>
                <c:pt idx="3934">
                  <c:v>281</c:v>
                </c:pt>
                <c:pt idx="3935">
                  <c:v>294</c:v>
                </c:pt>
                <c:pt idx="3936">
                  <c:v>198</c:v>
                </c:pt>
                <c:pt idx="3937">
                  <c:v>155</c:v>
                </c:pt>
                <c:pt idx="3938">
                  <c:v>137</c:v>
                </c:pt>
                <c:pt idx="3939">
                  <c:v>204</c:v>
                </c:pt>
                <c:pt idx="3940">
                  <c:v>317</c:v>
                </c:pt>
                <c:pt idx="3941">
                  <c:v>305</c:v>
                </c:pt>
                <c:pt idx="3942">
                  <c:v>367</c:v>
                </c:pt>
                <c:pt idx="3943">
                  <c:v>301</c:v>
                </c:pt>
                <c:pt idx="3944">
                  <c:v>292</c:v>
                </c:pt>
                <c:pt idx="3945">
                  <c:v>79</c:v>
                </c:pt>
                <c:pt idx="3946">
                  <c:v>223</c:v>
                </c:pt>
                <c:pt idx="3947">
                  <c:v>146</c:v>
                </c:pt>
                <c:pt idx="3948">
                  <c:v>322</c:v>
                </c:pt>
                <c:pt idx="3949">
                  <c:v>155</c:v>
                </c:pt>
                <c:pt idx="3950">
                  <c:v>184</c:v>
                </c:pt>
                <c:pt idx="3951">
                  <c:v>151</c:v>
                </c:pt>
                <c:pt idx="3952">
                  <c:v>167</c:v>
                </c:pt>
                <c:pt idx="3953">
                  <c:v>202</c:v>
                </c:pt>
                <c:pt idx="3954">
                  <c:v>171</c:v>
                </c:pt>
                <c:pt idx="3955">
                  <c:v>134</c:v>
                </c:pt>
                <c:pt idx="3956">
                  <c:v>154</c:v>
                </c:pt>
                <c:pt idx="3957">
                  <c:v>333</c:v>
                </c:pt>
                <c:pt idx="3958">
                  <c:v>286</c:v>
                </c:pt>
                <c:pt idx="3959">
                  <c:v>464</c:v>
                </c:pt>
                <c:pt idx="3960">
                  <c:v>183</c:v>
                </c:pt>
                <c:pt idx="3961">
                  <c:v>300</c:v>
                </c:pt>
                <c:pt idx="3962">
                  <c:v>183</c:v>
                </c:pt>
                <c:pt idx="3963">
                  <c:v>238</c:v>
                </c:pt>
                <c:pt idx="3964">
                  <c:v>167</c:v>
                </c:pt>
                <c:pt idx="3965">
                  <c:v>230</c:v>
                </c:pt>
                <c:pt idx="3966">
                  <c:v>308</c:v>
                </c:pt>
                <c:pt idx="3967">
                  <c:v>316</c:v>
                </c:pt>
                <c:pt idx="3968">
                  <c:v>253</c:v>
                </c:pt>
                <c:pt idx="3969">
                  <c:v>174</c:v>
                </c:pt>
                <c:pt idx="3970">
                  <c:v>296</c:v>
                </c:pt>
                <c:pt idx="3971">
                  <c:v>101</c:v>
                </c:pt>
                <c:pt idx="3972">
                  <c:v>161</c:v>
                </c:pt>
                <c:pt idx="3973">
                  <c:v>132</c:v>
                </c:pt>
                <c:pt idx="3974">
                  <c:v>154</c:v>
                </c:pt>
                <c:pt idx="3975">
                  <c:v>213</c:v>
                </c:pt>
                <c:pt idx="3976">
                  <c:v>260</c:v>
                </c:pt>
                <c:pt idx="3977">
                  <c:v>280</c:v>
                </c:pt>
                <c:pt idx="3978">
                  <c:v>206</c:v>
                </c:pt>
                <c:pt idx="3979">
                  <c:v>285</c:v>
                </c:pt>
                <c:pt idx="3980">
                  <c:v>303</c:v>
                </c:pt>
                <c:pt idx="3981">
                  <c:v>285</c:v>
                </c:pt>
                <c:pt idx="3982">
                  <c:v>228</c:v>
                </c:pt>
                <c:pt idx="3983">
                  <c:v>166</c:v>
                </c:pt>
                <c:pt idx="3984">
                  <c:v>351</c:v>
                </c:pt>
                <c:pt idx="3985">
                  <c:v>350</c:v>
                </c:pt>
                <c:pt idx="3986">
                  <c:v>197</c:v>
                </c:pt>
                <c:pt idx="3987">
                  <c:v>202</c:v>
                </c:pt>
                <c:pt idx="3988">
                  <c:v>297</c:v>
                </c:pt>
                <c:pt idx="3989">
                  <c:v>285</c:v>
                </c:pt>
                <c:pt idx="3990">
                  <c:v>345</c:v>
                </c:pt>
                <c:pt idx="3991">
                  <c:v>320</c:v>
                </c:pt>
                <c:pt idx="3992">
                  <c:v>197</c:v>
                </c:pt>
                <c:pt idx="3993">
                  <c:v>174</c:v>
                </c:pt>
                <c:pt idx="3994">
                  <c:v>210</c:v>
                </c:pt>
                <c:pt idx="3995">
                  <c:v>137</c:v>
                </c:pt>
                <c:pt idx="3996">
                  <c:v>165</c:v>
                </c:pt>
                <c:pt idx="3997">
                  <c:v>130</c:v>
                </c:pt>
                <c:pt idx="3998">
                  <c:v>176</c:v>
                </c:pt>
                <c:pt idx="3999">
                  <c:v>74</c:v>
                </c:pt>
                <c:pt idx="4000">
                  <c:v>40</c:v>
                </c:pt>
                <c:pt idx="4001">
                  <c:v>103</c:v>
                </c:pt>
                <c:pt idx="4002">
                  <c:v>72</c:v>
                </c:pt>
                <c:pt idx="4003">
                  <c:v>66</c:v>
                </c:pt>
                <c:pt idx="4004">
                  <c:v>118</c:v>
                </c:pt>
                <c:pt idx="4005">
                  <c:v>109</c:v>
                </c:pt>
                <c:pt idx="4006">
                  <c:v>273</c:v>
                </c:pt>
                <c:pt idx="4007">
                  <c:v>342</c:v>
                </c:pt>
                <c:pt idx="4008">
                  <c:v>328</c:v>
                </c:pt>
                <c:pt idx="4009">
                  <c:v>127</c:v>
                </c:pt>
                <c:pt idx="4010">
                  <c:v>320</c:v>
                </c:pt>
                <c:pt idx="4011">
                  <c:v>269</c:v>
                </c:pt>
                <c:pt idx="4012">
                  <c:v>242</c:v>
                </c:pt>
                <c:pt idx="4013">
                  <c:v>314</c:v>
                </c:pt>
                <c:pt idx="4014">
                  <c:v>308</c:v>
                </c:pt>
                <c:pt idx="4015">
                  <c:v>190</c:v>
                </c:pt>
                <c:pt idx="4016">
                  <c:v>218</c:v>
                </c:pt>
                <c:pt idx="4017">
                  <c:v>359</c:v>
                </c:pt>
                <c:pt idx="4018">
                  <c:v>446</c:v>
                </c:pt>
                <c:pt idx="4019">
                  <c:v>224</c:v>
                </c:pt>
                <c:pt idx="4020">
                  <c:v>408</c:v>
                </c:pt>
                <c:pt idx="4021">
                  <c:v>140</c:v>
                </c:pt>
                <c:pt idx="4022">
                  <c:v>226</c:v>
                </c:pt>
                <c:pt idx="4023">
                  <c:v>209</c:v>
                </c:pt>
                <c:pt idx="4024">
                  <c:v>328</c:v>
                </c:pt>
                <c:pt idx="4025">
                  <c:v>240</c:v>
                </c:pt>
                <c:pt idx="4026">
                  <c:v>152</c:v>
                </c:pt>
                <c:pt idx="4027">
                  <c:v>168</c:v>
                </c:pt>
                <c:pt idx="4028">
                  <c:v>269</c:v>
                </c:pt>
                <c:pt idx="4029">
                  <c:v>255</c:v>
                </c:pt>
                <c:pt idx="4030">
                  <c:v>333</c:v>
                </c:pt>
                <c:pt idx="4031">
                  <c:v>189</c:v>
                </c:pt>
                <c:pt idx="4032">
                  <c:v>174</c:v>
                </c:pt>
                <c:pt idx="4033">
                  <c:v>225</c:v>
                </c:pt>
                <c:pt idx="4034">
                  <c:v>82</c:v>
                </c:pt>
                <c:pt idx="4035">
                  <c:v>36</c:v>
                </c:pt>
                <c:pt idx="4036">
                  <c:v>87</c:v>
                </c:pt>
                <c:pt idx="4037">
                  <c:v>163</c:v>
                </c:pt>
                <c:pt idx="4038">
                  <c:v>127</c:v>
                </c:pt>
                <c:pt idx="4039">
                  <c:v>186</c:v>
                </c:pt>
                <c:pt idx="4040">
                  <c:v>94</c:v>
                </c:pt>
                <c:pt idx="4041">
                  <c:v>139</c:v>
                </c:pt>
                <c:pt idx="4042">
                  <c:v>78</c:v>
                </c:pt>
                <c:pt idx="4043">
                  <c:v>105</c:v>
                </c:pt>
                <c:pt idx="4044">
                  <c:v>149</c:v>
                </c:pt>
                <c:pt idx="4045">
                  <c:v>109</c:v>
                </c:pt>
                <c:pt idx="4046">
                  <c:v>131</c:v>
                </c:pt>
                <c:pt idx="4047">
                  <c:v>243</c:v>
                </c:pt>
                <c:pt idx="4048">
                  <c:v>238</c:v>
                </c:pt>
                <c:pt idx="4049">
                  <c:v>186</c:v>
                </c:pt>
                <c:pt idx="4050">
                  <c:v>265</c:v>
                </c:pt>
                <c:pt idx="4051">
                  <c:v>147</c:v>
                </c:pt>
                <c:pt idx="4052">
                  <c:v>137</c:v>
                </c:pt>
                <c:pt idx="4053">
                  <c:v>155</c:v>
                </c:pt>
                <c:pt idx="4054">
                  <c:v>471</c:v>
                </c:pt>
                <c:pt idx="4055">
                  <c:v>150</c:v>
                </c:pt>
                <c:pt idx="4056">
                  <c:v>160</c:v>
                </c:pt>
                <c:pt idx="4057">
                  <c:v>188</c:v>
                </c:pt>
                <c:pt idx="4058">
                  <c:v>125</c:v>
                </c:pt>
                <c:pt idx="4059">
                  <c:v>278</c:v>
                </c:pt>
                <c:pt idx="4060">
                  <c:v>123</c:v>
                </c:pt>
                <c:pt idx="4061">
                  <c:v>294</c:v>
                </c:pt>
                <c:pt idx="4062">
                  <c:v>241</c:v>
                </c:pt>
                <c:pt idx="4063">
                  <c:v>134</c:v>
                </c:pt>
                <c:pt idx="4064">
                  <c:v>149</c:v>
                </c:pt>
                <c:pt idx="4065">
                  <c:v>140</c:v>
                </c:pt>
                <c:pt idx="4066">
                  <c:v>79</c:v>
                </c:pt>
                <c:pt idx="4067">
                  <c:v>98</c:v>
                </c:pt>
                <c:pt idx="4068">
                  <c:v>97</c:v>
                </c:pt>
                <c:pt idx="4069">
                  <c:v>157</c:v>
                </c:pt>
                <c:pt idx="4070">
                  <c:v>149</c:v>
                </c:pt>
                <c:pt idx="4071">
                  <c:v>117</c:v>
                </c:pt>
                <c:pt idx="4072">
                  <c:v>156</c:v>
                </c:pt>
                <c:pt idx="4073">
                  <c:v>216</c:v>
                </c:pt>
                <c:pt idx="4074">
                  <c:v>192</c:v>
                </c:pt>
                <c:pt idx="4075">
                  <c:v>155</c:v>
                </c:pt>
                <c:pt idx="4076">
                  <c:v>98</c:v>
                </c:pt>
                <c:pt idx="4077">
                  <c:v>133</c:v>
                </c:pt>
                <c:pt idx="4078">
                  <c:v>169</c:v>
                </c:pt>
                <c:pt idx="4079">
                  <c:v>286</c:v>
                </c:pt>
                <c:pt idx="4080">
                  <c:v>248</c:v>
                </c:pt>
                <c:pt idx="4081">
                  <c:v>246</c:v>
                </c:pt>
                <c:pt idx="4082">
                  <c:v>271</c:v>
                </c:pt>
                <c:pt idx="4083">
                  <c:v>242</c:v>
                </c:pt>
                <c:pt idx="4084">
                  <c:v>244</c:v>
                </c:pt>
                <c:pt idx="4085">
                  <c:v>214</c:v>
                </c:pt>
                <c:pt idx="4086">
                  <c:v>294</c:v>
                </c:pt>
                <c:pt idx="4087">
                  <c:v>327</c:v>
                </c:pt>
                <c:pt idx="4088">
                  <c:v>105</c:v>
                </c:pt>
                <c:pt idx="4089">
                  <c:v>165</c:v>
                </c:pt>
                <c:pt idx="4090">
                  <c:v>99</c:v>
                </c:pt>
                <c:pt idx="4091">
                  <c:v>181</c:v>
                </c:pt>
                <c:pt idx="4092">
                  <c:v>492</c:v>
                </c:pt>
                <c:pt idx="4093">
                  <c:v>254</c:v>
                </c:pt>
                <c:pt idx="4094">
                  <c:v>292</c:v>
                </c:pt>
                <c:pt idx="4095">
                  <c:v>194</c:v>
                </c:pt>
                <c:pt idx="4096">
                  <c:v>150</c:v>
                </c:pt>
                <c:pt idx="4097">
                  <c:v>291</c:v>
                </c:pt>
                <c:pt idx="4098">
                  <c:v>306</c:v>
                </c:pt>
                <c:pt idx="4099">
                  <c:v>285</c:v>
                </c:pt>
                <c:pt idx="4100">
                  <c:v>281</c:v>
                </c:pt>
                <c:pt idx="4101">
                  <c:v>100</c:v>
                </c:pt>
                <c:pt idx="4102">
                  <c:v>277</c:v>
                </c:pt>
                <c:pt idx="4103">
                  <c:v>142</c:v>
                </c:pt>
                <c:pt idx="4104">
                  <c:v>116</c:v>
                </c:pt>
                <c:pt idx="4105">
                  <c:v>44</c:v>
                </c:pt>
                <c:pt idx="4106">
                  <c:v>63</c:v>
                </c:pt>
                <c:pt idx="4107">
                  <c:v>177</c:v>
                </c:pt>
                <c:pt idx="4108">
                  <c:v>107</c:v>
                </c:pt>
                <c:pt idx="4109">
                  <c:v>146</c:v>
                </c:pt>
                <c:pt idx="4110">
                  <c:v>55</c:v>
                </c:pt>
                <c:pt idx="4111">
                  <c:v>124</c:v>
                </c:pt>
                <c:pt idx="4112">
                  <c:v>177</c:v>
                </c:pt>
                <c:pt idx="4113">
                  <c:v>135</c:v>
                </c:pt>
                <c:pt idx="4114">
                  <c:v>189</c:v>
                </c:pt>
                <c:pt idx="4115">
                  <c:v>176</c:v>
                </c:pt>
                <c:pt idx="4116">
                  <c:v>146</c:v>
                </c:pt>
                <c:pt idx="4117">
                  <c:v>332</c:v>
                </c:pt>
                <c:pt idx="4118">
                  <c:v>268</c:v>
                </c:pt>
                <c:pt idx="4119">
                  <c:v>214</c:v>
                </c:pt>
                <c:pt idx="4120">
                  <c:v>229</c:v>
                </c:pt>
                <c:pt idx="4121">
                  <c:v>191</c:v>
                </c:pt>
                <c:pt idx="4122">
                  <c:v>213</c:v>
                </c:pt>
                <c:pt idx="4123">
                  <c:v>235</c:v>
                </c:pt>
                <c:pt idx="4124">
                  <c:v>386</c:v>
                </c:pt>
                <c:pt idx="4125">
                  <c:v>213</c:v>
                </c:pt>
                <c:pt idx="4126">
                  <c:v>267</c:v>
                </c:pt>
                <c:pt idx="4127">
                  <c:v>169</c:v>
                </c:pt>
                <c:pt idx="4128">
                  <c:v>209</c:v>
                </c:pt>
                <c:pt idx="4129">
                  <c:v>346</c:v>
                </c:pt>
                <c:pt idx="4130">
                  <c:v>286</c:v>
                </c:pt>
                <c:pt idx="4131">
                  <c:v>200</c:v>
                </c:pt>
                <c:pt idx="4132">
                  <c:v>192</c:v>
                </c:pt>
                <c:pt idx="4133">
                  <c:v>257</c:v>
                </c:pt>
                <c:pt idx="4134">
                  <c:v>258</c:v>
                </c:pt>
                <c:pt idx="4135">
                  <c:v>107</c:v>
                </c:pt>
                <c:pt idx="4136">
                  <c:v>152</c:v>
                </c:pt>
                <c:pt idx="4137">
                  <c:v>137</c:v>
                </c:pt>
                <c:pt idx="4138">
                  <c:v>166</c:v>
                </c:pt>
                <c:pt idx="4139">
                  <c:v>91</c:v>
                </c:pt>
                <c:pt idx="4140">
                  <c:v>175</c:v>
                </c:pt>
                <c:pt idx="4141">
                  <c:v>331</c:v>
                </c:pt>
                <c:pt idx="4142">
                  <c:v>375</c:v>
                </c:pt>
                <c:pt idx="4143">
                  <c:v>319</c:v>
                </c:pt>
                <c:pt idx="4144">
                  <c:v>337</c:v>
                </c:pt>
                <c:pt idx="4145">
                  <c:v>238</c:v>
                </c:pt>
                <c:pt idx="4146">
                  <c:v>290</c:v>
                </c:pt>
                <c:pt idx="4147">
                  <c:v>205</c:v>
                </c:pt>
                <c:pt idx="4148">
                  <c:v>493</c:v>
                </c:pt>
                <c:pt idx="4149">
                  <c:v>221</c:v>
                </c:pt>
                <c:pt idx="4150">
                  <c:v>336</c:v>
                </c:pt>
                <c:pt idx="4151">
                  <c:v>240</c:v>
                </c:pt>
                <c:pt idx="4152">
                  <c:v>211</c:v>
                </c:pt>
                <c:pt idx="4153">
                  <c:v>236</c:v>
                </c:pt>
                <c:pt idx="4154">
                  <c:v>262</c:v>
                </c:pt>
                <c:pt idx="4155">
                  <c:v>312</c:v>
                </c:pt>
                <c:pt idx="4156">
                  <c:v>174</c:v>
                </c:pt>
                <c:pt idx="4157">
                  <c:v>170</c:v>
                </c:pt>
                <c:pt idx="4158">
                  <c:v>179</c:v>
                </c:pt>
                <c:pt idx="4159">
                  <c:v>284</c:v>
                </c:pt>
                <c:pt idx="4160">
                  <c:v>140</c:v>
                </c:pt>
                <c:pt idx="4161">
                  <c:v>201</c:v>
                </c:pt>
                <c:pt idx="4162">
                  <c:v>197</c:v>
                </c:pt>
                <c:pt idx="4163">
                  <c:v>242</c:v>
                </c:pt>
                <c:pt idx="4164">
                  <c:v>262</c:v>
                </c:pt>
                <c:pt idx="4165">
                  <c:v>222</c:v>
                </c:pt>
                <c:pt idx="4166">
                  <c:v>278</c:v>
                </c:pt>
                <c:pt idx="4167">
                  <c:v>289</c:v>
                </c:pt>
                <c:pt idx="4168">
                  <c:v>189</c:v>
                </c:pt>
                <c:pt idx="4169">
                  <c:v>201</c:v>
                </c:pt>
                <c:pt idx="4170">
                  <c:v>188</c:v>
                </c:pt>
                <c:pt idx="4171">
                  <c:v>249</c:v>
                </c:pt>
                <c:pt idx="4172">
                  <c:v>213</c:v>
                </c:pt>
                <c:pt idx="4173">
                  <c:v>237</c:v>
                </c:pt>
                <c:pt idx="4174">
                  <c:v>264</c:v>
                </c:pt>
                <c:pt idx="4175">
                  <c:v>265</c:v>
                </c:pt>
                <c:pt idx="4176">
                  <c:v>207</c:v>
                </c:pt>
                <c:pt idx="4177">
                  <c:v>121</c:v>
                </c:pt>
                <c:pt idx="4178">
                  <c:v>113</c:v>
                </c:pt>
                <c:pt idx="4179">
                  <c:v>378</c:v>
                </c:pt>
                <c:pt idx="4180">
                  <c:v>237</c:v>
                </c:pt>
                <c:pt idx="4181">
                  <c:v>136</c:v>
                </c:pt>
                <c:pt idx="4182">
                  <c:v>221</c:v>
                </c:pt>
                <c:pt idx="4183">
                  <c:v>213</c:v>
                </c:pt>
                <c:pt idx="4184">
                  <c:v>289</c:v>
                </c:pt>
                <c:pt idx="4185">
                  <c:v>247</c:v>
                </c:pt>
                <c:pt idx="4186">
                  <c:v>289</c:v>
                </c:pt>
                <c:pt idx="4187">
                  <c:v>221</c:v>
                </c:pt>
                <c:pt idx="4188">
                  <c:v>223</c:v>
                </c:pt>
                <c:pt idx="4189">
                  <c:v>232</c:v>
                </c:pt>
                <c:pt idx="4190">
                  <c:v>246</c:v>
                </c:pt>
                <c:pt idx="4191">
                  <c:v>334</c:v>
                </c:pt>
                <c:pt idx="4192">
                  <c:v>191</c:v>
                </c:pt>
                <c:pt idx="4193">
                  <c:v>227</c:v>
                </c:pt>
                <c:pt idx="4194">
                  <c:v>321</c:v>
                </c:pt>
                <c:pt idx="4195">
                  <c:v>80</c:v>
                </c:pt>
                <c:pt idx="4196">
                  <c:v>305</c:v>
                </c:pt>
                <c:pt idx="4197">
                  <c:v>113</c:v>
                </c:pt>
                <c:pt idx="4198">
                  <c:v>145</c:v>
                </c:pt>
                <c:pt idx="4199">
                  <c:v>172</c:v>
                </c:pt>
                <c:pt idx="4200">
                  <c:v>207</c:v>
                </c:pt>
                <c:pt idx="4201">
                  <c:v>92</c:v>
                </c:pt>
                <c:pt idx="4202">
                  <c:v>31</c:v>
                </c:pt>
                <c:pt idx="4203">
                  <c:v>127</c:v>
                </c:pt>
                <c:pt idx="4204">
                  <c:v>160</c:v>
                </c:pt>
                <c:pt idx="4205">
                  <c:v>110</c:v>
                </c:pt>
                <c:pt idx="4206">
                  <c:v>241</c:v>
                </c:pt>
                <c:pt idx="4207">
                  <c:v>164</c:v>
                </c:pt>
                <c:pt idx="4208">
                  <c:v>155</c:v>
                </c:pt>
                <c:pt idx="4209">
                  <c:v>64</c:v>
                </c:pt>
                <c:pt idx="4210">
                  <c:v>179</c:v>
                </c:pt>
                <c:pt idx="4211">
                  <c:v>143</c:v>
                </c:pt>
                <c:pt idx="4212">
                  <c:v>176</c:v>
                </c:pt>
                <c:pt idx="4213">
                  <c:v>140</c:v>
                </c:pt>
                <c:pt idx="4214">
                  <c:v>126</c:v>
                </c:pt>
                <c:pt idx="4215">
                  <c:v>189</c:v>
                </c:pt>
                <c:pt idx="4216">
                  <c:v>114</c:v>
                </c:pt>
                <c:pt idx="4217">
                  <c:v>138</c:v>
                </c:pt>
                <c:pt idx="4218">
                  <c:v>355</c:v>
                </c:pt>
                <c:pt idx="4219">
                  <c:v>287</c:v>
                </c:pt>
                <c:pt idx="4220">
                  <c:v>268</c:v>
                </c:pt>
                <c:pt idx="4221">
                  <c:v>265</c:v>
                </c:pt>
                <c:pt idx="4222">
                  <c:v>293</c:v>
                </c:pt>
                <c:pt idx="4223">
                  <c:v>243</c:v>
                </c:pt>
                <c:pt idx="4224">
                  <c:v>392</c:v>
                </c:pt>
                <c:pt idx="4225">
                  <c:v>430</c:v>
                </c:pt>
                <c:pt idx="4226">
                  <c:v>206</c:v>
                </c:pt>
                <c:pt idx="4227">
                  <c:v>239</c:v>
                </c:pt>
                <c:pt idx="4228">
                  <c:v>162</c:v>
                </c:pt>
                <c:pt idx="4229">
                  <c:v>192</c:v>
                </c:pt>
                <c:pt idx="4230">
                  <c:v>213</c:v>
                </c:pt>
                <c:pt idx="4231">
                  <c:v>203</c:v>
                </c:pt>
                <c:pt idx="4232">
                  <c:v>160</c:v>
                </c:pt>
                <c:pt idx="4233">
                  <c:v>258</c:v>
                </c:pt>
                <c:pt idx="4234">
                  <c:v>270</c:v>
                </c:pt>
                <c:pt idx="4235">
                  <c:v>183</c:v>
                </c:pt>
                <c:pt idx="4236">
                  <c:v>309</c:v>
                </c:pt>
                <c:pt idx="4237">
                  <c:v>324</c:v>
                </c:pt>
                <c:pt idx="4238">
                  <c:v>295</c:v>
                </c:pt>
                <c:pt idx="4239">
                  <c:v>96</c:v>
                </c:pt>
                <c:pt idx="4240">
                  <c:v>52</c:v>
                </c:pt>
                <c:pt idx="4241">
                  <c:v>152</c:v>
                </c:pt>
                <c:pt idx="4242">
                  <c:v>152</c:v>
                </c:pt>
                <c:pt idx="4243">
                  <c:v>142</c:v>
                </c:pt>
                <c:pt idx="4244">
                  <c:v>210</c:v>
                </c:pt>
                <c:pt idx="4245">
                  <c:v>131</c:v>
                </c:pt>
                <c:pt idx="4246">
                  <c:v>204</c:v>
                </c:pt>
                <c:pt idx="4247">
                  <c:v>137</c:v>
                </c:pt>
                <c:pt idx="4248">
                  <c:v>240</c:v>
                </c:pt>
                <c:pt idx="4249">
                  <c:v>260</c:v>
                </c:pt>
                <c:pt idx="4250">
                  <c:v>233</c:v>
                </c:pt>
                <c:pt idx="4251">
                  <c:v>195</c:v>
                </c:pt>
                <c:pt idx="4252">
                  <c:v>198</c:v>
                </c:pt>
                <c:pt idx="4253">
                  <c:v>247</c:v>
                </c:pt>
                <c:pt idx="4254">
                  <c:v>174</c:v>
                </c:pt>
                <c:pt idx="4255">
                  <c:v>265</c:v>
                </c:pt>
                <c:pt idx="4256">
                  <c:v>225</c:v>
                </c:pt>
                <c:pt idx="4257">
                  <c:v>174</c:v>
                </c:pt>
                <c:pt idx="4258">
                  <c:v>143</c:v>
                </c:pt>
                <c:pt idx="4259">
                  <c:v>182</c:v>
                </c:pt>
                <c:pt idx="4260">
                  <c:v>255</c:v>
                </c:pt>
                <c:pt idx="4261">
                  <c:v>255</c:v>
                </c:pt>
                <c:pt idx="4262">
                  <c:v>288</c:v>
                </c:pt>
                <c:pt idx="4263">
                  <c:v>122</c:v>
                </c:pt>
                <c:pt idx="4264">
                  <c:v>125</c:v>
                </c:pt>
                <c:pt idx="4265">
                  <c:v>117</c:v>
                </c:pt>
                <c:pt idx="4266">
                  <c:v>197</c:v>
                </c:pt>
                <c:pt idx="4267">
                  <c:v>240</c:v>
                </c:pt>
                <c:pt idx="4268">
                  <c:v>271</c:v>
                </c:pt>
                <c:pt idx="4269">
                  <c:v>235</c:v>
                </c:pt>
                <c:pt idx="4270">
                  <c:v>276</c:v>
                </c:pt>
                <c:pt idx="4271">
                  <c:v>231</c:v>
                </c:pt>
                <c:pt idx="4272">
                  <c:v>226</c:v>
                </c:pt>
                <c:pt idx="4273">
                  <c:v>271</c:v>
                </c:pt>
                <c:pt idx="4274">
                  <c:v>251</c:v>
                </c:pt>
                <c:pt idx="4275">
                  <c:v>188</c:v>
                </c:pt>
                <c:pt idx="4276">
                  <c:v>129</c:v>
                </c:pt>
                <c:pt idx="4277">
                  <c:v>178</c:v>
                </c:pt>
                <c:pt idx="4278">
                  <c:v>127</c:v>
                </c:pt>
                <c:pt idx="4279">
                  <c:v>167</c:v>
                </c:pt>
                <c:pt idx="4280">
                  <c:v>62</c:v>
                </c:pt>
                <c:pt idx="4281">
                  <c:v>82</c:v>
                </c:pt>
                <c:pt idx="4282">
                  <c:v>83</c:v>
                </c:pt>
                <c:pt idx="4283">
                  <c:v>133</c:v>
                </c:pt>
                <c:pt idx="4284">
                  <c:v>140</c:v>
                </c:pt>
                <c:pt idx="4285">
                  <c:v>143</c:v>
                </c:pt>
                <c:pt idx="4286">
                  <c:v>155</c:v>
                </c:pt>
                <c:pt idx="4287">
                  <c:v>174</c:v>
                </c:pt>
                <c:pt idx="4288">
                  <c:v>251</c:v>
                </c:pt>
                <c:pt idx="4289">
                  <c:v>195</c:v>
                </c:pt>
                <c:pt idx="4290">
                  <c:v>217</c:v>
                </c:pt>
                <c:pt idx="4291">
                  <c:v>213</c:v>
                </c:pt>
                <c:pt idx="4292">
                  <c:v>174</c:v>
                </c:pt>
                <c:pt idx="4293">
                  <c:v>314</c:v>
                </c:pt>
                <c:pt idx="4294">
                  <c:v>225</c:v>
                </c:pt>
                <c:pt idx="4295">
                  <c:v>327</c:v>
                </c:pt>
                <c:pt idx="4296">
                  <c:v>155</c:v>
                </c:pt>
                <c:pt idx="4297">
                  <c:v>114</c:v>
                </c:pt>
                <c:pt idx="4298">
                  <c:v>145</c:v>
                </c:pt>
                <c:pt idx="4299">
                  <c:v>144</c:v>
                </c:pt>
                <c:pt idx="4300">
                  <c:v>102</c:v>
                </c:pt>
                <c:pt idx="4301">
                  <c:v>283</c:v>
                </c:pt>
                <c:pt idx="4302">
                  <c:v>289</c:v>
                </c:pt>
                <c:pt idx="4303">
                  <c:v>218</c:v>
                </c:pt>
                <c:pt idx="4304">
                  <c:v>265</c:v>
                </c:pt>
                <c:pt idx="4305">
                  <c:v>246</c:v>
                </c:pt>
                <c:pt idx="4306">
                  <c:v>146</c:v>
                </c:pt>
                <c:pt idx="4307">
                  <c:v>199</c:v>
                </c:pt>
                <c:pt idx="4308">
                  <c:v>273</c:v>
                </c:pt>
                <c:pt idx="4309">
                  <c:v>123</c:v>
                </c:pt>
                <c:pt idx="4310">
                  <c:v>78</c:v>
                </c:pt>
                <c:pt idx="4311">
                  <c:v>170</c:v>
                </c:pt>
                <c:pt idx="4312">
                  <c:v>121</c:v>
                </c:pt>
                <c:pt idx="4313">
                  <c:v>278</c:v>
                </c:pt>
                <c:pt idx="4314">
                  <c:v>278</c:v>
                </c:pt>
                <c:pt idx="4315">
                  <c:v>199</c:v>
                </c:pt>
                <c:pt idx="4316">
                  <c:v>322</c:v>
                </c:pt>
                <c:pt idx="4317">
                  <c:v>263</c:v>
                </c:pt>
                <c:pt idx="4318">
                  <c:v>218</c:v>
                </c:pt>
                <c:pt idx="4319">
                  <c:v>116</c:v>
                </c:pt>
                <c:pt idx="4320">
                  <c:v>143</c:v>
                </c:pt>
                <c:pt idx="4321">
                  <c:v>115</c:v>
                </c:pt>
                <c:pt idx="4322">
                  <c:v>104</c:v>
                </c:pt>
                <c:pt idx="4323">
                  <c:v>109</c:v>
                </c:pt>
                <c:pt idx="4324">
                  <c:v>187</c:v>
                </c:pt>
                <c:pt idx="4325">
                  <c:v>102</c:v>
                </c:pt>
                <c:pt idx="4326">
                  <c:v>141</c:v>
                </c:pt>
                <c:pt idx="4327">
                  <c:v>123</c:v>
                </c:pt>
                <c:pt idx="4328">
                  <c:v>144</c:v>
                </c:pt>
                <c:pt idx="4329">
                  <c:v>2100</c:v>
                </c:pt>
                <c:pt idx="4330">
                  <c:v>2000</c:v>
                </c:pt>
                <c:pt idx="4331">
                  <c:v>1925</c:v>
                </c:pt>
                <c:pt idx="4332">
                  <c:v>1750</c:v>
                </c:pt>
                <c:pt idx="4333">
                  <c:v>1800</c:v>
                </c:pt>
                <c:pt idx="4334">
                  <c:v>1050</c:v>
                </c:pt>
                <c:pt idx="4335">
                  <c:v>1200</c:v>
                </c:pt>
                <c:pt idx="4336">
                  <c:v>900</c:v>
                </c:pt>
                <c:pt idx="4337">
                  <c:v>1050</c:v>
                </c:pt>
                <c:pt idx="4338">
                  <c:v>1400</c:v>
                </c:pt>
                <c:pt idx="4339">
                  <c:v>1225</c:v>
                </c:pt>
                <c:pt idx="4340">
                  <c:v>1400</c:v>
                </c:pt>
                <c:pt idx="4341">
                  <c:v>700</c:v>
                </c:pt>
                <c:pt idx="4342">
                  <c:v>1750</c:v>
                </c:pt>
                <c:pt idx="4343">
                  <c:v>1050</c:v>
                </c:pt>
                <c:pt idx="4344">
                  <c:v>1250</c:v>
                </c:pt>
                <c:pt idx="4345">
                  <c:v>1650</c:v>
                </c:pt>
                <c:pt idx="4346">
                  <c:v>1625</c:v>
                </c:pt>
                <c:pt idx="4347">
                  <c:v>2200</c:v>
                </c:pt>
                <c:pt idx="4348">
                  <c:v>2200</c:v>
                </c:pt>
                <c:pt idx="4349">
                  <c:v>1600</c:v>
                </c:pt>
                <c:pt idx="4350">
                  <c:v>1800</c:v>
                </c:pt>
                <c:pt idx="4351">
                  <c:v>700</c:v>
                </c:pt>
                <c:pt idx="4352">
                  <c:v>1050</c:v>
                </c:pt>
                <c:pt idx="4353">
                  <c:v>2100</c:v>
                </c:pt>
                <c:pt idx="4354">
                  <c:v>1350</c:v>
                </c:pt>
                <c:pt idx="4355">
                  <c:v>900</c:v>
                </c:pt>
                <c:pt idx="4356">
                  <c:v>2100</c:v>
                </c:pt>
                <c:pt idx="4357">
                  <c:v>1200</c:v>
                </c:pt>
                <c:pt idx="4358">
                  <c:v>750</c:v>
                </c:pt>
                <c:pt idx="4359">
                  <c:v>450</c:v>
                </c:pt>
                <c:pt idx="4360">
                  <c:v>450</c:v>
                </c:pt>
                <c:pt idx="4361">
                  <c:v>750</c:v>
                </c:pt>
                <c:pt idx="4362">
                  <c:v>3000</c:v>
                </c:pt>
                <c:pt idx="4363">
                  <c:v>1400</c:v>
                </c:pt>
                <c:pt idx="4364">
                  <c:v>1400</c:v>
                </c:pt>
                <c:pt idx="4365">
                  <c:v>1500</c:v>
                </c:pt>
                <c:pt idx="4366">
                  <c:v>1750</c:v>
                </c:pt>
                <c:pt idx="4367">
                  <c:v>1200</c:v>
                </c:pt>
                <c:pt idx="4368">
                  <c:v>1200</c:v>
                </c:pt>
                <c:pt idx="4369">
                  <c:v>1350</c:v>
                </c:pt>
                <c:pt idx="4370">
                  <c:v>1050</c:v>
                </c:pt>
                <c:pt idx="4371">
                  <c:v>1600</c:v>
                </c:pt>
                <c:pt idx="4372">
                  <c:v>1500</c:v>
                </c:pt>
                <c:pt idx="4373">
                  <c:v>2000</c:v>
                </c:pt>
                <c:pt idx="4374">
                  <c:v>875</c:v>
                </c:pt>
                <c:pt idx="4375">
                  <c:v>1250</c:v>
                </c:pt>
                <c:pt idx="4376">
                  <c:v>1375</c:v>
                </c:pt>
                <c:pt idx="4377">
                  <c:v>1625</c:v>
                </c:pt>
                <c:pt idx="4378">
                  <c:v>162</c:v>
                </c:pt>
                <c:pt idx="4379">
                  <c:v>259</c:v>
                </c:pt>
                <c:pt idx="4380">
                  <c:v>283</c:v>
                </c:pt>
                <c:pt idx="4381">
                  <c:v>365</c:v>
                </c:pt>
                <c:pt idx="4382">
                  <c:v>371</c:v>
                </c:pt>
                <c:pt idx="4383">
                  <c:v>275</c:v>
                </c:pt>
                <c:pt idx="4384">
                  <c:v>220</c:v>
                </c:pt>
                <c:pt idx="4385">
                  <c:v>207</c:v>
                </c:pt>
                <c:pt idx="4386">
                  <c:v>132</c:v>
                </c:pt>
                <c:pt idx="4387">
                  <c:v>186</c:v>
                </c:pt>
                <c:pt idx="4388">
                  <c:v>95</c:v>
                </c:pt>
                <c:pt idx="4389">
                  <c:v>168</c:v>
                </c:pt>
                <c:pt idx="4390">
                  <c:v>227</c:v>
                </c:pt>
                <c:pt idx="4391">
                  <c:v>244</c:v>
                </c:pt>
                <c:pt idx="4392">
                  <c:v>210</c:v>
                </c:pt>
                <c:pt idx="4393">
                  <c:v>259</c:v>
                </c:pt>
                <c:pt idx="4394">
                  <c:v>113</c:v>
                </c:pt>
                <c:pt idx="4395">
                  <c:v>105</c:v>
                </c:pt>
                <c:pt idx="4396">
                  <c:v>326</c:v>
                </c:pt>
                <c:pt idx="4397">
                  <c:v>240</c:v>
                </c:pt>
                <c:pt idx="4398">
                  <c:v>303</c:v>
                </c:pt>
                <c:pt idx="4399">
                  <c:v>174</c:v>
                </c:pt>
                <c:pt idx="4400">
                  <c:v>204</c:v>
                </c:pt>
                <c:pt idx="4401">
                  <c:v>157</c:v>
                </c:pt>
                <c:pt idx="4402">
                  <c:v>116</c:v>
                </c:pt>
                <c:pt idx="4403">
                  <c:v>73</c:v>
                </c:pt>
                <c:pt idx="4404">
                  <c:v>146</c:v>
                </c:pt>
                <c:pt idx="4405">
                  <c:v>213</c:v>
                </c:pt>
                <c:pt idx="4406">
                  <c:v>135</c:v>
                </c:pt>
                <c:pt idx="4407">
                  <c:v>192</c:v>
                </c:pt>
                <c:pt idx="4408">
                  <c:v>94</c:v>
                </c:pt>
                <c:pt idx="4409">
                  <c:v>263</c:v>
                </c:pt>
                <c:pt idx="4410">
                  <c:v>176</c:v>
                </c:pt>
                <c:pt idx="4411">
                  <c:v>347</c:v>
                </c:pt>
                <c:pt idx="4412">
                  <c:v>250</c:v>
                </c:pt>
                <c:pt idx="4413">
                  <c:v>291</c:v>
                </c:pt>
                <c:pt idx="4414">
                  <c:v>189</c:v>
                </c:pt>
                <c:pt idx="4415">
                  <c:v>224</c:v>
                </c:pt>
                <c:pt idx="4416">
                  <c:v>397</c:v>
                </c:pt>
                <c:pt idx="4417">
                  <c:v>261</c:v>
                </c:pt>
                <c:pt idx="4418">
                  <c:v>194</c:v>
                </c:pt>
                <c:pt idx="4419">
                  <c:v>298</c:v>
                </c:pt>
                <c:pt idx="4420">
                  <c:v>113</c:v>
                </c:pt>
                <c:pt idx="4421">
                  <c:v>132</c:v>
                </c:pt>
                <c:pt idx="4422">
                  <c:v>188</c:v>
                </c:pt>
                <c:pt idx="4423">
                  <c:v>220</c:v>
                </c:pt>
                <c:pt idx="4424">
                  <c:v>226</c:v>
                </c:pt>
                <c:pt idx="4425">
                  <c:v>179</c:v>
                </c:pt>
                <c:pt idx="4426">
                  <c:v>225</c:v>
                </c:pt>
                <c:pt idx="4427">
                  <c:v>197</c:v>
                </c:pt>
                <c:pt idx="4428">
                  <c:v>187</c:v>
                </c:pt>
                <c:pt idx="4429">
                  <c:v>152</c:v>
                </c:pt>
                <c:pt idx="4430">
                  <c:v>63</c:v>
                </c:pt>
                <c:pt idx="4431">
                  <c:v>123</c:v>
                </c:pt>
                <c:pt idx="4432">
                  <c:v>127</c:v>
                </c:pt>
                <c:pt idx="4433">
                  <c:v>226</c:v>
                </c:pt>
                <c:pt idx="4434">
                  <c:v>193</c:v>
                </c:pt>
                <c:pt idx="4435">
                  <c:v>186</c:v>
                </c:pt>
                <c:pt idx="4436">
                  <c:v>289</c:v>
                </c:pt>
                <c:pt idx="4437">
                  <c:v>131</c:v>
                </c:pt>
                <c:pt idx="4438">
                  <c:v>122</c:v>
                </c:pt>
                <c:pt idx="4439">
                  <c:v>245</c:v>
                </c:pt>
                <c:pt idx="4440">
                  <c:v>332</c:v>
                </c:pt>
                <c:pt idx="4441">
                  <c:v>127</c:v>
                </c:pt>
                <c:pt idx="4442">
                  <c:v>157</c:v>
                </c:pt>
                <c:pt idx="4443">
                  <c:v>150</c:v>
                </c:pt>
                <c:pt idx="4444">
                  <c:v>88</c:v>
                </c:pt>
                <c:pt idx="4445">
                  <c:v>189</c:v>
                </c:pt>
                <c:pt idx="4446">
                  <c:v>254</c:v>
                </c:pt>
                <c:pt idx="4447">
                  <c:v>81</c:v>
                </c:pt>
                <c:pt idx="4448">
                  <c:v>90</c:v>
                </c:pt>
                <c:pt idx="4449">
                  <c:v>214</c:v>
                </c:pt>
                <c:pt idx="4450">
                  <c:v>266</c:v>
                </c:pt>
                <c:pt idx="4451">
                  <c:v>168</c:v>
                </c:pt>
                <c:pt idx="4452">
                  <c:v>86</c:v>
                </c:pt>
                <c:pt idx="4453">
                  <c:v>286</c:v>
                </c:pt>
                <c:pt idx="4454">
                  <c:v>286</c:v>
                </c:pt>
                <c:pt idx="4455">
                  <c:v>275</c:v>
                </c:pt>
                <c:pt idx="4456">
                  <c:v>178</c:v>
                </c:pt>
                <c:pt idx="4457">
                  <c:v>255</c:v>
                </c:pt>
                <c:pt idx="4458">
                  <c:v>203</c:v>
                </c:pt>
                <c:pt idx="4459">
                  <c:v>345</c:v>
                </c:pt>
                <c:pt idx="4460">
                  <c:v>280</c:v>
                </c:pt>
                <c:pt idx="4461">
                  <c:v>206</c:v>
                </c:pt>
                <c:pt idx="4462">
                  <c:v>282</c:v>
                </c:pt>
                <c:pt idx="4463">
                  <c:v>195</c:v>
                </c:pt>
                <c:pt idx="4464">
                  <c:v>220</c:v>
                </c:pt>
                <c:pt idx="4465">
                  <c:v>216</c:v>
                </c:pt>
                <c:pt idx="4466">
                  <c:v>216</c:v>
                </c:pt>
                <c:pt idx="4467">
                  <c:v>207</c:v>
                </c:pt>
                <c:pt idx="4468">
                  <c:v>210</c:v>
                </c:pt>
                <c:pt idx="4469">
                  <c:v>307</c:v>
                </c:pt>
                <c:pt idx="4470">
                  <c:v>316</c:v>
                </c:pt>
                <c:pt idx="4471">
                  <c:v>171</c:v>
                </c:pt>
                <c:pt idx="4472">
                  <c:v>141</c:v>
                </c:pt>
                <c:pt idx="4473">
                  <c:v>96</c:v>
                </c:pt>
                <c:pt idx="4474">
                  <c:v>161</c:v>
                </c:pt>
                <c:pt idx="4475">
                  <c:v>86</c:v>
                </c:pt>
                <c:pt idx="4476">
                  <c:v>118</c:v>
                </c:pt>
                <c:pt idx="4477">
                  <c:v>55</c:v>
                </c:pt>
                <c:pt idx="4478">
                  <c:v>216</c:v>
                </c:pt>
                <c:pt idx="4479">
                  <c:v>158</c:v>
                </c:pt>
                <c:pt idx="4480">
                  <c:v>226</c:v>
                </c:pt>
                <c:pt idx="4481">
                  <c:v>263</c:v>
                </c:pt>
                <c:pt idx="4482">
                  <c:v>103</c:v>
                </c:pt>
                <c:pt idx="4483">
                  <c:v>85</c:v>
                </c:pt>
                <c:pt idx="4484">
                  <c:v>282</c:v>
                </c:pt>
                <c:pt idx="4485">
                  <c:v>124</c:v>
                </c:pt>
                <c:pt idx="4486">
                  <c:v>178</c:v>
                </c:pt>
                <c:pt idx="4487">
                  <c:v>132</c:v>
                </c:pt>
                <c:pt idx="4488">
                  <c:v>139</c:v>
                </c:pt>
                <c:pt idx="4489">
                  <c:v>173</c:v>
                </c:pt>
                <c:pt idx="4490">
                  <c:v>66</c:v>
                </c:pt>
                <c:pt idx="4491">
                  <c:v>50</c:v>
                </c:pt>
                <c:pt idx="4492">
                  <c:v>40</c:v>
                </c:pt>
                <c:pt idx="4493">
                  <c:v>120</c:v>
                </c:pt>
                <c:pt idx="4494">
                  <c:v>111</c:v>
                </c:pt>
                <c:pt idx="4495">
                  <c:v>128</c:v>
                </c:pt>
                <c:pt idx="4496">
                  <c:v>171</c:v>
                </c:pt>
                <c:pt idx="4497">
                  <c:v>128</c:v>
                </c:pt>
                <c:pt idx="4498">
                  <c:v>131</c:v>
                </c:pt>
                <c:pt idx="4499">
                  <c:v>145</c:v>
                </c:pt>
                <c:pt idx="4500">
                  <c:v>157</c:v>
                </c:pt>
                <c:pt idx="4501">
                  <c:v>101</c:v>
                </c:pt>
                <c:pt idx="4502">
                  <c:v>130</c:v>
                </c:pt>
                <c:pt idx="4503">
                  <c:v>193</c:v>
                </c:pt>
                <c:pt idx="4504">
                  <c:v>998</c:v>
                </c:pt>
                <c:pt idx="4505">
                  <c:v>261</c:v>
                </c:pt>
                <c:pt idx="4506">
                  <c:v>252</c:v>
                </c:pt>
                <c:pt idx="4507">
                  <c:v>143</c:v>
                </c:pt>
                <c:pt idx="4508">
                  <c:v>148</c:v>
                </c:pt>
                <c:pt idx="4509">
                  <c:v>391</c:v>
                </c:pt>
                <c:pt idx="4510">
                  <c:v>201</c:v>
                </c:pt>
                <c:pt idx="4511">
                  <c:v>101</c:v>
                </c:pt>
                <c:pt idx="4512">
                  <c:v>170</c:v>
                </c:pt>
                <c:pt idx="4513">
                  <c:v>238</c:v>
                </c:pt>
                <c:pt idx="4514">
                  <c:v>175</c:v>
                </c:pt>
                <c:pt idx="4515">
                  <c:v>263</c:v>
                </c:pt>
                <c:pt idx="4516">
                  <c:v>251</c:v>
                </c:pt>
                <c:pt idx="4517">
                  <c:v>219</c:v>
                </c:pt>
                <c:pt idx="4518">
                  <c:v>214</c:v>
                </c:pt>
                <c:pt idx="4519">
                  <c:v>164</c:v>
                </c:pt>
                <c:pt idx="4520">
                  <c:v>205</c:v>
                </c:pt>
                <c:pt idx="4521">
                  <c:v>155</c:v>
                </c:pt>
                <c:pt idx="4522">
                  <c:v>253</c:v>
                </c:pt>
                <c:pt idx="4523">
                  <c:v>272</c:v>
                </c:pt>
                <c:pt idx="4524">
                  <c:v>272</c:v>
                </c:pt>
                <c:pt idx="4525">
                  <c:v>166</c:v>
                </c:pt>
                <c:pt idx="4526">
                  <c:v>290</c:v>
                </c:pt>
                <c:pt idx="4527">
                  <c:v>299</c:v>
                </c:pt>
                <c:pt idx="4528">
                  <c:v>256</c:v>
                </c:pt>
                <c:pt idx="4529">
                  <c:v>267</c:v>
                </c:pt>
                <c:pt idx="4530">
                  <c:v>177</c:v>
                </c:pt>
                <c:pt idx="4531">
                  <c:v>306</c:v>
                </c:pt>
                <c:pt idx="4532">
                  <c:v>122</c:v>
                </c:pt>
                <c:pt idx="4533">
                  <c:v>173</c:v>
                </c:pt>
                <c:pt idx="4534">
                  <c:v>160</c:v>
                </c:pt>
                <c:pt idx="4535">
                  <c:v>194</c:v>
                </c:pt>
                <c:pt idx="4536">
                  <c:v>227</c:v>
                </c:pt>
                <c:pt idx="4537">
                  <c:v>183</c:v>
                </c:pt>
                <c:pt idx="4538">
                  <c:v>149</c:v>
                </c:pt>
                <c:pt idx="4539">
                  <c:v>310</c:v>
                </c:pt>
                <c:pt idx="4540">
                  <c:v>210</c:v>
                </c:pt>
                <c:pt idx="4541">
                  <c:v>129</c:v>
                </c:pt>
                <c:pt idx="4542">
                  <c:v>170</c:v>
                </c:pt>
                <c:pt idx="4543">
                  <c:v>106</c:v>
                </c:pt>
                <c:pt idx="4544">
                  <c:v>227</c:v>
                </c:pt>
                <c:pt idx="4545">
                  <c:v>244</c:v>
                </c:pt>
                <c:pt idx="4546">
                  <c:v>235</c:v>
                </c:pt>
                <c:pt idx="4547">
                  <c:v>203</c:v>
                </c:pt>
                <c:pt idx="4548">
                  <c:v>108</c:v>
                </c:pt>
                <c:pt idx="4549">
                  <c:v>66</c:v>
                </c:pt>
                <c:pt idx="4550">
                  <c:v>145</c:v>
                </c:pt>
                <c:pt idx="4551">
                  <c:v>223</c:v>
                </c:pt>
                <c:pt idx="4552">
                  <c:v>269</c:v>
                </c:pt>
                <c:pt idx="4553">
                  <c:v>178</c:v>
                </c:pt>
                <c:pt idx="4554">
                  <c:v>144</c:v>
                </c:pt>
                <c:pt idx="4555">
                  <c:v>134</c:v>
                </c:pt>
                <c:pt idx="4556">
                  <c:v>249</c:v>
                </c:pt>
                <c:pt idx="4557">
                  <c:v>264</c:v>
                </c:pt>
                <c:pt idx="4558">
                  <c:v>240</c:v>
                </c:pt>
                <c:pt idx="4559">
                  <c:v>264</c:v>
                </c:pt>
                <c:pt idx="4560">
                  <c:v>159</c:v>
                </c:pt>
                <c:pt idx="4561">
                  <c:v>225</c:v>
                </c:pt>
                <c:pt idx="4562">
                  <c:v>197</c:v>
                </c:pt>
                <c:pt idx="4563">
                  <c:v>226</c:v>
                </c:pt>
                <c:pt idx="4564">
                  <c:v>249</c:v>
                </c:pt>
                <c:pt idx="4565">
                  <c:v>186</c:v>
                </c:pt>
                <c:pt idx="4566">
                  <c:v>237</c:v>
                </c:pt>
                <c:pt idx="4567">
                  <c:v>239</c:v>
                </c:pt>
                <c:pt idx="4568">
                  <c:v>349</c:v>
                </c:pt>
                <c:pt idx="4569">
                  <c:v>243</c:v>
                </c:pt>
                <c:pt idx="4570">
                  <c:v>88</c:v>
                </c:pt>
                <c:pt idx="4571">
                  <c:v>87</c:v>
                </c:pt>
                <c:pt idx="4572">
                  <c:v>125</c:v>
                </c:pt>
                <c:pt idx="4573">
                  <c:v>117</c:v>
                </c:pt>
                <c:pt idx="4574">
                  <c:v>77</c:v>
                </c:pt>
                <c:pt idx="4575">
                  <c:v>56</c:v>
                </c:pt>
                <c:pt idx="4576">
                  <c:v>121</c:v>
                </c:pt>
                <c:pt idx="4577">
                  <c:v>115</c:v>
                </c:pt>
                <c:pt idx="4578">
                  <c:v>154</c:v>
                </c:pt>
                <c:pt idx="4579">
                  <c:v>63</c:v>
                </c:pt>
                <c:pt idx="4580">
                  <c:v>103</c:v>
                </c:pt>
                <c:pt idx="4581">
                  <c:v>115</c:v>
                </c:pt>
                <c:pt idx="4582">
                  <c:v>161</c:v>
                </c:pt>
                <c:pt idx="4583">
                  <c:v>182</c:v>
                </c:pt>
                <c:pt idx="4584">
                  <c:v>102</c:v>
                </c:pt>
                <c:pt idx="4585">
                  <c:v>197</c:v>
                </c:pt>
                <c:pt idx="4586">
                  <c:v>214</c:v>
                </c:pt>
                <c:pt idx="4587">
                  <c:v>85</c:v>
                </c:pt>
                <c:pt idx="4588">
                  <c:v>77</c:v>
                </c:pt>
                <c:pt idx="4589">
                  <c:v>156</c:v>
                </c:pt>
                <c:pt idx="4590">
                  <c:v>62</c:v>
                </c:pt>
                <c:pt idx="4591">
                  <c:v>167</c:v>
                </c:pt>
                <c:pt idx="4592">
                  <c:v>134</c:v>
                </c:pt>
                <c:pt idx="4593">
                  <c:v>143</c:v>
                </c:pt>
                <c:pt idx="4594">
                  <c:v>102</c:v>
                </c:pt>
                <c:pt idx="4595">
                  <c:v>132</c:v>
                </c:pt>
                <c:pt idx="4596">
                  <c:v>175</c:v>
                </c:pt>
                <c:pt idx="4597">
                  <c:v>147</c:v>
                </c:pt>
                <c:pt idx="4598">
                  <c:v>65</c:v>
                </c:pt>
                <c:pt idx="4599">
                  <c:v>193</c:v>
                </c:pt>
                <c:pt idx="4600">
                  <c:v>160</c:v>
                </c:pt>
                <c:pt idx="4601">
                  <c:v>134</c:v>
                </c:pt>
                <c:pt idx="4602">
                  <c:v>462</c:v>
                </c:pt>
                <c:pt idx="4603">
                  <c:v>197</c:v>
                </c:pt>
                <c:pt idx="4604">
                  <c:v>212</c:v>
                </c:pt>
                <c:pt idx="4605">
                  <c:v>281</c:v>
                </c:pt>
                <c:pt idx="4606">
                  <c:v>213</c:v>
                </c:pt>
                <c:pt idx="4607">
                  <c:v>265</c:v>
                </c:pt>
                <c:pt idx="4608">
                  <c:v>216</c:v>
                </c:pt>
                <c:pt idx="4609">
                  <c:v>240</c:v>
                </c:pt>
                <c:pt idx="4610">
                  <c:v>152</c:v>
                </c:pt>
                <c:pt idx="4611">
                  <c:v>207</c:v>
                </c:pt>
                <c:pt idx="4612">
                  <c:v>194</c:v>
                </c:pt>
                <c:pt idx="4613">
                  <c:v>222</c:v>
                </c:pt>
                <c:pt idx="4614">
                  <c:v>121</c:v>
                </c:pt>
                <c:pt idx="4615">
                  <c:v>160</c:v>
                </c:pt>
                <c:pt idx="4616">
                  <c:v>227</c:v>
                </c:pt>
                <c:pt idx="4617">
                  <c:v>127</c:v>
                </c:pt>
                <c:pt idx="4618">
                  <c:v>113</c:v>
                </c:pt>
                <c:pt idx="4619">
                  <c:v>105</c:v>
                </c:pt>
                <c:pt idx="4620">
                  <c:v>120</c:v>
                </c:pt>
                <c:pt idx="4621">
                  <c:v>109</c:v>
                </c:pt>
                <c:pt idx="4622">
                  <c:v>41</c:v>
                </c:pt>
                <c:pt idx="4623">
                  <c:v>174</c:v>
                </c:pt>
                <c:pt idx="4624">
                  <c:v>170</c:v>
                </c:pt>
                <c:pt idx="4625">
                  <c:v>205</c:v>
                </c:pt>
                <c:pt idx="4626">
                  <c:v>140</c:v>
                </c:pt>
                <c:pt idx="4627">
                  <c:v>223</c:v>
                </c:pt>
                <c:pt idx="4628">
                  <c:v>192</c:v>
                </c:pt>
                <c:pt idx="4629">
                  <c:v>213</c:v>
                </c:pt>
                <c:pt idx="4630">
                  <c:v>224</c:v>
                </c:pt>
                <c:pt idx="4631">
                  <c:v>231</c:v>
                </c:pt>
                <c:pt idx="4632">
                  <c:v>175</c:v>
                </c:pt>
                <c:pt idx="4633">
                  <c:v>114</c:v>
                </c:pt>
                <c:pt idx="4634">
                  <c:v>170</c:v>
                </c:pt>
                <c:pt idx="4635">
                  <c:v>295</c:v>
                </c:pt>
                <c:pt idx="4636">
                  <c:v>68</c:v>
                </c:pt>
                <c:pt idx="4637">
                  <c:v>132</c:v>
                </c:pt>
                <c:pt idx="4638">
                  <c:v>145</c:v>
                </c:pt>
                <c:pt idx="4639">
                  <c:v>103</c:v>
                </c:pt>
                <c:pt idx="4640">
                  <c:v>234</c:v>
                </c:pt>
                <c:pt idx="4641">
                  <c:v>156</c:v>
                </c:pt>
                <c:pt idx="4642">
                  <c:v>251</c:v>
                </c:pt>
                <c:pt idx="4643">
                  <c:v>201</c:v>
                </c:pt>
                <c:pt idx="4644">
                  <c:v>251</c:v>
                </c:pt>
                <c:pt idx="4645">
                  <c:v>260</c:v>
                </c:pt>
                <c:pt idx="4646">
                  <c:v>260</c:v>
                </c:pt>
                <c:pt idx="4647">
                  <c:v>300</c:v>
                </c:pt>
                <c:pt idx="4648">
                  <c:v>93</c:v>
                </c:pt>
                <c:pt idx="4649">
                  <c:v>140</c:v>
                </c:pt>
                <c:pt idx="4650">
                  <c:v>190</c:v>
                </c:pt>
                <c:pt idx="4651">
                  <c:v>140</c:v>
                </c:pt>
                <c:pt idx="4652">
                  <c:v>222</c:v>
                </c:pt>
                <c:pt idx="4653">
                  <c:v>285</c:v>
                </c:pt>
                <c:pt idx="4654">
                  <c:v>223</c:v>
                </c:pt>
                <c:pt idx="4655">
                  <c:v>180</c:v>
                </c:pt>
                <c:pt idx="4656">
                  <c:v>238</c:v>
                </c:pt>
                <c:pt idx="4657">
                  <c:v>131</c:v>
                </c:pt>
                <c:pt idx="4658">
                  <c:v>217</c:v>
                </c:pt>
                <c:pt idx="4659">
                  <c:v>199</c:v>
                </c:pt>
                <c:pt idx="4660">
                  <c:v>116</c:v>
                </c:pt>
                <c:pt idx="4661">
                  <c:v>124</c:v>
                </c:pt>
                <c:pt idx="4662">
                  <c:v>111</c:v>
                </c:pt>
                <c:pt idx="4663">
                  <c:v>79</c:v>
                </c:pt>
                <c:pt idx="4664">
                  <c:v>98</c:v>
                </c:pt>
                <c:pt idx="4665">
                  <c:v>71</c:v>
                </c:pt>
                <c:pt idx="4666">
                  <c:v>86</c:v>
                </c:pt>
                <c:pt idx="4667">
                  <c:v>46</c:v>
                </c:pt>
                <c:pt idx="4668">
                  <c:v>105</c:v>
                </c:pt>
                <c:pt idx="4669">
                  <c:v>120</c:v>
                </c:pt>
                <c:pt idx="4670">
                  <c:v>172</c:v>
                </c:pt>
                <c:pt idx="4671">
                  <c:v>177</c:v>
                </c:pt>
                <c:pt idx="4672">
                  <c:v>127</c:v>
                </c:pt>
                <c:pt idx="4673">
                  <c:v>248</c:v>
                </c:pt>
                <c:pt idx="4674">
                  <c:v>257</c:v>
                </c:pt>
                <c:pt idx="4675">
                  <c:v>197</c:v>
                </c:pt>
                <c:pt idx="4676">
                  <c:v>208</c:v>
                </c:pt>
                <c:pt idx="4677">
                  <c:v>234</c:v>
                </c:pt>
                <c:pt idx="4678">
                  <c:v>207</c:v>
                </c:pt>
                <c:pt idx="4679">
                  <c:v>172</c:v>
                </c:pt>
                <c:pt idx="4680">
                  <c:v>212</c:v>
                </c:pt>
                <c:pt idx="4681">
                  <c:v>278</c:v>
                </c:pt>
                <c:pt idx="4682">
                  <c:v>239</c:v>
                </c:pt>
                <c:pt idx="4683">
                  <c:v>221</c:v>
                </c:pt>
                <c:pt idx="4684">
                  <c:v>190</c:v>
                </c:pt>
                <c:pt idx="4685">
                  <c:v>207</c:v>
                </c:pt>
                <c:pt idx="4686">
                  <c:v>106</c:v>
                </c:pt>
                <c:pt idx="4687">
                  <c:v>163</c:v>
                </c:pt>
                <c:pt idx="4688">
                  <c:v>121</c:v>
                </c:pt>
                <c:pt idx="4689">
                  <c:v>239</c:v>
                </c:pt>
                <c:pt idx="4690">
                  <c:v>151</c:v>
                </c:pt>
                <c:pt idx="4691">
                  <c:v>216</c:v>
                </c:pt>
                <c:pt idx="4692">
                  <c:v>119</c:v>
                </c:pt>
                <c:pt idx="4693">
                  <c:v>208</c:v>
                </c:pt>
                <c:pt idx="4694">
                  <c:v>205</c:v>
                </c:pt>
                <c:pt idx="4695">
                  <c:v>211</c:v>
                </c:pt>
                <c:pt idx="4696">
                  <c:v>101</c:v>
                </c:pt>
                <c:pt idx="4697">
                  <c:v>181</c:v>
                </c:pt>
                <c:pt idx="4698">
                  <c:v>206</c:v>
                </c:pt>
                <c:pt idx="4699">
                  <c:v>202</c:v>
                </c:pt>
                <c:pt idx="4700">
                  <c:v>190</c:v>
                </c:pt>
                <c:pt idx="4701">
                  <c:v>203</c:v>
                </c:pt>
                <c:pt idx="4702">
                  <c:v>154</c:v>
                </c:pt>
                <c:pt idx="4703">
                  <c:v>139</c:v>
                </c:pt>
                <c:pt idx="4704">
                  <c:v>125</c:v>
                </c:pt>
                <c:pt idx="4705">
                  <c:v>148</c:v>
                </c:pt>
                <c:pt idx="4706">
                  <c:v>129</c:v>
                </c:pt>
                <c:pt idx="4707">
                  <c:v>152</c:v>
                </c:pt>
                <c:pt idx="4708">
                  <c:v>101</c:v>
                </c:pt>
                <c:pt idx="4709">
                  <c:v>110</c:v>
                </c:pt>
                <c:pt idx="4710">
                  <c:v>48</c:v>
                </c:pt>
                <c:pt idx="4711">
                  <c:v>126</c:v>
                </c:pt>
                <c:pt idx="4712">
                  <c:v>150</c:v>
                </c:pt>
                <c:pt idx="4713">
                  <c:v>108</c:v>
                </c:pt>
                <c:pt idx="4714">
                  <c:v>147</c:v>
                </c:pt>
                <c:pt idx="4715">
                  <c:v>102</c:v>
                </c:pt>
                <c:pt idx="4716">
                  <c:v>157</c:v>
                </c:pt>
                <c:pt idx="4717">
                  <c:v>39</c:v>
                </c:pt>
                <c:pt idx="4718">
                  <c:v>136</c:v>
                </c:pt>
                <c:pt idx="4719">
                  <c:v>143</c:v>
                </c:pt>
                <c:pt idx="4720">
                  <c:v>224</c:v>
                </c:pt>
                <c:pt idx="4721">
                  <c:v>150</c:v>
                </c:pt>
                <c:pt idx="4722">
                  <c:v>225</c:v>
                </c:pt>
                <c:pt idx="4723">
                  <c:v>360</c:v>
                </c:pt>
                <c:pt idx="4724">
                  <c:v>244</c:v>
                </c:pt>
                <c:pt idx="4725">
                  <c:v>220</c:v>
                </c:pt>
                <c:pt idx="4726">
                  <c:v>231</c:v>
                </c:pt>
                <c:pt idx="4727">
                  <c:v>177</c:v>
                </c:pt>
                <c:pt idx="4728">
                  <c:v>144</c:v>
                </c:pt>
                <c:pt idx="4729">
                  <c:v>156</c:v>
                </c:pt>
                <c:pt idx="4730">
                  <c:v>206</c:v>
                </c:pt>
                <c:pt idx="4731">
                  <c:v>219</c:v>
                </c:pt>
                <c:pt idx="4732">
                  <c:v>336</c:v>
                </c:pt>
                <c:pt idx="4733">
                  <c:v>223</c:v>
                </c:pt>
                <c:pt idx="4734">
                  <c:v>154</c:v>
                </c:pt>
                <c:pt idx="4735">
                  <c:v>220</c:v>
                </c:pt>
                <c:pt idx="4736">
                  <c:v>150</c:v>
                </c:pt>
                <c:pt idx="4737">
                  <c:v>141</c:v>
                </c:pt>
                <c:pt idx="4738">
                  <c:v>214</c:v>
                </c:pt>
                <c:pt idx="4739">
                  <c:v>91</c:v>
                </c:pt>
                <c:pt idx="4740">
                  <c:v>105</c:v>
                </c:pt>
                <c:pt idx="4741">
                  <c:v>156</c:v>
                </c:pt>
                <c:pt idx="4742">
                  <c:v>185</c:v>
                </c:pt>
                <c:pt idx="4743">
                  <c:v>82</c:v>
                </c:pt>
                <c:pt idx="4744">
                  <c:v>45</c:v>
                </c:pt>
                <c:pt idx="4745">
                  <c:v>84</c:v>
                </c:pt>
                <c:pt idx="4746">
                  <c:v>143</c:v>
                </c:pt>
                <c:pt idx="4747">
                  <c:v>214</c:v>
                </c:pt>
                <c:pt idx="4748">
                  <c:v>229</c:v>
                </c:pt>
                <c:pt idx="4749">
                  <c:v>120</c:v>
                </c:pt>
                <c:pt idx="4750">
                  <c:v>165</c:v>
                </c:pt>
                <c:pt idx="4751">
                  <c:v>197</c:v>
                </c:pt>
                <c:pt idx="4752">
                  <c:v>224</c:v>
                </c:pt>
                <c:pt idx="4753">
                  <c:v>194</c:v>
                </c:pt>
                <c:pt idx="4754">
                  <c:v>48</c:v>
                </c:pt>
                <c:pt idx="4755">
                  <c:v>64</c:v>
                </c:pt>
                <c:pt idx="4756">
                  <c:v>64</c:v>
                </c:pt>
                <c:pt idx="4757">
                  <c:v>131</c:v>
                </c:pt>
                <c:pt idx="4758">
                  <c:v>165</c:v>
                </c:pt>
                <c:pt idx="4759">
                  <c:v>169</c:v>
                </c:pt>
                <c:pt idx="4760">
                  <c:v>77</c:v>
                </c:pt>
                <c:pt idx="4761">
                  <c:v>59</c:v>
                </c:pt>
                <c:pt idx="4762">
                  <c:v>296</c:v>
                </c:pt>
                <c:pt idx="4763">
                  <c:v>233</c:v>
                </c:pt>
                <c:pt idx="4764">
                  <c:v>286</c:v>
                </c:pt>
                <c:pt idx="4765">
                  <c:v>270</c:v>
                </c:pt>
                <c:pt idx="4766">
                  <c:v>281</c:v>
                </c:pt>
                <c:pt idx="4767">
                  <c:v>198</c:v>
                </c:pt>
                <c:pt idx="4768">
                  <c:v>229</c:v>
                </c:pt>
                <c:pt idx="4769">
                  <c:v>198</c:v>
                </c:pt>
                <c:pt idx="4770">
                  <c:v>170</c:v>
                </c:pt>
                <c:pt idx="4771">
                  <c:v>194</c:v>
                </c:pt>
                <c:pt idx="4772">
                  <c:v>205</c:v>
                </c:pt>
                <c:pt idx="4773">
                  <c:v>240</c:v>
                </c:pt>
                <c:pt idx="4774">
                  <c:v>97</c:v>
                </c:pt>
                <c:pt idx="4775">
                  <c:v>113</c:v>
                </c:pt>
                <c:pt idx="4776">
                  <c:v>70</c:v>
                </c:pt>
                <c:pt idx="4777">
                  <c:v>108</c:v>
                </c:pt>
                <c:pt idx="4778">
                  <c:v>82</c:v>
                </c:pt>
                <c:pt idx="4779">
                  <c:v>141</c:v>
                </c:pt>
                <c:pt idx="4780">
                  <c:v>173</c:v>
                </c:pt>
                <c:pt idx="4781">
                  <c:v>82</c:v>
                </c:pt>
                <c:pt idx="4782">
                  <c:v>99</c:v>
                </c:pt>
                <c:pt idx="4783">
                  <c:v>98</c:v>
                </c:pt>
                <c:pt idx="4784">
                  <c:v>143</c:v>
                </c:pt>
                <c:pt idx="4785">
                  <c:v>127</c:v>
                </c:pt>
                <c:pt idx="4786">
                  <c:v>84</c:v>
                </c:pt>
                <c:pt idx="4787">
                  <c:v>73</c:v>
                </c:pt>
                <c:pt idx="4788">
                  <c:v>100</c:v>
                </c:pt>
                <c:pt idx="4789">
                  <c:v>101</c:v>
                </c:pt>
                <c:pt idx="4790">
                  <c:v>139</c:v>
                </c:pt>
                <c:pt idx="4791">
                  <c:v>165</c:v>
                </c:pt>
                <c:pt idx="4792">
                  <c:v>84</c:v>
                </c:pt>
                <c:pt idx="4793">
                  <c:v>84</c:v>
                </c:pt>
                <c:pt idx="4794">
                  <c:v>114</c:v>
                </c:pt>
                <c:pt idx="4795">
                  <c:v>146</c:v>
                </c:pt>
                <c:pt idx="4796">
                  <c:v>118</c:v>
                </c:pt>
                <c:pt idx="4797">
                  <c:v>187</c:v>
                </c:pt>
                <c:pt idx="4798">
                  <c:v>175</c:v>
                </c:pt>
                <c:pt idx="4799">
                  <c:v>153</c:v>
                </c:pt>
                <c:pt idx="4800">
                  <c:v>171</c:v>
                </c:pt>
                <c:pt idx="4801">
                  <c:v>409</c:v>
                </c:pt>
                <c:pt idx="4802">
                  <c:v>249</c:v>
                </c:pt>
                <c:pt idx="4803">
                  <c:v>133</c:v>
                </c:pt>
                <c:pt idx="4804">
                  <c:v>116</c:v>
                </c:pt>
                <c:pt idx="4805">
                  <c:v>83</c:v>
                </c:pt>
                <c:pt idx="4806">
                  <c:v>81</c:v>
                </c:pt>
                <c:pt idx="4807">
                  <c:v>179</c:v>
                </c:pt>
                <c:pt idx="4808">
                  <c:v>189</c:v>
                </c:pt>
                <c:pt idx="4809">
                  <c:v>216</c:v>
                </c:pt>
                <c:pt idx="4810">
                  <c:v>209</c:v>
                </c:pt>
                <c:pt idx="4811">
                  <c:v>153</c:v>
                </c:pt>
                <c:pt idx="4812">
                  <c:v>165</c:v>
                </c:pt>
                <c:pt idx="4813">
                  <c:v>209</c:v>
                </c:pt>
                <c:pt idx="4814">
                  <c:v>188</c:v>
                </c:pt>
                <c:pt idx="4815">
                  <c:v>179</c:v>
                </c:pt>
                <c:pt idx="4816">
                  <c:v>172</c:v>
                </c:pt>
                <c:pt idx="4817">
                  <c:v>94</c:v>
                </c:pt>
                <c:pt idx="4818">
                  <c:v>193</c:v>
                </c:pt>
                <c:pt idx="4819">
                  <c:v>196</c:v>
                </c:pt>
                <c:pt idx="4820">
                  <c:v>120</c:v>
                </c:pt>
                <c:pt idx="4821">
                  <c:v>164</c:v>
                </c:pt>
                <c:pt idx="4822">
                  <c:v>254</c:v>
                </c:pt>
                <c:pt idx="4823">
                  <c:v>172</c:v>
                </c:pt>
                <c:pt idx="4824">
                  <c:v>167</c:v>
                </c:pt>
                <c:pt idx="4825">
                  <c:v>164</c:v>
                </c:pt>
                <c:pt idx="4826">
                  <c:v>194</c:v>
                </c:pt>
                <c:pt idx="4827">
                  <c:v>244</c:v>
                </c:pt>
                <c:pt idx="4828">
                  <c:v>106</c:v>
                </c:pt>
                <c:pt idx="4829">
                  <c:v>254</c:v>
                </c:pt>
                <c:pt idx="4830">
                  <c:v>228</c:v>
                </c:pt>
                <c:pt idx="4831">
                  <c:v>116</c:v>
                </c:pt>
                <c:pt idx="4832">
                  <c:v>207</c:v>
                </c:pt>
                <c:pt idx="4833">
                  <c:v>228</c:v>
                </c:pt>
                <c:pt idx="4834">
                  <c:v>258</c:v>
                </c:pt>
                <c:pt idx="4835">
                  <c:v>243</c:v>
                </c:pt>
                <c:pt idx="4836">
                  <c:v>234</c:v>
                </c:pt>
                <c:pt idx="4837">
                  <c:v>211</c:v>
                </c:pt>
                <c:pt idx="4838">
                  <c:v>180</c:v>
                </c:pt>
                <c:pt idx="4839">
                  <c:v>237</c:v>
                </c:pt>
                <c:pt idx="4840">
                  <c:v>126</c:v>
                </c:pt>
                <c:pt idx="4841">
                  <c:v>184</c:v>
                </c:pt>
                <c:pt idx="4842">
                  <c:v>224</c:v>
                </c:pt>
                <c:pt idx="4843">
                  <c:v>191</c:v>
                </c:pt>
                <c:pt idx="4844">
                  <c:v>113</c:v>
                </c:pt>
                <c:pt idx="4845">
                  <c:v>181</c:v>
                </c:pt>
                <c:pt idx="4846">
                  <c:v>179</c:v>
                </c:pt>
                <c:pt idx="4847">
                  <c:v>168</c:v>
                </c:pt>
                <c:pt idx="4848">
                  <c:v>185</c:v>
                </c:pt>
                <c:pt idx="4849">
                  <c:v>74</c:v>
                </c:pt>
                <c:pt idx="4850">
                  <c:v>230</c:v>
                </c:pt>
                <c:pt idx="4851">
                  <c:v>194</c:v>
                </c:pt>
                <c:pt idx="4852">
                  <c:v>180</c:v>
                </c:pt>
                <c:pt idx="4853">
                  <c:v>207</c:v>
                </c:pt>
                <c:pt idx="4854">
                  <c:v>146</c:v>
                </c:pt>
                <c:pt idx="4855">
                  <c:v>281</c:v>
                </c:pt>
                <c:pt idx="4856">
                  <c:v>197</c:v>
                </c:pt>
                <c:pt idx="4857">
                  <c:v>255</c:v>
                </c:pt>
                <c:pt idx="4858">
                  <c:v>198</c:v>
                </c:pt>
                <c:pt idx="4859">
                  <c:v>218</c:v>
                </c:pt>
                <c:pt idx="4860">
                  <c:v>136</c:v>
                </c:pt>
                <c:pt idx="4861">
                  <c:v>164</c:v>
                </c:pt>
                <c:pt idx="4862">
                  <c:v>105</c:v>
                </c:pt>
                <c:pt idx="4863">
                  <c:v>96</c:v>
                </c:pt>
                <c:pt idx="4864">
                  <c:v>153</c:v>
                </c:pt>
                <c:pt idx="4865">
                  <c:v>107</c:v>
                </c:pt>
                <c:pt idx="4866">
                  <c:v>66</c:v>
                </c:pt>
                <c:pt idx="4867">
                  <c:v>98</c:v>
                </c:pt>
                <c:pt idx="4868">
                  <c:v>57</c:v>
                </c:pt>
                <c:pt idx="4869">
                  <c:v>82</c:v>
                </c:pt>
                <c:pt idx="4870">
                  <c:v>204</c:v>
                </c:pt>
                <c:pt idx="4871">
                  <c:v>96</c:v>
                </c:pt>
                <c:pt idx="4872">
                  <c:v>104</c:v>
                </c:pt>
                <c:pt idx="4873">
                  <c:v>110</c:v>
                </c:pt>
                <c:pt idx="4874">
                  <c:v>76</c:v>
                </c:pt>
                <c:pt idx="4875">
                  <c:v>85</c:v>
                </c:pt>
                <c:pt idx="4876">
                  <c:v>74</c:v>
                </c:pt>
                <c:pt idx="4877">
                  <c:v>143</c:v>
                </c:pt>
                <c:pt idx="4878">
                  <c:v>135</c:v>
                </c:pt>
                <c:pt idx="4879">
                  <c:v>136</c:v>
                </c:pt>
                <c:pt idx="4880">
                  <c:v>169</c:v>
                </c:pt>
                <c:pt idx="4881">
                  <c:v>197</c:v>
                </c:pt>
                <c:pt idx="4882">
                  <c:v>106</c:v>
                </c:pt>
                <c:pt idx="4883">
                  <c:v>168</c:v>
                </c:pt>
                <c:pt idx="4884">
                  <c:v>185</c:v>
                </c:pt>
                <c:pt idx="4885">
                  <c:v>179</c:v>
                </c:pt>
                <c:pt idx="4886">
                  <c:v>181</c:v>
                </c:pt>
                <c:pt idx="4887">
                  <c:v>178</c:v>
                </c:pt>
                <c:pt idx="4888">
                  <c:v>181</c:v>
                </c:pt>
                <c:pt idx="4889">
                  <c:v>220</c:v>
                </c:pt>
                <c:pt idx="4890">
                  <c:v>197</c:v>
                </c:pt>
                <c:pt idx="4891">
                  <c:v>223</c:v>
                </c:pt>
                <c:pt idx="4892">
                  <c:v>231</c:v>
                </c:pt>
                <c:pt idx="4893">
                  <c:v>159</c:v>
                </c:pt>
                <c:pt idx="4894">
                  <c:v>170</c:v>
                </c:pt>
                <c:pt idx="4895">
                  <c:v>134</c:v>
                </c:pt>
                <c:pt idx="4896">
                  <c:v>206</c:v>
                </c:pt>
                <c:pt idx="4897">
                  <c:v>195</c:v>
                </c:pt>
                <c:pt idx="4898">
                  <c:v>197</c:v>
                </c:pt>
                <c:pt idx="4899">
                  <c:v>200</c:v>
                </c:pt>
                <c:pt idx="4900">
                  <c:v>263</c:v>
                </c:pt>
                <c:pt idx="4901">
                  <c:v>227</c:v>
                </c:pt>
                <c:pt idx="4902">
                  <c:v>147</c:v>
                </c:pt>
                <c:pt idx="4903">
                  <c:v>223</c:v>
                </c:pt>
                <c:pt idx="4904">
                  <c:v>203</c:v>
                </c:pt>
                <c:pt idx="4905">
                  <c:v>276</c:v>
                </c:pt>
                <c:pt idx="4906">
                  <c:v>197</c:v>
                </c:pt>
                <c:pt idx="4907">
                  <c:v>125</c:v>
                </c:pt>
                <c:pt idx="4908">
                  <c:v>243</c:v>
                </c:pt>
                <c:pt idx="4909">
                  <c:v>126</c:v>
                </c:pt>
                <c:pt idx="4910">
                  <c:v>242</c:v>
                </c:pt>
                <c:pt idx="4911">
                  <c:v>200</c:v>
                </c:pt>
                <c:pt idx="4912">
                  <c:v>154</c:v>
                </c:pt>
                <c:pt idx="4913">
                  <c:v>73</c:v>
                </c:pt>
                <c:pt idx="4914">
                  <c:v>62</c:v>
                </c:pt>
                <c:pt idx="4915">
                  <c:v>120</c:v>
                </c:pt>
                <c:pt idx="4916">
                  <c:v>220</c:v>
                </c:pt>
                <c:pt idx="4917">
                  <c:v>195</c:v>
                </c:pt>
                <c:pt idx="4918">
                  <c:v>191</c:v>
                </c:pt>
                <c:pt idx="4919">
                  <c:v>216</c:v>
                </c:pt>
                <c:pt idx="4920">
                  <c:v>170</c:v>
                </c:pt>
                <c:pt idx="4921">
                  <c:v>220</c:v>
                </c:pt>
                <c:pt idx="4922">
                  <c:v>105</c:v>
                </c:pt>
                <c:pt idx="4923">
                  <c:v>215</c:v>
                </c:pt>
                <c:pt idx="4924">
                  <c:v>215</c:v>
                </c:pt>
                <c:pt idx="4925">
                  <c:v>99</c:v>
                </c:pt>
                <c:pt idx="4926">
                  <c:v>164</c:v>
                </c:pt>
                <c:pt idx="4927">
                  <c:v>211</c:v>
                </c:pt>
                <c:pt idx="4928">
                  <c:v>141</c:v>
                </c:pt>
                <c:pt idx="4929">
                  <c:v>170</c:v>
                </c:pt>
                <c:pt idx="4930">
                  <c:v>199</c:v>
                </c:pt>
                <c:pt idx="4931">
                  <c:v>205</c:v>
                </c:pt>
                <c:pt idx="4932">
                  <c:v>220</c:v>
                </c:pt>
                <c:pt idx="4933">
                  <c:v>142</c:v>
                </c:pt>
                <c:pt idx="4934">
                  <c:v>149</c:v>
                </c:pt>
                <c:pt idx="4935">
                  <c:v>200</c:v>
                </c:pt>
                <c:pt idx="4936">
                  <c:v>143</c:v>
                </c:pt>
                <c:pt idx="4937">
                  <c:v>141</c:v>
                </c:pt>
                <c:pt idx="4938">
                  <c:v>80</c:v>
                </c:pt>
                <c:pt idx="4939">
                  <c:v>99</c:v>
                </c:pt>
                <c:pt idx="4940">
                  <c:v>136</c:v>
                </c:pt>
                <c:pt idx="4941">
                  <c:v>163</c:v>
                </c:pt>
                <c:pt idx="4942">
                  <c:v>55</c:v>
                </c:pt>
                <c:pt idx="4943">
                  <c:v>26</c:v>
                </c:pt>
                <c:pt idx="4944">
                  <c:v>42</c:v>
                </c:pt>
                <c:pt idx="4945">
                  <c:v>128</c:v>
                </c:pt>
                <c:pt idx="4946">
                  <c:v>90</c:v>
                </c:pt>
                <c:pt idx="4947">
                  <c:v>107</c:v>
                </c:pt>
                <c:pt idx="4948">
                  <c:v>157</c:v>
                </c:pt>
                <c:pt idx="4949">
                  <c:v>120</c:v>
                </c:pt>
                <c:pt idx="4950">
                  <c:v>168</c:v>
                </c:pt>
                <c:pt idx="4951">
                  <c:v>73</c:v>
                </c:pt>
                <c:pt idx="4952">
                  <c:v>101</c:v>
                </c:pt>
                <c:pt idx="4953">
                  <c:v>133</c:v>
                </c:pt>
                <c:pt idx="4954">
                  <c:v>65</c:v>
                </c:pt>
                <c:pt idx="4955">
                  <c:v>157</c:v>
                </c:pt>
                <c:pt idx="4956">
                  <c:v>327</c:v>
                </c:pt>
                <c:pt idx="4957">
                  <c:v>139</c:v>
                </c:pt>
                <c:pt idx="4958">
                  <c:v>221</c:v>
                </c:pt>
                <c:pt idx="4959">
                  <c:v>354</c:v>
                </c:pt>
                <c:pt idx="4960">
                  <c:v>311</c:v>
                </c:pt>
                <c:pt idx="4961">
                  <c:v>240</c:v>
                </c:pt>
                <c:pt idx="4962">
                  <c:v>196</c:v>
                </c:pt>
                <c:pt idx="4963">
                  <c:v>135</c:v>
                </c:pt>
                <c:pt idx="4964">
                  <c:v>155</c:v>
                </c:pt>
                <c:pt idx="4965">
                  <c:v>220</c:v>
                </c:pt>
                <c:pt idx="4966">
                  <c:v>173</c:v>
                </c:pt>
                <c:pt idx="4967">
                  <c:v>132</c:v>
                </c:pt>
                <c:pt idx="4968">
                  <c:v>129</c:v>
                </c:pt>
                <c:pt idx="4969">
                  <c:v>167</c:v>
                </c:pt>
                <c:pt idx="4970">
                  <c:v>171</c:v>
                </c:pt>
                <c:pt idx="4971">
                  <c:v>162</c:v>
                </c:pt>
                <c:pt idx="4972">
                  <c:v>119</c:v>
                </c:pt>
                <c:pt idx="4973">
                  <c:v>148</c:v>
                </c:pt>
                <c:pt idx="4974">
                  <c:v>95</c:v>
                </c:pt>
                <c:pt idx="4975">
                  <c:v>171</c:v>
                </c:pt>
                <c:pt idx="4976">
                  <c:v>268</c:v>
                </c:pt>
                <c:pt idx="4977">
                  <c:v>115</c:v>
                </c:pt>
                <c:pt idx="4978">
                  <c:v>138</c:v>
                </c:pt>
                <c:pt idx="4979">
                  <c:v>259</c:v>
                </c:pt>
                <c:pt idx="4980">
                  <c:v>160</c:v>
                </c:pt>
                <c:pt idx="4981">
                  <c:v>124</c:v>
                </c:pt>
                <c:pt idx="4982">
                  <c:v>127</c:v>
                </c:pt>
                <c:pt idx="4983">
                  <c:v>144</c:v>
                </c:pt>
                <c:pt idx="4984">
                  <c:v>185</c:v>
                </c:pt>
                <c:pt idx="4985">
                  <c:v>154</c:v>
                </c:pt>
                <c:pt idx="4986">
                  <c:v>149</c:v>
                </c:pt>
                <c:pt idx="4987">
                  <c:v>173</c:v>
                </c:pt>
                <c:pt idx="4988">
                  <c:v>156</c:v>
                </c:pt>
                <c:pt idx="4989">
                  <c:v>150</c:v>
                </c:pt>
                <c:pt idx="4990">
                  <c:v>157</c:v>
                </c:pt>
                <c:pt idx="4991">
                  <c:v>189</c:v>
                </c:pt>
                <c:pt idx="4992">
                  <c:v>223</c:v>
                </c:pt>
                <c:pt idx="4993">
                  <c:v>166</c:v>
                </c:pt>
                <c:pt idx="4994">
                  <c:v>171</c:v>
                </c:pt>
                <c:pt idx="4995">
                  <c:v>235</c:v>
                </c:pt>
                <c:pt idx="4996">
                  <c:v>305</c:v>
                </c:pt>
                <c:pt idx="4997">
                  <c:v>258</c:v>
                </c:pt>
                <c:pt idx="4998">
                  <c:v>204</c:v>
                </c:pt>
              </c:numCache>
            </c:numRef>
          </c:yVal>
          <c:smooth val="0"/>
          <c:extLst>
            <c:ext xmlns:c16="http://schemas.microsoft.com/office/drawing/2014/chart" uri="{C3380CC4-5D6E-409C-BE32-E72D297353CC}">
              <c16:uniqueId val="{00000000-9690-4A71-9DFB-9E34F002B442}"/>
            </c:ext>
          </c:extLst>
        </c:ser>
        <c:dLbls>
          <c:showLegendKey val="0"/>
          <c:showVal val="0"/>
          <c:showCatName val="0"/>
          <c:showSerName val="0"/>
          <c:showPercent val="0"/>
          <c:showBubbleSize val="0"/>
        </c:dLbls>
        <c:axId val="543130752"/>
        <c:axId val="543128832"/>
      </c:scatterChart>
      <c:valAx>
        <c:axId val="5431307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128832"/>
        <c:crosses val="autoZero"/>
        <c:crossBetween val="midCat"/>
      </c:valAx>
      <c:valAx>
        <c:axId val="543128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1307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Linear Relationship between Operating Profit and Total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2891348311275391"/>
                  <c:y val="-0.31479639771215739"/>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xVal>
            <c:numRef>
              <c:f>'Raw Data&amp; 2.1.1'!$J$2:$J$5000</c:f>
              <c:numCache>
                <c:formatCode>#,##0</c:formatCode>
                <c:ptCount val="4999"/>
                <c:pt idx="0">
                  <c:v>2245</c:v>
                </c:pt>
                <c:pt idx="1">
                  <c:v>1679</c:v>
                </c:pt>
                <c:pt idx="2">
                  <c:v>7000</c:v>
                </c:pt>
                <c:pt idx="3">
                  <c:v>8625</c:v>
                </c:pt>
                <c:pt idx="4">
                  <c:v>7125</c:v>
                </c:pt>
                <c:pt idx="5">
                  <c:v>7125</c:v>
                </c:pt>
                <c:pt idx="6">
                  <c:v>9000</c:v>
                </c:pt>
                <c:pt idx="7">
                  <c:v>6750</c:v>
                </c:pt>
                <c:pt idx="8">
                  <c:v>9000</c:v>
                </c:pt>
                <c:pt idx="9">
                  <c:v>1910</c:v>
                </c:pt>
                <c:pt idx="10">
                  <c:v>8500</c:v>
                </c:pt>
                <c:pt idx="11">
                  <c:v>6375</c:v>
                </c:pt>
                <c:pt idx="12">
                  <c:v>8500</c:v>
                </c:pt>
                <c:pt idx="13">
                  <c:v>8500</c:v>
                </c:pt>
                <c:pt idx="14">
                  <c:v>6375</c:v>
                </c:pt>
                <c:pt idx="15">
                  <c:v>8500</c:v>
                </c:pt>
                <c:pt idx="16">
                  <c:v>8500</c:v>
                </c:pt>
                <c:pt idx="17">
                  <c:v>8500</c:v>
                </c:pt>
                <c:pt idx="18">
                  <c:v>2016</c:v>
                </c:pt>
                <c:pt idx="19">
                  <c:v>1591</c:v>
                </c:pt>
                <c:pt idx="20">
                  <c:v>1854</c:v>
                </c:pt>
                <c:pt idx="21">
                  <c:v>8000</c:v>
                </c:pt>
                <c:pt idx="22">
                  <c:v>8000</c:v>
                </c:pt>
                <c:pt idx="23">
                  <c:v>8000</c:v>
                </c:pt>
                <c:pt idx="24">
                  <c:v>8000</c:v>
                </c:pt>
                <c:pt idx="25">
                  <c:v>8000</c:v>
                </c:pt>
                <c:pt idx="26">
                  <c:v>6000</c:v>
                </c:pt>
                <c:pt idx="27">
                  <c:v>1880</c:v>
                </c:pt>
                <c:pt idx="28">
                  <c:v>1560</c:v>
                </c:pt>
                <c:pt idx="29">
                  <c:v>1280</c:v>
                </c:pt>
                <c:pt idx="30">
                  <c:v>1306</c:v>
                </c:pt>
                <c:pt idx="31">
                  <c:v>1166</c:v>
                </c:pt>
                <c:pt idx="32">
                  <c:v>7500</c:v>
                </c:pt>
                <c:pt idx="33">
                  <c:v>7500</c:v>
                </c:pt>
                <c:pt idx="34">
                  <c:v>7500</c:v>
                </c:pt>
                <c:pt idx="35">
                  <c:v>7500</c:v>
                </c:pt>
                <c:pt idx="36">
                  <c:v>5625</c:v>
                </c:pt>
                <c:pt idx="37">
                  <c:v>5625</c:v>
                </c:pt>
                <c:pt idx="38">
                  <c:v>5625</c:v>
                </c:pt>
                <c:pt idx="39">
                  <c:v>1538</c:v>
                </c:pt>
                <c:pt idx="40">
                  <c:v>1085</c:v>
                </c:pt>
                <c:pt idx="41">
                  <c:v>1085</c:v>
                </c:pt>
                <c:pt idx="42">
                  <c:v>1228</c:v>
                </c:pt>
                <c:pt idx="43">
                  <c:v>1610</c:v>
                </c:pt>
                <c:pt idx="44">
                  <c:v>2016</c:v>
                </c:pt>
                <c:pt idx="45">
                  <c:v>1328</c:v>
                </c:pt>
                <c:pt idx="46">
                  <c:v>1704</c:v>
                </c:pt>
                <c:pt idx="47">
                  <c:v>1628</c:v>
                </c:pt>
                <c:pt idx="48">
                  <c:v>1654</c:v>
                </c:pt>
                <c:pt idx="49">
                  <c:v>8750</c:v>
                </c:pt>
                <c:pt idx="50">
                  <c:v>8750</c:v>
                </c:pt>
                <c:pt idx="51">
                  <c:v>8750</c:v>
                </c:pt>
                <c:pt idx="52">
                  <c:v>8750</c:v>
                </c:pt>
                <c:pt idx="53">
                  <c:v>8750</c:v>
                </c:pt>
                <c:pt idx="54">
                  <c:v>3500</c:v>
                </c:pt>
                <c:pt idx="55">
                  <c:v>8750</c:v>
                </c:pt>
                <c:pt idx="56">
                  <c:v>8750</c:v>
                </c:pt>
                <c:pt idx="57">
                  <c:v>8750</c:v>
                </c:pt>
                <c:pt idx="58">
                  <c:v>3500</c:v>
                </c:pt>
                <c:pt idx="59">
                  <c:v>8750</c:v>
                </c:pt>
                <c:pt idx="60">
                  <c:v>5250</c:v>
                </c:pt>
                <c:pt idx="61">
                  <c:v>7000</c:v>
                </c:pt>
                <c:pt idx="62">
                  <c:v>7000</c:v>
                </c:pt>
                <c:pt idx="63">
                  <c:v>8750</c:v>
                </c:pt>
                <c:pt idx="64">
                  <c:v>5250</c:v>
                </c:pt>
                <c:pt idx="65">
                  <c:v>8750</c:v>
                </c:pt>
                <c:pt idx="66">
                  <c:v>8750</c:v>
                </c:pt>
                <c:pt idx="67">
                  <c:v>1120</c:v>
                </c:pt>
                <c:pt idx="68">
                  <c:v>1260</c:v>
                </c:pt>
                <c:pt idx="69">
                  <c:v>1505</c:v>
                </c:pt>
                <c:pt idx="70">
                  <c:v>1575</c:v>
                </c:pt>
                <c:pt idx="71">
                  <c:v>1330</c:v>
                </c:pt>
                <c:pt idx="72" formatCode="General">
                  <c:v>907</c:v>
                </c:pt>
                <c:pt idx="73">
                  <c:v>1596</c:v>
                </c:pt>
                <c:pt idx="74">
                  <c:v>6900</c:v>
                </c:pt>
                <c:pt idx="75">
                  <c:v>1398</c:v>
                </c:pt>
                <c:pt idx="76">
                  <c:v>1394</c:v>
                </c:pt>
                <c:pt idx="77">
                  <c:v>1632</c:v>
                </c:pt>
                <c:pt idx="78">
                  <c:v>1386</c:v>
                </c:pt>
                <c:pt idx="79">
                  <c:v>1579</c:v>
                </c:pt>
                <c:pt idx="80">
                  <c:v>1299</c:v>
                </c:pt>
                <c:pt idx="81">
                  <c:v>1399</c:v>
                </c:pt>
                <c:pt idx="82">
                  <c:v>1066</c:v>
                </c:pt>
                <c:pt idx="83">
                  <c:v>1132</c:v>
                </c:pt>
                <c:pt idx="84">
                  <c:v>1527</c:v>
                </c:pt>
                <c:pt idx="85">
                  <c:v>1162</c:v>
                </c:pt>
                <c:pt idx="86">
                  <c:v>1254</c:v>
                </c:pt>
                <c:pt idx="87">
                  <c:v>1650</c:v>
                </c:pt>
                <c:pt idx="88">
                  <c:v>2021</c:v>
                </c:pt>
                <c:pt idx="89">
                  <c:v>8125</c:v>
                </c:pt>
                <c:pt idx="90">
                  <c:v>8125</c:v>
                </c:pt>
                <c:pt idx="91">
                  <c:v>6500</c:v>
                </c:pt>
                <c:pt idx="92">
                  <c:v>8125</c:v>
                </c:pt>
                <c:pt idx="93">
                  <c:v>4875</c:v>
                </c:pt>
                <c:pt idx="94">
                  <c:v>3250</c:v>
                </c:pt>
                <c:pt idx="95">
                  <c:v>6500</c:v>
                </c:pt>
                <c:pt idx="96">
                  <c:v>8125</c:v>
                </c:pt>
                <c:pt idx="97">
                  <c:v>8125</c:v>
                </c:pt>
                <c:pt idx="98">
                  <c:v>6500</c:v>
                </c:pt>
                <c:pt idx="99">
                  <c:v>4875</c:v>
                </c:pt>
                <c:pt idx="100">
                  <c:v>8125</c:v>
                </c:pt>
                <c:pt idx="101">
                  <c:v>4875</c:v>
                </c:pt>
                <c:pt idx="102">
                  <c:v>6500</c:v>
                </c:pt>
                <c:pt idx="103">
                  <c:v>6500</c:v>
                </c:pt>
                <c:pt idx="104">
                  <c:v>6500</c:v>
                </c:pt>
                <c:pt idx="105">
                  <c:v>1885</c:v>
                </c:pt>
                <c:pt idx="106">
                  <c:v>1296</c:v>
                </c:pt>
                <c:pt idx="107">
                  <c:v>2035</c:v>
                </c:pt>
                <c:pt idx="108">
                  <c:v>1034</c:v>
                </c:pt>
                <c:pt idx="109">
                  <c:v>1163</c:v>
                </c:pt>
                <c:pt idx="110">
                  <c:v>1066</c:v>
                </c:pt>
                <c:pt idx="111">
                  <c:v>1707</c:v>
                </c:pt>
                <c:pt idx="112">
                  <c:v>1288</c:v>
                </c:pt>
                <c:pt idx="113">
                  <c:v>1063</c:v>
                </c:pt>
                <c:pt idx="114" formatCode="General">
                  <c:v>966</c:v>
                </c:pt>
                <c:pt idx="115" formatCode="General">
                  <c:v>998</c:v>
                </c:pt>
                <c:pt idx="116">
                  <c:v>8000</c:v>
                </c:pt>
                <c:pt idx="117">
                  <c:v>1152</c:v>
                </c:pt>
                <c:pt idx="118">
                  <c:v>1408</c:v>
                </c:pt>
                <c:pt idx="119">
                  <c:v>1882</c:v>
                </c:pt>
                <c:pt idx="120">
                  <c:v>1180</c:v>
                </c:pt>
                <c:pt idx="121">
                  <c:v>1372</c:v>
                </c:pt>
                <c:pt idx="122">
                  <c:v>1304</c:v>
                </c:pt>
                <c:pt idx="123">
                  <c:v>1712</c:v>
                </c:pt>
                <c:pt idx="124">
                  <c:v>1229</c:v>
                </c:pt>
                <c:pt idx="125">
                  <c:v>1103</c:v>
                </c:pt>
                <c:pt idx="126">
                  <c:v>1103</c:v>
                </c:pt>
                <c:pt idx="127" formatCode="General">
                  <c:v>882</c:v>
                </c:pt>
                <c:pt idx="128">
                  <c:v>1134</c:v>
                </c:pt>
                <c:pt idx="129">
                  <c:v>1386</c:v>
                </c:pt>
                <c:pt idx="130" formatCode="General">
                  <c:v>756</c:v>
                </c:pt>
                <c:pt idx="131">
                  <c:v>1134</c:v>
                </c:pt>
                <c:pt idx="132">
                  <c:v>1229</c:v>
                </c:pt>
                <c:pt idx="133" formatCode="General">
                  <c:v>848</c:v>
                </c:pt>
                <c:pt idx="134">
                  <c:v>1162</c:v>
                </c:pt>
                <c:pt idx="135">
                  <c:v>1225</c:v>
                </c:pt>
                <c:pt idx="136">
                  <c:v>1440</c:v>
                </c:pt>
                <c:pt idx="137">
                  <c:v>1722</c:v>
                </c:pt>
                <c:pt idx="138">
                  <c:v>1934</c:v>
                </c:pt>
                <c:pt idx="139">
                  <c:v>1186</c:v>
                </c:pt>
                <c:pt idx="140">
                  <c:v>1248</c:v>
                </c:pt>
                <c:pt idx="141">
                  <c:v>1959</c:v>
                </c:pt>
                <c:pt idx="142">
                  <c:v>1333</c:v>
                </c:pt>
                <c:pt idx="143">
                  <c:v>1632</c:v>
                </c:pt>
                <c:pt idx="144">
                  <c:v>1879</c:v>
                </c:pt>
                <c:pt idx="145">
                  <c:v>1316</c:v>
                </c:pt>
                <c:pt idx="146">
                  <c:v>1316</c:v>
                </c:pt>
                <c:pt idx="147">
                  <c:v>1040</c:v>
                </c:pt>
                <c:pt idx="148">
                  <c:v>1255</c:v>
                </c:pt>
                <c:pt idx="149" formatCode="General">
                  <c:v>612</c:v>
                </c:pt>
                <c:pt idx="150" formatCode="General">
                  <c:v>704</c:v>
                </c:pt>
                <c:pt idx="151" formatCode="General">
                  <c:v>887</c:v>
                </c:pt>
                <c:pt idx="152" formatCode="General">
                  <c:v>949</c:v>
                </c:pt>
                <c:pt idx="153">
                  <c:v>1255</c:v>
                </c:pt>
                <c:pt idx="154">
                  <c:v>1836</c:v>
                </c:pt>
                <c:pt idx="155">
                  <c:v>1408</c:v>
                </c:pt>
                <c:pt idx="156">
                  <c:v>1102</c:v>
                </c:pt>
                <c:pt idx="157">
                  <c:v>1132</c:v>
                </c:pt>
                <c:pt idx="158">
                  <c:v>1897</c:v>
                </c:pt>
                <c:pt idx="159">
                  <c:v>1952</c:v>
                </c:pt>
                <c:pt idx="160" formatCode="General">
                  <c:v>824</c:v>
                </c:pt>
                <c:pt idx="161">
                  <c:v>1007</c:v>
                </c:pt>
                <c:pt idx="162">
                  <c:v>1190</c:v>
                </c:pt>
                <c:pt idx="163">
                  <c:v>1824</c:v>
                </c:pt>
                <c:pt idx="164">
                  <c:v>1087</c:v>
                </c:pt>
                <c:pt idx="165">
                  <c:v>1359</c:v>
                </c:pt>
                <c:pt idx="166">
                  <c:v>9000</c:v>
                </c:pt>
                <c:pt idx="167">
                  <c:v>9000</c:v>
                </c:pt>
                <c:pt idx="168">
                  <c:v>9000</c:v>
                </c:pt>
                <c:pt idx="169">
                  <c:v>4500</c:v>
                </c:pt>
                <c:pt idx="170">
                  <c:v>6000</c:v>
                </c:pt>
                <c:pt idx="171">
                  <c:v>6000</c:v>
                </c:pt>
                <c:pt idx="172">
                  <c:v>9000</c:v>
                </c:pt>
                <c:pt idx="173">
                  <c:v>6000</c:v>
                </c:pt>
                <c:pt idx="174">
                  <c:v>6000</c:v>
                </c:pt>
                <c:pt idx="175">
                  <c:v>7500</c:v>
                </c:pt>
                <c:pt idx="176">
                  <c:v>4500</c:v>
                </c:pt>
                <c:pt idx="177">
                  <c:v>6000</c:v>
                </c:pt>
                <c:pt idx="178">
                  <c:v>4500</c:v>
                </c:pt>
                <c:pt idx="179">
                  <c:v>4500</c:v>
                </c:pt>
                <c:pt idx="180">
                  <c:v>9000</c:v>
                </c:pt>
                <c:pt idx="181">
                  <c:v>9000</c:v>
                </c:pt>
                <c:pt idx="182">
                  <c:v>9000</c:v>
                </c:pt>
                <c:pt idx="183">
                  <c:v>7500</c:v>
                </c:pt>
                <c:pt idx="184">
                  <c:v>6000</c:v>
                </c:pt>
                <c:pt idx="185">
                  <c:v>7500</c:v>
                </c:pt>
                <c:pt idx="186">
                  <c:v>9000</c:v>
                </c:pt>
                <c:pt idx="187">
                  <c:v>9000</c:v>
                </c:pt>
                <c:pt idx="188">
                  <c:v>1350</c:v>
                </c:pt>
                <c:pt idx="189">
                  <c:v>1530</c:v>
                </c:pt>
                <c:pt idx="190">
                  <c:v>1560</c:v>
                </c:pt>
                <c:pt idx="191">
                  <c:v>1794</c:v>
                </c:pt>
                <c:pt idx="192">
                  <c:v>1794</c:v>
                </c:pt>
                <c:pt idx="193">
                  <c:v>1252</c:v>
                </c:pt>
                <c:pt idx="194">
                  <c:v>1132</c:v>
                </c:pt>
                <c:pt idx="195">
                  <c:v>1788</c:v>
                </c:pt>
                <c:pt idx="196">
                  <c:v>1158</c:v>
                </c:pt>
                <c:pt idx="197">
                  <c:v>1129</c:v>
                </c:pt>
                <c:pt idx="198">
                  <c:v>1069</c:v>
                </c:pt>
                <c:pt idx="199">
                  <c:v>2020</c:v>
                </c:pt>
                <c:pt idx="200">
                  <c:v>1095</c:v>
                </c:pt>
                <c:pt idx="201">
                  <c:v>1095</c:v>
                </c:pt>
                <c:pt idx="202">
                  <c:v>7375</c:v>
                </c:pt>
                <c:pt idx="203">
                  <c:v>1033</c:v>
                </c:pt>
                <c:pt idx="204" formatCode="General">
                  <c:v>944</c:v>
                </c:pt>
                <c:pt idx="205" formatCode="General">
                  <c:v>826</c:v>
                </c:pt>
                <c:pt idx="206" formatCode="General">
                  <c:v>856</c:v>
                </c:pt>
                <c:pt idx="207">
                  <c:v>1764</c:v>
                </c:pt>
                <c:pt idx="208">
                  <c:v>1264</c:v>
                </c:pt>
                <c:pt idx="209">
                  <c:v>1377</c:v>
                </c:pt>
                <c:pt idx="210">
                  <c:v>1494</c:v>
                </c:pt>
                <c:pt idx="211">
                  <c:v>1392</c:v>
                </c:pt>
                <c:pt idx="212">
                  <c:v>1711</c:v>
                </c:pt>
                <c:pt idx="213">
                  <c:v>1798</c:v>
                </c:pt>
                <c:pt idx="214">
                  <c:v>1972</c:v>
                </c:pt>
                <c:pt idx="215">
                  <c:v>1972</c:v>
                </c:pt>
                <c:pt idx="216">
                  <c:v>1595</c:v>
                </c:pt>
                <c:pt idx="217">
                  <c:v>1943</c:v>
                </c:pt>
                <c:pt idx="218">
                  <c:v>1243</c:v>
                </c:pt>
                <c:pt idx="219" formatCode="General">
                  <c:v>896</c:v>
                </c:pt>
                <c:pt idx="220" formatCode="General">
                  <c:v>954</c:v>
                </c:pt>
                <c:pt idx="221">
                  <c:v>1474</c:v>
                </c:pt>
                <c:pt idx="222" formatCode="General">
                  <c:v>665</c:v>
                </c:pt>
                <c:pt idx="223">
                  <c:v>1272</c:v>
                </c:pt>
                <c:pt idx="224" formatCode="General">
                  <c:v>809</c:v>
                </c:pt>
                <c:pt idx="225">
                  <c:v>1040</c:v>
                </c:pt>
                <c:pt idx="226">
                  <c:v>1098</c:v>
                </c:pt>
                <c:pt idx="227">
                  <c:v>1358</c:v>
                </c:pt>
                <c:pt idx="228">
                  <c:v>1037</c:v>
                </c:pt>
                <c:pt idx="229">
                  <c:v>1296</c:v>
                </c:pt>
                <c:pt idx="230">
                  <c:v>1210</c:v>
                </c:pt>
                <c:pt idx="231">
                  <c:v>1037</c:v>
                </c:pt>
                <c:pt idx="232">
                  <c:v>1464</c:v>
                </c:pt>
                <c:pt idx="233" formatCode="General">
                  <c:v>861</c:v>
                </c:pt>
                <c:pt idx="234">
                  <c:v>1148</c:v>
                </c:pt>
                <c:pt idx="235">
                  <c:v>1205</c:v>
                </c:pt>
                <c:pt idx="236">
                  <c:v>1745</c:v>
                </c:pt>
                <c:pt idx="237">
                  <c:v>1539</c:v>
                </c:pt>
                <c:pt idx="238">
                  <c:v>1254</c:v>
                </c:pt>
                <c:pt idx="239">
                  <c:v>1311</c:v>
                </c:pt>
                <c:pt idx="240" formatCode="General">
                  <c:v>912</c:v>
                </c:pt>
                <c:pt idx="241" formatCode="General">
                  <c:v>855</c:v>
                </c:pt>
                <c:pt idx="242">
                  <c:v>1505</c:v>
                </c:pt>
                <c:pt idx="243" formatCode="General">
                  <c:v>934</c:v>
                </c:pt>
                <c:pt idx="244">
                  <c:v>1354</c:v>
                </c:pt>
                <c:pt idx="245">
                  <c:v>1012</c:v>
                </c:pt>
                <c:pt idx="246">
                  <c:v>1236</c:v>
                </c:pt>
                <c:pt idx="247" formatCode="General">
                  <c:v>955</c:v>
                </c:pt>
                <c:pt idx="248">
                  <c:v>1180</c:v>
                </c:pt>
                <c:pt idx="249">
                  <c:v>1293</c:v>
                </c:pt>
                <c:pt idx="250" formatCode="General">
                  <c:v>843</c:v>
                </c:pt>
                <c:pt idx="251">
                  <c:v>1652</c:v>
                </c:pt>
                <c:pt idx="252">
                  <c:v>1316</c:v>
                </c:pt>
                <c:pt idx="253">
                  <c:v>1316</c:v>
                </c:pt>
                <c:pt idx="254">
                  <c:v>1092</c:v>
                </c:pt>
                <c:pt idx="255">
                  <c:v>1120</c:v>
                </c:pt>
                <c:pt idx="256">
                  <c:v>1176</c:v>
                </c:pt>
                <c:pt idx="257">
                  <c:v>1008</c:v>
                </c:pt>
                <c:pt idx="258">
                  <c:v>1316</c:v>
                </c:pt>
                <c:pt idx="259">
                  <c:v>1624</c:v>
                </c:pt>
                <c:pt idx="260">
                  <c:v>1200</c:v>
                </c:pt>
                <c:pt idx="261">
                  <c:v>1339</c:v>
                </c:pt>
                <c:pt idx="262">
                  <c:v>1279</c:v>
                </c:pt>
                <c:pt idx="263">
                  <c:v>1557</c:v>
                </c:pt>
                <c:pt idx="264">
                  <c:v>1612</c:v>
                </c:pt>
                <c:pt idx="265">
                  <c:v>1390</c:v>
                </c:pt>
                <c:pt idx="266">
                  <c:v>1279</c:v>
                </c:pt>
                <c:pt idx="267">
                  <c:v>1307</c:v>
                </c:pt>
                <c:pt idx="268">
                  <c:v>1001</c:v>
                </c:pt>
                <c:pt idx="269" formatCode="General">
                  <c:v>945</c:v>
                </c:pt>
                <c:pt idx="270">
                  <c:v>1551</c:v>
                </c:pt>
                <c:pt idx="271" formatCode="General">
                  <c:v>994</c:v>
                </c:pt>
                <c:pt idx="272">
                  <c:v>1021</c:v>
                </c:pt>
                <c:pt idx="273" formatCode="General">
                  <c:v>773</c:v>
                </c:pt>
                <c:pt idx="274">
                  <c:v>6875</c:v>
                </c:pt>
                <c:pt idx="275">
                  <c:v>6875</c:v>
                </c:pt>
                <c:pt idx="276">
                  <c:v>8250</c:v>
                </c:pt>
                <c:pt idx="277">
                  <c:v>5500</c:v>
                </c:pt>
                <c:pt idx="278">
                  <c:v>4125</c:v>
                </c:pt>
                <c:pt idx="279">
                  <c:v>6875</c:v>
                </c:pt>
                <c:pt idx="280">
                  <c:v>6875</c:v>
                </c:pt>
                <c:pt idx="281">
                  <c:v>5500</c:v>
                </c:pt>
                <c:pt idx="282">
                  <c:v>8250</c:v>
                </c:pt>
                <c:pt idx="283">
                  <c:v>5500</c:v>
                </c:pt>
                <c:pt idx="284">
                  <c:v>5500</c:v>
                </c:pt>
                <c:pt idx="285">
                  <c:v>8250</c:v>
                </c:pt>
                <c:pt idx="286">
                  <c:v>6875</c:v>
                </c:pt>
                <c:pt idx="287">
                  <c:v>2750</c:v>
                </c:pt>
                <c:pt idx="288">
                  <c:v>6875</c:v>
                </c:pt>
                <c:pt idx="289">
                  <c:v>4125</c:v>
                </c:pt>
                <c:pt idx="290">
                  <c:v>4125</c:v>
                </c:pt>
                <c:pt idx="291">
                  <c:v>8250</c:v>
                </c:pt>
                <c:pt idx="292">
                  <c:v>6875</c:v>
                </c:pt>
                <c:pt idx="293">
                  <c:v>6875</c:v>
                </c:pt>
                <c:pt idx="294">
                  <c:v>8250</c:v>
                </c:pt>
                <c:pt idx="295">
                  <c:v>8250</c:v>
                </c:pt>
                <c:pt idx="296">
                  <c:v>4125</c:v>
                </c:pt>
                <c:pt idx="297">
                  <c:v>6875</c:v>
                </c:pt>
                <c:pt idx="298">
                  <c:v>8250</c:v>
                </c:pt>
                <c:pt idx="299">
                  <c:v>8250</c:v>
                </c:pt>
                <c:pt idx="300">
                  <c:v>8250</c:v>
                </c:pt>
                <c:pt idx="301">
                  <c:v>8250</c:v>
                </c:pt>
                <c:pt idx="302">
                  <c:v>6875</c:v>
                </c:pt>
                <c:pt idx="303">
                  <c:v>1447</c:v>
                </c:pt>
                <c:pt idx="304">
                  <c:v>1529</c:v>
                </c:pt>
                <c:pt idx="305">
                  <c:v>1693</c:v>
                </c:pt>
                <c:pt idx="306">
                  <c:v>1583</c:v>
                </c:pt>
                <c:pt idx="307">
                  <c:v>1256</c:v>
                </c:pt>
                <c:pt idx="308">
                  <c:v>1201</c:v>
                </c:pt>
                <c:pt idx="309">
                  <c:v>1392</c:v>
                </c:pt>
                <c:pt idx="310" formatCode="General">
                  <c:v>734</c:v>
                </c:pt>
                <c:pt idx="311" formatCode="General">
                  <c:v>843</c:v>
                </c:pt>
                <c:pt idx="312" formatCode="General">
                  <c:v>979</c:v>
                </c:pt>
                <c:pt idx="313">
                  <c:v>1006</c:v>
                </c:pt>
                <c:pt idx="314">
                  <c:v>1088</c:v>
                </c:pt>
                <c:pt idx="315">
                  <c:v>1278</c:v>
                </c:pt>
                <c:pt idx="316" formatCode="General">
                  <c:v>789</c:v>
                </c:pt>
                <c:pt idx="317">
                  <c:v>1034</c:v>
                </c:pt>
                <c:pt idx="318">
                  <c:v>1360</c:v>
                </c:pt>
                <c:pt idx="319">
                  <c:v>1632</c:v>
                </c:pt>
                <c:pt idx="320" formatCode="General">
                  <c:v>816</c:v>
                </c:pt>
                <c:pt idx="321">
                  <c:v>1632</c:v>
                </c:pt>
                <c:pt idx="322">
                  <c:v>1822</c:v>
                </c:pt>
                <c:pt idx="323">
                  <c:v>1251</c:v>
                </c:pt>
                <c:pt idx="324" formatCode="General">
                  <c:v>894</c:v>
                </c:pt>
                <c:pt idx="325">
                  <c:v>1084</c:v>
                </c:pt>
                <c:pt idx="326">
                  <c:v>1084</c:v>
                </c:pt>
                <c:pt idx="327" formatCode="General">
                  <c:v>840</c:v>
                </c:pt>
                <c:pt idx="328">
                  <c:v>1192</c:v>
                </c:pt>
                <c:pt idx="329">
                  <c:v>1084</c:v>
                </c:pt>
                <c:pt idx="330">
                  <c:v>1057</c:v>
                </c:pt>
                <c:pt idx="331">
                  <c:v>1458</c:v>
                </c:pt>
                <c:pt idx="332">
                  <c:v>1458</c:v>
                </c:pt>
                <c:pt idx="333">
                  <c:v>1350</c:v>
                </c:pt>
                <c:pt idx="334">
                  <c:v>1188</c:v>
                </c:pt>
                <c:pt idx="335">
                  <c:v>1512</c:v>
                </c:pt>
                <c:pt idx="336">
                  <c:v>2322</c:v>
                </c:pt>
                <c:pt idx="337">
                  <c:v>1566</c:v>
                </c:pt>
                <c:pt idx="338" formatCode="General">
                  <c:v>945</c:v>
                </c:pt>
                <c:pt idx="339">
                  <c:v>1107</c:v>
                </c:pt>
                <c:pt idx="340" formatCode="General">
                  <c:v>540</c:v>
                </c:pt>
                <c:pt idx="341" formatCode="General">
                  <c:v>702</c:v>
                </c:pt>
                <c:pt idx="342">
                  <c:v>1053</c:v>
                </c:pt>
                <c:pt idx="343" formatCode="General">
                  <c:v>918</c:v>
                </c:pt>
                <c:pt idx="344">
                  <c:v>1188</c:v>
                </c:pt>
                <c:pt idx="345">
                  <c:v>1260</c:v>
                </c:pt>
                <c:pt idx="346" formatCode="General">
                  <c:v>777</c:v>
                </c:pt>
                <c:pt idx="347" formatCode="General">
                  <c:v>992</c:v>
                </c:pt>
                <c:pt idx="348">
                  <c:v>1501</c:v>
                </c:pt>
                <c:pt idx="349">
                  <c:v>1099</c:v>
                </c:pt>
                <c:pt idx="350">
                  <c:v>1367</c:v>
                </c:pt>
                <c:pt idx="351">
                  <c:v>1415</c:v>
                </c:pt>
                <c:pt idx="352" formatCode="General">
                  <c:v>875</c:v>
                </c:pt>
                <c:pt idx="353" formatCode="General">
                  <c:v>713</c:v>
                </c:pt>
                <c:pt idx="354" formatCode="General">
                  <c:v>871</c:v>
                </c:pt>
                <c:pt idx="355" formatCode="General">
                  <c:v>792</c:v>
                </c:pt>
                <c:pt idx="356">
                  <c:v>1214</c:v>
                </c:pt>
                <c:pt idx="357">
                  <c:v>1478</c:v>
                </c:pt>
                <c:pt idx="358">
                  <c:v>1346</c:v>
                </c:pt>
                <c:pt idx="359" formatCode="General">
                  <c:v>634</c:v>
                </c:pt>
                <c:pt idx="360">
                  <c:v>1267</c:v>
                </c:pt>
                <c:pt idx="361">
                  <c:v>1082</c:v>
                </c:pt>
                <c:pt idx="362">
                  <c:v>1030</c:v>
                </c:pt>
                <c:pt idx="363">
                  <c:v>1135</c:v>
                </c:pt>
                <c:pt idx="364">
                  <c:v>1109</c:v>
                </c:pt>
                <c:pt idx="365" formatCode="General">
                  <c:v>898</c:v>
                </c:pt>
                <c:pt idx="366" formatCode="General">
                  <c:v>898</c:v>
                </c:pt>
                <c:pt idx="367" formatCode="General">
                  <c:v>792</c:v>
                </c:pt>
                <c:pt idx="368" formatCode="General">
                  <c:v>977</c:v>
                </c:pt>
                <c:pt idx="369" formatCode="General">
                  <c:v>977</c:v>
                </c:pt>
                <c:pt idx="370" formatCode="General">
                  <c:v>924</c:v>
                </c:pt>
                <c:pt idx="371">
                  <c:v>1346</c:v>
                </c:pt>
                <c:pt idx="372" formatCode="General">
                  <c:v>634</c:v>
                </c:pt>
                <c:pt idx="373">
                  <c:v>1736</c:v>
                </c:pt>
                <c:pt idx="374">
                  <c:v>1368</c:v>
                </c:pt>
                <c:pt idx="375">
                  <c:v>1394</c:v>
                </c:pt>
                <c:pt idx="376" formatCode="General">
                  <c:v>947</c:v>
                </c:pt>
                <c:pt idx="377">
                  <c:v>1552</c:v>
                </c:pt>
                <c:pt idx="378">
                  <c:v>1447</c:v>
                </c:pt>
                <c:pt idx="379" formatCode="General">
                  <c:v>894</c:v>
                </c:pt>
                <c:pt idx="380" formatCode="General">
                  <c:v>710</c:v>
                </c:pt>
                <c:pt idx="381">
                  <c:v>1683</c:v>
                </c:pt>
                <c:pt idx="382" formatCode="General">
                  <c:v>789</c:v>
                </c:pt>
                <c:pt idx="383" formatCode="General">
                  <c:v>684</c:v>
                </c:pt>
                <c:pt idx="384">
                  <c:v>1289</c:v>
                </c:pt>
                <c:pt idx="385">
                  <c:v>1552</c:v>
                </c:pt>
                <c:pt idx="386">
                  <c:v>1026</c:v>
                </c:pt>
                <c:pt idx="387" formatCode="General">
                  <c:v>947</c:v>
                </c:pt>
                <c:pt idx="388">
                  <c:v>1946</c:v>
                </c:pt>
                <c:pt idx="389" formatCode="General">
                  <c:v>921</c:v>
                </c:pt>
                <c:pt idx="390" formatCode="General">
                  <c:v>815</c:v>
                </c:pt>
                <c:pt idx="391">
                  <c:v>1201</c:v>
                </c:pt>
                <c:pt idx="392">
                  <c:v>1201</c:v>
                </c:pt>
                <c:pt idx="393">
                  <c:v>1227</c:v>
                </c:pt>
                <c:pt idx="394">
                  <c:v>1566</c:v>
                </c:pt>
                <c:pt idx="395">
                  <c:v>1383</c:v>
                </c:pt>
                <c:pt idx="396">
                  <c:v>2166</c:v>
                </c:pt>
                <c:pt idx="397">
                  <c:v>1305</c:v>
                </c:pt>
                <c:pt idx="398">
                  <c:v>1222</c:v>
                </c:pt>
                <c:pt idx="399">
                  <c:v>1196</c:v>
                </c:pt>
                <c:pt idx="400">
                  <c:v>1243</c:v>
                </c:pt>
                <c:pt idx="401">
                  <c:v>1295</c:v>
                </c:pt>
                <c:pt idx="402" formatCode="General">
                  <c:v>984</c:v>
                </c:pt>
                <c:pt idx="403">
                  <c:v>1062</c:v>
                </c:pt>
                <c:pt idx="404">
                  <c:v>1709</c:v>
                </c:pt>
                <c:pt idx="405">
                  <c:v>1632</c:v>
                </c:pt>
                <c:pt idx="406">
                  <c:v>1342</c:v>
                </c:pt>
                <c:pt idx="407">
                  <c:v>1157</c:v>
                </c:pt>
                <c:pt idx="408">
                  <c:v>1075</c:v>
                </c:pt>
                <c:pt idx="409" formatCode="General">
                  <c:v>998</c:v>
                </c:pt>
                <c:pt idx="410">
                  <c:v>1280</c:v>
                </c:pt>
                <c:pt idx="411">
                  <c:v>1434</c:v>
                </c:pt>
                <c:pt idx="412">
                  <c:v>1126</c:v>
                </c:pt>
                <c:pt idx="413">
                  <c:v>1280</c:v>
                </c:pt>
                <c:pt idx="414" formatCode="General">
                  <c:v>922</c:v>
                </c:pt>
                <c:pt idx="415" formatCode="General">
                  <c:v>768</c:v>
                </c:pt>
                <c:pt idx="416" formatCode="General">
                  <c:v>870</c:v>
                </c:pt>
                <c:pt idx="417">
                  <c:v>1101</c:v>
                </c:pt>
                <c:pt idx="418">
                  <c:v>1382</c:v>
                </c:pt>
                <c:pt idx="419" formatCode="General">
                  <c:v>717</c:v>
                </c:pt>
                <c:pt idx="420" formatCode="General">
                  <c:v>794</c:v>
                </c:pt>
                <c:pt idx="421">
                  <c:v>1408</c:v>
                </c:pt>
                <c:pt idx="422" formatCode="General">
                  <c:v>666</c:v>
                </c:pt>
                <c:pt idx="423">
                  <c:v>1766</c:v>
                </c:pt>
                <c:pt idx="424">
                  <c:v>1587</c:v>
                </c:pt>
                <c:pt idx="425">
                  <c:v>1203</c:v>
                </c:pt>
                <c:pt idx="426">
                  <c:v>1459</c:v>
                </c:pt>
                <c:pt idx="427" formatCode="General">
                  <c:v>768</c:v>
                </c:pt>
                <c:pt idx="428">
                  <c:v>1050</c:v>
                </c:pt>
                <c:pt idx="429">
                  <c:v>1229</c:v>
                </c:pt>
                <c:pt idx="430" formatCode="General">
                  <c:v>842</c:v>
                </c:pt>
                <c:pt idx="431">
                  <c:v>1122</c:v>
                </c:pt>
                <c:pt idx="432">
                  <c:v>1199</c:v>
                </c:pt>
                <c:pt idx="433">
                  <c:v>1377</c:v>
                </c:pt>
                <c:pt idx="434">
                  <c:v>1173</c:v>
                </c:pt>
                <c:pt idx="435">
                  <c:v>1046</c:v>
                </c:pt>
                <c:pt idx="436">
                  <c:v>1199</c:v>
                </c:pt>
                <c:pt idx="437">
                  <c:v>2015</c:v>
                </c:pt>
                <c:pt idx="438">
                  <c:v>1403</c:v>
                </c:pt>
                <c:pt idx="439">
                  <c:v>2015</c:v>
                </c:pt>
                <c:pt idx="440">
                  <c:v>2193</c:v>
                </c:pt>
                <c:pt idx="441" formatCode="General">
                  <c:v>510</c:v>
                </c:pt>
                <c:pt idx="442" formatCode="General">
                  <c:v>816</c:v>
                </c:pt>
                <c:pt idx="443" formatCode="General">
                  <c:v>995</c:v>
                </c:pt>
                <c:pt idx="444">
                  <c:v>1326</c:v>
                </c:pt>
                <c:pt idx="445">
                  <c:v>1734</c:v>
                </c:pt>
                <c:pt idx="446">
                  <c:v>1862</c:v>
                </c:pt>
                <c:pt idx="447" formatCode="General">
                  <c:v>944</c:v>
                </c:pt>
                <c:pt idx="448">
                  <c:v>1626</c:v>
                </c:pt>
                <c:pt idx="449" formatCode="General">
                  <c:v>737</c:v>
                </c:pt>
                <c:pt idx="450">
                  <c:v>1118</c:v>
                </c:pt>
                <c:pt idx="451">
                  <c:v>1295</c:v>
                </c:pt>
                <c:pt idx="452">
                  <c:v>1041</c:v>
                </c:pt>
                <c:pt idx="453">
                  <c:v>1168</c:v>
                </c:pt>
                <c:pt idx="454">
                  <c:v>1524</c:v>
                </c:pt>
                <c:pt idx="455">
                  <c:v>1194</c:v>
                </c:pt>
                <c:pt idx="456" formatCode="General">
                  <c:v>983</c:v>
                </c:pt>
                <c:pt idx="457">
                  <c:v>1386</c:v>
                </c:pt>
                <c:pt idx="458">
                  <c:v>1184</c:v>
                </c:pt>
                <c:pt idx="459">
                  <c:v>1462</c:v>
                </c:pt>
                <c:pt idx="460">
                  <c:v>1260</c:v>
                </c:pt>
                <c:pt idx="461">
                  <c:v>1411</c:v>
                </c:pt>
                <c:pt idx="462">
                  <c:v>1184</c:v>
                </c:pt>
                <c:pt idx="463">
                  <c:v>1386</c:v>
                </c:pt>
                <c:pt idx="464">
                  <c:v>1109</c:v>
                </c:pt>
                <c:pt idx="465">
                  <c:v>1588</c:v>
                </c:pt>
                <c:pt idx="466">
                  <c:v>8750</c:v>
                </c:pt>
                <c:pt idx="467">
                  <c:v>6250</c:v>
                </c:pt>
                <c:pt idx="468">
                  <c:v>8750</c:v>
                </c:pt>
                <c:pt idx="469">
                  <c:v>7500</c:v>
                </c:pt>
                <c:pt idx="470">
                  <c:v>6250</c:v>
                </c:pt>
                <c:pt idx="471">
                  <c:v>6250</c:v>
                </c:pt>
                <c:pt idx="472">
                  <c:v>6250</c:v>
                </c:pt>
                <c:pt idx="473">
                  <c:v>5000</c:v>
                </c:pt>
                <c:pt idx="474">
                  <c:v>7500</c:v>
                </c:pt>
                <c:pt idx="475">
                  <c:v>8750</c:v>
                </c:pt>
                <c:pt idx="476">
                  <c:v>5000</c:v>
                </c:pt>
                <c:pt idx="477">
                  <c:v>8750</c:v>
                </c:pt>
                <c:pt idx="478">
                  <c:v>8750</c:v>
                </c:pt>
                <c:pt idx="479">
                  <c:v>5000</c:v>
                </c:pt>
                <c:pt idx="480">
                  <c:v>3750</c:v>
                </c:pt>
                <c:pt idx="481">
                  <c:v>6250</c:v>
                </c:pt>
                <c:pt idx="482">
                  <c:v>8750</c:v>
                </c:pt>
                <c:pt idx="483">
                  <c:v>6250</c:v>
                </c:pt>
                <c:pt idx="484">
                  <c:v>2500</c:v>
                </c:pt>
                <c:pt idx="485">
                  <c:v>6250</c:v>
                </c:pt>
                <c:pt idx="486">
                  <c:v>8750</c:v>
                </c:pt>
                <c:pt idx="487">
                  <c:v>3750</c:v>
                </c:pt>
                <c:pt idx="488">
                  <c:v>8750</c:v>
                </c:pt>
                <c:pt idx="489">
                  <c:v>7500</c:v>
                </c:pt>
                <c:pt idx="490">
                  <c:v>5000</c:v>
                </c:pt>
                <c:pt idx="491">
                  <c:v>7500</c:v>
                </c:pt>
                <c:pt idx="492">
                  <c:v>3750</c:v>
                </c:pt>
                <c:pt idx="493">
                  <c:v>5000</c:v>
                </c:pt>
                <c:pt idx="494">
                  <c:v>8750</c:v>
                </c:pt>
                <c:pt idx="495">
                  <c:v>7500</c:v>
                </c:pt>
                <c:pt idx="496">
                  <c:v>5000</c:v>
                </c:pt>
                <c:pt idx="497">
                  <c:v>7500</c:v>
                </c:pt>
                <c:pt idx="498">
                  <c:v>3750</c:v>
                </c:pt>
                <c:pt idx="499">
                  <c:v>7500</c:v>
                </c:pt>
                <c:pt idx="500">
                  <c:v>6250</c:v>
                </c:pt>
                <c:pt idx="501">
                  <c:v>8750</c:v>
                </c:pt>
                <c:pt idx="502">
                  <c:v>7500</c:v>
                </c:pt>
                <c:pt idx="503">
                  <c:v>5000</c:v>
                </c:pt>
                <c:pt idx="504">
                  <c:v>6250</c:v>
                </c:pt>
                <c:pt idx="505">
                  <c:v>8750</c:v>
                </c:pt>
                <c:pt idx="506">
                  <c:v>7500</c:v>
                </c:pt>
                <c:pt idx="507">
                  <c:v>7500</c:v>
                </c:pt>
                <c:pt idx="508">
                  <c:v>7500</c:v>
                </c:pt>
                <c:pt idx="509">
                  <c:v>8750</c:v>
                </c:pt>
                <c:pt idx="510" formatCode="General">
                  <c:v>900</c:v>
                </c:pt>
                <c:pt idx="511">
                  <c:v>1175</c:v>
                </c:pt>
                <c:pt idx="512">
                  <c:v>1550</c:v>
                </c:pt>
                <c:pt idx="513">
                  <c:v>1150</c:v>
                </c:pt>
                <c:pt idx="514">
                  <c:v>1625</c:v>
                </c:pt>
                <c:pt idx="515">
                  <c:v>1325</c:v>
                </c:pt>
                <c:pt idx="516">
                  <c:v>1562</c:v>
                </c:pt>
                <c:pt idx="517">
                  <c:v>1538</c:v>
                </c:pt>
                <c:pt idx="518">
                  <c:v>1587</c:v>
                </c:pt>
                <c:pt idx="519">
                  <c:v>1290</c:v>
                </c:pt>
                <c:pt idx="520">
                  <c:v>1042</c:v>
                </c:pt>
                <c:pt idx="521">
                  <c:v>1438</c:v>
                </c:pt>
                <c:pt idx="522" formatCode="General">
                  <c:v>719</c:v>
                </c:pt>
                <c:pt idx="523">
                  <c:v>1265</c:v>
                </c:pt>
                <c:pt idx="524" formatCode="General">
                  <c:v>794</c:v>
                </c:pt>
                <c:pt idx="525" formatCode="General">
                  <c:v>719</c:v>
                </c:pt>
                <c:pt idx="526" formatCode="General">
                  <c:v>818</c:v>
                </c:pt>
                <c:pt idx="527">
                  <c:v>1265</c:v>
                </c:pt>
                <c:pt idx="528" formatCode="General">
                  <c:v>967</c:v>
                </c:pt>
                <c:pt idx="529" formatCode="General">
                  <c:v>769</c:v>
                </c:pt>
                <c:pt idx="530" formatCode="General">
                  <c:v>546</c:v>
                </c:pt>
                <c:pt idx="531" formatCode="General">
                  <c:v>843</c:v>
                </c:pt>
                <c:pt idx="532" formatCode="General">
                  <c:v>967</c:v>
                </c:pt>
                <c:pt idx="533" formatCode="General">
                  <c:v>967</c:v>
                </c:pt>
                <c:pt idx="534" formatCode="General">
                  <c:v>992</c:v>
                </c:pt>
                <c:pt idx="535">
                  <c:v>1835</c:v>
                </c:pt>
                <c:pt idx="536">
                  <c:v>1215</c:v>
                </c:pt>
                <c:pt idx="537" formatCode="General">
                  <c:v>694</c:v>
                </c:pt>
                <c:pt idx="538" formatCode="General">
                  <c:v>670</c:v>
                </c:pt>
                <c:pt idx="539">
                  <c:v>1984</c:v>
                </c:pt>
                <c:pt idx="540">
                  <c:v>1662</c:v>
                </c:pt>
                <c:pt idx="541">
                  <c:v>1290</c:v>
                </c:pt>
                <c:pt idx="542" formatCode="General">
                  <c:v>967</c:v>
                </c:pt>
                <c:pt idx="543">
                  <c:v>1017</c:v>
                </c:pt>
                <c:pt idx="544" formatCode="General">
                  <c:v>521</c:v>
                </c:pt>
                <c:pt idx="545">
                  <c:v>1013</c:v>
                </c:pt>
                <c:pt idx="546" formatCode="General">
                  <c:v>963</c:v>
                </c:pt>
                <c:pt idx="547">
                  <c:v>1136</c:v>
                </c:pt>
                <c:pt idx="548">
                  <c:v>1260</c:v>
                </c:pt>
                <c:pt idx="549">
                  <c:v>1235</c:v>
                </c:pt>
                <c:pt idx="550">
                  <c:v>1013</c:v>
                </c:pt>
                <c:pt idx="551">
                  <c:v>1457</c:v>
                </c:pt>
                <c:pt idx="552">
                  <c:v>1136</c:v>
                </c:pt>
                <c:pt idx="553" formatCode="General">
                  <c:v>988</c:v>
                </c:pt>
                <c:pt idx="554">
                  <c:v>1136</c:v>
                </c:pt>
                <c:pt idx="555" formatCode="General">
                  <c:v>963</c:v>
                </c:pt>
                <c:pt idx="556" formatCode="General">
                  <c:v>988</c:v>
                </c:pt>
                <c:pt idx="557" formatCode="General">
                  <c:v>296</c:v>
                </c:pt>
                <c:pt idx="558" formatCode="General">
                  <c:v>543</c:v>
                </c:pt>
                <c:pt idx="559" formatCode="General">
                  <c:v>865</c:v>
                </c:pt>
                <c:pt idx="560" formatCode="General">
                  <c:v>667</c:v>
                </c:pt>
                <c:pt idx="561" formatCode="General">
                  <c:v>935</c:v>
                </c:pt>
                <c:pt idx="562">
                  <c:v>1107</c:v>
                </c:pt>
                <c:pt idx="563">
                  <c:v>1009</c:v>
                </c:pt>
                <c:pt idx="564">
                  <c:v>6125</c:v>
                </c:pt>
                <c:pt idx="565">
                  <c:v>8575</c:v>
                </c:pt>
                <c:pt idx="566">
                  <c:v>1446</c:v>
                </c:pt>
                <c:pt idx="567">
                  <c:v>1446</c:v>
                </c:pt>
                <c:pt idx="568">
                  <c:v>1225</c:v>
                </c:pt>
                <c:pt idx="569">
                  <c:v>1446</c:v>
                </c:pt>
                <c:pt idx="570">
                  <c:v>1029</c:v>
                </c:pt>
                <c:pt idx="571" formatCode="General">
                  <c:v>760</c:v>
                </c:pt>
                <c:pt idx="572">
                  <c:v>1005</c:v>
                </c:pt>
                <c:pt idx="573">
                  <c:v>1519</c:v>
                </c:pt>
                <c:pt idx="574">
                  <c:v>1054</c:v>
                </c:pt>
                <c:pt idx="575">
                  <c:v>1152</c:v>
                </c:pt>
                <c:pt idx="576">
                  <c:v>1635</c:v>
                </c:pt>
                <c:pt idx="577">
                  <c:v>1366</c:v>
                </c:pt>
                <c:pt idx="578">
                  <c:v>1610</c:v>
                </c:pt>
                <c:pt idx="579">
                  <c:v>1220</c:v>
                </c:pt>
                <c:pt idx="580">
                  <c:v>1562</c:v>
                </c:pt>
                <c:pt idx="581">
                  <c:v>1409</c:v>
                </c:pt>
                <c:pt idx="582">
                  <c:v>1118</c:v>
                </c:pt>
                <c:pt idx="583">
                  <c:v>1045</c:v>
                </c:pt>
                <c:pt idx="584">
                  <c:v>1215</c:v>
                </c:pt>
                <c:pt idx="585">
                  <c:v>1312</c:v>
                </c:pt>
                <c:pt idx="586">
                  <c:v>1133</c:v>
                </c:pt>
                <c:pt idx="587">
                  <c:v>1229</c:v>
                </c:pt>
                <c:pt idx="588">
                  <c:v>1109</c:v>
                </c:pt>
                <c:pt idx="589">
                  <c:v>1056</c:v>
                </c:pt>
                <c:pt idx="590">
                  <c:v>1032</c:v>
                </c:pt>
                <c:pt idx="591" formatCode="General">
                  <c:v>768</c:v>
                </c:pt>
                <c:pt idx="592">
                  <c:v>1224</c:v>
                </c:pt>
                <c:pt idx="593">
                  <c:v>1344</c:v>
                </c:pt>
                <c:pt idx="594">
                  <c:v>1992</c:v>
                </c:pt>
                <c:pt idx="595">
                  <c:v>1656</c:v>
                </c:pt>
                <c:pt idx="596">
                  <c:v>1536</c:v>
                </c:pt>
                <c:pt idx="597" formatCode="General">
                  <c:v>744</c:v>
                </c:pt>
                <c:pt idx="598" formatCode="General">
                  <c:v>552</c:v>
                </c:pt>
                <c:pt idx="599">
                  <c:v>1056</c:v>
                </c:pt>
                <c:pt idx="600" formatCode="General">
                  <c:v>672</c:v>
                </c:pt>
                <c:pt idx="601" formatCode="General">
                  <c:v>768</c:v>
                </c:pt>
                <c:pt idx="602" formatCode="General">
                  <c:v>792</c:v>
                </c:pt>
                <c:pt idx="603">
                  <c:v>1032</c:v>
                </c:pt>
                <c:pt idx="604" formatCode="General">
                  <c:v>480</c:v>
                </c:pt>
                <c:pt idx="605" formatCode="General">
                  <c:v>768</c:v>
                </c:pt>
                <c:pt idx="606">
                  <c:v>1104</c:v>
                </c:pt>
                <c:pt idx="607">
                  <c:v>1272</c:v>
                </c:pt>
                <c:pt idx="608">
                  <c:v>1032</c:v>
                </c:pt>
                <c:pt idx="609" formatCode="General">
                  <c:v>792</c:v>
                </c:pt>
                <c:pt idx="610" formatCode="General">
                  <c:v>960</c:v>
                </c:pt>
                <c:pt idx="611" formatCode="General">
                  <c:v>984</c:v>
                </c:pt>
                <c:pt idx="612" formatCode="General">
                  <c:v>980</c:v>
                </c:pt>
                <c:pt idx="613">
                  <c:v>1745</c:v>
                </c:pt>
                <c:pt idx="614">
                  <c:v>1840</c:v>
                </c:pt>
                <c:pt idx="615" formatCode="General">
                  <c:v>884</c:v>
                </c:pt>
                <c:pt idx="616" formatCode="General">
                  <c:v>860</c:v>
                </c:pt>
                <c:pt idx="617">
                  <c:v>1099</c:v>
                </c:pt>
                <c:pt idx="618">
                  <c:v>1052</c:v>
                </c:pt>
                <c:pt idx="619">
                  <c:v>1071</c:v>
                </c:pt>
                <c:pt idx="620">
                  <c:v>1166</c:v>
                </c:pt>
                <c:pt idx="621" formatCode="General">
                  <c:v>928</c:v>
                </c:pt>
                <c:pt idx="622">
                  <c:v>1000</c:v>
                </c:pt>
                <c:pt idx="623" formatCode="General">
                  <c:v>881</c:v>
                </c:pt>
                <c:pt idx="624">
                  <c:v>1000</c:v>
                </c:pt>
                <c:pt idx="625" formatCode="General">
                  <c:v>976</c:v>
                </c:pt>
                <c:pt idx="626" formatCode="General">
                  <c:v>976</c:v>
                </c:pt>
                <c:pt idx="627">
                  <c:v>1190</c:v>
                </c:pt>
                <c:pt idx="628" formatCode="General">
                  <c:v>881</c:v>
                </c:pt>
                <c:pt idx="629">
                  <c:v>1095</c:v>
                </c:pt>
                <c:pt idx="630" formatCode="General">
                  <c:v>643</c:v>
                </c:pt>
                <c:pt idx="631">
                  <c:v>1166</c:v>
                </c:pt>
                <c:pt idx="632">
                  <c:v>1047</c:v>
                </c:pt>
                <c:pt idx="633">
                  <c:v>1428</c:v>
                </c:pt>
                <c:pt idx="634">
                  <c:v>1714</c:v>
                </c:pt>
                <c:pt idx="635">
                  <c:v>1047</c:v>
                </c:pt>
                <c:pt idx="636" formatCode="General">
                  <c:v>643</c:v>
                </c:pt>
                <c:pt idx="637">
                  <c:v>1309</c:v>
                </c:pt>
                <c:pt idx="638">
                  <c:v>1023</c:v>
                </c:pt>
                <c:pt idx="639">
                  <c:v>1510</c:v>
                </c:pt>
                <c:pt idx="640" formatCode="General">
                  <c:v>920</c:v>
                </c:pt>
                <c:pt idx="641">
                  <c:v>1204</c:v>
                </c:pt>
                <c:pt idx="642">
                  <c:v>1369</c:v>
                </c:pt>
                <c:pt idx="643">
                  <c:v>1156</c:v>
                </c:pt>
                <c:pt idx="644" formatCode="General">
                  <c:v>637</c:v>
                </c:pt>
                <c:pt idx="645" formatCode="General">
                  <c:v>732</c:v>
                </c:pt>
                <c:pt idx="646" formatCode="General">
                  <c:v>779</c:v>
                </c:pt>
                <c:pt idx="647">
                  <c:v>1204</c:v>
                </c:pt>
                <c:pt idx="648" formatCode="General">
                  <c:v>661</c:v>
                </c:pt>
                <c:pt idx="649">
                  <c:v>1287</c:v>
                </c:pt>
                <c:pt idx="650">
                  <c:v>1100</c:v>
                </c:pt>
                <c:pt idx="651" formatCode="General">
                  <c:v>562</c:v>
                </c:pt>
                <c:pt idx="652" formatCode="General">
                  <c:v>632</c:v>
                </c:pt>
                <c:pt idx="653">
                  <c:v>1076</c:v>
                </c:pt>
                <c:pt idx="654">
                  <c:v>1006</c:v>
                </c:pt>
                <c:pt idx="655">
                  <c:v>1030</c:v>
                </c:pt>
                <c:pt idx="656">
                  <c:v>1142</c:v>
                </c:pt>
                <c:pt idx="657">
                  <c:v>1491</c:v>
                </c:pt>
                <c:pt idx="658">
                  <c:v>1678</c:v>
                </c:pt>
                <c:pt idx="659">
                  <c:v>1212</c:v>
                </c:pt>
                <c:pt idx="660">
                  <c:v>1305</c:v>
                </c:pt>
                <c:pt idx="661">
                  <c:v>1515</c:v>
                </c:pt>
                <c:pt idx="662">
                  <c:v>1445</c:v>
                </c:pt>
                <c:pt idx="663">
                  <c:v>1235</c:v>
                </c:pt>
                <c:pt idx="664">
                  <c:v>1025</c:v>
                </c:pt>
                <c:pt idx="665" formatCode="General">
                  <c:v>955</c:v>
                </c:pt>
                <c:pt idx="666">
                  <c:v>1258</c:v>
                </c:pt>
                <c:pt idx="667">
                  <c:v>1305</c:v>
                </c:pt>
                <c:pt idx="668">
                  <c:v>1235</c:v>
                </c:pt>
                <c:pt idx="669">
                  <c:v>1771</c:v>
                </c:pt>
                <c:pt idx="670">
                  <c:v>1258</c:v>
                </c:pt>
                <c:pt idx="671">
                  <c:v>1025</c:v>
                </c:pt>
                <c:pt idx="672">
                  <c:v>1165</c:v>
                </c:pt>
                <c:pt idx="673">
                  <c:v>1002</c:v>
                </c:pt>
                <c:pt idx="674" formatCode="General">
                  <c:v>839</c:v>
                </c:pt>
                <c:pt idx="675">
                  <c:v>1188</c:v>
                </c:pt>
                <c:pt idx="676" formatCode="General">
                  <c:v>816</c:v>
                </c:pt>
                <c:pt idx="677" formatCode="General">
                  <c:v>303</c:v>
                </c:pt>
                <c:pt idx="678">
                  <c:v>1118</c:v>
                </c:pt>
                <c:pt idx="679" formatCode="General">
                  <c:v>676</c:v>
                </c:pt>
                <c:pt idx="680" formatCode="General">
                  <c:v>816</c:v>
                </c:pt>
                <c:pt idx="681" formatCode="General">
                  <c:v>629</c:v>
                </c:pt>
                <c:pt idx="682" formatCode="General">
                  <c:v>909</c:v>
                </c:pt>
                <c:pt idx="683" formatCode="General">
                  <c:v>862</c:v>
                </c:pt>
                <c:pt idx="684" formatCode="General">
                  <c:v>536</c:v>
                </c:pt>
                <c:pt idx="685">
                  <c:v>1305</c:v>
                </c:pt>
                <c:pt idx="686" formatCode="General">
                  <c:v>722</c:v>
                </c:pt>
                <c:pt idx="687" formatCode="General">
                  <c:v>885</c:v>
                </c:pt>
                <c:pt idx="688">
                  <c:v>1002</c:v>
                </c:pt>
                <c:pt idx="689" formatCode="General">
                  <c:v>905</c:v>
                </c:pt>
                <c:pt idx="690" formatCode="General">
                  <c:v>858</c:v>
                </c:pt>
                <c:pt idx="691">
                  <c:v>1183</c:v>
                </c:pt>
                <c:pt idx="692" formatCode="General">
                  <c:v>974</c:v>
                </c:pt>
                <c:pt idx="693">
                  <c:v>1206</c:v>
                </c:pt>
                <c:pt idx="694">
                  <c:v>1137</c:v>
                </c:pt>
                <c:pt idx="695" formatCode="General">
                  <c:v>557</c:v>
                </c:pt>
                <c:pt idx="696" formatCode="General">
                  <c:v>789</c:v>
                </c:pt>
                <c:pt idx="697">
                  <c:v>1021</c:v>
                </c:pt>
                <c:pt idx="698" formatCode="General">
                  <c:v>882</c:v>
                </c:pt>
                <c:pt idx="699" formatCode="General">
                  <c:v>928</c:v>
                </c:pt>
                <c:pt idx="700">
                  <c:v>1090</c:v>
                </c:pt>
                <c:pt idx="701" formatCode="General">
                  <c:v>928</c:v>
                </c:pt>
                <c:pt idx="702">
                  <c:v>1340</c:v>
                </c:pt>
                <c:pt idx="703">
                  <c:v>1132</c:v>
                </c:pt>
                <c:pt idx="704" formatCode="General">
                  <c:v>947</c:v>
                </c:pt>
                <c:pt idx="705">
                  <c:v>1294</c:v>
                </c:pt>
                <c:pt idx="706">
                  <c:v>1224</c:v>
                </c:pt>
                <c:pt idx="707">
                  <c:v>1271</c:v>
                </c:pt>
                <c:pt idx="708">
                  <c:v>1155</c:v>
                </c:pt>
                <c:pt idx="709" formatCode="General">
                  <c:v>762</c:v>
                </c:pt>
                <c:pt idx="710">
                  <c:v>1548</c:v>
                </c:pt>
                <c:pt idx="711">
                  <c:v>1247</c:v>
                </c:pt>
                <c:pt idx="712" formatCode="General">
                  <c:v>739</c:v>
                </c:pt>
                <c:pt idx="713" formatCode="General">
                  <c:v>624</c:v>
                </c:pt>
                <c:pt idx="714">
                  <c:v>1617</c:v>
                </c:pt>
                <c:pt idx="715" formatCode="General">
                  <c:v>601</c:v>
                </c:pt>
                <c:pt idx="716" formatCode="General">
                  <c:v>901</c:v>
                </c:pt>
                <c:pt idx="717" formatCode="General">
                  <c:v>901</c:v>
                </c:pt>
                <c:pt idx="718" formatCode="General">
                  <c:v>300</c:v>
                </c:pt>
                <c:pt idx="719">
                  <c:v>1432</c:v>
                </c:pt>
                <c:pt idx="720">
                  <c:v>1063</c:v>
                </c:pt>
                <c:pt idx="721">
                  <c:v>1894</c:v>
                </c:pt>
                <c:pt idx="722" formatCode="General">
                  <c:v>670</c:v>
                </c:pt>
                <c:pt idx="723">
                  <c:v>1709</c:v>
                </c:pt>
                <c:pt idx="724">
                  <c:v>1357</c:v>
                </c:pt>
                <c:pt idx="725">
                  <c:v>1058</c:v>
                </c:pt>
                <c:pt idx="726">
                  <c:v>1127</c:v>
                </c:pt>
                <c:pt idx="727" formatCode="General">
                  <c:v>782</c:v>
                </c:pt>
                <c:pt idx="728" formatCode="General">
                  <c:v>828</c:v>
                </c:pt>
                <c:pt idx="729" formatCode="General">
                  <c:v>989</c:v>
                </c:pt>
                <c:pt idx="730" formatCode="General">
                  <c:v>437</c:v>
                </c:pt>
                <c:pt idx="731" formatCode="General">
                  <c:v>943</c:v>
                </c:pt>
                <c:pt idx="732" formatCode="General">
                  <c:v>943</c:v>
                </c:pt>
                <c:pt idx="733">
                  <c:v>1277</c:v>
                </c:pt>
                <c:pt idx="734">
                  <c:v>1094</c:v>
                </c:pt>
                <c:pt idx="735">
                  <c:v>1550</c:v>
                </c:pt>
                <c:pt idx="736">
                  <c:v>1391</c:v>
                </c:pt>
                <c:pt idx="737" formatCode="General">
                  <c:v>661</c:v>
                </c:pt>
                <c:pt idx="738" formatCode="General">
                  <c:v>798</c:v>
                </c:pt>
                <c:pt idx="739" formatCode="General">
                  <c:v>958</c:v>
                </c:pt>
                <c:pt idx="740">
                  <c:v>1163</c:v>
                </c:pt>
                <c:pt idx="741" formatCode="General">
                  <c:v>821</c:v>
                </c:pt>
                <c:pt idx="742" formatCode="General">
                  <c:v>661</c:v>
                </c:pt>
                <c:pt idx="743">
                  <c:v>1163</c:v>
                </c:pt>
                <c:pt idx="744" formatCode="General">
                  <c:v>798</c:v>
                </c:pt>
                <c:pt idx="745" formatCode="General">
                  <c:v>456</c:v>
                </c:pt>
                <c:pt idx="746" formatCode="General">
                  <c:v>616</c:v>
                </c:pt>
                <c:pt idx="747" formatCode="General">
                  <c:v>524</c:v>
                </c:pt>
                <c:pt idx="748" formatCode="General">
                  <c:v>593</c:v>
                </c:pt>
                <c:pt idx="749">
                  <c:v>7875</c:v>
                </c:pt>
                <c:pt idx="750">
                  <c:v>9000</c:v>
                </c:pt>
                <c:pt idx="751">
                  <c:v>9000</c:v>
                </c:pt>
                <c:pt idx="752">
                  <c:v>7875</c:v>
                </c:pt>
                <c:pt idx="753">
                  <c:v>7875</c:v>
                </c:pt>
                <c:pt idx="754">
                  <c:v>9000</c:v>
                </c:pt>
                <c:pt idx="755">
                  <c:v>9000</c:v>
                </c:pt>
                <c:pt idx="756">
                  <c:v>7875</c:v>
                </c:pt>
                <c:pt idx="757">
                  <c:v>5625</c:v>
                </c:pt>
                <c:pt idx="758">
                  <c:v>7875</c:v>
                </c:pt>
                <c:pt idx="759">
                  <c:v>7875</c:v>
                </c:pt>
                <c:pt idx="760">
                  <c:v>9000</c:v>
                </c:pt>
                <c:pt idx="761">
                  <c:v>9000</c:v>
                </c:pt>
                <c:pt idx="762">
                  <c:v>6750</c:v>
                </c:pt>
                <c:pt idx="763">
                  <c:v>5625</c:v>
                </c:pt>
                <c:pt idx="764">
                  <c:v>7875</c:v>
                </c:pt>
                <c:pt idx="765">
                  <c:v>9000</c:v>
                </c:pt>
                <c:pt idx="766">
                  <c:v>9000</c:v>
                </c:pt>
                <c:pt idx="767">
                  <c:v>6750</c:v>
                </c:pt>
                <c:pt idx="768">
                  <c:v>9000</c:v>
                </c:pt>
                <c:pt idx="769">
                  <c:v>7875</c:v>
                </c:pt>
                <c:pt idx="770">
                  <c:v>4500</c:v>
                </c:pt>
                <c:pt idx="771">
                  <c:v>4500</c:v>
                </c:pt>
                <c:pt idx="772">
                  <c:v>5625</c:v>
                </c:pt>
                <c:pt idx="773">
                  <c:v>3375</c:v>
                </c:pt>
                <c:pt idx="774">
                  <c:v>7875</c:v>
                </c:pt>
                <c:pt idx="775">
                  <c:v>4500</c:v>
                </c:pt>
                <c:pt idx="776">
                  <c:v>7875</c:v>
                </c:pt>
                <c:pt idx="777">
                  <c:v>4500</c:v>
                </c:pt>
                <c:pt idx="778">
                  <c:v>3375</c:v>
                </c:pt>
                <c:pt idx="779">
                  <c:v>5625</c:v>
                </c:pt>
                <c:pt idx="780">
                  <c:v>6750</c:v>
                </c:pt>
                <c:pt idx="781">
                  <c:v>6750</c:v>
                </c:pt>
                <c:pt idx="782">
                  <c:v>9000</c:v>
                </c:pt>
                <c:pt idx="783">
                  <c:v>9000</c:v>
                </c:pt>
                <c:pt idx="784">
                  <c:v>9000</c:v>
                </c:pt>
                <c:pt idx="785">
                  <c:v>5625</c:v>
                </c:pt>
                <c:pt idx="786">
                  <c:v>4500</c:v>
                </c:pt>
                <c:pt idx="787">
                  <c:v>6750</c:v>
                </c:pt>
                <c:pt idx="788">
                  <c:v>9000</c:v>
                </c:pt>
                <c:pt idx="789">
                  <c:v>9000</c:v>
                </c:pt>
                <c:pt idx="790">
                  <c:v>2250</c:v>
                </c:pt>
                <c:pt idx="791">
                  <c:v>9000</c:v>
                </c:pt>
                <c:pt idx="792">
                  <c:v>9000</c:v>
                </c:pt>
                <c:pt idx="793">
                  <c:v>9000</c:v>
                </c:pt>
                <c:pt idx="794">
                  <c:v>9000</c:v>
                </c:pt>
                <c:pt idx="795">
                  <c:v>2250</c:v>
                </c:pt>
                <c:pt idx="796">
                  <c:v>4500</c:v>
                </c:pt>
                <c:pt idx="797">
                  <c:v>9000</c:v>
                </c:pt>
                <c:pt idx="798">
                  <c:v>9000</c:v>
                </c:pt>
                <c:pt idx="799">
                  <c:v>7875</c:v>
                </c:pt>
                <c:pt idx="800">
                  <c:v>7875</c:v>
                </c:pt>
                <c:pt idx="801">
                  <c:v>5625</c:v>
                </c:pt>
                <c:pt idx="802">
                  <c:v>7875</c:v>
                </c:pt>
                <c:pt idx="803">
                  <c:v>9000</c:v>
                </c:pt>
                <c:pt idx="804">
                  <c:v>9000</c:v>
                </c:pt>
                <c:pt idx="805">
                  <c:v>9000</c:v>
                </c:pt>
                <c:pt idx="806">
                  <c:v>5625</c:v>
                </c:pt>
                <c:pt idx="807">
                  <c:v>7875</c:v>
                </c:pt>
                <c:pt idx="808">
                  <c:v>7875</c:v>
                </c:pt>
                <c:pt idx="809">
                  <c:v>5625</c:v>
                </c:pt>
                <c:pt idx="810">
                  <c:v>7875</c:v>
                </c:pt>
                <c:pt idx="811">
                  <c:v>7875</c:v>
                </c:pt>
                <c:pt idx="812">
                  <c:v>9000</c:v>
                </c:pt>
                <c:pt idx="813">
                  <c:v>9000</c:v>
                </c:pt>
                <c:pt idx="814">
                  <c:v>6750</c:v>
                </c:pt>
                <c:pt idx="815">
                  <c:v>5625</c:v>
                </c:pt>
                <c:pt idx="816">
                  <c:v>5625</c:v>
                </c:pt>
                <c:pt idx="817">
                  <c:v>7875</c:v>
                </c:pt>
                <c:pt idx="818">
                  <c:v>9000</c:v>
                </c:pt>
                <c:pt idx="819">
                  <c:v>7875</c:v>
                </c:pt>
                <c:pt idx="820">
                  <c:v>5625</c:v>
                </c:pt>
                <c:pt idx="821">
                  <c:v>7875</c:v>
                </c:pt>
                <c:pt idx="822">
                  <c:v>7875</c:v>
                </c:pt>
                <c:pt idx="823">
                  <c:v>9000</c:v>
                </c:pt>
                <c:pt idx="824">
                  <c:v>7875</c:v>
                </c:pt>
                <c:pt idx="825">
                  <c:v>1215</c:v>
                </c:pt>
                <c:pt idx="826" formatCode="General">
                  <c:v>765</c:v>
                </c:pt>
                <c:pt idx="827" formatCode="General">
                  <c:v>855</c:v>
                </c:pt>
                <c:pt idx="828" formatCode="General">
                  <c:v>743</c:v>
                </c:pt>
                <c:pt idx="829">
                  <c:v>1035</c:v>
                </c:pt>
                <c:pt idx="830">
                  <c:v>1440</c:v>
                </c:pt>
                <c:pt idx="831">
                  <c:v>1170</c:v>
                </c:pt>
                <c:pt idx="832" formatCode="General">
                  <c:v>765</c:v>
                </c:pt>
                <c:pt idx="833">
                  <c:v>1058</c:v>
                </c:pt>
                <c:pt idx="834">
                  <c:v>1103</c:v>
                </c:pt>
                <c:pt idx="835" formatCode="General">
                  <c:v>945</c:v>
                </c:pt>
                <c:pt idx="836" formatCode="General">
                  <c:v>945</c:v>
                </c:pt>
                <c:pt idx="837">
                  <c:v>1283</c:v>
                </c:pt>
                <c:pt idx="838">
                  <c:v>1170</c:v>
                </c:pt>
                <c:pt idx="839" formatCode="General">
                  <c:v>923</c:v>
                </c:pt>
                <c:pt idx="840">
                  <c:v>1373</c:v>
                </c:pt>
                <c:pt idx="841" formatCode="General">
                  <c:v>855</c:v>
                </c:pt>
                <c:pt idx="842">
                  <c:v>1305</c:v>
                </c:pt>
                <c:pt idx="843">
                  <c:v>1980</c:v>
                </c:pt>
                <c:pt idx="844">
                  <c:v>1350</c:v>
                </c:pt>
                <c:pt idx="845">
                  <c:v>1665</c:v>
                </c:pt>
                <c:pt idx="846">
                  <c:v>1283</c:v>
                </c:pt>
                <c:pt idx="847">
                  <c:v>1103</c:v>
                </c:pt>
                <c:pt idx="848">
                  <c:v>1148</c:v>
                </c:pt>
                <c:pt idx="849">
                  <c:v>1148</c:v>
                </c:pt>
                <c:pt idx="850">
                  <c:v>1260</c:v>
                </c:pt>
                <c:pt idx="851">
                  <c:v>1193</c:v>
                </c:pt>
                <c:pt idx="852">
                  <c:v>1485</c:v>
                </c:pt>
                <c:pt idx="853">
                  <c:v>1553</c:v>
                </c:pt>
                <c:pt idx="854">
                  <c:v>1125</c:v>
                </c:pt>
                <c:pt idx="855" formatCode="General">
                  <c:v>630</c:v>
                </c:pt>
                <c:pt idx="856">
                  <c:v>1035</c:v>
                </c:pt>
                <c:pt idx="857">
                  <c:v>1305</c:v>
                </c:pt>
                <c:pt idx="858" formatCode="General">
                  <c:v>968</c:v>
                </c:pt>
                <c:pt idx="859" formatCode="General">
                  <c:v>788</c:v>
                </c:pt>
                <c:pt idx="860" formatCode="General">
                  <c:v>698</c:v>
                </c:pt>
                <c:pt idx="861">
                  <c:v>1103</c:v>
                </c:pt>
                <c:pt idx="862" formatCode="General">
                  <c:v>675</c:v>
                </c:pt>
                <c:pt idx="863">
                  <c:v>1260</c:v>
                </c:pt>
                <c:pt idx="864">
                  <c:v>1215</c:v>
                </c:pt>
                <c:pt idx="865">
                  <c:v>1148</c:v>
                </c:pt>
                <c:pt idx="866">
                  <c:v>1098</c:v>
                </c:pt>
                <c:pt idx="867" formatCode="General">
                  <c:v>963</c:v>
                </c:pt>
                <c:pt idx="868" formatCode="General">
                  <c:v>918</c:v>
                </c:pt>
                <c:pt idx="869">
                  <c:v>1098</c:v>
                </c:pt>
                <c:pt idx="870">
                  <c:v>1030</c:v>
                </c:pt>
                <c:pt idx="871">
                  <c:v>1165</c:v>
                </c:pt>
                <c:pt idx="872" formatCode="General">
                  <c:v>762</c:v>
                </c:pt>
                <c:pt idx="873">
                  <c:v>1299</c:v>
                </c:pt>
                <c:pt idx="874" formatCode="General">
                  <c:v>560</c:v>
                </c:pt>
                <c:pt idx="875" formatCode="General">
                  <c:v>515</c:v>
                </c:pt>
                <c:pt idx="876" formatCode="General">
                  <c:v>627</c:v>
                </c:pt>
                <c:pt idx="877" formatCode="General">
                  <c:v>918</c:v>
                </c:pt>
                <c:pt idx="878">
                  <c:v>1030</c:v>
                </c:pt>
                <c:pt idx="879" formatCode="General">
                  <c:v>582</c:v>
                </c:pt>
                <c:pt idx="880" formatCode="General">
                  <c:v>784</c:v>
                </c:pt>
                <c:pt idx="881" formatCode="General">
                  <c:v>851</c:v>
                </c:pt>
                <c:pt idx="882">
                  <c:v>1142</c:v>
                </c:pt>
                <c:pt idx="883" formatCode="General">
                  <c:v>784</c:v>
                </c:pt>
                <c:pt idx="884" formatCode="General">
                  <c:v>157</c:v>
                </c:pt>
                <c:pt idx="885">
                  <c:v>1187</c:v>
                </c:pt>
                <c:pt idx="886">
                  <c:v>1344</c:v>
                </c:pt>
                <c:pt idx="887">
                  <c:v>1232</c:v>
                </c:pt>
                <c:pt idx="888" formatCode="General">
                  <c:v>784</c:v>
                </c:pt>
                <c:pt idx="889" formatCode="General">
                  <c:v>829</c:v>
                </c:pt>
                <c:pt idx="890" formatCode="General">
                  <c:v>896</c:v>
                </c:pt>
                <c:pt idx="891">
                  <c:v>1098</c:v>
                </c:pt>
                <c:pt idx="892" formatCode="General">
                  <c:v>825</c:v>
                </c:pt>
                <c:pt idx="893">
                  <c:v>1316</c:v>
                </c:pt>
                <c:pt idx="894">
                  <c:v>1227</c:v>
                </c:pt>
                <c:pt idx="895">
                  <c:v>1316</c:v>
                </c:pt>
                <c:pt idx="896">
                  <c:v>1160</c:v>
                </c:pt>
                <c:pt idx="897">
                  <c:v>1360</c:v>
                </c:pt>
                <c:pt idx="898">
                  <c:v>1070</c:v>
                </c:pt>
                <c:pt idx="899" formatCode="General">
                  <c:v>937</c:v>
                </c:pt>
                <c:pt idx="900" formatCode="General">
                  <c:v>736</c:v>
                </c:pt>
                <c:pt idx="901" formatCode="General">
                  <c:v>803</c:v>
                </c:pt>
                <c:pt idx="902" formatCode="General">
                  <c:v>781</c:v>
                </c:pt>
                <c:pt idx="903" formatCode="General">
                  <c:v>468</c:v>
                </c:pt>
                <c:pt idx="904" formatCode="General">
                  <c:v>312</c:v>
                </c:pt>
                <c:pt idx="905" formatCode="General">
                  <c:v>624</c:v>
                </c:pt>
                <c:pt idx="906">
                  <c:v>1048</c:v>
                </c:pt>
                <c:pt idx="907" formatCode="General">
                  <c:v>870</c:v>
                </c:pt>
                <c:pt idx="908" formatCode="General">
                  <c:v>446</c:v>
                </c:pt>
                <c:pt idx="909" formatCode="General">
                  <c:v>424</c:v>
                </c:pt>
                <c:pt idx="910">
                  <c:v>1127</c:v>
                </c:pt>
                <c:pt idx="911" formatCode="General">
                  <c:v>906</c:v>
                </c:pt>
                <c:pt idx="912" formatCode="General">
                  <c:v>906</c:v>
                </c:pt>
                <c:pt idx="913">
                  <c:v>1282</c:v>
                </c:pt>
                <c:pt idx="914" formatCode="General">
                  <c:v>641</c:v>
                </c:pt>
                <c:pt idx="915">
                  <c:v>1105</c:v>
                </c:pt>
                <c:pt idx="916" formatCode="General">
                  <c:v>729</c:v>
                </c:pt>
                <c:pt idx="917" formatCode="General">
                  <c:v>751</c:v>
                </c:pt>
                <c:pt idx="918" formatCode="General">
                  <c:v>729</c:v>
                </c:pt>
                <c:pt idx="919" formatCode="General">
                  <c:v>442</c:v>
                </c:pt>
                <c:pt idx="920" formatCode="General">
                  <c:v>796</c:v>
                </c:pt>
                <c:pt idx="921" formatCode="General">
                  <c:v>774</c:v>
                </c:pt>
                <c:pt idx="922" formatCode="General">
                  <c:v>995</c:v>
                </c:pt>
                <c:pt idx="923" formatCode="General">
                  <c:v>751</c:v>
                </c:pt>
                <c:pt idx="924">
                  <c:v>1459</c:v>
                </c:pt>
                <c:pt idx="925">
                  <c:v>1613</c:v>
                </c:pt>
                <c:pt idx="926" formatCode="General">
                  <c:v>774</c:v>
                </c:pt>
                <c:pt idx="927">
                  <c:v>5500</c:v>
                </c:pt>
                <c:pt idx="928">
                  <c:v>7700</c:v>
                </c:pt>
                <c:pt idx="929">
                  <c:v>1577</c:v>
                </c:pt>
                <c:pt idx="930">
                  <c:v>1292</c:v>
                </c:pt>
                <c:pt idx="931">
                  <c:v>1402</c:v>
                </c:pt>
                <c:pt idx="932">
                  <c:v>1270</c:v>
                </c:pt>
                <c:pt idx="933" formatCode="General">
                  <c:v>767</c:v>
                </c:pt>
                <c:pt idx="934" formatCode="General">
                  <c:v>942</c:v>
                </c:pt>
                <c:pt idx="935" formatCode="General">
                  <c:v>635</c:v>
                </c:pt>
                <c:pt idx="936" formatCode="General">
                  <c:v>504</c:v>
                </c:pt>
                <c:pt idx="937" formatCode="General">
                  <c:v>657</c:v>
                </c:pt>
                <c:pt idx="938" formatCode="General">
                  <c:v>613</c:v>
                </c:pt>
                <c:pt idx="939" formatCode="General">
                  <c:v>832</c:v>
                </c:pt>
                <c:pt idx="940">
                  <c:v>1117</c:v>
                </c:pt>
                <c:pt idx="941">
                  <c:v>1308</c:v>
                </c:pt>
                <c:pt idx="942">
                  <c:v>1199</c:v>
                </c:pt>
                <c:pt idx="943">
                  <c:v>1373</c:v>
                </c:pt>
                <c:pt idx="944">
                  <c:v>1025</c:v>
                </c:pt>
                <c:pt idx="945">
                  <c:v>1046</c:v>
                </c:pt>
                <c:pt idx="946" formatCode="General">
                  <c:v>807</c:v>
                </c:pt>
                <c:pt idx="947">
                  <c:v>1264</c:v>
                </c:pt>
                <c:pt idx="948">
                  <c:v>1155</c:v>
                </c:pt>
                <c:pt idx="949" formatCode="General">
                  <c:v>501</c:v>
                </c:pt>
                <c:pt idx="950">
                  <c:v>1548</c:v>
                </c:pt>
                <c:pt idx="951">
                  <c:v>1199</c:v>
                </c:pt>
                <c:pt idx="952">
                  <c:v>1155</c:v>
                </c:pt>
                <c:pt idx="953" formatCode="General">
                  <c:v>545</c:v>
                </c:pt>
                <c:pt idx="954">
                  <c:v>1570</c:v>
                </c:pt>
                <c:pt idx="955" formatCode="General">
                  <c:v>916</c:v>
                </c:pt>
                <c:pt idx="956" formatCode="General">
                  <c:v>850</c:v>
                </c:pt>
                <c:pt idx="957">
                  <c:v>1025</c:v>
                </c:pt>
                <c:pt idx="958">
                  <c:v>1199</c:v>
                </c:pt>
                <c:pt idx="959" formatCode="General">
                  <c:v>610</c:v>
                </c:pt>
                <c:pt idx="960" formatCode="General">
                  <c:v>589</c:v>
                </c:pt>
                <c:pt idx="961" formatCode="General">
                  <c:v>349</c:v>
                </c:pt>
                <c:pt idx="962" formatCode="General">
                  <c:v>807</c:v>
                </c:pt>
                <c:pt idx="963" formatCode="General">
                  <c:v>998</c:v>
                </c:pt>
                <c:pt idx="964">
                  <c:v>1411</c:v>
                </c:pt>
                <c:pt idx="965">
                  <c:v>1736</c:v>
                </c:pt>
                <c:pt idx="966" formatCode="General">
                  <c:v>694</c:v>
                </c:pt>
                <c:pt idx="967">
                  <c:v>1020</c:v>
                </c:pt>
                <c:pt idx="968" formatCode="General">
                  <c:v>781</c:v>
                </c:pt>
                <c:pt idx="969">
                  <c:v>1215</c:v>
                </c:pt>
                <c:pt idx="970">
                  <c:v>1042</c:v>
                </c:pt>
                <c:pt idx="971" formatCode="General">
                  <c:v>629</c:v>
                </c:pt>
                <c:pt idx="972" formatCode="General">
                  <c:v>716</c:v>
                </c:pt>
                <c:pt idx="973" formatCode="General">
                  <c:v>781</c:v>
                </c:pt>
                <c:pt idx="974">
                  <c:v>1020</c:v>
                </c:pt>
                <c:pt idx="975">
                  <c:v>1432</c:v>
                </c:pt>
                <c:pt idx="976">
                  <c:v>1085</c:v>
                </c:pt>
                <c:pt idx="977">
                  <c:v>1020</c:v>
                </c:pt>
                <c:pt idx="978" formatCode="General">
                  <c:v>929</c:v>
                </c:pt>
                <c:pt idx="979" formatCode="General">
                  <c:v>929</c:v>
                </c:pt>
                <c:pt idx="980" formatCode="General">
                  <c:v>691</c:v>
                </c:pt>
                <c:pt idx="981" formatCode="General">
                  <c:v>994</c:v>
                </c:pt>
                <c:pt idx="982">
                  <c:v>1555</c:v>
                </c:pt>
                <c:pt idx="983" formatCode="General">
                  <c:v>842</c:v>
                </c:pt>
                <c:pt idx="984" formatCode="General">
                  <c:v>734</c:v>
                </c:pt>
                <c:pt idx="985">
                  <c:v>1555</c:v>
                </c:pt>
                <c:pt idx="986" formatCode="General">
                  <c:v>734</c:v>
                </c:pt>
                <c:pt idx="987">
                  <c:v>1102</c:v>
                </c:pt>
                <c:pt idx="988">
                  <c:v>1015</c:v>
                </c:pt>
                <c:pt idx="989" formatCode="General">
                  <c:v>864</c:v>
                </c:pt>
                <c:pt idx="990" formatCode="General">
                  <c:v>518</c:v>
                </c:pt>
                <c:pt idx="991" formatCode="General">
                  <c:v>950</c:v>
                </c:pt>
                <c:pt idx="992">
                  <c:v>1204</c:v>
                </c:pt>
                <c:pt idx="993">
                  <c:v>1161</c:v>
                </c:pt>
                <c:pt idx="994">
                  <c:v>1032</c:v>
                </c:pt>
                <c:pt idx="995">
                  <c:v>1075</c:v>
                </c:pt>
                <c:pt idx="996">
                  <c:v>1011</c:v>
                </c:pt>
                <c:pt idx="997" formatCode="General">
                  <c:v>774</c:v>
                </c:pt>
                <c:pt idx="998">
                  <c:v>1054</c:v>
                </c:pt>
                <c:pt idx="999">
                  <c:v>1204</c:v>
                </c:pt>
                <c:pt idx="1000" formatCode="General">
                  <c:v>946</c:v>
                </c:pt>
                <c:pt idx="1001">
                  <c:v>1204</c:v>
                </c:pt>
                <c:pt idx="1002" formatCode="General">
                  <c:v>645</c:v>
                </c:pt>
                <c:pt idx="1003" formatCode="General">
                  <c:v>645</c:v>
                </c:pt>
                <c:pt idx="1004" formatCode="General">
                  <c:v>774</c:v>
                </c:pt>
                <c:pt idx="1005" formatCode="General">
                  <c:v>495</c:v>
                </c:pt>
                <c:pt idx="1006" formatCode="General">
                  <c:v>645</c:v>
                </c:pt>
                <c:pt idx="1007" formatCode="General">
                  <c:v>323</c:v>
                </c:pt>
                <c:pt idx="1008">
                  <c:v>1140</c:v>
                </c:pt>
                <c:pt idx="1009">
                  <c:v>1075</c:v>
                </c:pt>
                <c:pt idx="1010" formatCode="General">
                  <c:v>323</c:v>
                </c:pt>
                <c:pt idx="1011" formatCode="General">
                  <c:v>452</c:v>
                </c:pt>
                <c:pt idx="1012" formatCode="General">
                  <c:v>366</c:v>
                </c:pt>
                <c:pt idx="1013" formatCode="General">
                  <c:v>903</c:v>
                </c:pt>
                <c:pt idx="1014" formatCode="General">
                  <c:v>490</c:v>
                </c:pt>
                <c:pt idx="1015" formatCode="General">
                  <c:v>873</c:v>
                </c:pt>
                <c:pt idx="1016">
                  <c:v>1065</c:v>
                </c:pt>
                <c:pt idx="1017">
                  <c:v>1001</c:v>
                </c:pt>
                <c:pt idx="1018">
                  <c:v>1363</c:v>
                </c:pt>
                <c:pt idx="1019">
                  <c:v>1853</c:v>
                </c:pt>
                <c:pt idx="1020" formatCode="General">
                  <c:v>554</c:v>
                </c:pt>
                <c:pt idx="1021" formatCode="General">
                  <c:v>596</c:v>
                </c:pt>
                <c:pt idx="1022" formatCode="General">
                  <c:v>703</c:v>
                </c:pt>
                <c:pt idx="1023" formatCode="General">
                  <c:v>639</c:v>
                </c:pt>
                <c:pt idx="1024" formatCode="General">
                  <c:v>703</c:v>
                </c:pt>
                <c:pt idx="1025">
                  <c:v>1001</c:v>
                </c:pt>
                <c:pt idx="1026" formatCode="General">
                  <c:v>703</c:v>
                </c:pt>
                <c:pt idx="1027" formatCode="General">
                  <c:v>693</c:v>
                </c:pt>
                <c:pt idx="1028" formatCode="General">
                  <c:v>756</c:v>
                </c:pt>
                <c:pt idx="1029">
                  <c:v>1113</c:v>
                </c:pt>
                <c:pt idx="1030">
                  <c:v>1029</c:v>
                </c:pt>
                <c:pt idx="1031">
                  <c:v>1134</c:v>
                </c:pt>
                <c:pt idx="1032">
                  <c:v>1344</c:v>
                </c:pt>
                <c:pt idx="1033">
                  <c:v>1239</c:v>
                </c:pt>
                <c:pt idx="1034">
                  <c:v>1050</c:v>
                </c:pt>
                <c:pt idx="1035">
                  <c:v>1113</c:v>
                </c:pt>
                <c:pt idx="1036">
                  <c:v>1029</c:v>
                </c:pt>
                <c:pt idx="1037">
                  <c:v>1302</c:v>
                </c:pt>
                <c:pt idx="1038">
                  <c:v>1617</c:v>
                </c:pt>
                <c:pt idx="1039" formatCode="General">
                  <c:v>861</c:v>
                </c:pt>
                <c:pt idx="1040" formatCode="General">
                  <c:v>882</c:v>
                </c:pt>
                <c:pt idx="1041">
                  <c:v>1050</c:v>
                </c:pt>
                <c:pt idx="1042" formatCode="General">
                  <c:v>378</c:v>
                </c:pt>
                <c:pt idx="1043">
                  <c:v>1134</c:v>
                </c:pt>
                <c:pt idx="1044">
                  <c:v>1092</c:v>
                </c:pt>
                <c:pt idx="1045">
                  <c:v>1407</c:v>
                </c:pt>
                <c:pt idx="1046">
                  <c:v>1659</c:v>
                </c:pt>
                <c:pt idx="1047">
                  <c:v>1680</c:v>
                </c:pt>
                <c:pt idx="1048">
                  <c:v>1155</c:v>
                </c:pt>
                <c:pt idx="1049">
                  <c:v>1302</c:v>
                </c:pt>
                <c:pt idx="1050">
                  <c:v>1365</c:v>
                </c:pt>
                <c:pt idx="1051" formatCode="General">
                  <c:v>882</c:v>
                </c:pt>
                <c:pt idx="1052" formatCode="General">
                  <c:v>966</c:v>
                </c:pt>
                <c:pt idx="1053">
                  <c:v>1155</c:v>
                </c:pt>
                <c:pt idx="1054" formatCode="General">
                  <c:v>672</c:v>
                </c:pt>
                <c:pt idx="1055" formatCode="General">
                  <c:v>861</c:v>
                </c:pt>
                <c:pt idx="1056" formatCode="General">
                  <c:v>819</c:v>
                </c:pt>
                <c:pt idx="1057">
                  <c:v>1134</c:v>
                </c:pt>
                <c:pt idx="1058">
                  <c:v>1512</c:v>
                </c:pt>
                <c:pt idx="1059" formatCode="General">
                  <c:v>756</c:v>
                </c:pt>
                <c:pt idx="1060" formatCode="General">
                  <c:v>924</c:v>
                </c:pt>
                <c:pt idx="1061">
                  <c:v>1155</c:v>
                </c:pt>
                <c:pt idx="1062" formatCode="General">
                  <c:v>567</c:v>
                </c:pt>
                <c:pt idx="1063" formatCode="General">
                  <c:v>756</c:v>
                </c:pt>
                <c:pt idx="1064" formatCode="General">
                  <c:v>693</c:v>
                </c:pt>
                <c:pt idx="1065" formatCode="General">
                  <c:v>987</c:v>
                </c:pt>
                <c:pt idx="1066" formatCode="General">
                  <c:v>882</c:v>
                </c:pt>
                <c:pt idx="1067" formatCode="General">
                  <c:v>777</c:v>
                </c:pt>
                <c:pt idx="1068" formatCode="General">
                  <c:v>609</c:v>
                </c:pt>
                <c:pt idx="1069" formatCode="General">
                  <c:v>714</c:v>
                </c:pt>
                <c:pt idx="1070" formatCode="General">
                  <c:v>798</c:v>
                </c:pt>
                <c:pt idx="1071">
                  <c:v>1029</c:v>
                </c:pt>
                <c:pt idx="1072" formatCode="General">
                  <c:v>966</c:v>
                </c:pt>
                <c:pt idx="1073" formatCode="General">
                  <c:v>441</c:v>
                </c:pt>
                <c:pt idx="1074" formatCode="General">
                  <c:v>462</c:v>
                </c:pt>
                <c:pt idx="1075" formatCode="General">
                  <c:v>924</c:v>
                </c:pt>
                <c:pt idx="1076" formatCode="General">
                  <c:v>651</c:v>
                </c:pt>
                <c:pt idx="1077">
                  <c:v>1512</c:v>
                </c:pt>
                <c:pt idx="1078">
                  <c:v>1155</c:v>
                </c:pt>
                <c:pt idx="1079">
                  <c:v>1449</c:v>
                </c:pt>
                <c:pt idx="1080" formatCode="General">
                  <c:v>294</c:v>
                </c:pt>
                <c:pt idx="1081" formatCode="General">
                  <c:v>882</c:v>
                </c:pt>
                <c:pt idx="1082" formatCode="General">
                  <c:v>945</c:v>
                </c:pt>
                <c:pt idx="1083" formatCode="General">
                  <c:v>357</c:v>
                </c:pt>
                <c:pt idx="1084" formatCode="General">
                  <c:v>773</c:v>
                </c:pt>
                <c:pt idx="1085">
                  <c:v>1129</c:v>
                </c:pt>
                <c:pt idx="1086">
                  <c:v>1066</c:v>
                </c:pt>
                <c:pt idx="1087" formatCode="General">
                  <c:v>815</c:v>
                </c:pt>
                <c:pt idx="1088" formatCode="General">
                  <c:v>982</c:v>
                </c:pt>
                <c:pt idx="1089">
                  <c:v>1045</c:v>
                </c:pt>
                <c:pt idx="1090" formatCode="General">
                  <c:v>836</c:v>
                </c:pt>
                <c:pt idx="1091" formatCode="General">
                  <c:v>418</c:v>
                </c:pt>
                <c:pt idx="1092" formatCode="General">
                  <c:v>815</c:v>
                </c:pt>
                <c:pt idx="1093" formatCode="General">
                  <c:v>878</c:v>
                </c:pt>
                <c:pt idx="1094" formatCode="General">
                  <c:v>523</c:v>
                </c:pt>
                <c:pt idx="1095">
                  <c:v>1024</c:v>
                </c:pt>
                <c:pt idx="1096" formatCode="General">
                  <c:v>941</c:v>
                </c:pt>
                <c:pt idx="1097">
                  <c:v>1394</c:v>
                </c:pt>
                <c:pt idx="1098" formatCode="General">
                  <c:v>853</c:v>
                </c:pt>
                <c:pt idx="1099">
                  <c:v>1019</c:v>
                </c:pt>
                <c:pt idx="1100">
                  <c:v>1102</c:v>
                </c:pt>
                <c:pt idx="1101" formatCode="General">
                  <c:v>915</c:v>
                </c:pt>
                <c:pt idx="1102">
                  <c:v>1019</c:v>
                </c:pt>
                <c:pt idx="1103">
                  <c:v>1269</c:v>
                </c:pt>
                <c:pt idx="1104">
                  <c:v>1539</c:v>
                </c:pt>
                <c:pt idx="1105">
                  <c:v>1186</c:v>
                </c:pt>
                <c:pt idx="1106" formatCode="General">
                  <c:v>811</c:v>
                </c:pt>
                <c:pt idx="1107" formatCode="General">
                  <c:v>998</c:v>
                </c:pt>
                <c:pt idx="1108">
                  <c:v>1331</c:v>
                </c:pt>
                <c:pt idx="1109" formatCode="General">
                  <c:v>874</c:v>
                </c:pt>
                <c:pt idx="1110" formatCode="General">
                  <c:v>624</c:v>
                </c:pt>
                <c:pt idx="1111" formatCode="General">
                  <c:v>666</c:v>
                </c:pt>
                <c:pt idx="1112" formatCode="General">
                  <c:v>957</c:v>
                </c:pt>
                <c:pt idx="1113" formatCode="General">
                  <c:v>686</c:v>
                </c:pt>
                <c:pt idx="1114" formatCode="General">
                  <c:v>957</c:v>
                </c:pt>
                <c:pt idx="1115">
                  <c:v>1165</c:v>
                </c:pt>
                <c:pt idx="1116">
                  <c:v>1414</c:v>
                </c:pt>
                <c:pt idx="1117">
                  <c:v>1206</c:v>
                </c:pt>
                <c:pt idx="1118">
                  <c:v>1290</c:v>
                </c:pt>
                <c:pt idx="1119" formatCode="General">
                  <c:v>437</c:v>
                </c:pt>
                <c:pt idx="1120">
                  <c:v>1102</c:v>
                </c:pt>
                <c:pt idx="1121">
                  <c:v>1685</c:v>
                </c:pt>
                <c:pt idx="1122" formatCode="General">
                  <c:v>915</c:v>
                </c:pt>
                <c:pt idx="1123" formatCode="General">
                  <c:v>994</c:v>
                </c:pt>
                <c:pt idx="1124" formatCode="General">
                  <c:v>869</c:v>
                </c:pt>
                <c:pt idx="1125" formatCode="General">
                  <c:v>906</c:v>
                </c:pt>
                <c:pt idx="1126" formatCode="General">
                  <c:v>968</c:v>
                </c:pt>
                <c:pt idx="1127">
                  <c:v>1318</c:v>
                </c:pt>
                <c:pt idx="1128">
                  <c:v>1112</c:v>
                </c:pt>
                <c:pt idx="1129" formatCode="General">
                  <c:v>886</c:v>
                </c:pt>
                <c:pt idx="1130" formatCode="General">
                  <c:v>906</c:v>
                </c:pt>
                <c:pt idx="1131">
                  <c:v>1586</c:v>
                </c:pt>
                <c:pt idx="1132">
                  <c:v>1071</c:v>
                </c:pt>
                <c:pt idx="1133" formatCode="General">
                  <c:v>762</c:v>
                </c:pt>
                <c:pt idx="1134">
                  <c:v>1524</c:v>
                </c:pt>
                <c:pt idx="1135" formatCode="General">
                  <c:v>742</c:v>
                </c:pt>
                <c:pt idx="1136" formatCode="General">
                  <c:v>783</c:v>
                </c:pt>
                <c:pt idx="1137" formatCode="General">
                  <c:v>886</c:v>
                </c:pt>
                <c:pt idx="1138" formatCode="General">
                  <c:v>330</c:v>
                </c:pt>
                <c:pt idx="1139" formatCode="General">
                  <c:v>783</c:v>
                </c:pt>
                <c:pt idx="1140" formatCode="General">
                  <c:v>762</c:v>
                </c:pt>
                <c:pt idx="1141" formatCode="General">
                  <c:v>865</c:v>
                </c:pt>
                <c:pt idx="1142" formatCode="General">
                  <c:v>453</c:v>
                </c:pt>
                <c:pt idx="1143" formatCode="General">
                  <c:v>309</c:v>
                </c:pt>
                <c:pt idx="1144" formatCode="General">
                  <c:v>371</c:v>
                </c:pt>
                <c:pt idx="1145" formatCode="General">
                  <c:v>824</c:v>
                </c:pt>
                <c:pt idx="1146" formatCode="General">
                  <c:v>612</c:v>
                </c:pt>
                <c:pt idx="1147" formatCode="General">
                  <c:v>734</c:v>
                </c:pt>
                <c:pt idx="1148" formatCode="General">
                  <c:v>979</c:v>
                </c:pt>
                <c:pt idx="1149" formatCode="General">
                  <c:v>938</c:v>
                </c:pt>
                <c:pt idx="1150" formatCode="General">
                  <c:v>938</c:v>
                </c:pt>
                <c:pt idx="1151" formatCode="General">
                  <c:v>286</c:v>
                </c:pt>
                <c:pt idx="1152" formatCode="General">
                  <c:v>755</c:v>
                </c:pt>
                <c:pt idx="1153">
                  <c:v>1306</c:v>
                </c:pt>
                <c:pt idx="1154">
                  <c:v>1183</c:v>
                </c:pt>
                <c:pt idx="1155" formatCode="General">
                  <c:v>469</c:v>
                </c:pt>
                <c:pt idx="1156" formatCode="General">
                  <c:v>653</c:v>
                </c:pt>
                <c:pt idx="1157">
                  <c:v>1591</c:v>
                </c:pt>
                <c:pt idx="1158" formatCode="General">
                  <c:v>632</c:v>
                </c:pt>
                <c:pt idx="1159" formatCode="General">
                  <c:v>388</c:v>
                </c:pt>
                <c:pt idx="1160" formatCode="General">
                  <c:v>367</c:v>
                </c:pt>
                <c:pt idx="1161" formatCode="General">
                  <c:v>690</c:v>
                </c:pt>
                <c:pt idx="1162" formatCode="General">
                  <c:v>690</c:v>
                </c:pt>
                <c:pt idx="1163" formatCode="General">
                  <c:v>771</c:v>
                </c:pt>
                <c:pt idx="1164" formatCode="General">
                  <c:v>974</c:v>
                </c:pt>
                <c:pt idx="1165">
                  <c:v>1117</c:v>
                </c:pt>
                <c:pt idx="1166">
                  <c:v>1259</c:v>
                </c:pt>
                <c:pt idx="1167">
                  <c:v>1462</c:v>
                </c:pt>
                <c:pt idx="1168">
                  <c:v>1076</c:v>
                </c:pt>
                <c:pt idx="1169">
                  <c:v>1035</c:v>
                </c:pt>
                <c:pt idx="1170" formatCode="General">
                  <c:v>650</c:v>
                </c:pt>
                <c:pt idx="1171" formatCode="General">
                  <c:v>974</c:v>
                </c:pt>
                <c:pt idx="1172">
                  <c:v>1198</c:v>
                </c:pt>
                <c:pt idx="1173">
                  <c:v>1198</c:v>
                </c:pt>
                <c:pt idx="1174" formatCode="General">
                  <c:v>974</c:v>
                </c:pt>
                <c:pt idx="1175">
                  <c:v>1198</c:v>
                </c:pt>
                <c:pt idx="1176" formatCode="General">
                  <c:v>650</c:v>
                </c:pt>
                <c:pt idx="1177" formatCode="General">
                  <c:v>954</c:v>
                </c:pt>
                <c:pt idx="1178" formatCode="General">
                  <c:v>751</c:v>
                </c:pt>
                <c:pt idx="1179" formatCode="General">
                  <c:v>853</c:v>
                </c:pt>
                <c:pt idx="1180" formatCode="General">
                  <c:v>386</c:v>
                </c:pt>
                <c:pt idx="1181" formatCode="General">
                  <c:v>183</c:v>
                </c:pt>
                <c:pt idx="1182" formatCode="General">
                  <c:v>873</c:v>
                </c:pt>
                <c:pt idx="1183" formatCode="General">
                  <c:v>873</c:v>
                </c:pt>
                <c:pt idx="1184" formatCode="General">
                  <c:v>995</c:v>
                </c:pt>
                <c:pt idx="1185">
                  <c:v>1380</c:v>
                </c:pt>
                <c:pt idx="1186">
                  <c:v>1299</c:v>
                </c:pt>
                <c:pt idx="1187">
                  <c:v>1644</c:v>
                </c:pt>
                <c:pt idx="1188" formatCode="General">
                  <c:v>690</c:v>
                </c:pt>
                <c:pt idx="1189" formatCode="General">
                  <c:v>731</c:v>
                </c:pt>
                <c:pt idx="1190" formatCode="General">
                  <c:v>771</c:v>
                </c:pt>
                <c:pt idx="1191" formatCode="General">
                  <c:v>670</c:v>
                </c:pt>
                <c:pt idx="1192" formatCode="General">
                  <c:v>792</c:v>
                </c:pt>
                <c:pt idx="1193">
                  <c:v>1685</c:v>
                </c:pt>
                <c:pt idx="1194">
                  <c:v>1868</c:v>
                </c:pt>
                <c:pt idx="1195" formatCode="General">
                  <c:v>365</c:v>
                </c:pt>
                <c:pt idx="1196">
                  <c:v>1056</c:v>
                </c:pt>
                <c:pt idx="1197">
                  <c:v>1096</c:v>
                </c:pt>
                <c:pt idx="1198">
                  <c:v>1015</c:v>
                </c:pt>
                <c:pt idx="1199" formatCode="General">
                  <c:v>690</c:v>
                </c:pt>
                <c:pt idx="1200" formatCode="General">
                  <c:v>589</c:v>
                </c:pt>
                <c:pt idx="1201">
                  <c:v>1035</c:v>
                </c:pt>
                <c:pt idx="1202">
                  <c:v>1056</c:v>
                </c:pt>
                <c:pt idx="1203" formatCode="General">
                  <c:v>832</c:v>
                </c:pt>
                <c:pt idx="1204" formatCode="General">
                  <c:v>954</c:v>
                </c:pt>
                <c:pt idx="1205" formatCode="General">
                  <c:v>731</c:v>
                </c:pt>
                <c:pt idx="1206">
                  <c:v>1360</c:v>
                </c:pt>
                <c:pt idx="1207" formatCode="General">
                  <c:v>426</c:v>
                </c:pt>
                <c:pt idx="1208" formatCode="General">
                  <c:v>771</c:v>
                </c:pt>
                <c:pt idx="1209" formatCode="General">
                  <c:v>264</c:v>
                </c:pt>
                <c:pt idx="1210" formatCode="General">
                  <c:v>345</c:v>
                </c:pt>
                <c:pt idx="1211" formatCode="General">
                  <c:v>812</c:v>
                </c:pt>
                <c:pt idx="1212" formatCode="General">
                  <c:v>487</c:v>
                </c:pt>
                <c:pt idx="1213" formatCode="General">
                  <c:v>792</c:v>
                </c:pt>
                <c:pt idx="1214" formatCode="General">
                  <c:v>873</c:v>
                </c:pt>
                <c:pt idx="1215" formatCode="General">
                  <c:v>548</c:v>
                </c:pt>
                <c:pt idx="1216" formatCode="General">
                  <c:v>711</c:v>
                </c:pt>
                <c:pt idx="1217" formatCode="General">
                  <c:v>974</c:v>
                </c:pt>
                <c:pt idx="1218">
                  <c:v>1353</c:v>
                </c:pt>
                <c:pt idx="1219">
                  <c:v>1293</c:v>
                </c:pt>
                <c:pt idx="1220" formatCode="General">
                  <c:v>990</c:v>
                </c:pt>
                <c:pt idx="1221">
                  <c:v>1212</c:v>
                </c:pt>
                <c:pt idx="1222" formatCode="General">
                  <c:v>768</c:v>
                </c:pt>
                <c:pt idx="1223" formatCode="General">
                  <c:v>848</c:v>
                </c:pt>
                <c:pt idx="1224">
                  <c:v>1010</c:v>
                </c:pt>
                <c:pt idx="1225">
                  <c:v>1535</c:v>
                </c:pt>
                <c:pt idx="1226">
                  <c:v>1050</c:v>
                </c:pt>
                <c:pt idx="1227">
                  <c:v>1050</c:v>
                </c:pt>
                <c:pt idx="1228" formatCode="General">
                  <c:v>869</c:v>
                </c:pt>
                <c:pt idx="1229">
                  <c:v>1111</c:v>
                </c:pt>
                <c:pt idx="1230" formatCode="General">
                  <c:v>364</c:v>
                </c:pt>
                <c:pt idx="1231" formatCode="General">
                  <c:v>525</c:v>
                </c:pt>
                <c:pt idx="1232" formatCode="General">
                  <c:v>869</c:v>
                </c:pt>
                <c:pt idx="1233" formatCode="General">
                  <c:v>323</c:v>
                </c:pt>
                <c:pt idx="1234" formatCode="General">
                  <c:v>525</c:v>
                </c:pt>
                <c:pt idx="1235" formatCode="General">
                  <c:v>949</c:v>
                </c:pt>
                <c:pt idx="1236" formatCode="General">
                  <c:v>747</c:v>
                </c:pt>
                <c:pt idx="1237" formatCode="General">
                  <c:v>643</c:v>
                </c:pt>
                <c:pt idx="1238">
                  <c:v>1045</c:v>
                </c:pt>
                <c:pt idx="1239" formatCode="General">
                  <c:v>563</c:v>
                </c:pt>
                <c:pt idx="1240" formatCode="General">
                  <c:v>884</c:v>
                </c:pt>
                <c:pt idx="1241" formatCode="General">
                  <c:v>482</c:v>
                </c:pt>
                <c:pt idx="1242">
                  <c:v>1106</c:v>
                </c:pt>
                <c:pt idx="1243" formatCode="General">
                  <c:v>603</c:v>
                </c:pt>
                <c:pt idx="1244" formatCode="General">
                  <c:v>683</c:v>
                </c:pt>
                <c:pt idx="1245" formatCode="General">
                  <c:v>884</c:v>
                </c:pt>
                <c:pt idx="1246">
                  <c:v>8000</c:v>
                </c:pt>
                <c:pt idx="1247">
                  <c:v>8000</c:v>
                </c:pt>
                <c:pt idx="1248">
                  <c:v>8000</c:v>
                </c:pt>
                <c:pt idx="1249">
                  <c:v>9000</c:v>
                </c:pt>
                <c:pt idx="1250">
                  <c:v>9000</c:v>
                </c:pt>
                <c:pt idx="1251">
                  <c:v>5000</c:v>
                </c:pt>
                <c:pt idx="1252">
                  <c:v>8000</c:v>
                </c:pt>
                <c:pt idx="1253">
                  <c:v>7000</c:v>
                </c:pt>
                <c:pt idx="1254">
                  <c:v>8000</c:v>
                </c:pt>
                <c:pt idx="1255">
                  <c:v>9000</c:v>
                </c:pt>
                <c:pt idx="1256">
                  <c:v>7000</c:v>
                </c:pt>
                <c:pt idx="1257">
                  <c:v>8000</c:v>
                </c:pt>
                <c:pt idx="1258">
                  <c:v>7000</c:v>
                </c:pt>
                <c:pt idx="1259">
                  <c:v>8000</c:v>
                </c:pt>
                <c:pt idx="1260">
                  <c:v>6000</c:v>
                </c:pt>
                <c:pt idx="1261">
                  <c:v>6000</c:v>
                </c:pt>
                <c:pt idx="1262">
                  <c:v>8000</c:v>
                </c:pt>
                <c:pt idx="1263">
                  <c:v>9000</c:v>
                </c:pt>
                <c:pt idx="1264">
                  <c:v>8000</c:v>
                </c:pt>
                <c:pt idx="1265">
                  <c:v>8000</c:v>
                </c:pt>
                <c:pt idx="1266">
                  <c:v>6000</c:v>
                </c:pt>
                <c:pt idx="1267">
                  <c:v>5000</c:v>
                </c:pt>
                <c:pt idx="1268">
                  <c:v>8000</c:v>
                </c:pt>
                <c:pt idx="1269">
                  <c:v>8000</c:v>
                </c:pt>
                <c:pt idx="1270">
                  <c:v>8000</c:v>
                </c:pt>
                <c:pt idx="1271">
                  <c:v>8000</c:v>
                </c:pt>
                <c:pt idx="1272">
                  <c:v>6000</c:v>
                </c:pt>
                <c:pt idx="1273">
                  <c:v>7000</c:v>
                </c:pt>
                <c:pt idx="1274">
                  <c:v>9000</c:v>
                </c:pt>
                <c:pt idx="1275">
                  <c:v>4000</c:v>
                </c:pt>
                <c:pt idx="1276">
                  <c:v>4000</c:v>
                </c:pt>
                <c:pt idx="1277">
                  <c:v>6000</c:v>
                </c:pt>
                <c:pt idx="1278">
                  <c:v>4000</c:v>
                </c:pt>
                <c:pt idx="1279">
                  <c:v>5000</c:v>
                </c:pt>
                <c:pt idx="1280">
                  <c:v>3000</c:v>
                </c:pt>
                <c:pt idx="1281">
                  <c:v>7000</c:v>
                </c:pt>
                <c:pt idx="1282">
                  <c:v>4000</c:v>
                </c:pt>
                <c:pt idx="1283">
                  <c:v>8000</c:v>
                </c:pt>
                <c:pt idx="1284">
                  <c:v>7000</c:v>
                </c:pt>
                <c:pt idx="1285">
                  <c:v>8000</c:v>
                </c:pt>
                <c:pt idx="1286">
                  <c:v>6000</c:v>
                </c:pt>
                <c:pt idx="1287">
                  <c:v>9000</c:v>
                </c:pt>
                <c:pt idx="1288">
                  <c:v>6000</c:v>
                </c:pt>
                <c:pt idx="1289">
                  <c:v>8000</c:v>
                </c:pt>
                <c:pt idx="1290">
                  <c:v>4000</c:v>
                </c:pt>
                <c:pt idx="1291">
                  <c:v>7000</c:v>
                </c:pt>
                <c:pt idx="1292">
                  <c:v>5000</c:v>
                </c:pt>
                <c:pt idx="1293">
                  <c:v>8000</c:v>
                </c:pt>
                <c:pt idx="1294">
                  <c:v>7000</c:v>
                </c:pt>
                <c:pt idx="1295">
                  <c:v>4000</c:v>
                </c:pt>
                <c:pt idx="1296">
                  <c:v>8000</c:v>
                </c:pt>
                <c:pt idx="1297">
                  <c:v>5000</c:v>
                </c:pt>
                <c:pt idx="1298">
                  <c:v>8000</c:v>
                </c:pt>
                <c:pt idx="1299">
                  <c:v>8000</c:v>
                </c:pt>
                <c:pt idx="1300">
                  <c:v>9000</c:v>
                </c:pt>
                <c:pt idx="1301">
                  <c:v>7000</c:v>
                </c:pt>
                <c:pt idx="1302">
                  <c:v>9000</c:v>
                </c:pt>
                <c:pt idx="1303">
                  <c:v>5000</c:v>
                </c:pt>
                <c:pt idx="1304">
                  <c:v>3000</c:v>
                </c:pt>
                <c:pt idx="1305">
                  <c:v>9000</c:v>
                </c:pt>
                <c:pt idx="1306">
                  <c:v>6000</c:v>
                </c:pt>
                <c:pt idx="1307">
                  <c:v>8000</c:v>
                </c:pt>
                <c:pt idx="1308">
                  <c:v>9000</c:v>
                </c:pt>
                <c:pt idx="1309">
                  <c:v>8000</c:v>
                </c:pt>
                <c:pt idx="1310">
                  <c:v>7000</c:v>
                </c:pt>
                <c:pt idx="1311">
                  <c:v>7000</c:v>
                </c:pt>
                <c:pt idx="1312">
                  <c:v>8000</c:v>
                </c:pt>
                <c:pt idx="1313">
                  <c:v>8000</c:v>
                </c:pt>
                <c:pt idx="1314">
                  <c:v>9000</c:v>
                </c:pt>
                <c:pt idx="1315">
                  <c:v>7000</c:v>
                </c:pt>
                <c:pt idx="1316">
                  <c:v>8000</c:v>
                </c:pt>
                <c:pt idx="1317">
                  <c:v>8000</c:v>
                </c:pt>
                <c:pt idx="1318">
                  <c:v>8000</c:v>
                </c:pt>
                <c:pt idx="1319">
                  <c:v>8000</c:v>
                </c:pt>
                <c:pt idx="1320">
                  <c:v>6000</c:v>
                </c:pt>
                <c:pt idx="1321">
                  <c:v>9000</c:v>
                </c:pt>
                <c:pt idx="1322">
                  <c:v>7000</c:v>
                </c:pt>
                <c:pt idx="1323">
                  <c:v>8000</c:v>
                </c:pt>
                <c:pt idx="1324">
                  <c:v>8000</c:v>
                </c:pt>
                <c:pt idx="1325">
                  <c:v>8000</c:v>
                </c:pt>
                <c:pt idx="1326">
                  <c:v>6000</c:v>
                </c:pt>
                <c:pt idx="1327">
                  <c:v>6000</c:v>
                </c:pt>
                <c:pt idx="1328">
                  <c:v>8000</c:v>
                </c:pt>
                <c:pt idx="1329">
                  <c:v>9000</c:v>
                </c:pt>
                <c:pt idx="1330">
                  <c:v>1200</c:v>
                </c:pt>
                <c:pt idx="1331">
                  <c:v>1200</c:v>
                </c:pt>
                <c:pt idx="1332" formatCode="General">
                  <c:v>980</c:v>
                </c:pt>
                <c:pt idx="1333">
                  <c:v>1060</c:v>
                </c:pt>
                <c:pt idx="1334">
                  <c:v>1640</c:v>
                </c:pt>
                <c:pt idx="1335" formatCode="General">
                  <c:v>680</c:v>
                </c:pt>
                <c:pt idx="1336">
                  <c:v>1620</c:v>
                </c:pt>
                <c:pt idx="1337">
                  <c:v>1180</c:v>
                </c:pt>
                <c:pt idx="1338" formatCode="General">
                  <c:v>980</c:v>
                </c:pt>
                <c:pt idx="1339">
                  <c:v>1160</c:v>
                </c:pt>
                <c:pt idx="1340" formatCode="General">
                  <c:v>740</c:v>
                </c:pt>
                <c:pt idx="1341" formatCode="General">
                  <c:v>380</c:v>
                </c:pt>
                <c:pt idx="1342" formatCode="General">
                  <c:v>280</c:v>
                </c:pt>
                <c:pt idx="1343">
                  <c:v>1280</c:v>
                </c:pt>
                <c:pt idx="1344" formatCode="General">
                  <c:v>360</c:v>
                </c:pt>
                <c:pt idx="1345" formatCode="General">
                  <c:v>420</c:v>
                </c:pt>
                <c:pt idx="1346" formatCode="General">
                  <c:v>720</c:v>
                </c:pt>
                <c:pt idx="1347" formatCode="General">
                  <c:v>880</c:v>
                </c:pt>
                <c:pt idx="1348">
                  <c:v>1100</c:v>
                </c:pt>
                <c:pt idx="1349" formatCode="General">
                  <c:v>980</c:v>
                </c:pt>
                <c:pt idx="1350" formatCode="General">
                  <c:v>970</c:v>
                </c:pt>
                <c:pt idx="1351" formatCode="General">
                  <c:v>574</c:v>
                </c:pt>
                <c:pt idx="1352">
                  <c:v>1307</c:v>
                </c:pt>
                <c:pt idx="1353">
                  <c:v>1346</c:v>
                </c:pt>
                <c:pt idx="1354">
                  <c:v>1228</c:v>
                </c:pt>
                <c:pt idx="1355" formatCode="General">
                  <c:v>752</c:v>
                </c:pt>
                <c:pt idx="1356" formatCode="General">
                  <c:v>871</c:v>
                </c:pt>
                <c:pt idx="1357" formatCode="General">
                  <c:v>990</c:v>
                </c:pt>
                <c:pt idx="1358" formatCode="General">
                  <c:v>666</c:v>
                </c:pt>
                <c:pt idx="1359" formatCode="General">
                  <c:v>804</c:v>
                </c:pt>
                <c:pt idx="1360" formatCode="General">
                  <c:v>960</c:v>
                </c:pt>
                <c:pt idx="1361">
                  <c:v>1235</c:v>
                </c:pt>
                <c:pt idx="1362" formatCode="General">
                  <c:v>804</c:v>
                </c:pt>
                <c:pt idx="1363" formatCode="General">
                  <c:v>902</c:v>
                </c:pt>
                <c:pt idx="1364">
                  <c:v>1156</c:v>
                </c:pt>
                <c:pt idx="1365" formatCode="General">
                  <c:v>549</c:v>
                </c:pt>
                <c:pt idx="1366">
                  <c:v>1137</c:v>
                </c:pt>
                <c:pt idx="1367">
                  <c:v>1235</c:v>
                </c:pt>
                <c:pt idx="1368">
                  <c:v>1019</c:v>
                </c:pt>
                <c:pt idx="1369">
                  <c:v>1137</c:v>
                </c:pt>
                <c:pt idx="1370" formatCode="General">
                  <c:v>804</c:v>
                </c:pt>
                <c:pt idx="1371" formatCode="General">
                  <c:v>568</c:v>
                </c:pt>
                <c:pt idx="1372" formatCode="General">
                  <c:v>568</c:v>
                </c:pt>
                <c:pt idx="1373">
                  <c:v>1098</c:v>
                </c:pt>
                <c:pt idx="1374">
                  <c:v>1000</c:v>
                </c:pt>
                <c:pt idx="1375">
                  <c:v>1019</c:v>
                </c:pt>
                <c:pt idx="1376" formatCode="General">
                  <c:v>960</c:v>
                </c:pt>
                <c:pt idx="1377" formatCode="General">
                  <c:v>451</c:v>
                </c:pt>
                <c:pt idx="1378">
                  <c:v>1666</c:v>
                </c:pt>
                <c:pt idx="1379">
                  <c:v>1764</c:v>
                </c:pt>
                <c:pt idx="1380" formatCode="General">
                  <c:v>549</c:v>
                </c:pt>
                <c:pt idx="1381" formatCode="General">
                  <c:v>549</c:v>
                </c:pt>
                <c:pt idx="1382">
                  <c:v>1058</c:v>
                </c:pt>
                <c:pt idx="1383">
                  <c:v>1176</c:v>
                </c:pt>
                <c:pt idx="1384" formatCode="General">
                  <c:v>960</c:v>
                </c:pt>
                <c:pt idx="1385" formatCode="General">
                  <c:v>921</c:v>
                </c:pt>
                <c:pt idx="1386">
                  <c:v>1039</c:v>
                </c:pt>
                <c:pt idx="1387" formatCode="General">
                  <c:v>745</c:v>
                </c:pt>
                <c:pt idx="1388">
                  <c:v>1294</c:v>
                </c:pt>
                <c:pt idx="1389" formatCode="General">
                  <c:v>666</c:v>
                </c:pt>
                <c:pt idx="1390">
                  <c:v>1039</c:v>
                </c:pt>
                <c:pt idx="1391" formatCode="General">
                  <c:v>647</c:v>
                </c:pt>
                <c:pt idx="1392">
                  <c:v>1078</c:v>
                </c:pt>
                <c:pt idx="1393">
                  <c:v>1254</c:v>
                </c:pt>
                <c:pt idx="1394">
                  <c:v>1254</c:v>
                </c:pt>
                <c:pt idx="1395">
                  <c:v>1176</c:v>
                </c:pt>
                <c:pt idx="1396" formatCode="General">
                  <c:v>862</c:v>
                </c:pt>
                <c:pt idx="1397" formatCode="General">
                  <c:v>921</c:v>
                </c:pt>
                <c:pt idx="1398" formatCode="General">
                  <c:v>353</c:v>
                </c:pt>
                <c:pt idx="1399" formatCode="General">
                  <c:v>627</c:v>
                </c:pt>
                <c:pt idx="1400" formatCode="General">
                  <c:v>706</c:v>
                </c:pt>
                <c:pt idx="1401" formatCode="General">
                  <c:v>647</c:v>
                </c:pt>
                <c:pt idx="1402">
                  <c:v>1294</c:v>
                </c:pt>
                <c:pt idx="1403" formatCode="General">
                  <c:v>686</c:v>
                </c:pt>
                <c:pt idx="1404" formatCode="General">
                  <c:v>764</c:v>
                </c:pt>
                <c:pt idx="1405" formatCode="General">
                  <c:v>784</c:v>
                </c:pt>
                <c:pt idx="1406" formatCode="General">
                  <c:v>921</c:v>
                </c:pt>
                <c:pt idx="1407">
                  <c:v>8775</c:v>
                </c:pt>
                <c:pt idx="1408">
                  <c:v>7800</c:v>
                </c:pt>
                <c:pt idx="1409" formatCode="General">
                  <c:v>819</c:v>
                </c:pt>
                <c:pt idx="1410" formatCode="General">
                  <c:v>839</c:v>
                </c:pt>
                <c:pt idx="1411" formatCode="General">
                  <c:v>800</c:v>
                </c:pt>
                <c:pt idx="1412" formatCode="General">
                  <c:v>371</c:v>
                </c:pt>
                <c:pt idx="1413">
                  <c:v>1385</c:v>
                </c:pt>
                <c:pt idx="1414">
                  <c:v>1502</c:v>
                </c:pt>
                <c:pt idx="1415" formatCode="General">
                  <c:v>975</c:v>
                </c:pt>
                <c:pt idx="1416" formatCode="General">
                  <c:v>839</c:v>
                </c:pt>
                <c:pt idx="1417">
                  <c:v>1248</c:v>
                </c:pt>
                <c:pt idx="1418" formatCode="General">
                  <c:v>371</c:v>
                </c:pt>
                <c:pt idx="1419">
                  <c:v>1736</c:v>
                </c:pt>
                <c:pt idx="1420">
                  <c:v>1424</c:v>
                </c:pt>
                <c:pt idx="1421" formatCode="General">
                  <c:v>975</c:v>
                </c:pt>
                <c:pt idx="1422">
                  <c:v>1326</c:v>
                </c:pt>
                <c:pt idx="1423" formatCode="General">
                  <c:v>936</c:v>
                </c:pt>
                <c:pt idx="1424">
                  <c:v>1950</c:v>
                </c:pt>
                <c:pt idx="1425" formatCode="General">
                  <c:v>371</c:v>
                </c:pt>
                <c:pt idx="1426" formatCode="General">
                  <c:v>566</c:v>
                </c:pt>
                <c:pt idx="1427" formatCode="General">
                  <c:v>819</c:v>
                </c:pt>
                <c:pt idx="1428">
                  <c:v>1034</c:v>
                </c:pt>
                <c:pt idx="1429">
                  <c:v>1209</c:v>
                </c:pt>
                <c:pt idx="1430" formatCode="General">
                  <c:v>624</c:v>
                </c:pt>
                <c:pt idx="1431">
                  <c:v>1092</c:v>
                </c:pt>
                <c:pt idx="1432">
                  <c:v>1131</c:v>
                </c:pt>
                <c:pt idx="1433" formatCode="General">
                  <c:v>585</c:v>
                </c:pt>
                <c:pt idx="1434" formatCode="General">
                  <c:v>761</c:v>
                </c:pt>
                <c:pt idx="1435" formatCode="General">
                  <c:v>858</c:v>
                </c:pt>
                <c:pt idx="1436" formatCode="General">
                  <c:v>605</c:v>
                </c:pt>
                <c:pt idx="1437">
                  <c:v>1463</c:v>
                </c:pt>
                <c:pt idx="1438" formatCode="General">
                  <c:v>819</c:v>
                </c:pt>
                <c:pt idx="1439" formatCode="General">
                  <c:v>917</c:v>
                </c:pt>
                <c:pt idx="1440" formatCode="General">
                  <c:v>951</c:v>
                </c:pt>
                <c:pt idx="1441" formatCode="General">
                  <c:v>989</c:v>
                </c:pt>
                <c:pt idx="1442" formatCode="General">
                  <c:v>563</c:v>
                </c:pt>
                <c:pt idx="1443">
                  <c:v>1048</c:v>
                </c:pt>
                <c:pt idx="1444">
                  <c:v>1280</c:v>
                </c:pt>
                <c:pt idx="1445">
                  <c:v>1145</c:v>
                </c:pt>
                <c:pt idx="1446" formatCode="General">
                  <c:v>621</c:v>
                </c:pt>
                <c:pt idx="1447" formatCode="General">
                  <c:v>757</c:v>
                </c:pt>
                <c:pt idx="1448">
                  <c:v>1319</c:v>
                </c:pt>
                <c:pt idx="1449" formatCode="General">
                  <c:v>640</c:v>
                </c:pt>
                <c:pt idx="1450" formatCode="General">
                  <c:v>621</c:v>
                </c:pt>
                <c:pt idx="1451" formatCode="General">
                  <c:v>446</c:v>
                </c:pt>
                <c:pt idx="1452" formatCode="General">
                  <c:v>621</c:v>
                </c:pt>
                <c:pt idx="1453" formatCode="General">
                  <c:v>388</c:v>
                </c:pt>
                <c:pt idx="1454">
                  <c:v>1145</c:v>
                </c:pt>
                <c:pt idx="1455" formatCode="General">
                  <c:v>989</c:v>
                </c:pt>
                <c:pt idx="1456" formatCode="General">
                  <c:v>718</c:v>
                </c:pt>
                <c:pt idx="1457" formatCode="General">
                  <c:v>795</c:v>
                </c:pt>
                <c:pt idx="1458" formatCode="General">
                  <c:v>679</c:v>
                </c:pt>
                <c:pt idx="1459" formatCode="General">
                  <c:v>776</c:v>
                </c:pt>
                <c:pt idx="1460" formatCode="General">
                  <c:v>637</c:v>
                </c:pt>
                <c:pt idx="1461" formatCode="General">
                  <c:v>965</c:v>
                </c:pt>
                <c:pt idx="1462">
                  <c:v>1004</c:v>
                </c:pt>
                <c:pt idx="1463" formatCode="General">
                  <c:v>695</c:v>
                </c:pt>
                <c:pt idx="1464" formatCode="General">
                  <c:v>483</c:v>
                </c:pt>
                <c:pt idx="1465" formatCode="General">
                  <c:v>926</c:v>
                </c:pt>
                <c:pt idx="1466" formatCode="General">
                  <c:v>791</c:v>
                </c:pt>
                <c:pt idx="1467" formatCode="General">
                  <c:v>772</c:v>
                </c:pt>
                <c:pt idx="1468" formatCode="General">
                  <c:v>984</c:v>
                </c:pt>
                <c:pt idx="1469" formatCode="General">
                  <c:v>557</c:v>
                </c:pt>
                <c:pt idx="1470">
                  <c:v>1094</c:v>
                </c:pt>
                <c:pt idx="1471" formatCode="General">
                  <c:v>499</c:v>
                </c:pt>
                <c:pt idx="1472">
                  <c:v>1018</c:v>
                </c:pt>
                <c:pt idx="1473">
                  <c:v>1018</c:v>
                </c:pt>
                <c:pt idx="1474" formatCode="General">
                  <c:v>960</c:v>
                </c:pt>
                <c:pt idx="1475" formatCode="General">
                  <c:v>806</c:v>
                </c:pt>
                <c:pt idx="1476" formatCode="General">
                  <c:v>614</c:v>
                </c:pt>
                <c:pt idx="1477" formatCode="General">
                  <c:v>764</c:v>
                </c:pt>
                <c:pt idx="1478" formatCode="General">
                  <c:v>741</c:v>
                </c:pt>
                <c:pt idx="1479" formatCode="General">
                  <c:v>608</c:v>
                </c:pt>
                <c:pt idx="1480" formatCode="General">
                  <c:v>741</c:v>
                </c:pt>
                <c:pt idx="1481" formatCode="General">
                  <c:v>836</c:v>
                </c:pt>
                <c:pt idx="1482" formatCode="General">
                  <c:v>209</c:v>
                </c:pt>
                <c:pt idx="1483" formatCode="General">
                  <c:v>494</c:v>
                </c:pt>
                <c:pt idx="1484" formatCode="General">
                  <c:v>817</c:v>
                </c:pt>
                <c:pt idx="1485">
                  <c:v>1235</c:v>
                </c:pt>
                <c:pt idx="1486" formatCode="General">
                  <c:v>608</c:v>
                </c:pt>
                <c:pt idx="1487" formatCode="General">
                  <c:v>646</c:v>
                </c:pt>
                <c:pt idx="1488" formatCode="General">
                  <c:v>513</c:v>
                </c:pt>
                <c:pt idx="1489" formatCode="General">
                  <c:v>874</c:v>
                </c:pt>
                <c:pt idx="1490">
                  <c:v>1007</c:v>
                </c:pt>
                <c:pt idx="1491" formatCode="General">
                  <c:v>737</c:v>
                </c:pt>
                <c:pt idx="1492" formatCode="General">
                  <c:v>737</c:v>
                </c:pt>
                <c:pt idx="1493" formatCode="General">
                  <c:v>718</c:v>
                </c:pt>
                <c:pt idx="1494">
                  <c:v>1361</c:v>
                </c:pt>
                <c:pt idx="1495" formatCode="General">
                  <c:v>775</c:v>
                </c:pt>
                <c:pt idx="1496" formatCode="General">
                  <c:v>832</c:v>
                </c:pt>
                <c:pt idx="1497" formatCode="General">
                  <c:v>869</c:v>
                </c:pt>
                <c:pt idx="1498">
                  <c:v>1153</c:v>
                </c:pt>
                <c:pt idx="1499">
                  <c:v>1115</c:v>
                </c:pt>
                <c:pt idx="1500">
                  <c:v>1115</c:v>
                </c:pt>
                <c:pt idx="1501" formatCode="General">
                  <c:v>378</c:v>
                </c:pt>
                <c:pt idx="1502">
                  <c:v>1172</c:v>
                </c:pt>
                <c:pt idx="1503">
                  <c:v>1058</c:v>
                </c:pt>
                <c:pt idx="1504">
                  <c:v>1172</c:v>
                </c:pt>
                <c:pt idx="1505">
                  <c:v>1021</c:v>
                </c:pt>
                <c:pt idx="1506">
                  <c:v>1380</c:v>
                </c:pt>
                <c:pt idx="1507" formatCode="General">
                  <c:v>718</c:v>
                </c:pt>
                <c:pt idx="1508">
                  <c:v>1077</c:v>
                </c:pt>
                <c:pt idx="1509" formatCode="General">
                  <c:v>510</c:v>
                </c:pt>
                <c:pt idx="1510" formatCode="General">
                  <c:v>265</c:v>
                </c:pt>
                <c:pt idx="1511" formatCode="General">
                  <c:v>548</c:v>
                </c:pt>
                <c:pt idx="1512" formatCode="General">
                  <c:v>359</c:v>
                </c:pt>
                <c:pt idx="1513" formatCode="General">
                  <c:v>359</c:v>
                </c:pt>
                <c:pt idx="1514" formatCode="General">
                  <c:v>832</c:v>
                </c:pt>
                <c:pt idx="1515">
                  <c:v>1115</c:v>
                </c:pt>
                <c:pt idx="1516">
                  <c:v>1285</c:v>
                </c:pt>
                <c:pt idx="1517">
                  <c:v>1625</c:v>
                </c:pt>
                <c:pt idx="1518">
                  <c:v>1474</c:v>
                </c:pt>
                <c:pt idx="1519" formatCode="General">
                  <c:v>832</c:v>
                </c:pt>
                <c:pt idx="1520">
                  <c:v>1304</c:v>
                </c:pt>
                <c:pt idx="1521">
                  <c:v>1002</c:v>
                </c:pt>
                <c:pt idx="1522">
                  <c:v>1474</c:v>
                </c:pt>
                <c:pt idx="1523">
                  <c:v>1796</c:v>
                </c:pt>
                <c:pt idx="1524">
                  <c:v>1625</c:v>
                </c:pt>
                <c:pt idx="1525">
                  <c:v>1323</c:v>
                </c:pt>
                <c:pt idx="1526" formatCode="General">
                  <c:v>605</c:v>
                </c:pt>
                <c:pt idx="1527">
                  <c:v>1096</c:v>
                </c:pt>
                <c:pt idx="1528" formatCode="General">
                  <c:v>888</c:v>
                </c:pt>
                <c:pt idx="1529" formatCode="General">
                  <c:v>926</c:v>
                </c:pt>
                <c:pt idx="1530" formatCode="General">
                  <c:v>605</c:v>
                </c:pt>
                <c:pt idx="1531" formatCode="General">
                  <c:v>983</c:v>
                </c:pt>
                <c:pt idx="1532" formatCode="General">
                  <c:v>454</c:v>
                </c:pt>
                <c:pt idx="1533" formatCode="General">
                  <c:v>605</c:v>
                </c:pt>
                <c:pt idx="1534" formatCode="General">
                  <c:v>548</c:v>
                </c:pt>
                <c:pt idx="1535" formatCode="General">
                  <c:v>454</c:v>
                </c:pt>
                <c:pt idx="1536">
                  <c:v>1058</c:v>
                </c:pt>
                <c:pt idx="1537">
                  <c:v>1058</c:v>
                </c:pt>
                <c:pt idx="1538" formatCode="General">
                  <c:v>964</c:v>
                </c:pt>
                <c:pt idx="1539">
                  <c:v>1021</c:v>
                </c:pt>
                <c:pt idx="1540" formatCode="General">
                  <c:v>902</c:v>
                </c:pt>
                <c:pt idx="1541">
                  <c:v>1015</c:v>
                </c:pt>
                <c:pt idx="1542">
                  <c:v>1109</c:v>
                </c:pt>
                <c:pt idx="1543">
                  <c:v>1297</c:v>
                </c:pt>
                <c:pt idx="1544" formatCode="General">
                  <c:v>771</c:v>
                </c:pt>
                <c:pt idx="1545">
                  <c:v>1260</c:v>
                </c:pt>
                <c:pt idx="1546">
                  <c:v>1391</c:v>
                </c:pt>
                <c:pt idx="1547">
                  <c:v>1128</c:v>
                </c:pt>
                <c:pt idx="1548">
                  <c:v>1466</c:v>
                </c:pt>
                <c:pt idx="1549" formatCode="General">
                  <c:v>884</c:v>
                </c:pt>
                <c:pt idx="1550">
                  <c:v>1015</c:v>
                </c:pt>
                <c:pt idx="1551" formatCode="General">
                  <c:v>677</c:v>
                </c:pt>
                <c:pt idx="1552">
                  <c:v>1109</c:v>
                </c:pt>
                <c:pt idx="1553">
                  <c:v>1053</c:v>
                </c:pt>
                <c:pt idx="1554" formatCode="General">
                  <c:v>959</c:v>
                </c:pt>
                <c:pt idx="1555">
                  <c:v>1147</c:v>
                </c:pt>
                <c:pt idx="1556" formatCode="General">
                  <c:v>733</c:v>
                </c:pt>
                <c:pt idx="1557" formatCode="General">
                  <c:v>865</c:v>
                </c:pt>
                <c:pt idx="1558" formatCode="General">
                  <c:v>940</c:v>
                </c:pt>
                <c:pt idx="1559" formatCode="General">
                  <c:v>884</c:v>
                </c:pt>
                <c:pt idx="1560" formatCode="General">
                  <c:v>846</c:v>
                </c:pt>
                <c:pt idx="1561" formatCode="General">
                  <c:v>827</c:v>
                </c:pt>
                <c:pt idx="1562" formatCode="General">
                  <c:v>639</c:v>
                </c:pt>
                <c:pt idx="1563">
                  <c:v>1128</c:v>
                </c:pt>
                <c:pt idx="1564" formatCode="General">
                  <c:v>884</c:v>
                </c:pt>
                <c:pt idx="1565" formatCode="General">
                  <c:v>902</c:v>
                </c:pt>
                <c:pt idx="1566" formatCode="General">
                  <c:v>263</c:v>
                </c:pt>
                <c:pt idx="1567" formatCode="General">
                  <c:v>846</c:v>
                </c:pt>
                <c:pt idx="1568" formatCode="General">
                  <c:v>771</c:v>
                </c:pt>
                <c:pt idx="1569" formatCode="General">
                  <c:v>508</c:v>
                </c:pt>
                <c:pt idx="1570" formatCode="General">
                  <c:v>733</c:v>
                </c:pt>
                <c:pt idx="1571" formatCode="General">
                  <c:v>733</c:v>
                </c:pt>
                <c:pt idx="1572" formatCode="General">
                  <c:v>430</c:v>
                </c:pt>
                <c:pt idx="1573">
                  <c:v>1216</c:v>
                </c:pt>
                <c:pt idx="1574" formatCode="General">
                  <c:v>524</c:v>
                </c:pt>
                <c:pt idx="1575" formatCode="General">
                  <c:v>617</c:v>
                </c:pt>
                <c:pt idx="1576" formatCode="General">
                  <c:v>561</c:v>
                </c:pt>
                <c:pt idx="1577" formatCode="General">
                  <c:v>879</c:v>
                </c:pt>
                <c:pt idx="1578" formatCode="General">
                  <c:v>692</c:v>
                </c:pt>
                <c:pt idx="1579" formatCode="General">
                  <c:v>617</c:v>
                </c:pt>
                <c:pt idx="1580" formatCode="General">
                  <c:v>632</c:v>
                </c:pt>
                <c:pt idx="1581" formatCode="General">
                  <c:v>763</c:v>
                </c:pt>
                <c:pt idx="1582">
                  <c:v>1097</c:v>
                </c:pt>
                <c:pt idx="1583">
                  <c:v>1525</c:v>
                </c:pt>
                <c:pt idx="1584" formatCode="General">
                  <c:v>632</c:v>
                </c:pt>
                <c:pt idx="1585" formatCode="General">
                  <c:v>893</c:v>
                </c:pt>
                <c:pt idx="1586" formatCode="General">
                  <c:v>632</c:v>
                </c:pt>
                <c:pt idx="1587" formatCode="General">
                  <c:v>648</c:v>
                </c:pt>
                <c:pt idx="1588" formatCode="General">
                  <c:v>644</c:v>
                </c:pt>
                <c:pt idx="1589" formatCode="General">
                  <c:v>718</c:v>
                </c:pt>
                <c:pt idx="1590" formatCode="General">
                  <c:v>368</c:v>
                </c:pt>
                <c:pt idx="1591">
                  <c:v>1122</c:v>
                </c:pt>
                <c:pt idx="1592" formatCode="General">
                  <c:v>497</c:v>
                </c:pt>
                <c:pt idx="1593">
                  <c:v>1086</c:v>
                </c:pt>
                <c:pt idx="1594" formatCode="General">
                  <c:v>626</c:v>
                </c:pt>
                <c:pt idx="1595" formatCode="General">
                  <c:v>331</c:v>
                </c:pt>
                <c:pt idx="1596" formatCode="General">
                  <c:v>810</c:v>
                </c:pt>
                <c:pt idx="1597" formatCode="General">
                  <c:v>699</c:v>
                </c:pt>
                <c:pt idx="1598" formatCode="General">
                  <c:v>644</c:v>
                </c:pt>
                <c:pt idx="1599" formatCode="General">
                  <c:v>791</c:v>
                </c:pt>
                <c:pt idx="1600" formatCode="General">
                  <c:v>754</c:v>
                </c:pt>
                <c:pt idx="1601" formatCode="General">
                  <c:v>736</c:v>
                </c:pt>
                <c:pt idx="1602" formatCode="General">
                  <c:v>368</c:v>
                </c:pt>
                <c:pt idx="1603" formatCode="General">
                  <c:v>607</c:v>
                </c:pt>
                <c:pt idx="1604" formatCode="General">
                  <c:v>754</c:v>
                </c:pt>
                <c:pt idx="1605" formatCode="General">
                  <c:v>582</c:v>
                </c:pt>
                <c:pt idx="1606" formatCode="General">
                  <c:v>855</c:v>
                </c:pt>
                <c:pt idx="1607" formatCode="General">
                  <c:v>837</c:v>
                </c:pt>
                <c:pt idx="1608">
                  <c:v>1019</c:v>
                </c:pt>
                <c:pt idx="1609" formatCode="General">
                  <c:v>910</c:v>
                </c:pt>
                <c:pt idx="1610">
                  <c:v>1074</c:v>
                </c:pt>
                <c:pt idx="1611" formatCode="General">
                  <c:v>746</c:v>
                </c:pt>
                <c:pt idx="1612">
                  <c:v>1056</c:v>
                </c:pt>
                <c:pt idx="1613" formatCode="General">
                  <c:v>837</c:v>
                </c:pt>
                <c:pt idx="1614" formatCode="General">
                  <c:v>528</c:v>
                </c:pt>
                <c:pt idx="1615" formatCode="General">
                  <c:v>328</c:v>
                </c:pt>
                <c:pt idx="1616">
                  <c:v>1165</c:v>
                </c:pt>
                <c:pt idx="1617">
                  <c:v>1165</c:v>
                </c:pt>
                <c:pt idx="1618">
                  <c:v>1784</c:v>
                </c:pt>
                <c:pt idx="1619">
                  <c:v>1492</c:v>
                </c:pt>
                <c:pt idx="1620" formatCode="General">
                  <c:v>965</c:v>
                </c:pt>
                <c:pt idx="1621" formatCode="General">
                  <c:v>819</c:v>
                </c:pt>
                <c:pt idx="1622" formatCode="General">
                  <c:v>819</c:v>
                </c:pt>
                <c:pt idx="1623" formatCode="General">
                  <c:v>528</c:v>
                </c:pt>
                <c:pt idx="1624" formatCode="General">
                  <c:v>892</c:v>
                </c:pt>
                <c:pt idx="1625" formatCode="General">
                  <c:v>983</c:v>
                </c:pt>
                <c:pt idx="1626">
                  <c:v>1074</c:v>
                </c:pt>
                <c:pt idx="1627">
                  <c:v>1147</c:v>
                </c:pt>
                <c:pt idx="1628">
                  <c:v>1474</c:v>
                </c:pt>
                <c:pt idx="1629">
                  <c:v>1401</c:v>
                </c:pt>
                <c:pt idx="1630" formatCode="General">
                  <c:v>764</c:v>
                </c:pt>
                <c:pt idx="1631">
                  <c:v>1256</c:v>
                </c:pt>
                <c:pt idx="1632">
                  <c:v>1747</c:v>
                </c:pt>
                <c:pt idx="1633">
                  <c:v>1565</c:v>
                </c:pt>
                <c:pt idx="1634" formatCode="General">
                  <c:v>528</c:v>
                </c:pt>
                <c:pt idx="1635" formatCode="General">
                  <c:v>510</c:v>
                </c:pt>
                <c:pt idx="1636" formatCode="General">
                  <c:v>346</c:v>
                </c:pt>
                <c:pt idx="1637">
                  <c:v>1019</c:v>
                </c:pt>
                <c:pt idx="1638" formatCode="General">
                  <c:v>601</c:v>
                </c:pt>
                <c:pt idx="1639">
                  <c:v>1110</c:v>
                </c:pt>
                <c:pt idx="1640" formatCode="General">
                  <c:v>965</c:v>
                </c:pt>
                <c:pt idx="1641" formatCode="General">
                  <c:v>619</c:v>
                </c:pt>
                <c:pt idx="1642" formatCode="General">
                  <c:v>437</c:v>
                </c:pt>
                <c:pt idx="1643" formatCode="General">
                  <c:v>783</c:v>
                </c:pt>
                <c:pt idx="1644" formatCode="General">
                  <c:v>764</c:v>
                </c:pt>
                <c:pt idx="1645" formatCode="General">
                  <c:v>764</c:v>
                </c:pt>
                <c:pt idx="1646">
                  <c:v>1074</c:v>
                </c:pt>
                <c:pt idx="1647" formatCode="General">
                  <c:v>801</c:v>
                </c:pt>
                <c:pt idx="1648" formatCode="General">
                  <c:v>874</c:v>
                </c:pt>
                <c:pt idx="1649" formatCode="General">
                  <c:v>910</c:v>
                </c:pt>
                <c:pt idx="1650" formatCode="General">
                  <c:v>928</c:v>
                </c:pt>
                <c:pt idx="1651">
                  <c:v>1001</c:v>
                </c:pt>
                <c:pt idx="1652" formatCode="General">
                  <c:v>965</c:v>
                </c:pt>
                <c:pt idx="1653" formatCode="General">
                  <c:v>983</c:v>
                </c:pt>
                <c:pt idx="1654" formatCode="General">
                  <c:v>892</c:v>
                </c:pt>
                <c:pt idx="1655" formatCode="General">
                  <c:v>601</c:v>
                </c:pt>
                <c:pt idx="1656" formatCode="General">
                  <c:v>491</c:v>
                </c:pt>
                <c:pt idx="1657" formatCode="General">
                  <c:v>564</c:v>
                </c:pt>
                <c:pt idx="1658" formatCode="General">
                  <c:v>928</c:v>
                </c:pt>
                <c:pt idx="1659" formatCode="General">
                  <c:v>601</c:v>
                </c:pt>
                <c:pt idx="1660" formatCode="General">
                  <c:v>364</c:v>
                </c:pt>
                <c:pt idx="1661" formatCode="General">
                  <c:v>692</c:v>
                </c:pt>
                <c:pt idx="1662" formatCode="General">
                  <c:v>255</c:v>
                </c:pt>
                <c:pt idx="1663" formatCode="General">
                  <c:v>473</c:v>
                </c:pt>
                <c:pt idx="1664" formatCode="General">
                  <c:v>692</c:v>
                </c:pt>
                <c:pt idx="1665" formatCode="General">
                  <c:v>851</c:v>
                </c:pt>
                <c:pt idx="1666">
                  <c:v>1376</c:v>
                </c:pt>
                <c:pt idx="1667">
                  <c:v>1158</c:v>
                </c:pt>
                <c:pt idx="1668" formatCode="General">
                  <c:v>959</c:v>
                </c:pt>
                <c:pt idx="1669" formatCode="General">
                  <c:v>688</c:v>
                </c:pt>
                <c:pt idx="1670">
                  <c:v>1502</c:v>
                </c:pt>
                <c:pt idx="1671" formatCode="General">
                  <c:v>597</c:v>
                </c:pt>
                <c:pt idx="1672" formatCode="General">
                  <c:v>959</c:v>
                </c:pt>
                <c:pt idx="1673">
                  <c:v>1249</c:v>
                </c:pt>
                <c:pt idx="1674" formatCode="General">
                  <c:v>579</c:v>
                </c:pt>
                <c:pt idx="1675" formatCode="General">
                  <c:v>489</c:v>
                </c:pt>
                <c:pt idx="1676" formatCode="General">
                  <c:v>887</c:v>
                </c:pt>
                <c:pt idx="1677" formatCode="General">
                  <c:v>796</c:v>
                </c:pt>
                <c:pt idx="1678" formatCode="General">
                  <c:v>434</c:v>
                </c:pt>
                <c:pt idx="1679" formatCode="General">
                  <c:v>742</c:v>
                </c:pt>
                <c:pt idx="1680" formatCode="General">
                  <c:v>615</c:v>
                </c:pt>
                <c:pt idx="1681" formatCode="General">
                  <c:v>344</c:v>
                </c:pt>
                <c:pt idx="1682" formatCode="General">
                  <c:v>887</c:v>
                </c:pt>
                <c:pt idx="1683">
                  <c:v>1249</c:v>
                </c:pt>
                <c:pt idx="1684">
                  <c:v>1086</c:v>
                </c:pt>
                <c:pt idx="1685" formatCode="General">
                  <c:v>326</c:v>
                </c:pt>
                <c:pt idx="1686" formatCode="General">
                  <c:v>706</c:v>
                </c:pt>
                <c:pt idx="1687" formatCode="General">
                  <c:v>738</c:v>
                </c:pt>
                <c:pt idx="1688" formatCode="General">
                  <c:v>342</c:v>
                </c:pt>
                <c:pt idx="1689" formatCode="General">
                  <c:v>738</c:v>
                </c:pt>
                <c:pt idx="1690">
                  <c:v>1278</c:v>
                </c:pt>
                <c:pt idx="1691">
                  <c:v>1476</c:v>
                </c:pt>
                <c:pt idx="1692">
                  <c:v>1404</c:v>
                </c:pt>
                <c:pt idx="1693">
                  <c:v>1728</c:v>
                </c:pt>
                <c:pt idx="1694" formatCode="General">
                  <c:v>702</c:v>
                </c:pt>
                <c:pt idx="1695">
                  <c:v>1008</c:v>
                </c:pt>
                <c:pt idx="1696" formatCode="General">
                  <c:v>774</c:v>
                </c:pt>
                <c:pt idx="1697" formatCode="General">
                  <c:v>486</c:v>
                </c:pt>
                <c:pt idx="1698" formatCode="General">
                  <c:v>792</c:v>
                </c:pt>
                <c:pt idx="1699" formatCode="General">
                  <c:v>846</c:v>
                </c:pt>
                <c:pt idx="1700" formatCode="General">
                  <c:v>882</c:v>
                </c:pt>
                <c:pt idx="1701" formatCode="General">
                  <c:v>630</c:v>
                </c:pt>
                <c:pt idx="1702" formatCode="General">
                  <c:v>918</c:v>
                </c:pt>
                <c:pt idx="1703">
                  <c:v>1152</c:v>
                </c:pt>
                <c:pt idx="1704" formatCode="General">
                  <c:v>504</c:v>
                </c:pt>
                <c:pt idx="1705" formatCode="General">
                  <c:v>792</c:v>
                </c:pt>
                <c:pt idx="1706" formatCode="General">
                  <c:v>378</c:v>
                </c:pt>
                <c:pt idx="1707" formatCode="General">
                  <c:v>666</c:v>
                </c:pt>
                <c:pt idx="1708">
                  <c:v>1038</c:v>
                </c:pt>
                <c:pt idx="1709" formatCode="General">
                  <c:v>609</c:v>
                </c:pt>
                <c:pt idx="1710" formatCode="General">
                  <c:v>609</c:v>
                </c:pt>
                <c:pt idx="1711" formatCode="General">
                  <c:v>358</c:v>
                </c:pt>
                <c:pt idx="1712" formatCode="General">
                  <c:v>913</c:v>
                </c:pt>
                <c:pt idx="1713" formatCode="General">
                  <c:v>788</c:v>
                </c:pt>
                <c:pt idx="1714" formatCode="General">
                  <c:v>358</c:v>
                </c:pt>
                <c:pt idx="1715" formatCode="General">
                  <c:v>519</c:v>
                </c:pt>
                <c:pt idx="1716" formatCode="General">
                  <c:v>627</c:v>
                </c:pt>
                <c:pt idx="1717">
                  <c:v>1146</c:v>
                </c:pt>
                <c:pt idx="1718" formatCode="General">
                  <c:v>501</c:v>
                </c:pt>
                <c:pt idx="1719">
                  <c:v>1110</c:v>
                </c:pt>
                <c:pt idx="1720" formatCode="General">
                  <c:v>662</c:v>
                </c:pt>
                <c:pt idx="1721" formatCode="General">
                  <c:v>519</c:v>
                </c:pt>
                <c:pt idx="1722" formatCode="General">
                  <c:v>555</c:v>
                </c:pt>
                <c:pt idx="1723" formatCode="General">
                  <c:v>609</c:v>
                </c:pt>
                <c:pt idx="1724" formatCode="General">
                  <c:v>662</c:v>
                </c:pt>
                <c:pt idx="1725" formatCode="General">
                  <c:v>662</c:v>
                </c:pt>
                <c:pt idx="1726" formatCode="General">
                  <c:v>501</c:v>
                </c:pt>
                <c:pt idx="1727" formatCode="General">
                  <c:v>627</c:v>
                </c:pt>
                <c:pt idx="1728" formatCode="General">
                  <c:v>788</c:v>
                </c:pt>
                <c:pt idx="1729" formatCode="General">
                  <c:v>445</c:v>
                </c:pt>
                <c:pt idx="1730" formatCode="General">
                  <c:v>819</c:v>
                </c:pt>
                <c:pt idx="1731" formatCode="General">
                  <c:v>943</c:v>
                </c:pt>
                <c:pt idx="1732" formatCode="General">
                  <c:v>303</c:v>
                </c:pt>
                <c:pt idx="1733" formatCode="General">
                  <c:v>908</c:v>
                </c:pt>
                <c:pt idx="1734" formatCode="General">
                  <c:v>850</c:v>
                </c:pt>
                <c:pt idx="1735" formatCode="General">
                  <c:v>563</c:v>
                </c:pt>
                <c:pt idx="1736" formatCode="General">
                  <c:v>722</c:v>
                </c:pt>
                <c:pt idx="1737" formatCode="General">
                  <c:v>810</c:v>
                </c:pt>
                <c:pt idx="1738" formatCode="General">
                  <c:v>862</c:v>
                </c:pt>
                <c:pt idx="1739">
                  <c:v>1091</c:v>
                </c:pt>
                <c:pt idx="1740" formatCode="General">
                  <c:v>827</c:v>
                </c:pt>
                <c:pt idx="1741" formatCode="General">
                  <c:v>405</c:v>
                </c:pt>
                <c:pt idx="1742" formatCode="General">
                  <c:v>774</c:v>
                </c:pt>
                <c:pt idx="1743" formatCode="General">
                  <c:v>950</c:v>
                </c:pt>
                <c:pt idx="1744">
                  <c:v>1109</c:v>
                </c:pt>
                <c:pt idx="1745">
                  <c:v>1179</c:v>
                </c:pt>
                <c:pt idx="1746" formatCode="General">
                  <c:v>422</c:v>
                </c:pt>
                <c:pt idx="1747" formatCode="General">
                  <c:v>774</c:v>
                </c:pt>
                <c:pt idx="1748">
                  <c:v>1197</c:v>
                </c:pt>
                <c:pt idx="1749">
                  <c:v>1091</c:v>
                </c:pt>
                <c:pt idx="1750" formatCode="General">
                  <c:v>792</c:v>
                </c:pt>
                <c:pt idx="1751" formatCode="General">
                  <c:v>810</c:v>
                </c:pt>
                <c:pt idx="1752" formatCode="General">
                  <c:v>880</c:v>
                </c:pt>
                <c:pt idx="1753" formatCode="General">
                  <c:v>986</c:v>
                </c:pt>
                <c:pt idx="1754">
                  <c:v>1056</c:v>
                </c:pt>
                <c:pt idx="1755" formatCode="General">
                  <c:v>810</c:v>
                </c:pt>
                <c:pt idx="1756" formatCode="General">
                  <c:v>722</c:v>
                </c:pt>
                <c:pt idx="1757" formatCode="General">
                  <c:v>722</c:v>
                </c:pt>
                <c:pt idx="1758" formatCode="General">
                  <c:v>933</c:v>
                </c:pt>
                <c:pt idx="1759" formatCode="General">
                  <c:v>845</c:v>
                </c:pt>
                <c:pt idx="1760">
                  <c:v>1074</c:v>
                </c:pt>
                <c:pt idx="1761" formatCode="General">
                  <c:v>563</c:v>
                </c:pt>
                <c:pt idx="1762" formatCode="General">
                  <c:v>422</c:v>
                </c:pt>
                <c:pt idx="1763">
                  <c:v>1056</c:v>
                </c:pt>
                <c:pt idx="1764">
                  <c:v>1021</c:v>
                </c:pt>
                <c:pt idx="1765" formatCode="General">
                  <c:v>458</c:v>
                </c:pt>
                <c:pt idx="1766" formatCode="General">
                  <c:v>634</c:v>
                </c:pt>
                <c:pt idx="1767" formatCode="General">
                  <c:v>810</c:v>
                </c:pt>
                <c:pt idx="1768" formatCode="General">
                  <c:v>774</c:v>
                </c:pt>
                <c:pt idx="1769">
                  <c:v>1056</c:v>
                </c:pt>
                <c:pt idx="1770" formatCode="General">
                  <c:v>898</c:v>
                </c:pt>
                <c:pt idx="1771" formatCode="General">
                  <c:v>317</c:v>
                </c:pt>
                <c:pt idx="1772" formatCode="General">
                  <c:v>563</c:v>
                </c:pt>
                <c:pt idx="1773" formatCode="General">
                  <c:v>405</c:v>
                </c:pt>
                <c:pt idx="1774" formatCode="General">
                  <c:v>827</c:v>
                </c:pt>
                <c:pt idx="1775" formatCode="General">
                  <c:v>317</c:v>
                </c:pt>
                <c:pt idx="1776" formatCode="General">
                  <c:v>299</c:v>
                </c:pt>
                <c:pt idx="1777" formatCode="General">
                  <c:v>634</c:v>
                </c:pt>
                <c:pt idx="1778">
                  <c:v>7875</c:v>
                </c:pt>
                <c:pt idx="1779">
                  <c:v>8750</c:v>
                </c:pt>
                <c:pt idx="1780">
                  <c:v>7000</c:v>
                </c:pt>
                <c:pt idx="1781">
                  <c:v>8750</c:v>
                </c:pt>
                <c:pt idx="1782">
                  <c:v>7000</c:v>
                </c:pt>
                <c:pt idx="1783">
                  <c:v>8750</c:v>
                </c:pt>
                <c:pt idx="1784">
                  <c:v>8750</c:v>
                </c:pt>
                <c:pt idx="1785">
                  <c:v>6125</c:v>
                </c:pt>
                <c:pt idx="1786">
                  <c:v>7000</c:v>
                </c:pt>
                <c:pt idx="1787">
                  <c:v>8750</c:v>
                </c:pt>
                <c:pt idx="1788">
                  <c:v>7875</c:v>
                </c:pt>
                <c:pt idx="1789">
                  <c:v>5250</c:v>
                </c:pt>
                <c:pt idx="1790">
                  <c:v>7000</c:v>
                </c:pt>
                <c:pt idx="1791">
                  <c:v>7000</c:v>
                </c:pt>
                <c:pt idx="1792">
                  <c:v>7000</c:v>
                </c:pt>
                <c:pt idx="1793">
                  <c:v>6125</c:v>
                </c:pt>
                <c:pt idx="1794">
                  <c:v>7000</c:v>
                </c:pt>
                <c:pt idx="1795">
                  <c:v>6125</c:v>
                </c:pt>
                <c:pt idx="1796">
                  <c:v>7875</c:v>
                </c:pt>
                <c:pt idx="1797">
                  <c:v>4375</c:v>
                </c:pt>
                <c:pt idx="1798">
                  <c:v>5250</c:v>
                </c:pt>
                <c:pt idx="1799">
                  <c:v>6125</c:v>
                </c:pt>
                <c:pt idx="1800">
                  <c:v>7875</c:v>
                </c:pt>
                <c:pt idx="1801">
                  <c:v>7000</c:v>
                </c:pt>
                <c:pt idx="1802">
                  <c:v>7875</c:v>
                </c:pt>
                <c:pt idx="1803">
                  <c:v>7875</c:v>
                </c:pt>
                <c:pt idx="1804">
                  <c:v>7875</c:v>
                </c:pt>
                <c:pt idx="1805">
                  <c:v>7875</c:v>
                </c:pt>
                <c:pt idx="1806">
                  <c:v>8750</c:v>
                </c:pt>
                <c:pt idx="1807">
                  <c:v>8750</c:v>
                </c:pt>
                <c:pt idx="1808">
                  <c:v>7875</c:v>
                </c:pt>
                <c:pt idx="1809">
                  <c:v>7875</c:v>
                </c:pt>
                <c:pt idx="1810">
                  <c:v>8750</c:v>
                </c:pt>
                <c:pt idx="1811">
                  <c:v>7875</c:v>
                </c:pt>
                <c:pt idx="1812">
                  <c:v>7875</c:v>
                </c:pt>
                <c:pt idx="1813">
                  <c:v>7875</c:v>
                </c:pt>
                <c:pt idx="1814">
                  <c:v>7000</c:v>
                </c:pt>
                <c:pt idx="1815">
                  <c:v>7875</c:v>
                </c:pt>
                <c:pt idx="1816">
                  <c:v>3500</c:v>
                </c:pt>
                <c:pt idx="1817">
                  <c:v>6125</c:v>
                </c:pt>
                <c:pt idx="1818">
                  <c:v>7000</c:v>
                </c:pt>
                <c:pt idx="1819">
                  <c:v>3500</c:v>
                </c:pt>
                <c:pt idx="1820">
                  <c:v>5250</c:v>
                </c:pt>
                <c:pt idx="1821">
                  <c:v>8750</c:v>
                </c:pt>
                <c:pt idx="1822">
                  <c:v>7000</c:v>
                </c:pt>
                <c:pt idx="1823">
                  <c:v>8750</c:v>
                </c:pt>
                <c:pt idx="1824">
                  <c:v>7875</c:v>
                </c:pt>
                <c:pt idx="1825">
                  <c:v>6125</c:v>
                </c:pt>
                <c:pt idx="1826">
                  <c:v>7875</c:v>
                </c:pt>
                <c:pt idx="1827">
                  <c:v>7000</c:v>
                </c:pt>
                <c:pt idx="1828">
                  <c:v>8750</c:v>
                </c:pt>
                <c:pt idx="1829">
                  <c:v>6125</c:v>
                </c:pt>
                <c:pt idx="1830">
                  <c:v>7875</c:v>
                </c:pt>
                <c:pt idx="1831">
                  <c:v>7875</c:v>
                </c:pt>
                <c:pt idx="1832">
                  <c:v>6125</c:v>
                </c:pt>
                <c:pt idx="1833">
                  <c:v>7875</c:v>
                </c:pt>
                <c:pt idx="1834">
                  <c:v>7000</c:v>
                </c:pt>
                <c:pt idx="1835">
                  <c:v>5250</c:v>
                </c:pt>
                <c:pt idx="1836">
                  <c:v>7000</c:v>
                </c:pt>
                <c:pt idx="1837">
                  <c:v>7000</c:v>
                </c:pt>
                <c:pt idx="1838">
                  <c:v>8750</c:v>
                </c:pt>
                <c:pt idx="1839">
                  <c:v>5250</c:v>
                </c:pt>
                <c:pt idx="1840">
                  <c:v>7000</c:v>
                </c:pt>
                <c:pt idx="1841">
                  <c:v>3500</c:v>
                </c:pt>
                <c:pt idx="1842">
                  <c:v>3500</c:v>
                </c:pt>
                <c:pt idx="1843">
                  <c:v>1750</c:v>
                </c:pt>
                <c:pt idx="1844">
                  <c:v>4375</c:v>
                </c:pt>
                <c:pt idx="1845">
                  <c:v>6125</c:v>
                </c:pt>
                <c:pt idx="1846">
                  <c:v>7000</c:v>
                </c:pt>
                <c:pt idx="1847">
                  <c:v>8750</c:v>
                </c:pt>
                <c:pt idx="1848">
                  <c:v>4375</c:v>
                </c:pt>
                <c:pt idx="1849">
                  <c:v>3500</c:v>
                </c:pt>
                <c:pt idx="1850">
                  <c:v>6125</c:v>
                </c:pt>
                <c:pt idx="1851">
                  <c:v>7875</c:v>
                </c:pt>
                <c:pt idx="1852">
                  <c:v>4375</c:v>
                </c:pt>
                <c:pt idx="1853">
                  <c:v>6125</c:v>
                </c:pt>
                <c:pt idx="1854">
                  <c:v>7000</c:v>
                </c:pt>
                <c:pt idx="1855">
                  <c:v>8750</c:v>
                </c:pt>
                <c:pt idx="1856">
                  <c:v>6125</c:v>
                </c:pt>
                <c:pt idx="1857">
                  <c:v>6125</c:v>
                </c:pt>
                <c:pt idx="1858">
                  <c:v>5250</c:v>
                </c:pt>
                <c:pt idx="1859">
                  <c:v>7000</c:v>
                </c:pt>
                <c:pt idx="1860">
                  <c:v>7875</c:v>
                </c:pt>
                <c:pt idx="1861">
                  <c:v>8750</c:v>
                </c:pt>
                <c:pt idx="1862">
                  <c:v>4375</c:v>
                </c:pt>
                <c:pt idx="1863">
                  <c:v>6125</c:v>
                </c:pt>
                <c:pt idx="1864">
                  <c:v>4375</c:v>
                </c:pt>
                <c:pt idx="1865">
                  <c:v>4375</c:v>
                </c:pt>
                <c:pt idx="1866">
                  <c:v>6125</c:v>
                </c:pt>
                <c:pt idx="1867">
                  <c:v>6125</c:v>
                </c:pt>
                <c:pt idx="1868">
                  <c:v>7875</c:v>
                </c:pt>
                <c:pt idx="1869">
                  <c:v>4375</c:v>
                </c:pt>
                <c:pt idx="1870">
                  <c:v>4375</c:v>
                </c:pt>
                <c:pt idx="1871">
                  <c:v>6125</c:v>
                </c:pt>
                <c:pt idx="1872">
                  <c:v>7875</c:v>
                </c:pt>
                <c:pt idx="1873">
                  <c:v>7000</c:v>
                </c:pt>
                <c:pt idx="1874">
                  <c:v>8750</c:v>
                </c:pt>
                <c:pt idx="1875">
                  <c:v>8750</c:v>
                </c:pt>
                <c:pt idx="1876">
                  <c:v>8750</c:v>
                </c:pt>
                <c:pt idx="1877">
                  <c:v>6125</c:v>
                </c:pt>
                <c:pt idx="1878">
                  <c:v>8750</c:v>
                </c:pt>
                <c:pt idx="1879">
                  <c:v>7875</c:v>
                </c:pt>
                <c:pt idx="1880">
                  <c:v>6125</c:v>
                </c:pt>
                <c:pt idx="1881">
                  <c:v>7875</c:v>
                </c:pt>
                <c:pt idx="1882">
                  <c:v>6125</c:v>
                </c:pt>
                <c:pt idx="1883">
                  <c:v>4375</c:v>
                </c:pt>
                <c:pt idx="1884">
                  <c:v>8750</c:v>
                </c:pt>
                <c:pt idx="1885">
                  <c:v>7000</c:v>
                </c:pt>
                <c:pt idx="1886">
                  <c:v>7875</c:v>
                </c:pt>
                <c:pt idx="1887">
                  <c:v>4375</c:v>
                </c:pt>
                <c:pt idx="1888">
                  <c:v>4375</c:v>
                </c:pt>
                <c:pt idx="1889">
                  <c:v>6125</c:v>
                </c:pt>
                <c:pt idx="1890">
                  <c:v>7875</c:v>
                </c:pt>
                <c:pt idx="1891">
                  <c:v>8750</c:v>
                </c:pt>
                <c:pt idx="1892">
                  <c:v>7000</c:v>
                </c:pt>
                <c:pt idx="1893">
                  <c:v>7875</c:v>
                </c:pt>
                <c:pt idx="1894">
                  <c:v>7875</c:v>
                </c:pt>
                <c:pt idx="1895">
                  <c:v>7000</c:v>
                </c:pt>
                <c:pt idx="1896">
                  <c:v>7875</c:v>
                </c:pt>
                <c:pt idx="1897">
                  <c:v>7875</c:v>
                </c:pt>
                <c:pt idx="1898" formatCode="General">
                  <c:v>595</c:v>
                </c:pt>
                <c:pt idx="1899" formatCode="General">
                  <c:v>595</c:v>
                </c:pt>
                <c:pt idx="1900" formatCode="General">
                  <c:v>770</c:v>
                </c:pt>
                <c:pt idx="1901" formatCode="General">
                  <c:v>840</c:v>
                </c:pt>
                <c:pt idx="1902">
                  <c:v>1015</c:v>
                </c:pt>
                <c:pt idx="1903">
                  <c:v>1033</c:v>
                </c:pt>
                <c:pt idx="1904" formatCode="General">
                  <c:v>858</c:v>
                </c:pt>
                <c:pt idx="1905" formatCode="General">
                  <c:v>770</c:v>
                </c:pt>
                <c:pt idx="1906" formatCode="General">
                  <c:v>840</c:v>
                </c:pt>
                <c:pt idx="1907" formatCode="General">
                  <c:v>490</c:v>
                </c:pt>
                <c:pt idx="1908" formatCode="General">
                  <c:v>420</c:v>
                </c:pt>
                <c:pt idx="1909">
                  <c:v>1365</c:v>
                </c:pt>
                <c:pt idx="1910" formatCode="General">
                  <c:v>665</c:v>
                </c:pt>
                <c:pt idx="1911" formatCode="General">
                  <c:v>630</c:v>
                </c:pt>
                <c:pt idx="1912" formatCode="General">
                  <c:v>858</c:v>
                </c:pt>
                <c:pt idx="1913" formatCode="General">
                  <c:v>893</c:v>
                </c:pt>
                <c:pt idx="1914">
                  <c:v>1120</c:v>
                </c:pt>
                <c:pt idx="1915" formatCode="General">
                  <c:v>945</c:v>
                </c:pt>
                <c:pt idx="1916" formatCode="General">
                  <c:v>945</c:v>
                </c:pt>
                <c:pt idx="1917">
                  <c:v>1523</c:v>
                </c:pt>
                <c:pt idx="1918" formatCode="General">
                  <c:v>858</c:v>
                </c:pt>
                <c:pt idx="1919" formatCode="General">
                  <c:v>980</c:v>
                </c:pt>
                <c:pt idx="1920">
                  <c:v>1015</c:v>
                </c:pt>
                <c:pt idx="1921" formatCode="General">
                  <c:v>840</c:v>
                </c:pt>
                <c:pt idx="1922" formatCode="General">
                  <c:v>490</c:v>
                </c:pt>
                <c:pt idx="1923" formatCode="General">
                  <c:v>875</c:v>
                </c:pt>
                <c:pt idx="1924" formatCode="General">
                  <c:v>858</c:v>
                </c:pt>
                <c:pt idx="1925" formatCode="General">
                  <c:v>683</c:v>
                </c:pt>
                <c:pt idx="1926" formatCode="General">
                  <c:v>420</c:v>
                </c:pt>
                <c:pt idx="1927" formatCode="General">
                  <c:v>578</c:v>
                </c:pt>
                <c:pt idx="1928" formatCode="General">
                  <c:v>700</c:v>
                </c:pt>
                <c:pt idx="1929" formatCode="General">
                  <c:v>700</c:v>
                </c:pt>
                <c:pt idx="1930" formatCode="General">
                  <c:v>578</c:v>
                </c:pt>
                <c:pt idx="1931" formatCode="General">
                  <c:v>858</c:v>
                </c:pt>
                <c:pt idx="1932" formatCode="General">
                  <c:v>644</c:v>
                </c:pt>
                <c:pt idx="1933">
                  <c:v>1009</c:v>
                </c:pt>
                <c:pt idx="1934">
                  <c:v>1079</c:v>
                </c:pt>
                <c:pt idx="1935" formatCode="General">
                  <c:v>974</c:v>
                </c:pt>
                <c:pt idx="1936" formatCode="General">
                  <c:v>957</c:v>
                </c:pt>
                <c:pt idx="1937" formatCode="General">
                  <c:v>748</c:v>
                </c:pt>
                <c:pt idx="1938">
                  <c:v>1270</c:v>
                </c:pt>
                <c:pt idx="1939">
                  <c:v>1061</c:v>
                </c:pt>
                <c:pt idx="1940" formatCode="General">
                  <c:v>974</c:v>
                </c:pt>
                <c:pt idx="1941">
                  <c:v>1235</c:v>
                </c:pt>
                <c:pt idx="1942" formatCode="General">
                  <c:v>626</c:v>
                </c:pt>
                <c:pt idx="1943" formatCode="General">
                  <c:v>870</c:v>
                </c:pt>
                <c:pt idx="1944" formatCode="General">
                  <c:v>574</c:v>
                </c:pt>
                <c:pt idx="1945">
                  <c:v>1201</c:v>
                </c:pt>
                <c:pt idx="1946">
                  <c:v>1305</c:v>
                </c:pt>
                <c:pt idx="1947" formatCode="General">
                  <c:v>574</c:v>
                </c:pt>
                <c:pt idx="1948" formatCode="General">
                  <c:v>661</c:v>
                </c:pt>
                <c:pt idx="1949" formatCode="General">
                  <c:v>905</c:v>
                </c:pt>
                <c:pt idx="1950" formatCode="General">
                  <c:v>766</c:v>
                </c:pt>
                <c:pt idx="1951" formatCode="General">
                  <c:v>974</c:v>
                </c:pt>
                <c:pt idx="1952" formatCode="General">
                  <c:v>644</c:v>
                </c:pt>
                <c:pt idx="1953" formatCode="General">
                  <c:v>557</c:v>
                </c:pt>
                <c:pt idx="1954" formatCode="General">
                  <c:v>557</c:v>
                </c:pt>
                <c:pt idx="1955">
                  <c:v>1409</c:v>
                </c:pt>
                <c:pt idx="1956" formatCode="General">
                  <c:v>557</c:v>
                </c:pt>
                <c:pt idx="1957" formatCode="General">
                  <c:v>818</c:v>
                </c:pt>
                <c:pt idx="1958" formatCode="General">
                  <c:v>400</c:v>
                </c:pt>
                <c:pt idx="1959">
                  <c:v>1021</c:v>
                </c:pt>
                <c:pt idx="1960" formatCode="General">
                  <c:v>554</c:v>
                </c:pt>
                <c:pt idx="1961" formatCode="General">
                  <c:v>727</c:v>
                </c:pt>
                <c:pt idx="1962" formatCode="General">
                  <c:v>571</c:v>
                </c:pt>
                <c:pt idx="1963" formatCode="General">
                  <c:v>260</c:v>
                </c:pt>
                <c:pt idx="1964" formatCode="General">
                  <c:v>761</c:v>
                </c:pt>
                <c:pt idx="1965" formatCode="General">
                  <c:v>882</c:v>
                </c:pt>
                <c:pt idx="1966">
                  <c:v>1159</c:v>
                </c:pt>
                <c:pt idx="1967" formatCode="General">
                  <c:v>796</c:v>
                </c:pt>
                <c:pt idx="1968" formatCode="General">
                  <c:v>830</c:v>
                </c:pt>
                <c:pt idx="1969" formatCode="General">
                  <c:v>484</c:v>
                </c:pt>
                <c:pt idx="1970" formatCode="General">
                  <c:v>761</c:v>
                </c:pt>
                <c:pt idx="1971">
                  <c:v>1332</c:v>
                </c:pt>
                <c:pt idx="1972" formatCode="General">
                  <c:v>640</c:v>
                </c:pt>
                <c:pt idx="1973" formatCode="General">
                  <c:v>882</c:v>
                </c:pt>
                <c:pt idx="1974">
                  <c:v>1003</c:v>
                </c:pt>
                <c:pt idx="1975" formatCode="General">
                  <c:v>502</c:v>
                </c:pt>
                <c:pt idx="1976" formatCode="General">
                  <c:v>554</c:v>
                </c:pt>
                <c:pt idx="1977" formatCode="General">
                  <c:v>882</c:v>
                </c:pt>
                <c:pt idx="1978" formatCode="General">
                  <c:v>813</c:v>
                </c:pt>
                <c:pt idx="1979">
                  <c:v>1107</c:v>
                </c:pt>
                <c:pt idx="1980" formatCode="General">
                  <c:v>900</c:v>
                </c:pt>
                <c:pt idx="1981" formatCode="General">
                  <c:v>657</c:v>
                </c:pt>
                <c:pt idx="1982" formatCode="General">
                  <c:v>536</c:v>
                </c:pt>
                <c:pt idx="1983" formatCode="General">
                  <c:v>467</c:v>
                </c:pt>
                <c:pt idx="1984" formatCode="General">
                  <c:v>623</c:v>
                </c:pt>
                <c:pt idx="1985" formatCode="General">
                  <c:v>398</c:v>
                </c:pt>
                <c:pt idx="1986" formatCode="General">
                  <c:v>830</c:v>
                </c:pt>
                <c:pt idx="1987" formatCode="General">
                  <c:v>761</c:v>
                </c:pt>
                <c:pt idx="1988" formatCode="General">
                  <c:v>675</c:v>
                </c:pt>
                <c:pt idx="1989" formatCode="General">
                  <c:v>588</c:v>
                </c:pt>
                <c:pt idx="1990" formatCode="General">
                  <c:v>796</c:v>
                </c:pt>
                <c:pt idx="1991" formatCode="General">
                  <c:v>744</c:v>
                </c:pt>
                <c:pt idx="1992" formatCode="General">
                  <c:v>467</c:v>
                </c:pt>
                <c:pt idx="1993" formatCode="General">
                  <c:v>969</c:v>
                </c:pt>
                <c:pt idx="1994" formatCode="General">
                  <c:v>640</c:v>
                </c:pt>
                <c:pt idx="1995" formatCode="General">
                  <c:v>588</c:v>
                </c:pt>
                <c:pt idx="1996" formatCode="General">
                  <c:v>588</c:v>
                </c:pt>
                <c:pt idx="1997" formatCode="General">
                  <c:v>623</c:v>
                </c:pt>
                <c:pt idx="1998" formatCode="General">
                  <c:v>346</c:v>
                </c:pt>
                <c:pt idx="1999" formatCode="General">
                  <c:v>779</c:v>
                </c:pt>
                <c:pt idx="2000" formatCode="General">
                  <c:v>657</c:v>
                </c:pt>
                <c:pt idx="2001" formatCode="General">
                  <c:v>709</c:v>
                </c:pt>
                <c:pt idx="2002" formatCode="General">
                  <c:v>588</c:v>
                </c:pt>
                <c:pt idx="2003" formatCode="General">
                  <c:v>701</c:v>
                </c:pt>
                <c:pt idx="2004" formatCode="General">
                  <c:v>735</c:v>
                </c:pt>
                <c:pt idx="2005" formatCode="General">
                  <c:v>804</c:v>
                </c:pt>
                <c:pt idx="2006" formatCode="General">
                  <c:v>804</c:v>
                </c:pt>
                <c:pt idx="2007" formatCode="General">
                  <c:v>599</c:v>
                </c:pt>
                <c:pt idx="2008" formatCode="General">
                  <c:v>804</c:v>
                </c:pt>
                <c:pt idx="2009">
                  <c:v>1043</c:v>
                </c:pt>
                <c:pt idx="2010" formatCode="General">
                  <c:v>667</c:v>
                </c:pt>
                <c:pt idx="2011" formatCode="General">
                  <c:v>599</c:v>
                </c:pt>
                <c:pt idx="2012">
                  <c:v>8500</c:v>
                </c:pt>
                <c:pt idx="2013" formatCode="General">
                  <c:v>867</c:v>
                </c:pt>
                <c:pt idx="2014" formatCode="General">
                  <c:v>833</c:v>
                </c:pt>
                <c:pt idx="2015">
                  <c:v>1037</c:v>
                </c:pt>
                <c:pt idx="2016" formatCode="General">
                  <c:v>952</c:v>
                </c:pt>
                <c:pt idx="2017" formatCode="General">
                  <c:v>408</c:v>
                </c:pt>
                <c:pt idx="2018" formatCode="General">
                  <c:v>255</c:v>
                </c:pt>
                <c:pt idx="2019" formatCode="General">
                  <c:v>799</c:v>
                </c:pt>
                <c:pt idx="2020" formatCode="General">
                  <c:v>510</c:v>
                </c:pt>
                <c:pt idx="2021" formatCode="General">
                  <c:v>289</c:v>
                </c:pt>
                <c:pt idx="2022" formatCode="General">
                  <c:v>374</c:v>
                </c:pt>
                <c:pt idx="2023" formatCode="General">
                  <c:v>493</c:v>
                </c:pt>
                <c:pt idx="2024" formatCode="General">
                  <c:v>612</c:v>
                </c:pt>
                <c:pt idx="2025" formatCode="General">
                  <c:v>952</c:v>
                </c:pt>
                <c:pt idx="2026" formatCode="General">
                  <c:v>935</c:v>
                </c:pt>
                <c:pt idx="2027" formatCode="General">
                  <c:v>731</c:v>
                </c:pt>
                <c:pt idx="2028" formatCode="General">
                  <c:v>693</c:v>
                </c:pt>
                <c:pt idx="2029" formatCode="General">
                  <c:v>693</c:v>
                </c:pt>
                <c:pt idx="2030" formatCode="General">
                  <c:v>710</c:v>
                </c:pt>
                <c:pt idx="2031" formatCode="General">
                  <c:v>744</c:v>
                </c:pt>
                <c:pt idx="2032" formatCode="General">
                  <c:v>710</c:v>
                </c:pt>
                <c:pt idx="2033" formatCode="General">
                  <c:v>794</c:v>
                </c:pt>
                <c:pt idx="2034" formatCode="General">
                  <c:v>794</c:v>
                </c:pt>
                <c:pt idx="2035" formatCode="General">
                  <c:v>794</c:v>
                </c:pt>
                <c:pt idx="2036" formatCode="General">
                  <c:v>659</c:v>
                </c:pt>
                <c:pt idx="2037" formatCode="General">
                  <c:v>642</c:v>
                </c:pt>
                <c:pt idx="2038" formatCode="General">
                  <c:v>642</c:v>
                </c:pt>
                <c:pt idx="2039" formatCode="General">
                  <c:v>608</c:v>
                </c:pt>
                <c:pt idx="2040" formatCode="General">
                  <c:v>406</c:v>
                </c:pt>
                <c:pt idx="2041" formatCode="General">
                  <c:v>321</c:v>
                </c:pt>
                <c:pt idx="2042" formatCode="General">
                  <c:v>608</c:v>
                </c:pt>
                <c:pt idx="2043" formatCode="General">
                  <c:v>794</c:v>
                </c:pt>
                <c:pt idx="2044" formatCode="General">
                  <c:v>997</c:v>
                </c:pt>
                <c:pt idx="2045" formatCode="General">
                  <c:v>304</c:v>
                </c:pt>
                <c:pt idx="2046" formatCode="General">
                  <c:v>321</c:v>
                </c:pt>
                <c:pt idx="2047">
                  <c:v>1639</c:v>
                </c:pt>
                <c:pt idx="2048" formatCode="General">
                  <c:v>879</c:v>
                </c:pt>
                <c:pt idx="2049" formatCode="General">
                  <c:v>541</c:v>
                </c:pt>
                <c:pt idx="2050" formatCode="General">
                  <c:v>997</c:v>
                </c:pt>
                <c:pt idx="2051" formatCode="General">
                  <c:v>862</c:v>
                </c:pt>
                <c:pt idx="2052" formatCode="General">
                  <c:v>862</c:v>
                </c:pt>
                <c:pt idx="2053" formatCode="General">
                  <c:v>794</c:v>
                </c:pt>
                <c:pt idx="2054">
                  <c:v>1014</c:v>
                </c:pt>
                <c:pt idx="2055" formatCode="General">
                  <c:v>997</c:v>
                </c:pt>
                <c:pt idx="2056" formatCode="General">
                  <c:v>490</c:v>
                </c:pt>
                <c:pt idx="2057">
                  <c:v>1048</c:v>
                </c:pt>
                <c:pt idx="2058" formatCode="General">
                  <c:v>608</c:v>
                </c:pt>
                <c:pt idx="2059" formatCode="General">
                  <c:v>558</c:v>
                </c:pt>
                <c:pt idx="2060" formatCode="General">
                  <c:v>389</c:v>
                </c:pt>
                <c:pt idx="2061" formatCode="General">
                  <c:v>456</c:v>
                </c:pt>
                <c:pt idx="2062" formatCode="General">
                  <c:v>625</c:v>
                </c:pt>
                <c:pt idx="2063" formatCode="General">
                  <c:v>794</c:v>
                </c:pt>
                <c:pt idx="2064" formatCode="General">
                  <c:v>828</c:v>
                </c:pt>
                <c:pt idx="2065">
                  <c:v>1099</c:v>
                </c:pt>
                <c:pt idx="2066" formatCode="General">
                  <c:v>913</c:v>
                </c:pt>
                <c:pt idx="2067" formatCode="General">
                  <c:v>575</c:v>
                </c:pt>
                <c:pt idx="2068" formatCode="General">
                  <c:v>389</c:v>
                </c:pt>
                <c:pt idx="2069" formatCode="General">
                  <c:v>896</c:v>
                </c:pt>
                <c:pt idx="2070" formatCode="General">
                  <c:v>406</c:v>
                </c:pt>
                <c:pt idx="2071">
                  <c:v>1082</c:v>
                </c:pt>
                <c:pt idx="2072" formatCode="General">
                  <c:v>997</c:v>
                </c:pt>
                <c:pt idx="2073">
                  <c:v>1200</c:v>
                </c:pt>
                <c:pt idx="2074" formatCode="General">
                  <c:v>706</c:v>
                </c:pt>
                <c:pt idx="2075" formatCode="General">
                  <c:v>756</c:v>
                </c:pt>
                <c:pt idx="2076">
                  <c:v>1159</c:v>
                </c:pt>
                <c:pt idx="2077" formatCode="General">
                  <c:v>941</c:v>
                </c:pt>
                <c:pt idx="2078">
                  <c:v>1042</c:v>
                </c:pt>
                <c:pt idx="2079" formatCode="General">
                  <c:v>487</c:v>
                </c:pt>
                <c:pt idx="2080" formatCode="General">
                  <c:v>706</c:v>
                </c:pt>
                <c:pt idx="2081" formatCode="General">
                  <c:v>739</c:v>
                </c:pt>
                <c:pt idx="2082" formatCode="General">
                  <c:v>806</c:v>
                </c:pt>
                <c:pt idx="2083" formatCode="General">
                  <c:v>538</c:v>
                </c:pt>
                <c:pt idx="2084" formatCode="General">
                  <c:v>487</c:v>
                </c:pt>
                <c:pt idx="2085">
                  <c:v>1445</c:v>
                </c:pt>
                <c:pt idx="2086" formatCode="General">
                  <c:v>790</c:v>
                </c:pt>
                <c:pt idx="2087" formatCode="General">
                  <c:v>840</c:v>
                </c:pt>
                <c:pt idx="2088">
                  <c:v>1042</c:v>
                </c:pt>
                <c:pt idx="2089">
                  <c:v>1075</c:v>
                </c:pt>
                <c:pt idx="2090" formatCode="General">
                  <c:v>790</c:v>
                </c:pt>
                <c:pt idx="2091" formatCode="General">
                  <c:v>739</c:v>
                </c:pt>
                <c:pt idx="2092" formatCode="General">
                  <c:v>638</c:v>
                </c:pt>
                <c:pt idx="2093" formatCode="General">
                  <c:v>924</c:v>
                </c:pt>
                <c:pt idx="2094" formatCode="General">
                  <c:v>622</c:v>
                </c:pt>
                <c:pt idx="2095" formatCode="General">
                  <c:v>857</c:v>
                </c:pt>
                <c:pt idx="2096" formatCode="General">
                  <c:v>504</c:v>
                </c:pt>
                <c:pt idx="2097" formatCode="General">
                  <c:v>785</c:v>
                </c:pt>
                <c:pt idx="2098" formatCode="General">
                  <c:v>768</c:v>
                </c:pt>
                <c:pt idx="2099" formatCode="General">
                  <c:v>635</c:v>
                </c:pt>
                <c:pt idx="2100" formatCode="General">
                  <c:v>701</c:v>
                </c:pt>
                <c:pt idx="2101" formatCode="General">
                  <c:v>768</c:v>
                </c:pt>
                <c:pt idx="2102" formatCode="General">
                  <c:v>618</c:v>
                </c:pt>
                <c:pt idx="2103" formatCode="General">
                  <c:v>985</c:v>
                </c:pt>
                <c:pt idx="2104" formatCode="General">
                  <c:v>384</c:v>
                </c:pt>
                <c:pt idx="2105" formatCode="General">
                  <c:v>601</c:v>
                </c:pt>
                <c:pt idx="2106" formatCode="General">
                  <c:v>685</c:v>
                </c:pt>
                <c:pt idx="2107" formatCode="General">
                  <c:v>635</c:v>
                </c:pt>
                <c:pt idx="2108" formatCode="General">
                  <c:v>401</c:v>
                </c:pt>
                <c:pt idx="2109">
                  <c:v>1236</c:v>
                </c:pt>
                <c:pt idx="2110" formatCode="General">
                  <c:v>768</c:v>
                </c:pt>
                <c:pt idx="2111" formatCode="General">
                  <c:v>401</c:v>
                </c:pt>
                <c:pt idx="2112" formatCode="General">
                  <c:v>601</c:v>
                </c:pt>
                <c:pt idx="2113" formatCode="General">
                  <c:v>768</c:v>
                </c:pt>
                <c:pt idx="2114" formatCode="General">
                  <c:v>685</c:v>
                </c:pt>
                <c:pt idx="2115" formatCode="General">
                  <c:v>531</c:v>
                </c:pt>
                <c:pt idx="2116" formatCode="General">
                  <c:v>598</c:v>
                </c:pt>
                <c:pt idx="2117" formatCode="General">
                  <c:v>780</c:v>
                </c:pt>
                <c:pt idx="2118" formatCode="General">
                  <c:v>664</c:v>
                </c:pt>
                <c:pt idx="2119" formatCode="General">
                  <c:v>365</c:v>
                </c:pt>
                <c:pt idx="2120" formatCode="General">
                  <c:v>398</c:v>
                </c:pt>
                <c:pt idx="2121">
                  <c:v>1046</c:v>
                </c:pt>
                <c:pt idx="2122" formatCode="General">
                  <c:v>730</c:v>
                </c:pt>
                <c:pt idx="2123" formatCode="General">
                  <c:v>432</c:v>
                </c:pt>
                <c:pt idx="2124" formatCode="General">
                  <c:v>647</c:v>
                </c:pt>
                <c:pt idx="2125" formatCode="General">
                  <c:v>598</c:v>
                </c:pt>
                <c:pt idx="2126" formatCode="General">
                  <c:v>664</c:v>
                </c:pt>
                <c:pt idx="2127" formatCode="General">
                  <c:v>266</c:v>
                </c:pt>
                <c:pt idx="2128">
                  <c:v>1023</c:v>
                </c:pt>
                <c:pt idx="2129">
                  <c:v>1023</c:v>
                </c:pt>
                <c:pt idx="2130" formatCode="General">
                  <c:v>974</c:v>
                </c:pt>
                <c:pt idx="2131" formatCode="General">
                  <c:v>611</c:v>
                </c:pt>
                <c:pt idx="2132" formatCode="General">
                  <c:v>908</c:v>
                </c:pt>
                <c:pt idx="2133" formatCode="General">
                  <c:v>726</c:v>
                </c:pt>
                <c:pt idx="2134" formatCode="General">
                  <c:v>710</c:v>
                </c:pt>
                <c:pt idx="2135" formatCode="General">
                  <c:v>710</c:v>
                </c:pt>
                <c:pt idx="2136" formatCode="General">
                  <c:v>842</c:v>
                </c:pt>
                <c:pt idx="2137" formatCode="General">
                  <c:v>726</c:v>
                </c:pt>
                <c:pt idx="2138" formatCode="General">
                  <c:v>611</c:v>
                </c:pt>
                <c:pt idx="2139" formatCode="General">
                  <c:v>726</c:v>
                </c:pt>
                <c:pt idx="2140">
                  <c:v>1353</c:v>
                </c:pt>
                <c:pt idx="2141">
                  <c:v>1106</c:v>
                </c:pt>
                <c:pt idx="2142" formatCode="General">
                  <c:v>726</c:v>
                </c:pt>
                <c:pt idx="2143" formatCode="General">
                  <c:v>792</c:v>
                </c:pt>
                <c:pt idx="2144" formatCode="General">
                  <c:v>776</c:v>
                </c:pt>
                <c:pt idx="2145" formatCode="General">
                  <c:v>462</c:v>
                </c:pt>
                <c:pt idx="2146" formatCode="General">
                  <c:v>809</c:v>
                </c:pt>
                <c:pt idx="2147" formatCode="General">
                  <c:v>693</c:v>
                </c:pt>
                <c:pt idx="2148" formatCode="General">
                  <c:v>644</c:v>
                </c:pt>
                <c:pt idx="2149" formatCode="General">
                  <c:v>231</c:v>
                </c:pt>
                <c:pt idx="2150" formatCode="General">
                  <c:v>429</c:v>
                </c:pt>
                <c:pt idx="2151" formatCode="General">
                  <c:v>627</c:v>
                </c:pt>
                <c:pt idx="2152" formatCode="General">
                  <c:v>512</c:v>
                </c:pt>
                <c:pt idx="2153" formatCode="General">
                  <c:v>875</c:v>
                </c:pt>
                <c:pt idx="2154" formatCode="General">
                  <c:v>363</c:v>
                </c:pt>
                <c:pt idx="2155" formatCode="General">
                  <c:v>875</c:v>
                </c:pt>
                <c:pt idx="2156" formatCode="General">
                  <c:v>875</c:v>
                </c:pt>
                <c:pt idx="2157" formatCode="General">
                  <c:v>677</c:v>
                </c:pt>
                <c:pt idx="2158" formatCode="General">
                  <c:v>281</c:v>
                </c:pt>
                <c:pt idx="2159" formatCode="General">
                  <c:v>792</c:v>
                </c:pt>
                <c:pt idx="2160" formatCode="General">
                  <c:v>594</c:v>
                </c:pt>
                <c:pt idx="2161" formatCode="General">
                  <c:v>886</c:v>
                </c:pt>
                <c:pt idx="2162" formatCode="General">
                  <c:v>587</c:v>
                </c:pt>
                <c:pt idx="2163">
                  <c:v>1027</c:v>
                </c:pt>
                <c:pt idx="2164" formatCode="General">
                  <c:v>734</c:v>
                </c:pt>
                <c:pt idx="2165" formatCode="General">
                  <c:v>945</c:v>
                </c:pt>
                <c:pt idx="2166" formatCode="General">
                  <c:v>522</c:v>
                </c:pt>
                <c:pt idx="2167">
                  <c:v>1174</c:v>
                </c:pt>
                <c:pt idx="2168">
                  <c:v>1190</c:v>
                </c:pt>
                <c:pt idx="2169" formatCode="General">
                  <c:v>603</c:v>
                </c:pt>
                <c:pt idx="2170" formatCode="General">
                  <c:v>685</c:v>
                </c:pt>
                <c:pt idx="2171" formatCode="General">
                  <c:v>456</c:v>
                </c:pt>
                <c:pt idx="2172" formatCode="General">
                  <c:v>962</c:v>
                </c:pt>
                <c:pt idx="2173">
                  <c:v>1646</c:v>
                </c:pt>
                <c:pt idx="2174" formatCode="General">
                  <c:v>782</c:v>
                </c:pt>
                <c:pt idx="2175" formatCode="General">
                  <c:v>848</c:v>
                </c:pt>
                <c:pt idx="2176" formatCode="General">
                  <c:v>815</c:v>
                </c:pt>
                <c:pt idx="2177" formatCode="General">
                  <c:v>717</c:v>
                </c:pt>
                <c:pt idx="2178" formatCode="General">
                  <c:v>701</c:v>
                </c:pt>
                <c:pt idx="2179" formatCode="General">
                  <c:v>962</c:v>
                </c:pt>
                <c:pt idx="2180" formatCode="General">
                  <c:v>668</c:v>
                </c:pt>
                <c:pt idx="2181">
                  <c:v>1402</c:v>
                </c:pt>
                <c:pt idx="2182" formatCode="General">
                  <c:v>375</c:v>
                </c:pt>
                <c:pt idx="2183">
                  <c:v>1027</c:v>
                </c:pt>
                <c:pt idx="2184" formatCode="General">
                  <c:v>815</c:v>
                </c:pt>
                <c:pt idx="2185" formatCode="General">
                  <c:v>799</c:v>
                </c:pt>
                <c:pt idx="2186" formatCode="General">
                  <c:v>994</c:v>
                </c:pt>
                <c:pt idx="2187" formatCode="General">
                  <c:v>897</c:v>
                </c:pt>
                <c:pt idx="2188">
                  <c:v>1174</c:v>
                </c:pt>
                <c:pt idx="2189" formatCode="General">
                  <c:v>456</c:v>
                </c:pt>
                <c:pt idx="2190" formatCode="General">
                  <c:v>815</c:v>
                </c:pt>
                <c:pt idx="2191" formatCode="General">
                  <c:v>831</c:v>
                </c:pt>
                <c:pt idx="2192" formatCode="General">
                  <c:v>945</c:v>
                </c:pt>
                <c:pt idx="2193" formatCode="General">
                  <c:v>391</c:v>
                </c:pt>
                <c:pt idx="2194" formatCode="General">
                  <c:v>440</c:v>
                </c:pt>
                <c:pt idx="2195" formatCode="General">
                  <c:v>652</c:v>
                </c:pt>
                <c:pt idx="2196" formatCode="General">
                  <c:v>619</c:v>
                </c:pt>
                <c:pt idx="2197" formatCode="General">
                  <c:v>750</c:v>
                </c:pt>
                <c:pt idx="2198" formatCode="General">
                  <c:v>489</c:v>
                </c:pt>
                <c:pt idx="2199" formatCode="General">
                  <c:v>668</c:v>
                </c:pt>
                <c:pt idx="2200" formatCode="General">
                  <c:v>587</c:v>
                </c:pt>
                <c:pt idx="2201" formatCode="General">
                  <c:v>685</c:v>
                </c:pt>
                <c:pt idx="2202" formatCode="General">
                  <c:v>734</c:v>
                </c:pt>
                <c:pt idx="2203" formatCode="General">
                  <c:v>766</c:v>
                </c:pt>
                <c:pt idx="2204" formatCode="General">
                  <c:v>988</c:v>
                </c:pt>
                <c:pt idx="2205" formatCode="General">
                  <c:v>956</c:v>
                </c:pt>
                <c:pt idx="2206" formatCode="General">
                  <c:v>875</c:v>
                </c:pt>
                <c:pt idx="2207">
                  <c:v>1037</c:v>
                </c:pt>
                <c:pt idx="2208">
                  <c:v>1393</c:v>
                </c:pt>
                <c:pt idx="2209" formatCode="General">
                  <c:v>794</c:v>
                </c:pt>
                <c:pt idx="2210">
                  <c:v>1377</c:v>
                </c:pt>
                <c:pt idx="2211">
                  <c:v>1118</c:v>
                </c:pt>
                <c:pt idx="2212">
                  <c:v>1199</c:v>
                </c:pt>
                <c:pt idx="2213" formatCode="General">
                  <c:v>373</c:v>
                </c:pt>
                <c:pt idx="2214" formatCode="General">
                  <c:v>745</c:v>
                </c:pt>
                <c:pt idx="2215" formatCode="General">
                  <c:v>745</c:v>
                </c:pt>
                <c:pt idx="2216" formatCode="General">
                  <c:v>826</c:v>
                </c:pt>
                <c:pt idx="2217" formatCode="General">
                  <c:v>518</c:v>
                </c:pt>
                <c:pt idx="2218" formatCode="General">
                  <c:v>486</c:v>
                </c:pt>
                <c:pt idx="2219" formatCode="General">
                  <c:v>340</c:v>
                </c:pt>
                <c:pt idx="2220" formatCode="General">
                  <c:v>308</c:v>
                </c:pt>
                <c:pt idx="2221" formatCode="General">
                  <c:v>535</c:v>
                </c:pt>
                <c:pt idx="2222" formatCode="General">
                  <c:v>340</c:v>
                </c:pt>
                <c:pt idx="2223" formatCode="General">
                  <c:v>778</c:v>
                </c:pt>
                <c:pt idx="2224" formatCode="General">
                  <c:v>632</c:v>
                </c:pt>
                <c:pt idx="2225" formatCode="General">
                  <c:v>437</c:v>
                </c:pt>
                <c:pt idx="2226" formatCode="General">
                  <c:v>389</c:v>
                </c:pt>
                <c:pt idx="2227" formatCode="General">
                  <c:v>810</c:v>
                </c:pt>
                <c:pt idx="2228" formatCode="General">
                  <c:v>842</c:v>
                </c:pt>
                <c:pt idx="2229" formatCode="General">
                  <c:v>821</c:v>
                </c:pt>
                <c:pt idx="2230" formatCode="General">
                  <c:v>757</c:v>
                </c:pt>
                <c:pt idx="2231" formatCode="General">
                  <c:v>725</c:v>
                </c:pt>
                <c:pt idx="2232">
                  <c:v>1079</c:v>
                </c:pt>
                <c:pt idx="2233" formatCode="General">
                  <c:v>708</c:v>
                </c:pt>
                <c:pt idx="2234" formatCode="General">
                  <c:v>386</c:v>
                </c:pt>
                <c:pt idx="2235" formatCode="General">
                  <c:v>596</c:v>
                </c:pt>
                <c:pt idx="2236" formatCode="General">
                  <c:v>531</c:v>
                </c:pt>
                <c:pt idx="2237" formatCode="General">
                  <c:v>692</c:v>
                </c:pt>
                <c:pt idx="2238" formatCode="General">
                  <c:v>853</c:v>
                </c:pt>
                <c:pt idx="2239" formatCode="General">
                  <c:v>886</c:v>
                </c:pt>
                <c:pt idx="2240">
                  <c:v>1320</c:v>
                </c:pt>
                <c:pt idx="2241" formatCode="General">
                  <c:v>918</c:v>
                </c:pt>
                <c:pt idx="2242" formatCode="General">
                  <c:v>725</c:v>
                </c:pt>
                <c:pt idx="2243" formatCode="General">
                  <c:v>950</c:v>
                </c:pt>
                <c:pt idx="2244" formatCode="General">
                  <c:v>805</c:v>
                </c:pt>
                <c:pt idx="2245" formatCode="General">
                  <c:v>656</c:v>
                </c:pt>
                <c:pt idx="2246" formatCode="General">
                  <c:v>688</c:v>
                </c:pt>
                <c:pt idx="2247">
                  <c:v>1088</c:v>
                </c:pt>
                <c:pt idx="2248" formatCode="General">
                  <c:v>784</c:v>
                </c:pt>
                <c:pt idx="2249" formatCode="General">
                  <c:v>704</c:v>
                </c:pt>
                <c:pt idx="2250" formatCode="General">
                  <c:v>784</c:v>
                </c:pt>
                <c:pt idx="2251" formatCode="General">
                  <c:v>944</c:v>
                </c:pt>
                <c:pt idx="2252" formatCode="General">
                  <c:v>736</c:v>
                </c:pt>
                <c:pt idx="2253" formatCode="General">
                  <c:v>784</c:v>
                </c:pt>
                <c:pt idx="2254">
                  <c:v>1072</c:v>
                </c:pt>
                <c:pt idx="2255" formatCode="General">
                  <c:v>656</c:v>
                </c:pt>
                <c:pt idx="2256" formatCode="General">
                  <c:v>464</c:v>
                </c:pt>
                <c:pt idx="2257" formatCode="General">
                  <c:v>688</c:v>
                </c:pt>
                <c:pt idx="2258" formatCode="General">
                  <c:v>928</c:v>
                </c:pt>
                <c:pt idx="2259" formatCode="General">
                  <c:v>928</c:v>
                </c:pt>
                <c:pt idx="2260" formatCode="General">
                  <c:v>752</c:v>
                </c:pt>
                <c:pt idx="2261" formatCode="General">
                  <c:v>544</c:v>
                </c:pt>
                <c:pt idx="2262" formatCode="General">
                  <c:v>864</c:v>
                </c:pt>
                <c:pt idx="2263" formatCode="General">
                  <c:v>768</c:v>
                </c:pt>
                <c:pt idx="2264" formatCode="General">
                  <c:v>512</c:v>
                </c:pt>
                <c:pt idx="2265" formatCode="General">
                  <c:v>544</c:v>
                </c:pt>
                <c:pt idx="2266" formatCode="General">
                  <c:v>816</c:v>
                </c:pt>
                <c:pt idx="2267" formatCode="General">
                  <c:v>448</c:v>
                </c:pt>
                <c:pt idx="2268" formatCode="General">
                  <c:v>800</c:v>
                </c:pt>
                <c:pt idx="2269" formatCode="General">
                  <c:v>608</c:v>
                </c:pt>
                <c:pt idx="2270" formatCode="General">
                  <c:v>464</c:v>
                </c:pt>
                <c:pt idx="2271" formatCode="General">
                  <c:v>640</c:v>
                </c:pt>
                <c:pt idx="2272" formatCode="General">
                  <c:v>784</c:v>
                </c:pt>
                <c:pt idx="2273" formatCode="General">
                  <c:v>720</c:v>
                </c:pt>
                <c:pt idx="2274" formatCode="General">
                  <c:v>752</c:v>
                </c:pt>
                <c:pt idx="2275" formatCode="General">
                  <c:v>320</c:v>
                </c:pt>
                <c:pt idx="2276" formatCode="General">
                  <c:v>416</c:v>
                </c:pt>
                <c:pt idx="2277" formatCode="General">
                  <c:v>768</c:v>
                </c:pt>
                <c:pt idx="2278" formatCode="General">
                  <c:v>695</c:v>
                </c:pt>
                <c:pt idx="2279" formatCode="General">
                  <c:v>427</c:v>
                </c:pt>
                <c:pt idx="2280" formatCode="General">
                  <c:v>916</c:v>
                </c:pt>
                <c:pt idx="2281" formatCode="General">
                  <c:v>948</c:v>
                </c:pt>
                <c:pt idx="2282" formatCode="General">
                  <c:v>537</c:v>
                </c:pt>
                <c:pt idx="2283" formatCode="General">
                  <c:v>537</c:v>
                </c:pt>
                <c:pt idx="2284" formatCode="General">
                  <c:v>458</c:v>
                </c:pt>
                <c:pt idx="2285" formatCode="General">
                  <c:v>853</c:v>
                </c:pt>
                <c:pt idx="2286" formatCode="General">
                  <c:v>806</c:v>
                </c:pt>
                <c:pt idx="2287" formatCode="General">
                  <c:v>806</c:v>
                </c:pt>
                <c:pt idx="2288" formatCode="General">
                  <c:v>679</c:v>
                </c:pt>
                <c:pt idx="2289" formatCode="General">
                  <c:v>743</c:v>
                </c:pt>
                <c:pt idx="2290" formatCode="General">
                  <c:v>853</c:v>
                </c:pt>
                <c:pt idx="2291">
                  <c:v>1169</c:v>
                </c:pt>
                <c:pt idx="2292" formatCode="General">
                  <c:v>585</c:v>
                </c:pt>
                <c:pt idx="2293" formatCode="General">
                  <c:v>363</c:v>
                </c:pt>
                <c:pt idx="2294" formatCode="General">
                  <c:v>648</c:v>
                </c:pt>
                <c:pt idx="2295" formatCode="General">
                  <c:v>932</c:v>
                </c:pt>
                <c:pt idx="2296" formatCode="General">
                  <c:v>284</c:v>
                </c:pt>
                <c:pt idx="2297" formatCode="General">
                  <c:v>458</c:v>
                </c:pt>
                <c:pt idx="2298">
                  <c:v>1074</c:v>
                </c:pt>
                <c:pt idx="2299" formatCode="General">
                  <c:v>585</c:v>
                </c:pt>
                <c:pt idx="2300" formatCode="General">
                  <c:v>727</c:v>
                </c:pt>
                <c:pt idx="2301" formatCode="General">
                  <c:v>569</c:v>
                </c:pt>
                <c:pt idx="2302" formatCode="General">
                  <c:v>743</c:v>
                </c:pt>
                <c:pt idx="2303" formatCode="General">
                  <c:v>600</c:v>
                </c:pt>
                <c:pt idx="2304" formatCode="General">
                  <c:v>679</c:v>
                </c:pt>
                <c:pt idx="2305" formatCode="General">
                  <c:v>427</c:v>
                </c:pt>
                <c:pt idx="2306" formatCode="General">
                  <c:v>363</c:v>
                </c:pt>
                <c:pt idx="2307" formatCode="General">
                  <c:v>300</c:v>
                </c:pt>
                <c:pt idx="2308" formatCode="General">
                  <c:v>553</c:v>
                </c:pt>
                <c:pt idx="2309" formatCode="General">
                  <c:v>679</c:v>
                </c:pt>
                <c:pt idx="2310" formatCode="General">
                  <c:v>474</c:v>
                </c:pt>
                <c:pt idx="2311" formatCode="General">
                  <c:v>679</c:v>
                </c:pt>
                <c:pt idx="2312" formatCode="General">
                  <c:v>600</c:v>
                </c:pt>
                <c:pt idx="2313" formatCode="General">
                  <c:v>679</c:v>
                </c:pt>
                <c:pt idx="2314" formatCode="General">
                  <c:v>727</c:v>
                </c:pt>
                <c:pt idx="2315" formatCode="General">
                  <c:v>616</c:v>
                </c:pt>
                <c:pt idx="2316" formatCode="General">
                  <c:v>553</c:v>
                </c:pt>
                <c:pt idx="2317" formatCode="General">
                  <c:v>521</c:v>
                </c:pt>
                <c:pt idx="2318" formatCode="General">
                  <c:v>679</c:v>
                </c:pt>
                <c:pt idx="2319" formatCode="General">
                  <c:v>284</c:v>
                </c:pt>
                <c:pt idx="2320" formatCode="General">
                  <c:v>774</c:v>
                </c:pt>
                <c:pt idx="2321" formatCode="General">
                  <c:v>597</c:v>
                </c:pt>
                <c:pt idx="2322" formatCode="General">
                  <c:v>926</c:v>
                </c:pt>
                <c:pt idx="2323" formatCode="General">
                  <c:v>298</c:v>
                </c:pt>
                <c:pt idx="2324" formatCode="General">
                  <c:v>848</c:v>
                </c:pt>
                <c:pt idx="2325" formatCode="General">
                  <c:v>612</c:v>
                </c:pt>
                <c:pt idx="2326" formatCode="General">
                  <c:v>502</c:v>
                </c:pt>
                <c:pt idx="2327" formatCode="General">
                  <c:v>754</c:v>
                </c:pt>
                <c:pt idx="2328" formatCode="General">
                  <c:v>801</c:v>
                </c:pt>
                <c:pt idx="2329" formatCode="General">
                  <c:v>722</c:v>
                </c:pt>
                <c:pt idx="2330" formatCode="General">
                  <c:v>518</c:v>
                </c:pt>
                <c:pt idx="2331" formatCode="General">
                  <c:v>848</c:v>
                </c:pt>
                <c:pt idx="2332" formatCode="General">
                  <c:v>691</c:v>
                </c:pt>
                <c:pt idx="2333" formatCode="General">
                  <c:v>764</c:v>
                </c:pt>
                <c:pt idx="2334" formatCode="General">
                  <c:v>858</c:v>
                </c:pt>
                <c:pt idx="2335" formatCode="General">
                  <c:v>452</c:v>
                </c:pt>
                <c:pt idx="2336" formatCode="General">
                  <c:v>608</c:v>
                </c:pt>
                <c:pt idx="2337" formatCode="General">
                  <c:v>998</c:v>
                </c:pt>
                <c:pt idx="2338" formatCode="General">
                  <c:v>640</c:v>
                </c:pt>
                <c:pt idx="2339" formatCode="General">
                  <c:v>749</c:v>
                </c:pt>
                <c:pt idx="2340" formatCode="General">
                  <c:v>374</c:v>
                </c:pt>
                <c:pt idx="2341">
                  <c:v>1123</c:v>
                </c:pt>
                <c:pt idx="2342">
                  <c:v>1357</c:v>
                </c:pt>
                <c:pt idx="2343" formatCode="General">
                  <c:v>640</c:v>
                </c:pt>
                <c:pt idx="2344" formatCode="General">
                  <c:v>920</c:v>
                </c:pt>
                <c:pt idx="2345" formatCode="General">
                  <c:v>718</c:v>
                </c:pt>
                <c:pt idx="2346" formatCode="General">
                  <c:v>998</c:v>
                </c:pt>
                <c:pt idx="2347" formatCode="General">
                  <c:v>608</c:v>
                </c:pt>
                <c:pt idx="2348" formatCode="General">
                  <c:v>593</c:v>
                </c:pt>
                <c:pt idx="2349" formatCode="General">
                  <c:v>811</c:v>
                </c:pt>
                <c:pt idx="2350" formatCode="General">
                  <c:v>421</c:v>
                </c:pt>
                <c:pt idx="2351">
                  <c:v>1310</c:v>
                </c:pt>
                <c:pt idx="2352">
                  <c:v>1123</c:v>
                </c:pt>
                <c:pt idx="2353" formatCode="General">
                  <c:v>437</c:v>
                </c:pt>
                <c:pt idx="2354" formatCode="General">
                  <c:v>749</c:v>
                </c:pt>
                <c:pt idx="2355" formatCode="General">
                  <c:v>796</c:v>
                </c:pt>
                <c:pt idx="2356" formatCode="General">
                  <c:v>733</c:v>
                </c:pt>
                <c:pt idx="2357" formatCode="General">
                  <c:v>655</c:v>
                </c:pt>
                <c:pt idx="2358" formatCode="General">
                  <c:v>593</c:v>
                </c:pt>
                <c:pt idx="2359">
                  <c:v>1154</c:v>
                </c:pt>
                <c:pt idx="2360" formatCode="General">
                  <c:v>640</c:v>
                </c:pt>
                <c:pt idx="2361" formatCode="General">
                  <c:v>764</c:v>
                </c:pt>
                <c:pt idx="2362" formatCode="General">
                  <c:v>827</c:v>
                </c:pt>
                <c:pt idx="2363" formatCode="General">
                  <c:v>593</c:v>
                </c:pt>
                <c:pt idx="2364" formatCode="General">
                  <c:v>702</c:v>
                </c:pt>
                <c:pt idx="2365" formatCode="General">
                  <c:v>608</c:v>
                </c:pt>
                <c:pt idx="2366" formatCode="General">
                  <c:v>406</c:v>
                </c:pt>
                <c:pt idx="2367" formatCode="General">
                  <c:v>961</c:v>
                </c:pt>
                <c:pt idx="2368" formatCode="General">
                  <c:v>884</c:v>
                </c:pt>
                <c:pt idx="2369">
                  <c:v>1473</c:v>
                </c:pt>
                <c:pt idx="2370">
                  <c:v>1147</c:v>
                </c:pt>
                <c:pt idx="2371">
                  <c:v>1101</c:v>
                </c:pt>
                <c:pt idx="2372" formatCode="General">
                  <c:v>899</c:v>
                </c:pt>
                <c:pt idx="2373">
                  <c:v>1194</c:v>
                </c:pt>
                <c:pt idx="2374" formatCode="General">
                  <c:v>837</c:v>
                </c:pt>
                <c:pt idx="2375" formatCode="General">
                  <c:v>930</c:v>
                </c:pt>
                <c:pt idx="2376" formatCode="General">
                  <c:v>651</c:v>
                </c:pt>
                <c:pt idx="2377" formatCode="General">
                  <c:v>698</c:v>
                </c:pt>
                <c:pt idx="2378" formatCode="General">
                  <c:v>434</c:v>
                </c:pt>
                <c:pt idx="2379" formatCode="General">
                  <c:v>899</c:v>
                </c:pt>
                <c:pt idx="2380" formatCode="General">
                  <c:v>558</c:v>
                </c:pt>
                <c:pt idx="2381" formatCode="General">
                  <c:v>791</c:v>
                </c:pt>
                <c:pt idx="2382" formatCode="General">
                  <c:v>543</c:v>
                </c:pt>
                <c:pt idx="2383" formatCode="General">
                  <c:v>558</c:v>
                </c:pt>
                <c:pt idx="2384" formatCode="General">
                  <c:v>403</c:v>
                </c:pt>
                <c:pt idx="2385" formatCode="General">
                  <c:v>310</c:v>
                </c:pt>
                <c:pt idx="2386" formatCode="General">
                  <c:v>620</c:v>
                </c:pt>
                <c:pt idx="2387" formatCode="General">
                  <c:v>682</c:v>
                </c:pt>
                <c:pt idx="2388" formatCode="General">
                  <c:v>605</c:v>
                </c:pt>
                <c:pt idx="2389" formatCode="General">
                  <c:v>620</c:v>
                </c:pt>
                <c:pt idx="2390" formatCode="General">
                  <c:v>372</c:v>
                </c:pt>
                <c:pt idx="2391" formatCode="General">
                  <c:v>713</c:v>
                </c:pt>
                <c:pt idx="2392" formatCode="General">
                  <c:v>434</c:v>
                </c:pt>
                <c:pt idx="2393" formatCode="General">
                  <c:v>403</c:v>
                </c:pt>
                <c:pt idx="2394" formatCode="General">
                  <c:v>434</c:v>
                </c:pt>
                <c:pt idx="2395" formatCode="General">
                  <c:v>554</c:v>
                </c:pt>
                <c:pt idx="2396" formatCode="General">
                  <c:v>924</c:v>
                </c:pt>
                <c:pt idx="2397" formatCode="General">
                  <c:v>631</c:v>
                </c:pt>
                <c:pt idx="2398" formatCode="General">
                  <c:v>631</c:v>
                </c:pt>
                <c:pt idx="2399" formatCode="General">
                  <c:v>524</c:v>
                </c:pt>
                <c:pt idx="2400">
                  <c:v>1478</c:v>
                </c:pt>
                <c:pt idx="2401" formatCode="General">
                  <c:v>770</c:v>
                </c:pt>
                <c:pt idx="2402" formatCode="General">
                  <c:v>955</c:v>
                </c:pt>
                <c:pt idx="2403" formatCode="General">
                  <c:v>986</c:v>
                </c:pt>
                <c:pt idx="2404" formatCode="General">
                  <c:v>524</c:v>
                </c:pt>
                <c:pt idx="2405" formatCode="General">
                  <c:v>785</c:v>
                </c:pt>
                <c:pt idx="2406" formatCode="General">
                  <c:v>832</c:v>
                </c:pt>
                <c:pt idx="2407" formatCode="General">
                  <c:v>909</c:v>
                </c:pt>
                <c:pt idx="2408" formatCode="General">
                  <c:v>293</c:v>
                </c:pt>
                <c:pt idx="2409" formatCode="General">
                  <c:v>724</c:v>
                </c:pt>
                <c:pt idx="2410" formatCode="General">
                  <c:v>524</c:v>
                </c:pt>
                <c:pt idx="2411" formatCode="General">
                  <c:v>847</c:v>
                </c:pt>
                <c:pt idx="2412" formatCode="General">
                  <c:v>739</c:v>
                </c:pt>
                <c:pt idx="2413" formatCode="General">
                  <c:v>909</c:v>
                </c:pt>
                <c:pt idx="2414" formatCode="General">
                  <c:v>811</c:v>
                </c:pt>
                <c:pt idx="2415" formatCode="General">
                  <c:v>306</c:v>
                </c:pt>
                <c:pt idx="2416" formatCode="General">
                  <c:v>413</c:v>
                </c:pt>
                <c:pt idx="2417" formatCode="General">
                  <c:v>581</c:v>
                </c:pt>
                <c:pt idx="2418">
                  <c:v>1086</c:v>
                </c:pt>
                <c:pt idx="2419" formatCode="General">
                  <c:v>658</c:v>
                </c:pt>
                <c:pt idx="2420" formatCode="General">
                  <c:v>413</c:v>
                </c:pt>
                <c:pt idx="2421" formatCode="General">
                  <c:v>306</c:v>
                </c:pt>
                <c:pt idx="2422" formatCode="General">
                  <c:v>337</c:v>
                </c:pt>
                <c:pt idx="2423">
                  <c:v>1071</c:v>
                </c:pt>
                <c:pt idx="2424" formatCode="General">
                  <c:v>566</c:v>
                </c:pt>
                <c:pt idx="2425" formatCode="General">
                  <c:v>765</c:v>
                </c:pt>
                <c:pt idx="2426" formatCode="General">
                  <c:v>230</c:v>
                </c:pt>
                <c:pt idx="2427" formatCode="General">
                  <c:v>658</c:v>
                </c:pt>
                <c:pt idx="2428" formatCode="General">
                  <c:v>704</c:v>
                </c:pt>
                <c:pt idx="2429" formatCode="General">
                  <c:v>551</c:v>
                </c:pt>
                <c:pt idx="2430" formatCode="General">
                  <c:v>897</c:v>
                </c:pt>
                <c:pt idx="2431" formatCode="General">
                  <c:v>623</c:v>
                </c:pt>
                <c:pt idx="2432" formatCode="General">
                  <c:v>654</c:v>
                </c:pt>
                <c:pt idx="2433" formatCode="General">
                  <c:v>517</c:v>
                </c:pt>
                <c:pt idx="2434" formatCode="General">
                  <c:v>380</c:v>
                </c:pt>
                <c:pt idx="2435" formatCode="General">
                  <c:v>912</c:v>
                </c:pt>
                <c:pt idx="2436" formatCode="General">
                  <c:v>821</c:v>
                </c:pt>
                <c:pt idx="2437" formatCode="General">
                  <c:v>517</c:v>
                </c:pt>
                <c:pt idx="2438" formatCode="General">
                  <c:v>623</c:v>
                </c:pt>
                <c:pt idx="2439" formatCode="General">
                  <c:v>851</c:v>
                </c:pt>
                <c:pt idx="2440" formatCode="General">
                  <c:v>562</c:v>
                </c:pt>
                <c:pt idx="2441" formatCode="General">
                  <c:v>866</c:v>
                </c:pt>
                <c:pt idx="2442" formatCode="General">
                  <c:v>486</c:v>
                </c:pt>
                <c:pt idx="2443" formatCode="General">
                  <c:v>806</c:v>
                </c:pt>
                <c:pt idx="2444" formatCode="General">
                  <c:v>760</c:v>
                </c:pt>
                <c:pt idx="2445" formatCode="General">
                  <c:v>365</c:v>
                </c:pt>
                <c:pt idx="2446" formatCode="General">
                  <c:v>517</c:v>
                </c:pt>
                <c:pt idx="2447" formatCode="General">
                  <c:v>714</c:v>
                </c:pt>
                <c:pt idx="2448" formatCode="General">
                  <c:v>669</c:v>
                </c:pt>
                <c:pt idx="2449" formatCode="General">
                  <c:v>638</c:v>
                </c:pt>
                <c:pt idx="2450" formatCode="General">
                  <c:v>760</c:v>
                </c:pt>
                <c:pt idx="2451" formatCode="General">
                  <c:v>365</c:v>
                </c:pt>
                <c:pt idx="2452" formatCode="General">
                  <c:v>167</c:v>
                </c:pt>
                <c:pt idx="2453" formatCode="General">
                  <c:v>486</c:v>
                </c:pt>
                <c:pt idx="2454" formatCode="General">
                  <c:v>714</c:v>
                </c:pt>
                <c:pt idx="2455" formatCode="General">
                  <c:v>410</c:v>
                </c:pt>
                <c:pt idx="2456" formatCode="General">
                  <c:v>699</c:v>
                </c:pt>
                <c:pt idx="2457" formatCode="General">
                  <c:v>608</c:v>
                </c:pt>
                <c:pt idx="2458" formatCode="General">
                  <c:v>347</c:v>
                </c:pt>
                <c:pt idx="2459">
                  <c:v>7500</c:v>
                </c:pt>
                <c:pt idx="2460">
                  <c:v>7500</c:v>
                </c:pt>
                <c:pt idx="2461">
                  <c:v>9000</c:v>
                </c:pt>
                <c:pt idx="2462">
                  <c:v>7500</c:v>
                </c:pt>
                <c:pt idx="2463">
                  <c:v>7500</c:v>
                </c:pt>
                <c:pt idx="2464">
                  <c:v>6000</c:v>
                </c:pt>
                <c:pt idx="2465">
                  <c:v>8250</c:v>
                </c:pt>
                <c:pt idx="2466">
                  <c:v>8250</c:v>
                </c:pt>
                <c:pt idx="2467">
                  <c:v>9000</c:v>
                </c:pt>
                <c:pt idx="2468">
                  <c:v>6750</c:v>
                </c:pt>
                <c:pt idx="2469">
                  <c:v>5250</c:v>
                </c:pt>
                <c:pt idx="2470">
                  <c:v>6750</c:v>
                </c:pt>
                <c:pt idx="2471">
                  <c:v>6750</c:v>
                </c:pt>
                <c:pt idx="2472">
                  <c:v>5250</c:v>
                </c:pt>
                <c:pt idx="2473">
                  <c:v>7500</c:v>
                </c:pt>
                <c:pt idx="2474">
                  <c:v>6750</c:v>
                </c:pt>
                <c:pt idx="2475">
                  <c:v>3750</c:v>
                </c:pt>
                <c:pt idx="2476">
                  <c:v>6000</c:v>
                </c:pt>
                <c:pt idx="2477">
                  <c:v>4500</c:v>
                </c:pt>
                <c:pt idx="2478">
                  <c:v>6000</c:v>
                </c:pt>
                <c:pt idx="2479">
                  <c:v>5250</c:v>
                </c:pt>
                <c:pt idx="2480">
                  <c:v>8250</c:v>
                </c:pt>
                <c:pt idx="2481">
                  <c:v>5250</c:v>
                </c:pt>
                <c:pt idx="2482">
                  <c:v>4500</c:v>
                </c:pt>
                <c:pt idx="2483">
                  <c:v>6750</c:v>
                </c:pt>
                <c:pt idx="2484">
                  <c:v>5250</c:v>
                </c:pt>
                <c:pt idx="2485">
                  <c:v>4500</c:v>
                </c:pt>
                <c:pt idx="2486">
                  <c:v>6750</c:v>
                </c:pt>
                <c:pt idx="2487">
                  <c:v>4500</c:v>
                </c:pt>
                <c:pt idx="2488">
                  <c:v>6000</c:v>
                </c:pt>
                <c:pt idx="2489">
                  <c:v>7500</c:v>
                </c:pt>
                <c:pt idx="2490">
                  <c:v>7500</c:v>
                </c:pt>
                <c:pt idx="2491">
                  <c:v>6000</c:v>
                </c:pt>
                <c:pt idx="2492">
                  <c:v>7500</c:v>
                </c:pt>
                <c:pt idx="2493">
                  <c:v>6000</c:v>
                </c:pt>
                <c:pt idx="2494">
                  <c:v>4500</c:v>
                </c:pt>
                <c:pt idx="2495">
                  <c:v>8250</c:v>
                </c:pt>
                <c:pt idx="2496">
                  <c:v>8250</c:v>
                </c:pt>
                <c:pt idx="2497">
                  <c:v>6750</c:v>
                </c:pt>
                <c:pt idx="2498">
                  <c:v>7500</c:v>
                </c:pt>
                <c:pt idx="2499">
                  <c:v>9000</c:v>
                </c:pt>
                <c:pt idx="2500">
                  <c:v>7500</c:v>
                </c:pt>
                <c:pt idx="2501">
                  <c:v>8250</c:v>
                </c:pt>
                <c:pt idx="2502">
                  <c:v>6750</c:v>
                </c:pt>
                <c:pt idx="2503">
                  <c:v>6750</c:v>
                </c:pt>
                <c:pt idx="2504">
                  <c:v>9000</c:v>
                </c:pt>
                <c:pt idx="2505">
                  <c:v>6750</c:v>
                </c:pt>
                <c:pt idx="2506">
                  <c:v>8250</c:v>
                </c:pt>
                <c:pt idx="2507">
                  <c:v>8250</c:v>
                </c:pt>
                <c:pt idx="2508">
                  <c:v>5250</c:v>
                </c:pt>
                <c:pt idx="2509">
                  <c:v>8250</c:v>
                </c:pt>
                <c:pt idx="2510">
                  <c:v>7500</c:v>
                </c:pt>
                <c:pt idx="2511">
                  <c:v>6750</c:v>
                </c:pt>
                <c:pt idx="2512">
                  <c:v>8250</c:v>
                </c:pt>
                <c:pt idx="2513">
                  <c:v>3000</c:v>
                </c:pt>
                <c:pt idx="2514">
                  <c:v>3000</c:v>
                </c:pt>
                <c:pt idx="2515">
                  <c:v>5250</c:v>
                </c:pt>
                <c:pt idx="2516">
                  <c:v>6000</c:v>
                </c:pt>
                <c:pt idx="2517">
                  <c:v>6000</c:v>
                </c:pt>
                <c:pt idx="2518">
                  <c:v>4500</c:v>
                </c:pt>
                <c:pt idx="2519">
                  <c:v>5250</c:v>
                </c:pt>
                <c:pt idx="2520">
                  <c:v>6750</c:v>
                </c:pt>
                <c:pt idx="2521">
                  <c:v>6750</c:v>
                </c:pt>
                <c:pt idx="2522">
                  <c:v>9000</c:v>
                </c:pt>
                <c:pt idx="2523">
                  <c:v>4500</c:v>
                </c:pt>
                <c:pt idx="2524">
                  <c:v>3000</c:v>
                </c:pt>
                <c:pt idx="2525">
                  <c:v>4500</c:v>
                </c:pt>
                <c:pt idx="2526">
                  <c:v>6000</c:v>
                </c:pt>
                <c:pt idx="2527">
                  <c:v>6000</c:v>
                </c:pt>
                <c:pt idx="2528">
                  <c:v>9000</c:v>
                </c:pt>
                <c:pt idx="2529">
                  <c:v>6000</c:v>
                </c:pt>
                <c:pt idx="2530">
                  <c:v>4500</c:v>
                </c:pt>
                <c:pt idx="2531">
                  <c:v>6000</c:v>
                </c:pt>
                <c:pt idx="2532">
                  <c:v>4500</c:v>
                </c:pt>
                <c:pt idx="2533">
                  <c:v>6750</c:v>
                </c:pt>
                <c:pt idx="2534">
                  <c:v>3750</c:v>
                </c:pt>
                <c:pt idx="2535">
                  <c:v>5250</c:v>
                </c:pt>
                <c:pt idx="2536">
                  <c:v>5250</c:v>
                </c:pt>
                <c:pt idx="2537">
                  <c:v>6000</c:v>
                </c:pt>
                <c:pt idx="2538">
                  <c:v>4500</c:v>
                </c:pt>
                <c:pt idx="2539">
                  <c:v>6000</c:v>
                </c:pt>
                <c:pt idx="2540">
                  <c:v>3000</c:v>
                </c:pt>
                <c:pt idx="2541">
                  <c:v>1500</c:v>
                </c:pt>
                <c:pt idx="2542">
                  <c:v>5250</c:v>
                </c:pt>
                <c:pt idx="2543">
                  <c:v>3750</c:v>
                </c:pt>
                <c:pt idx="2544">
                  <c:v>4500</c:v>
                </c:pt>
                <c:pt idx="2545">
                  <c:v>3750</c:v>
                </c:pt>
                <c:pt idx="2546">
                  <c:v>5250</c:v>
                </c:pt>
                <c:pt idx="2547">
                  <c:v>5250</c:v>
                </c:pt>
                <c:pt idx="2548">
                  <c:v>5250</c:v>
                </c:pt>
                <c:pt idx="2549">
                  <c:v>6750</c:v>
                </c:pt>
                <c:pt idx="2550">
                  <c:v>4500</c:v>
                </c:pt>
                <c:pt idx="2551">
                  <c:v>5250</c:v>
                </c:pt>
                <c:pt idx="2552">
                  <c:v>6000</c:v>
                </c:pt>
                <c:pt idx="2553">
                  <c:v>6000</c:v>
                </c:pt>
                <c:pt idx="2554">
                  <c:v>7500</c:v>
                </c:pt>
                <c:pt idx="2555">
                  <c:v>6000</c:v>
                </c:pt>
                <c:pt idx="2556">
                  <c:v>6000</c:v>
                </c:pt>
                <c:pt idx="2557">
                  <c:v>7500</c:v>
                </c:pt>
                <c:pt idx="2558">
                  <c:v>5250</c:v>
                </c:pt>
                <c:pt idx="2559">
                  <c:v>5250</c:v>
                </c:pt>
                <c:pt idx="2560">
                  <c:v>7500</c:v>
                </c:pt>
                <c:pt idx="2561">
                  <c:v>6000</c:v>
                </c:pt>
                <c:pt idx="2562">
                  <c:v>7500</c:v>
                </c:pt>
                <c:pt idx="2563">
                  <c:v>7500</c:v>
                </c:pt>
                <c:pt idx="2564">
                  <c:v>5250</c:v>
                </c:pt>
                <c:pt idx="2565">
                  <c:v>7500</c:v>
                </c:pt>
                <c:pt idx="2566">
                  <c:v>8250</c:v>
                </c:pt>
                <c:pt idx="2567">
                  <c:v>5250</c:v>
                </c:pt>
                <c:pt idx="2568">
                  <c:v>6000</c:v>
                </c:pt>
                <c:pt idx="2569">
                  <c:v>6000</c:v>
                </c:pt>
                <c:pt idx="2570">
                  <c:v>7500</c:v>
                </c:pt>
                <c:pt idx="2571">
                  <c:v>6000</c:v>
                </c:pt>
                <c:pt idx="2572">
                  <c:v>7500</c:v>
                </c:pt>
                <c:pt idx="2573">
                  <c:v>6000</c:v>
                </c:pt>
                <c:pt idx="2574">
                  <c:v>4500</c:v>
                </c:pt>
                <c:pt idx="2575">
                  <c:v>8250</c:v>
                </c:pt>
                <c:pt idx="2576">
                  <c:v>6750</c:v>
                </c:pt>
                <c:pt idx="2577">
                  <c:v>6000</c:v>
                </c:pt>
                <c:pt idx="2578">
                  <c:v>6000</c:v>
                </c:pt>
                <c:pt idx="2579">
                  <c:v>8250</c:v>
                </c:pt>
                <c:pt idx="2580">
                  <c:v>6750</c:v>
                </c:pt>
                <c:pt idx="2581">
                  <c:v>7500</c:v>
                </c:pt>
                <c:pt idx="2582" formatCode="General">
                  <c:v>630</c:v>
                </c:pt>
                <c:pt idx="2583" formatCode="General">
                  <c:v>705</c:v>
                </c:pt>
                <c:pt idx="2584" formatCode="General">
                  <c:v>855</c:v>
                </c:pt>
                <c:pt idx="2585" formatCode="General">
                  <c:v>645</c:v>
                </c:pt>
                <c:pt idx="2586" formatCode="General">
                  <c:v>960</c:v>
                </c:pt>
                <c:pt idx="2587">
                  <c:v>1110</c:v>
                </c:pt>
                <c:pt idx="2588" formatCode="General">
                  <c:v>960</c:v>
                </c:pt>
                <c:pt idx="2589" formatCode="General">
                  <c:v>780</c:v>
                </c:pt>
                <c:pt idx="2590" formatCode="General">
                  <c:v>825</c:v>
                </c:pt>
                <c:pt idx="2591">
                  <c:v>1290</c:v>
                </c:pt>
                <c:pt idx="2592" formatCode="General">
                  <c:v>585</c:v>
                </c:pt>
                <c:pt idx="2593" formatCode="General">
                  <c:v>825</c:v>
                </c:pt>
                <c:pt idx="2594" formatCode="General">
                  <c:v>480</c:v>
                </c:pt>
                <c:pt idx="2595" formatCode="General">
                  <c:v>555</c:v>
                </c:pt>
                <c:pt idx="2596">
                  <c:v>1185</c:v>
                </c:pt>
                <c:pt idx="2597" formatCode="General">
                  <c:v>960</c:v>
                </c:pt>
                <c:pt idx="2598" formatCode="General">
                  <c:v>720</c:v>
                </c:pt>
                <c:pt idx="2599" formatCode="General">
                  <c:v>930</c:v>
                </c:pt>
                <c:pt idx="2600" formatCode="General">
                  <c:v>795</c:v>
                </c:pt>
                <c:pt idx="2601" formatCode="General">
                  <c:v>615</c:v>
                </c:pt>
                <c:pt idx="2602" formatCode="General">
                  <c:v>885</c:v>
                </c:pt>
                <c:pt idx="2603" formatCode="General">
                  <c:v>585</c:v>
                </c:pt>
                <c:pt idx="2604" formatCode="General">
                  <c:v>660</c:v>
                </c:pt>
                <c:pt idx="2605" formatCode="General">
                  <c:v>825</c:v>
                </c:pt>
                <c:pt idx="2606">
                  <c:v>1230</c:v>
                </c:pt>
                <c:pt idx="2607" formatCode="General">
                  <c:v>345</c:v>
                </c:pt>
                <c:pt idx="2608" formatCode="General">
                  <c:v>705</c:v>
                </c:pt>
                <c:pt idx="2609" formatCode="General">
                  <c:v>825</c:v>
                </c:pt>
                <c:pt idx="2610" formatCode="General">
                  <c:v>510</c:v>
                </c:pt>
                <c:pt idx="2611" formatCode="General">
                  <c:v>570</c:v>
                </c:pt>
                <c:pt idx="2612" formatCode="General">
                  <c:v>570</c:v>
                </c:pt>
                <c:pt idx="2613">
                  <c:v>1455</c:v>
                </c:pt>
                <c:pt idx="2614" formatCode="General">
                  <c:v>870</c:v>
                </c:pt>
                <c:pt idx="2615" formatCode="General">
                  <c:v>765</c:v>
                </c:pt>
                <c:pt idx="2616" formatCode="General">
                  <c:v>885</c:v>
                </c:pt>
                <c:pt idx="2617">
                  <c:v>1005</c:v>
                </c:pt>
                <c:pt idx="2618" formatCode="General">
                  <c:v>810</c:v>
                </c:pt>
                <c:pt idx="2619" formatCode="General">
                  <c:v>435</c:v>
                </c:pt>
                <c:pt idx="2620" formatCode="General">
                  <c:v>570</c:v>
                </c:pt>
                <c:pt idx="2621" formatCode="General">
                  <c:v>690</c:v>
                </c:pt>
                <c:pt idx="2622" formatCode="General">
                  <c:v>420</c:v>
                </c:pt>
                <c:pt idx="2623" formatCode="General">
                  <c:v>510</c:v>
                </c:pt>
                <c:pt idx="2624" formatCode="General">
                  <c:v>495</c:v>
                </c:pt>
                <c:pt idx="2625" formatCode="General">
                  <c:v>930</c:v>
                </c:pt>
                <c:pt idx="2626" formatCode="General">
                  <c:v>795</c:v>
                </c:pt>
                <c:pt idx="2627" formatCode="General">
                  <c:v>885</c:v>
                </c:pt>
                <c:pt idx="2628" formatCode="General">
                  <c:v>945</c:v>
                </c:pt>
                <c:pt idx="2629" formatCode="General">
                  <c:v>405</c:v>
                </c:pt>
                <c:pt idx="2630">
                  <c:v>1050</c:v>
                </c:pt>
                <c:pt idx="2631" formatCode="General">
                  <c:v>735</c:v>
                </c:pt>
                <c:pt idx="2632" formatCode="General">
                  <c:v>360</c:v>
                </c:pt>
                <c:pt idx="2633" formatCode="General">
                  <c:v>990</c:v>
                </c:pt>
                <c:pt idx="2634" formatCode="General">
                  <c:v>825</c:v>
                </c:pt>
                <c:pt idx="2635" formatCode="General">
                  <c:v>870</c:v>
                </c:pt>
                <c:pt idx="2636" formatCode="General">
                  <c:v>645</c:v>
                </c:pt>
                <c:pt idx="2637" formatCode="General">
                  <c:v>540</c:v>
                </c:pt>
                <c:pt idx="2638" formatCode="General">
                  <c:v>885</c:v>
                </c:pt>
                <c:pt idx="2639" formatCode="General">
                  <c:v>780</c:v>
                </c:pt>
                <c:pt idx="2640" formatCode="General">
                  <c:v>960</c:v>
                </c:pt>
                <c:pt idx="2641" formatCode="General">
                  <c:v>600</c:v>
                </c:pt>
                <c:pt idx="2642" formatCode="General">
                  <c:v>660</c:v>
                </c:pt>
                <c:pt idx="2643" formatCode="General">
                  <c:v>705</c:v>
                </c:pt>
                <c:pt idx="2644" formatCode="General">
                  <c:v>450</c:v>
                </c:pt>
                <c:pt idx="2645" formatCode="General">
                  <c:v>675</c:v>
                </c:pt>
                <c:pt idx="2646" formatCode="General">
                  <c:v>465</c:v>
                </c:pt>
                <c:pt idx="2647" formatCode="General">
                  <c:v>660</c:v>
                </c:pt>
                <c:pt idx="2648" formatCode="General">
                  <c:v>345</c:v>
                </c:pt>
                <c:pt idx="2649" formatCode="General">
                  <c:v>630</c:v>
                </c:pt>
                <c:pt idx="2650" formatCode="General">
                  <c:v>525</c:v>
                </c:pt>
                <c:pt idx="2651" formatCode="General">
                  <c:v>435</c:v>
                </c:pt>
                <c:pt idx="2652" formatCode="General">
                  <c:v>690</c:v>
                </c:pt>
                <c:pt idx="2653" formatCode="General">
                  <c:v>585</c:v>
                </c:pt>
                <c:pt idx="2654" formatCode="General">
                  <c:v>730</c:v>
                </c:pt>
                <c:pt idx="2655" formatCode="General">
                  <c:v>864</c:v>
                </c:pt>
                <c:pt idx="2656" formatCode="General">
                  <c:v>864</c:v>
                </c:pt>
                <c:pt idx="2657" formatCode="General">
                  <c:v>805</c:v>
                </c:pt>
                <c:pt idx="2658" formatCode="General">
                  <c:v>298</c:v>
                </c:pt>
                <c:pt idx="2659">
                  <c:v>1192</c:v>
                </c:pt>
                <c:pt idx="2660" formatCode="General">
                  <c:v>924</c:v>
                </c:pt>
                <c:pt idx="2661">
                  <c:v>1028</c:v>
                </c:pt>
                <c:pt idx="2662" formatCode="General">
                  <c:v>775</c:v>
                </c:pt>
                <c:pt idx="2663" formatCode="General">
                  <c:v>402</c:v>
                </c:pt>
                <c:pt idx="2664" formatCode="General">
                  <c:v>536</c:v>
                </c:pt>
                <c:pt idx="2665" formatCode="General">
                  <c:v>566</c:v>
                </c:pt>
                <c:pt idx="2666">
                  <c:v>1222</c:v>
                </c:pt>
                <c:pt idx="2667">
                  <c:v>1103</c:v>
                </c:pt>
                <c:pt idx="2668" formatCode="General">
                  <c:v>343</c:v>
                </c:pt>
                <c:pt idx="2669" formatCode="General">
                  <c:v>432</c:v>
                </c:pt>
                <c:pt idx="2670">
                  <c:v>1132</c:v>
                </c:pt>
                <c:pt idx="2671" formatCode="General">
                  <c:v>805</c:v>
                </c:pt>
                <c:pt idx="2672" formatCode="General">
                  <c:v>745</c:v>
                </c:pt>
                <c:pt idx="2673" formatCode="General">
                  <c:v>626</c:v>
                </c:pt>
                <c:pt idx="2674" formatCode="General">
                  <c:v>343</c:v>
                </c:pt>
                <c:pt idx="2675" formatCode="General">
                  <c:v>671</c:v>
                </c:pt>
                <c:pt idx="2676" formatCode="General">
                  <c:v>760</c:v>
                </c:pt>
                <c:pt idx="2677" formatCode="General">
                  <c:v>492</c:v>
                </c:pt>
                <c:pt idx="2678" formatCode="General">
                  <c:v>820</c:v>
                </c:pt>
                <c:pt idx="2679" formatCode="General">
                  <c:v>581</c:v>
                </c:pt>
                <c:pt idx="2680" formatCode="General">
                  <c:v>566</c:v>
                </c:pt>
                <c:pt idx="2681" formatCode="General">
                  <c:v>298</c:v>
                </c:pt>
                <c:pt idx="2682" formatCode="General">
                  <c:v>551</c:v>
                </c:pt>
                <c:pt idx="2683" formatCode="General">
                  <c:v>298</c:v>
                </c:pt>
                <c:pt idx="2684" formatCode="General">
                  <c:v>551</c:v>
                </c:pt>
                <c:pt idx="2685" formatCode="General">
                  <c:v>700</c:v>
                </c:pt>
                <c:pt idx="2686" formatCode="General">
                  <c:v>522</c:v>
                </c:pt>
                <c:pt idx="2687" formatCode="General">
                  <c:v>268</c:v>
                </c:pt>
                <c:pt idx="2688" formatCode="General">
                  <c:v>507</c:v>
                </c:pt>
                <c:pt idx="2689" formatCode="General">
                  <c:v>581</c:v>
                </c:pt>
                <c:pt idx="2690" formatCode="General">
                  <c:v>611</c:v>
                </c:pt>
                <c:pt idx="2691" formatCode="General">
                  <c:v>581</c:v>
                </c:pt>
                <c:pt idx="2692" formatCode="General">
                  <c:v>685</c:v>
                </c:pt>
                <c:pt idx="2693" formatCode="General">
                  <c:v>358</c:v>
                </c:pt>
                <c:pt idx="2694" formatCode="General">
                  <c:v>626</c:v>
                </c:pt>
                <c:pt idx="2695" formatCode="General">
                  <c:v>507</c:v>
                </c:pt>
                <c:pt idx="2696" formatCode="General">
                  <c:v>373</c:v>
                </c:pt>
                <c:pt idx="2697" formatCode="General">
                  <c:v>596</c:v>
                </c:pt>
                <c:pt idx="2698" formatCode="General">
                  <c:v>641</c:v>
                </c:pt>
                <c:pt idx="2699" formatCode="General">
                  <c:v>700</c:v>
                </c:pt>
                <c:pt idx="2700" formatCode="General">
                  <c:v>760</c:v>
                </c:pt>
                <c:pt idx="2701" formatCode="General">
                  <c:v>343</c:v>
                </c:pt>
                <c:pt idx="2702" formatCode="General">
                  <c:v>417</c:v>
                </c:pt>
                <c:pt idx="2703" formatCode="General">
                  <c:v>641</c:v>
                </c:pt>
                <c:pt idx="2704" formatCode="General">
                  <c:v>700</c:v>
                </c:pt>
                <c:pt idx="2705" formatCode="General">
                  <c:v>879</c:v>
                </c:pt>
                <c:pt idx="2706" formatCode="General">
                  <c:v>617</c:v>
                </c:pt>
                <c:pt idx="2707" formatCode="General">
                  <c:v>485</c:v>
                </c:pt>
                <c:pt idx="2708" formatCode="General">
                  <c:v>691</c:v>
                </c:pt>
                <c:pt idx="2709" formatCode="General">
                  <c:v>617</c:v>
                </c:pt>
                <c:pt idx="2710" formatCode="General">
                  <c:v>529</c:v>
                </c:pt>
                <c:pt idx="2711" formatCode="General">
                  <c:v>735</c:v>
                </c:pt>
                <c:pt idx="2712">
                  <c:v>1014</c:v>
                </c:pt>
                <c:pt idx="2713" formatCode="General">
                  <c:v>779</c:v>
                </c:pt>
                <c:pt idx="2714">
                  <c:v>1264</c:v>
                </c:pt>
                <c:pt idx="2715" formatCode="General">
                  <c:v>632</c:v>
                </c:pt>
                <c:pt idx="2716" formatCode="General">
                  <c:v>662</c:v>
                </c:pt>
                <c:pt idx="2717" formatCode="General">
                  <c:v>559</c:v>
                </c:pt>
                <c:pt idx="2718" formatCode="General">
                  <c:v>647</c:v>
                </c:pt>
                <c:pt idx="2719" formatCode="General">
                  <c:v>691</c:v>
                </c:pt>
                <c:pt idx="2720" formatCode="General">
                  <c:v>676</c:v>
                </c:pt>
                <c:pt idx="2721" formatCode="General">
                  <c:v>485</c:v>
                </c:pt>
                <c:pt idx="2722" formatCode="General">
                  <c:v>794</c:v>
                </c:pt>
                <c:pt idx="2723" formatCode="General">
                  <c:v>559</c:v>
                </c:pt>
                <c:pt idx="2724" formatCode="General">
                  <c:v>926</c:v>
                </c:pt>
                <c:pt idx="2725" formatCode="General">
                  <c:v>706</c:v>
                </c:pt>
                <c:pt idx="2726" formatCode="General">
                  <c:v>617</c:v>
                </c:pt>
                <c:pt idx="2727" formatCode="General">
                  <c:v>691</c:v>
                </c:pt>
                <c:pt idx="2728" formatCode="General">
                  <c:v>676</c:v>
                </c:pt>
                <c:pt idx="2729" formatCode="General">
                  <c:v>794</c:v>
                </c:pt>
                <c:pt idx="2730" formatCode="General">
                  <c:v>500</c:v>
                </c:pt>
                <c:pt idx="2731" formatCode="General">
                  <c:v>529</c:v>
                </c:pt>
                <c:pt idx="2732" formatCode="General">
                  <c:v>382</c:v>
                </c:pt>
                <c:pt idx="2733" formatCode="General">
                  <c:v>941</c:v>
                </c:pt>
                <c:pt idx="2734" formatCode="General">
                  <c:v>853</c:v>
                </c:pt>
                <c:pt idx="2735" formatCode="General">
                  <c:v>559</c:v>
                </c:pt>
                <c:pt idx="2736" formatCode="General">
                  <c:v>779</c:v>
                </c:pt>
                <c:pt idx="2737" formatCode="General">
                  <c:v>338</c:v>
                </c:pt>
                <c:pt idx="2738" formatCode="General">
                  <c:v>632</c:v>
                </c:pt>
                <c:pt idx="2739" formatCode="General">
                  <c:v>603</c:v>
                </c:pt>
                <c:pt idx="2740" formatCode="General">
                  <c:v>441</c:v>
                </c:pt>
                <c:pt idx="2741" formatCode="General">
                  <c:v>573</c:v>
                </c:pt>
                <c:pt idx="2742" formatCode="General">
                  <c:v>529</c:v>
                </c:pt>
                <c:pt idx="2743" formatCode="General">
                  <c:v>323</c:v>
                </c:pt>
                <c:pt idx="2744" formatCode="General">
                  <c:v>470</c:v>
                </c:pt>
                <c:pt idx="2745" formatCode="General">
                  <c:v>613</c:v>
                </c:pt>
                <c:pt idx="2746" formatCode="General">
                  <c:v>832</c:v>
                </c:pt>
                <c:pt idx="2747">
                  <c:v>5800</c:v>
                </c:pt>
                <c:pt idx="2748" formatCode="General">
                  <c:v>899</c:v>
                </c:pt>
                <c:pt idx="2749" formatCode="General">
                  <c:v>711</c:v>
                </c:pt>
                <c:pt idx="2750" formatCode="General">
                  <c:v>406</c:v>
                </c:pt>
                <c:pt idx="2751" formatCode="General">
                  <c:v>653</c:v>
                </c:pt>
                <c:pt idx="2752" formatCode="General">
                  <c:v>856</c:v>
                </c:pt>
                <c:pt idx="2753" formatCode="General">
                  <c:v>870</c:v>
                </c:pt>
                <c:pt idx="2754">
                  <c:v>1131</c:v>
                </c:pt>
                <c:pt idx="2755" formatCode="General">
                  <c:v>624</c:v>
                </c:pt>
                <c:pt idx="2756" formatCode="General">
                  <c:v>595</c:v>
                </c:pt>
                <c:pt idx="2757" formatCode="General">
                  <c:v>711</c:v>
                </c:pt>
                <c:pt idx="2758" formatCode="General">
                  <c:v>841</c:v>
                </c:pt>
                <c:pt idx="2759">
                  <c:v>1059</c:v>
                </c:pt>
                <c:pt idx="2760" formatCode="General">
                  <c:v>537</c:v>
                </c:pt>
                <c:pt idx="2761" formatCode="General">
                  <c:v>711</c:v>
                </c:pt>
                <c:pt idx="2762" formatCode="General">
                  <c:v>537</c:v>
                </c:pt>
                <c:pt idx="2763" formatCode="General">
                  <c:v>682</c:v>
                </c:pt>
                <c:pt idx="2764" formatCode="General">
                  <c:v>406</c:v>
                </c:pt>
                <c:pt idx="2765" formatCode="General">
                  <c:v>566</c:v>
                </c:pt>
                <c:pt idx="2766" formatCode="General">
                  <c:v>783</c:v>
                </c:pt>
                <c:pt idx="2767" formatCode="General">
                  <c:v>493</c:v>
                </c:pt>
                <c:pt idx="2768" formatCode="General">
                  <c:v>609</c:v>
                </c:pt>
                <c:pt idx="2769" formatCode="General">
                  <c:v>406</c:v>
                </c:pt>
                <c:pt idx="2770" formatCode="General">
                  <c:v>696</c:v>
                </c:pt>
                <c:pt idx="2771" formatCode="General">
                  <c:v>624</c:v>
                </c:pt>
                <c:pt idx="2772" formatCode="General">
                  <c:v>537</c:v>
                </c:pt>
                <c:pt idx="2773" formatCode="General">
                  <c:v>682</c:v>
                </c:pt>
                <c:pt idx="2774" formatCode="General">
                  <c:v>827</c:v>
                </c:pt>
                <c:pt idx="2775" formatCode="General">
                  <c:v>798</c:v>
                </c:pt>
                <c:pt idx="2776" formatCode="General">
                  <c:v>421</c:v>
                </c:pt>
                <c:pt idx="2777" formatCode="General">
                  <c:v>363</c:v>
                </c:pt>
                <c:pt idx="2778" formatCode="General">
                  <c:v>421</c:v>
                </c:pt>
                <c:pt idx="2779" formatCode="General">
                  <c:v>406</c:v>
                </c:pt>
                <c:pt idx="2780" formatCode="General">
                  <c:v>798</c:v>
                </c:pt>
                <c:pt idx="2781" formatCode="General">
                  <c:v>754</c:v>
                </c:pt>
                <c:pt idx="2782" formatCode="General">
                  <c:v>435</c:v>
                </c:pt>
                <c:pt idx="2783" formatCode="General">
                  <c:v>508</c:v>
                </c:pt>
                <c:pt idx="2784" formatCode="General">
                  <c:v>682</c:v>
                </c:pt>
                <c:pt idx="2785" formatCode="General">
                  <c:v>450</c:v>
                </c:pt>
                <c:pt idx="2786" formatCode="General">
                  <c:v>363</c:v>
                </c:pt>
                <c:pt idx="2787" formatCode="General">
                  <c:v>725</c:v>
                </c:pt>
                <c:pt idx="2788" formatCode="General">
                  <c:v>450</c:v>
                </c:pt>
                <c:pt idx="2789" formatCode="General">
                  <c:v>580</c:v>
                </c:pt>
                <c:pt idx="2790" formatCode="General">
                  <c:v>667</c:v>
                </c:pt>
                <c:pt idx="2791" formatCode="General">
                  <c:v>493</c:v>
                </c:pt>
                <c:pt idx="2792" formatCode="General">
                  <c:v>537</c:v>
                </c:pt>
                <c:pt idx="2793" formatCode="General">
                  <c:v>580</c:v>
                </c:pt>
                <c:pt idx="2794" formatCode="General">
                  <c:v>580</c:v>
                </c:pt>
                <c:pt idx="2795" formatCode="General">
                  <c:v>566</c:v>
                </c:pt>
                <c:pt idx="2796" formatCode="General">
                  <c:v>218</c:v>
                </c:pt>
                <c:pt idx="2797" formatCode="General">
                  <c:v>232</c:v>
                </c:pt>
                <c:pt idx="2798" formatCode="General">
                  <c:v>479</c:v>
                </c:pt>
                <c:pt idx="2799" formatCode="General">
                  <c:v>609</c:v>
                </c:pt>
                <c:pt idx="2800" formatCode="General">
                  <c:v>870</c:v>
                </c:pt>
                <c:pt idx="2801" formatCode="General">
                  <c:v>667</c:v>
                </c:pt>
                <c:pt idx="2802" formatCode="General">
                  <c:v>677</c:v>
                </c:pt>
                <c:pt idx="2803" formatCode="General">
                  <c:v>590</c:v>
                </c:pt>
                <c:pt idx="2804" formatCode="General">
                  <c:v>850</c:v>
                </c:pt>
                <c:pt idx="2805">
                  <c:v>1109</c:v>
                </c:pt>
                <c:pt idx="2806" formatCode="General">
                  <c:v>720</c:v>
                </c:pt>
                <c:pt idx="2807" formatCode="General">
                  <c:v>619</c:v>
                </c:pt>
                <c:pt idx="2808" formatCode="General">
                  <c:v>749</c:v>
                </c:pt>
                <c:pt idx="2809" formatCode="General">
                  <c:v>850</c:v>
                </c:pt>
                <c:pt idx="2810" formatCode="General">
                  <c:v>706</c:v>
                </c:pt>
                <c:pt idx="2811" formatCode="General">
                  <c:v>677</c:v>
                </c:pt>
                <c:pt idx="2812" formatCode="General">
                  <c:v>605</c:v>
                </c:pt>
                <c:pt idx="2813" formatCode="General">
                  <c:v>475</c:v>
                </c:pt>
                <c:pt idx="2814" formatCode="General">
                  <c:v>389</c:v>
                </c:pt>
                <c:pt idx="2815" formatCode="General">
                  <c:v>288</c:v>
                </c:pt>
                <c:pt idx="2816">
                  <c:v>1022</c:v>
                </c:pt>
                <c:pt idx="2817" formatCode="General">
                  <c:v>533</c:v>
                </c:pt>
                <c:pt idx="2818" formatCode="General">
                  <c:v>562</c:v>
                </c:pt>
                <c:pt idx="2819" formatCode="General">
                  <c:v>461</c:v>
                </c:pt>
                <c:pt idx="2820" formatCode="General">
                  <c:v>662</c:v>
                </c:pt>
                <c:pt idx="2821" formatCode="General">
                  <c:v>389</c:v>
                </c:pt>
                <c:pt idx="2822" formatCode="General">
                  <c:v>288</c:v>
                </c:pt>
                <c:pt idx="2823" formatCode="General">
                  <c:v>518</c:v>
                </c:pt>
                <c:pt idx="2824" formatCode="General">
                  <c:v>878</c:v>
                </c:pt>
                <c:pt idx="2825" formatCode="General">
                  <c:v>887</c:v>
                </c:pt>
                <c:pt idx="2826" formatCode="General">
                  <c:v>829</c:v>
                </c:pt>
                <c:pt idx="2827" formatCode="General">
                  <c:v>872</c:v>
                </c:pt>
                <c:pt idx="2828" formatCode="General">
                  <c:v>872</c:v>
                </c:pt>
                <c:pt idx="2829" formatCode="General">
                  <c:v>958</c:v>
                </c:pt>
                <c:pt idx="2830" formatCode="General">
                  <c:v>629</c:v>
                </c:pt>
                <c:pt idx="2831" formatCode="General">
                  <c:v>829</c:v>
                </c:pt>
                <c:pt idx="2832" formatCode="General">
                  <c:v>615</c:v>
                </c:pt>
                <c:pt idx="2833" formatCode="General">
                  <c:v>515</c:v>
                </c:pt>
                <c:pt idx="2834" formatCode="General">
                  <c:v>901</c:v>
                </c:pt>
                <c:pt idx="2835" formatCode="General">
                  <c:v>729</c:v>
                </c:pt>
                <c:pt idx="2836" formatCode="General">
                  <c:v>472</c:v>
                </c:pt>
                <c:pt idx="2837" formatCode="General">
                  <c:v>987</c:v>
                </c:pt>
                <c:pt idx="2838">
                  <c:v>1101</c:v>
                </c:pt>
                <c:pt idx="2839">
                  <c:v>1058</c:v>
                </c:pt>
                <c:pt idx="2840" formatCode="General">
                  <c:v>415</c:v>
                </c:pt>
                <c:pt idx="2841" formatCode="General">
                  <c:v>543</c:v>
                </c:pt>
                <c:pt idx="2842" formatCode="General">
                  <c:v>729</c:v>
                </c:pt>
                <c:pt idx="2843" formatCode="General">
                  <c:v>543</c:v>
                </c:pt>
                <c:pt idx="2844" formatCode="General">
                  <c:v>472</c:v>
                </c:pt>
                <c:pt idx="2845" formatCode="General">
                  <c:v>772</c:v>
                </c:pt>
                <c:pt idx="2846" formatCode="General">
                  <c:v>787</c:v>
                </c:pt>
                <c:pt idx="2847" formatCode="General">
                  <c:v>543</c:v>
                </c:pt>
                <c:pt idx="2848" formatCode="General">
                  <c:v>200</c:v>
                </c:pt>
                <c:pt idx="2849" formatCode="General">
                  <c:v>958</c:v>
                </c:pt>
                <c:pt idx="2850" formatCode="General">
                  <c:v>486</c:v>
                </c:pt>
                <c:pt idx="2851" formatCode="General">
                  <c:v>686</c:v>
                </c:pt>
                <c:pt idx="2852" formatCode="General">
                  <c:v>415</c:v>
                </c:pt>
                <c:pt idx="2853" formatCode="General">
                  <c:v>787</c:v>
                </c:pt>
                <c:pt idx="2854" formatCode="General">
                  <c:v>658</c:v>
                </c:pt>
                <c:pt idx="2855" formatCode="General">
                  <c:v>958</c:v>
                </c:pt>
                <c:pt idx="2856" formatCode="General">
                  <c:v>472</c:v>
                </c:pt>
                <c:pt idx="2857" formatCode="General">
                  <c:v>415</c:v>
                </c:pt>
                <c:pt idx="2858" formatCode="General">
                  <c:v>558</c:v>
                </c:pt>
                <c:pt idx="2859" formatCode="General">
                  <c:v>758</c:v>
                </c:pt>
                <c:pt idx="2860" formatCode="General">
                  <c:v>586</c:v>
                </c:pt>
                <c:pt idx="2861" formatCode="General">
                  <c:v>715</c:v>
                </c:pt>
                <c:pt idx="2862" formatCode="General">
                  <c:v>343</c:v>
                </c:pt>
                <c:pt idx="2863" formatCode="General">
                  <c:v>515</c:v>
                </c:pt>
                <c:pt idx="2864" formatCode="General">
                  <c:v>472</c:v>
                </c:pt>
                <c:pt idx="2865" formatCode="General">
                  <c:v>386</c:v>
                </c:pt>
                <c:pt idx="2866" formatCode="General">
                  <c:v>801</c:v>
                </c:pt>
                <c:pt idx="2867" formatCode="General">
                  <c:v>658</c:v>
                </c:pt>
                <c:pt idx="2868" formatCode="General">
                  <c:v>386</c:v>
                </c:pt>
                <c:pt idx="2869" formatCode="General">
                  <c:v>758</c:v>
                </c:pt>
                <c:pt idx="2870" formatCode="General">
                  <c:v>400</c:v>
                </c:pt>
                <c:pt idx="2871" formatCode="General">
                  <c:v>501</c:v>
                </c:pt>
                <c:pt idx="2872" formatCode="General">
                  <c:v>472</c:v>
                </c:pt>
                <c:pt idx="2873" formatCode="General">
                  <c:v>400</c:v>
                </c:pt>
                <c:pt idx="2874" formatCode="General">
                  <c:v>787</c:v>
                </c:pt>
                <c:pt idx="2875" formatCode="General">
                  <c:v>515</c:v>
                </c:pt>
                <c:pt idx="2876" formatCode="General">
                  <c:v>572</c:v>
                </c:pt>
                <c:pt idx="2877" formatCode="General">
                  <c:v>472</c:v>
                </c:pt>
                <c:pt idx="2878" formatCode="General">
                  <c:v>586</c:v>
                </c:pt>
                <c:pt idx="2879" formatCode="General">
                  <c:v>572</c:v>
                </c:pt>
                <c:pt idx="2880" formatCode="General">
                  <c:v>753</c:v>
                </c:pt>
                <c:pt idx="2881" formatCode="General">
                  <c:v>383</c:v>
                </c:pt>
                <c:pt idx="2882" formatCode="General">
                  <c:v>951</c:v>
                </c:pt>
                <c:pt idx="2883">
                  <c:v>1264</c:v>
                </c:pt>
                <c:pt idx="2884">
                  <c:v>1022</c:v>
                </c:pt>
                <c:pt idx="2885" formatCode="General">
                  <c:v>724</c:v>
                </c:pt>
                <c:pt idx="2886" formatCode="General">
                  <c:v>483</c:v>
                </c:pt>
                <c:pt idx="2887" formatCode="General">
                  <c:v>596</c:v>
                </c:pt>
                <c:pt idx="2888" formatCode="General">
                  <c:v>710</c:v>
                </c:pt>
                <c:pt idx="2889" formatCode="General">
                  <c:v>682</c:v>
                </c:pt>
                <c:pt idx="2890" formatCode="General">
                  <c:v>596</c:v>
                </c:pt>
                <c:pt idx="2891" formatCode="General">
                  <c:v>838</c:v>
                </c:pt>
                <c:pt idx="2892" formatCode="General">
                  <c:v>710</c:v>
                </c:pt>
                <c:pt idx="2893" formatCode="General">
                  <c:v>824</c:v>
                </c:pt>
                <c:pt idx="2894" formatCode="General">
                  <c:v>639</c:v>
                </c:pt>
                <c:pt idx="2895" formatCode="General">
                  <c:v>738</c:v>
                </c:pt>
                <c:pt idx="2896" formatCode="General">
                  <c:v>667</c:v>
                </c:pt>
                <c:pt idx="2897" formatCode="General">
                  <c:v>412</c:v>
                </c:pt>
                <c:pt idx="2898" formatCode="General">
                  <c:v>696</c:v>
                </c:pt>
                <c:pt idx="2899" formatCode="General">
                  <c:v>966</c:v>
                </c:pt>
                <c:pt idx="2900" formatCode="General">
                  <c:v>511</c:v>
                </c:pt>
                <c:pt idx="2901" formatCode="General">
                  <c:v>412</c:v>
                </c:pt>
                <c:pt idx="2902" formatCode="General">
                  <c:v>682</c:v>
                </c:pt>
                <c:pt idx="2903" formatCode="General">
                  <c:v>866</c:v>
                </c:pt>
                <c:pt idx="2904" formatCode="General">
                  <c:v>710</c:v>
                </c:pt>
                <c:pt idx="2905" formatCode="General">
                  <c:v>767</c:v>
                </c:pt>
                <c:pt idx="2906" formatCode="General">
                  <c:v>625</c:v>
                </c:pt>
                <c:pt idx="2907" formatCode="General">
                  <c:v>268</c:v>
                </c:pt>
                <c:pt idx="2908" formatCode="General">
                  <c:v>700</c:v>
                </c:pt>
                <c:pt idx="2909" formatCode="General">
                  <c:v>448</c:v>
                </c:pt>
                <c:pt idx="2910">
                  <c:v>1036</c:v>
                </c:pt>
                <c:pt idx="2911" formatCode="General">
                  <c:v>700</c:v>
                </c:pt>
                <c:pt idx="2912" formatCode="General">
                  <c:v>532</c:v>
                </c:pt>
                <c:pt idx="2913">
                  <c:v>1148</c:v>
                </c:pt>
                <c:pt idx="2914" formatCode="General">
                  <c:v>812</c:v>
                </c:pt>
                <c:pt idx="2915" formatCode="General">
                  <c:v>546</c:v>
                </c:pt>
                <c:pt idx="2916" formatCode="General">
                  <c:v>532</c:v>
                </c:pt>
                <c:pt idx="2917" formatCode="General">
                  <c:v>658</c:v>
                </c:pt>
                <c:pt idx="2918" formatCode="General">
                  <c:v>462</c:v>
                </c:pt>
                <c:pt idx="2919" formatCode="General">
                  <c:v>966</c:v>
                </c:pt>
                <c:pt idx="2920">
                  <c:v>1008</c:v>
                </c:pt>
                <c:pt idx="2921" formatCode="General">
                  <c:v>336</c:v>
                </c:pt>
                <c:pt idx="2922" formatCode="General">
                  <c:v>686</c:v>
                </c:pt>
                <c:pt idx="2923" formatCode="General">
                  <c:v>336</c:v>
                </c:pt>
                <c:pt idx="2924" formatCode="General">
                  <c:v>658</c:v>
                </c:pt>
                <c:pt idx="2925" formatCode="General">
                  <c:v>756</c:v>
                </c:pt>
                <c:pt idx="2926" formatCode="General">
                  <c:v>840</c:v>
                </c:pt>
                <c:pt idx="2927" formatCode="General">
                  <c:v>812</c:v>
                </c:pt>
                <c:pt idx="2928" formatCode="General">
                  <c:v>406</c:v>
                </c:pt>
                <c:pt idx="2929" formatCode="General">
                  <c:v>448</c:v>
                </c:pt>
                <c:pt idx="2930" formatCode="General">
                  <c:v>504</c:v>
                </c:pt>
                <c:pt idx="2931" formatCode="General">
                  <c:v>560</c:v>
                </c:pt>
                <c:pt idx="2932" formatCode="General">
                  <c:v>532</c:v>
                </c:pt>
                <c:pt idx="2933" formatCode="General">
                  <c:v>364</c:v>
                </c:pt>
                <c:pt idx="2934" formatCode="General">
                  <c:v>490</c:v>
                </c:pt>
                <c:pt idx="2935" formatCode="General">
                  <c:v>504</c:v>
                </c:pt>
                <c:pt idx="2936" formatCode="General">
                  <c:v>434</c:v>
                </c:pt>
                <c:pt idx="2937" formatCode="General">
                  <c:v>434</c:v>
                </c:pt>
                <c:pt idx="2938" formatCode="General">
                  <c:v>756</c:v>
                </c:pt>
                <c:pt idx="2939" formatCode="General">
                  <c:v>644</c:v>
                </c:pt>
                <c:pt idx="2940" formatCode="General">
                  <c:v>756</c:v>
                </c:pt>
                <c:pt idx="2941" formatCode="General">
                  <c:v>616</c:v>
                </c:pt>
                <c:pt idx="2942" formatCode="General">
                  <c:v>322</c:v>
                </c:pt>
                <c:pt idx="2943" formatCode="General">
                  <c:v>602</c:v>
                </c:pt>
                <c:pt idx="2944" formatCode="General">
                  <c:v>378</c:v>
                </c:pt>
                <c:pt idx="2945" formatCode="General">
                  <c:v>518</c:v>
                </c:pt>
                <c:pt idx="2946" formatCode="General">
                  <c:v>588</c:v>
                </c:pt>
                <c:pt idx="2947" formatCode="General">
                  <c:v>378</c:v>
                </c:pt>
                <c:pt idx="2948" formatCode="General">
                  <c:v>546</c:v>
                </c:pt>
                <c:pt idx="2949" formatCode="General">
                  <c:v>742</c:v>
                </c:pt>
                <c:pt idx="2950" formatCode="General">
                  <c:v>420</c:v>
                </c:pt>
                <c:pt idx="2951" formatCode="General">
                  <c:v>224</c:v>
                </c:pt>
                <c:pt idx="2952" formatCode="General">
                  <c:v>294</c:v>
                </c:pt>
                <c:pt idx="2953" formatCode="General">
                  <c:v>392</c:v>
                </c:pt>
                <c:pt idx="2954" formatCode="General">
                  <c:v>350</c:v>
                </c:pt>
                <c:pt idx="2955" formatCode="General">
                  <c:v>938</c:v>
                </c:pt>
                <c:pt idx="2956" formatCode="General">
                  <c:v>476</c:v>
                </c:pt>
                <c:pt idx="2957" formatCode="General">
                  <c:v>616</c:v>
                </c:pt>
                <c:pt idx="2958" formatCode="General">
                  <c:v>588</c:v>
                </c:pt>
                <c:pt idx="2959" formatCode="General">
                  <c:v>420</c:v>
                </c:pt>
                <c:pt idx="2960" formatCode="General">
                  <c:v>378</c:v>
                </c:pt>
                <c:pt idx="2961" formatCode="General">
                  <c:v>546</c:v>
                </c:pt>
                <c:pt idx="2962" formatCode="General">
                  <c:v>490</c:v>
                </c:pt>
                <c:pt idx="2963" formatCode="General">
                  <c:v>616</c:v>
                </c:pt>
                <c:pt idx="2964" formatCode="General">
                  <c:v>378</c:v>
                </c:pt>
                <c:pt idx="2965" formatCode="General">
                  <c:v>448</c:v>
                </c:pt>
                <c:pt idx="2966" formatCode="General">
                  <c:v>392</c:v>
                </c:pt>
                <c:pt idx="2967" formatCode="General">
                  <c:v>714</c:v>
                </c:pt>
                <c:pt idx="2968" formatCode="General">
                  <c:v>518</c:v>
                </c:pt>
                <c:pt idx="2969" formatCode="General">
                  <c:v>392</c:v>
                </c:pt>
                <c:pt idx="2970" formatCode="General">
                  <c:v>154</c:v>
                </c:pt>
                <c:pt idx="2971" formatCode="General">
                  <c:v>448</c:v>
                </c:pt>
                <c:pt idx="2972" formatCode="General">
                  <c:v>308</c:v>
                </c:pt>
                <c:pt idx="2973" formatCode="General">
                  <c:v>518</c:v>
                </c:pt>
                <c:pt idx="2974" formatCode="General">
                  <c:v>392</c:v>
                </c:pt>
                <c:pt idx="2975" formatCode="General">
                  <c:v>756</c:v>
                </c:pt>
                <c:pt idx="2976" formatCode="General">
                  <c:v>644</c:v>
                </c:pt>
                <c:pt idx="2977" formatCode="General">
                  <c:v>560</c:v>
                </c:pt>
                <c:pt idx="2978" formatCode="General">
                  <c:v>806</c:v>
                </c:pt>
                <c:pt idx="2979" formatCode="General">
                  <c:v>773</c:v>
                </c:pt>
                <c:pt idx="2980" formatCode="General">
                  <c:v>938</c:v>
                </c:pt>
                <c:pt idx="2981" formatCode="General">
                  <c:v>773</c:v>
                </c:pt>
                <c:pt idx="2982" formatCode="General">
                  <c:v>497</c:v>
                </c:pt>
                <c:pt idx="2983" formatCode="General">
                  <c:v>883</c:v>
                </c:pt>
                <c:pt idx="2984">
                  <c:v>1214</c:v>
                </c:pt>
                <c:pt idx="2985">
                  <c:v>1007</c:v>
                </c:pt>
                <c:pt idx="2986">
                  <c:v>1049</c:v>
                </c:pt>
                <c:pt idx="2987" formatCode="General">
                  <c:v>593</c:v>
                </c:pt>
                <c:pt idx="2988" formatCode="General">
                  <c:v>386</c:v>
                </c:pt>
                <c:pt idx="2989" formatCode="General">
                  <c:v>455</c:v>
                </c:pt>
                <c:pt idx="2990" formatCode="General">
                  <c:v>442</c:v>
                </c:pt>
                <c:pt idx="2991" formatCode="General">
                  <c:v>856</c:v>
                </c:pt>
                <c:pt idx="2992" formatCode="General">
                  <c:v>842</c:v>
                </c:pt>
                <c:pt idx="2993" formatCode="General">
                  <c:v>856</c:v>
                </c:pt>
                <c:pt idx="2994" formatCode="General">
                  <c:v>580</c:v>
                </c:pt>
                <c:pt idx="2995" formatCode="General">
                  <c:v>566</c:v>
                </c:pt>
                <c:pt idx="2996" formatCode="General">
                  <c:v>593</c:v>
                </c:pt>
                <c:pt idx="2997" formatCode="General">
                  <c:v>455</c:v>
                </c:pt>
                <c:pt idx="2998" formatCode="General">
                  <c:v>455</c:v>
                </c:pt>
                <c:pt idx="2999" formatCode="General">
                  <c:v>566</c:v>
                </c:pt>
                <c:pt idx="3000" formatCode="General">
                  <c:v>566</c:v>
                </c:pt>
                <c:pt idx="3001" formatCode="General">
                  <c:v>662</c:v>
                </c:pt>
                <c:pt idx="3002" formatCode="General">
                  <c:v>331</c:v>
                </c:pt>
                <c:pt idx="3003" formatCode="General">
                  <c:v>331</c:v>
                </c:pt>
                <c:pt idx="3004" formatCode="General">
                  <c:v>883</c:v>
                </c:pt>
                <c:pt idx="3005" formatCode="General">
                  <c:v>331</c:v>
                </c:pt>
                <c:pt idx="3006" formatCode="General">
                  <c:v>386</c:v>
                </c:pt>
                <c:pt idx="3007" formatCode="General">
                  <c:v>704</c:v>
                </c:pt>
                <c:pt idx="3008" formatCode="General">
                  <c:v>704</c:v>
                </c:pt>
                <c:pt idx="3009" formatCode="General">
                  <c:v>580</c:v>
                </c:pt>
                <c:pt idx="3010" formatCode="General">
                  <c:v>580</c:v>
                </c:pt>
                <c:pt idx="3011" formatCode="General">
                  <c:v>745</c:v>
                </c:pt>
                <c:pt idx="3012" formatCode="General">
                  <c:v>731</c:v>
                </c:pt>
                <c:pt idx="3013" formatCode="General">
                  <c:v>566</c:v>
                </c:pt>
                <c:pt idx="3014" formatCode="General">
                  <c:v>317</c:v>
                </c:pt>
                <c:pt idx="3015" formatCode="General">
                  <c:v>511</c:v>
                </c:pt>
                <c:pt idx="3016" formatCode="General">
                  <c:v>400</c:v>
                </c:pt>
                <c:pt idx="3017">
                  <c:v>1049</c:v>
                </c:pt>
                <c:pt idx="3018" formatCode="General">
                  <c:v>524</c:v>
                </c:pt>
                <c:pt idx="3019" formatCode="General">
                  <c:v>524</c:v>
                </c:pt>
                <c:pt idx="3020" formatCode="General">
                  <c:v>580</c:v>
                </c:pt>
                <c:pt idx="3021" formatCode="General">
                  <c:v>676</c:v>
                </c:pt>
                <c:pt idx="3022" formatCode="General">
                  <c:v>800</c:v>
                </c:pt>
                <c:pt idx="3023" formatCode="General">
                  <c:v>442</c:v>
                </c:pt>
                <c:pt idx="3024" formatCode="General">
                  <c:v>442</c:v>
                </c:pt>
                <c:pt idx="3025" formatCode="General">
                  <c:v>649</c:v>
                </c:pt>
                <c:pt idx="3026" formatCode="General">
                  <c:v>911</c:v>
                </c:pt>
                <c:pt idx="3027">
                  <c:v>1069</c:v>
                </c:pt>
                <c:pt idx="3028" formatCode="General">
                  <c:v>699</c:v>
                </c:pt>
                <c:pt idx="3029">
                  <c:v>1028</c:v>
                </c:pt>
                <c:pt idx="3030">
                  <c:v>1069</c:v>
                </c:pt>
                <c:pt idx="3031" formatCode="General">
                  <c:v>644</c:v>
                </c:pt>
                <c:pt idx="3032" formatCode="General">
                  <c:v>493</c:v>
                </c:pt>
                <c:pt idx="3033" formatCode="General">
                  <c:v>767</c:v>
                </c:pt>
                <c:pt idx="3034" formatCode="General">
                  <c:v>603</c:v>
                </c:pt>
                <c:pt idx="3035" formatCode="General">
                  <c:v>630</c:v>
                </c:pt>
                <c:pt idx="3036" formatCode="General">
                  <c:v>658</c:v>
                </c:pt>
                <c:pt idx="3037" formatCode="General">
                  <c:v>521</c:v>
                </c:pt>
                <c:pt idx="3038" formatCode="General">
                  <c:v>712</c:v>
                </c:pt>
                <c:pt idx="3039" formatCode="General">
                  <c:v>521</c:v>
                </c:pt>
                <c:pt idx="3040" formatCode="General">
                  <c:v>644</c:v>
                </c:pt>
                <c:pt idx="3041" formatCode="General">
                  <c:v>507</c:v>
                </c:pt>
                <c:pt idx="3042" formatCode="General">
                  <c:v>685</c:v>
                </c:pt>
                <c:pt idx="3043" formatCode="General">
                  <c:v>699</c:v>
                </c:pt>
                <c:pt idx="3044" formatCode="General">
                  <c:v>466</c:v>
                </c:pt>
                <c:pt idx="3045" formatCode="General">
                  <c:v>658</c:v>
                </c:pt>
                <c:pt idx="3046" formatCode="General">
                  <c:v>808</c:v>
                </c:pt>
                <c:pt idx="3047" formatCode="General">
                  <c:v>397</c:v>
                </c:pt>
                <c:pt idx="3048" formatCode="General">
                  <c:v>438</c:v>
                </c:pt>
                <c:pt idx="3049" formatCode="General">
                  <c:v>493</c:v>
                </c:pt>
                <c:pt idx="3050" formatCode="General">
                  <c:v>562</c:v>
                </c:pt>
                <c:pt idx="3051" formatCode="General">
                  <c:v>767</c:v>
                </c:pt>
                <c:pt idx="3052" formatCode="General">
                  <c:v>877</c:v>
                </c:pt>
                <c:pt idx="3053" formatCode="General">
                  <c:v>789</c:v>
                </c:pt>
                <c:pt idx="3054" formatCode="General">
                  <c:v>258</c:v>
                </c:pt>
                <c:pt idx="3055" formatCode="General">
                  <c:v>381</c:v>
                </c:pt>
                <c:pt idx="3056" formatCode="General">
                  <c:v>666</c:v>
                </c:pt>
                <c:pt idx="3057" formatCode="General">
                  <c:v>544</c:v>
                </c:pt>
                <c:pt idx="3058" formatCode="General">
                  <c:v>354</c:v>
                </c:pt>
                <c:pt idx="3059" formatCode="General">
                  <c:v>707</c:v>
                </c:pt>
                <c:pt idx="3060" formatCode="General">
                  <c:v>762</c:v>
                </c:pt>
                <c:pt idx="3061" formatCode="General">
                  <c:v>286</c:v>
                </c:pt>
                <c:pt idx="3062" formatCode="General">
                  <c:v>272</c:v>
                </c:pt>
                <c:pt idx="3063" formatCode="General">
                  <c:v>190</c:v>
                </c:pt>
                <c:pt idx="3064" formatCode="General">
                  <c:v>299</c:v>
                </c:pt>
                <c:pt idx="3065" formatCode="General">
                  <c:v>721</c:v>
                </c:pt>
                <c:pt idx="3066" formatCode="General">
                  <c:v>503</c:v>
                </c:pt>
                <c:pt idx="3067" formatCode="General">
                  <c:v>544</c:v>
                </c:pt>
                <c:pt idx="3068" formatCode="General">
                  <c:v>313</c:v>
                </c:pt>
                <c:pt idx="3069" formatCode="General">
                  <c:v>612</c:v>
                </c:pt>
                <c:pt idx="3070" formatCode="General">
                  <c:v>476</c:v>
                </c:pt>
                <c:pt idx="3071" formatCode="General">
                  <c:v>490</c:v>
                </c:pt>
                <c:pt idx="3072" formatCode="General">
                  <c:v>490</c:v>
                </c:pt>
                <c:pt idx="3073" formatCode="General">
                  <c:v>626</c:v>
                </c:pt>
                <c:pt idx="3074" formatCode="General">
                  <c:v>544</c:v>
                </c:pt>
                <c:pt idx="3075" formatCode="General">
                  <c:v>490</c:v>
                </c:pt>
                <c:pt idx="3076" formatCode="General">
                  <c:v>354</c:v>
                </c:pt>
                <c:pt idx="3077" formatCode="General">
                  <c:v>150</c:v>
                </c:pt>
                <c:pt idx="3078" formatCode="General">
                  <c:v>231</c:v>
                </c:pt>
                <c:pt idx="3079" formatCode="General">
                  <c:v>354</c:v>
                </c:pt>
                <c:pt idx="3080" formatCode="General">
                  <c:v>150</c:v>
                </c:pt>
                <c:pt idx="3081" formatCode="General">
                  <c:v>517</c:v>
                </c:pt>
                <c:pt idx="3082" formatCode="General">
                  <c:v>598</c:v>
                </c:pt>
                <c:pt idx="3083" formatCode="General">
                  <c:v>621</c:v>
                </c:pt>
                <c:pt idx="3084" formatCode="General">
                  <c:v>635</c:v>
                </c:pt>
                <c:pt idx="3085" formatCode="General">
                  <c:v>432</c:v>
                </c:pt>
                <c:pt idx="3086" formatCode="General">
                  <c:v>716</c:v>
                </c:pt>
                <c:pt idx="3087" formatCode="General">
                  <c:v>864</c:v>
                </c:pt>
                <c:pt idx="3088" formatCode="General">
                  <c:v>837</c:v>
                </c:pt>
                <c:pt idx="3089" formatCode="General">
                  <c:v>851</c:v>
                </c:pt>
                <c:pt idx="3090" formatCode="General">
                  <c:v>621</c:v>
                </c:pt>
                <c:pt idx="3091" formatCode="General">
                  <c:v>851</c:v>
                </c:pt>
                <c:pt idx="3092" formatCode="General">
                  <c:v>432</c:v>
                </c:pt>
                <c:pt idx="3093" formatCode="General">
                  <c:v>432</c:v>
                </c:pt>
                <c:pt idx="3094" formatCode="General">
                  <c:v>257</c:v>
                </c:pt>
                <c:pt idx="3095" formatCode="General">
                  <c:v>459</c:v>
                </c:pt>
                <c:pt idx="3096" formatCode="General">
                  <c:v>594</c:v>
                </c:pt>
                <c:pt idx="3097" formatCode="General">
                  <c:v>999</c:v>
                </c:pt>
                <c:pt idx="3098" formatCode="General">
                  <c:v>810</c:v>
                </c:pt>
                <c:pt idx="3099" formatCode="General">
                  <c:v>500</c:v>
                </c:pt>
                <c:pt idx="3100" formatCode="General">
                  <c:v>608</c:v>
                </c:pt>
                <c:pt idx="3101" formatCode="General">
                  <c:v>662</c:v>
                </c:pt>
                <c:pt idx="3102" formatCode="General">
                  <c:v>513</c:v>
                </c:pt>
                <c:pt idx="3103" formatCode="General">
                  <c:v>567</c:v>
                </c:pt>
                <c:pt idx="3104" formatCode="General">
                  <c:v>594</c:v>
                </c:pt>
                <c:pt idx="3105" formatCode="General">
                  <c:v>365</c:v>
                </c:pt>
                <c:pt idx="3106" formatCode="General">
                  <c:v>567</c:v>
                </c:pt>
                <c:pt idx="3107" formatCode="General">
                  <c:v>554</c:v>
                </c:pt>
                <c:pt idx="3108" formatCode="General">
                  <c:v>567</c:v>
                </c:pt>
                <c:pt idx="3109" formatCode="General">
                  <c:v>783</c:v>
                </c:pt>
                <c:pt idx="3110" formatCode="General">
                  <c:v>729</c:v>
                </c:pt>
                <c:pt idx="3111" formatCode="General">
                  <c:v>527</c:v>
                </c:pt>
                <c:pt idx="3112" formatCode="General">
                  <c:v>567</c:v>
                </c:pt>
                <c:pt idx="3113" formatCode="General">
                  <c:v>864</c:v>
                </c:pt>
                <c:pt idx="3114" formatCode="General">
                  <c:v>594</c:v>
                </c:pt>
                <c:pt idx="3115" formatCode="General">
                  <c:v>675</c:v>
                </c:pt>
                <c:pt idx="3116" formatCode="General">
                  <c:v>797</c:v>
                </c:pt>
                <c:pt idx="3117" formatCode="General">
                  <c:v>500</c:v>
                </c:pt>
                <c:pt idx="3118" formatCode="General">
                  <c:v>770</c:v>
                </c:pt>
                <c:pt idx="3119" formatCode="General">
                  <c:v>554</c:v>
                </c:pt>
                <c:pt idx="3120" formatCode="General">
                  <c:v>702</c:v>
                </c:pt>
                <c:pt idx="3121" formatCode="General">
                  <c:v>648</c:v>
                </c:pt>
                <c:pt idx="3122" formatCode="General">
                  <c:v>756</c:v>
                </c:pt>
                <c:pt idx="3123" formatCode="General">
                  <c:v>810</c:v>
                </c:pt>
                <c:pt idx="3124" formatCode="General">
                  <c:v>729</c:v>
                </c:pt>
                <c:pt idx="3125" formatCode="General">
                  <c:v>716</c:v>
                </c:pt>
                <c:pt idx="3126" formatCode="General">
                  <c:v>783</c:v>
                </c:pt>
                <c:pt idx="3127" formatCode="General">
                  <c:v>554</c:v>
                </c:pt>
                <c:pt idx="3128" formatCode="General">
                  <c:v>473</c:v>
                </c:pt>
                <c:pt idx="3129" formatCode="General">
                  <c:v>486</c:v>
                </c:pt>
                <c:pt idx="3130" formatCode="General">
                  <c:v>351</c:v>
                </c:pt>
                <c:pt idx="3131" formatCode="General">
                  <c:v>270</c:v>
                </c:pt>
                <c:pt idx="3132" formatCode="General">
                  <c:v>581</c:v>
                </c:pt>
                <c:pt idx="3133" formatCode="General">
                  <c:v>621</c:v>
                </c:pt>
                <c:pt idx="3134" formatCode="General">
                  <c:v>432</c:v>
                </c:pt>
                <c:pt idx="3135" formatCode="General">
                  <c:v>621</c:v>
                </c:pt>
                <c:pt idx="3136" formatCode="General">
                  <c:v>635</c:v>
                </c:pt>
                <c:pt idx="3137" formatCode="General">
                  <c:v>243</c:v>
                </c:pt>
                <c:pt idx="3138" formatCode="General">
                  <c:v>540</c:v>
                </c:pt>
                <c:pt idx="3139" formatCode="General">
                  <c:v>351</c:v>
                </c:pt>
                <c:pt idx="3140" formatCode="General">
                  <c:v>716</c:v>
                </c:pt>
                <c:pt idx="3141" formatCode="General">
                  <c:v>473</c:v>
                </c:pt>
                <c:pt idx="3142" formatCode="General">
                  <c:v>527</c:v>
                </c:pt>
                <c:pt idx="3143" formatCode="General">
                  <c:v>777</c:v>
                </c:pt>
                <c:pt idx="3144" formatCode="General">
                  <c:v>389</c:v>
                </c:pt>
                <c:pt idx="3145" formatCode="General">
                  <c:v>777</c:v>
                </c:pt>
                <c:pt idx="3146" formatCode="General">
                  <c:v>904</c:v>
                </c:pt>
                <c:pt idx="3147" formatCode="General">
                  <c:v>758</c:v>
                </c:pt>
                <c:pt idx="3148" formatCode="General">
                  <c:v>984</c:v>
                </c:pt>
                <c:pt idx="3149">
                  <c:v>1091</c:v>
                </c:pt>
                <c:pt idx="3150" formatCode="General">
                  <c:v>745</c:v>
                </c:pt>
                <c:pt idx="3151" formatCode="General">
                  <c:v>559</c:v>
                </c:pt>
                <c:pt idx="3152" formatCode="General">
                  <c:v>426</c:v>
                </c:pt>
                <c:pt idx="3153" formatCode="General">
                  <c:v>559</c:v>
                </c:pt>
                <c:pt idx="3154" formatCode="General">
                  <c:v>652</c:v>
                </c:pt>
                <c:pt idx="3155" formatCode="General">
                  <c:v>692</c:v>
                </c:pt>
                <c:pt idx="3156" formatCode="General">
                  <c:v>984</c:v>
                </c:pt>
                <c:pt idx="3157" formatCode="General">
                  <c:v>492</c:v>
                </c:pt>
                <c:pt idx="3158" formatCode="General">
                  <c:v>678</c:v>
                </c:pt>
                <c:pt idx="3159" formatCode="General">
                  <c:v>599</c:v>
                </c:pt>
                <c:pt idx="3160" formatCode="General">
                  <c:v>958</c:v>
                </c:pt>
                <c:pt idx="3161" formatCode="General">
                  <c:v>585</c:v>
                </c:pt>
                <c:pt idx="3162" formatCode="General">
                  <c:v>306</c:v>
                </c:pt>
                <c:pt idx="3163" formatCode="General">
                  <c:v>958</c:v>
                </c:pt>
                <c:pt idx="3164" formatCode="General">
                  <c:v>439</c:v>
                </c:pt>
                <c:pt idx="3165" formatCode="General">
                  <c:v>692</c:v>
                </c:pt>
                <c:pt idx="3166" formatCode="General">
                  <c:v>665</c:v>
                </c:pt>
                <c:pt idx="3167" formatCode="General">
                  <c:v>678</c:v>
                </c:pt>
                <c:pt idx="3168" formatCode="General">
                  <c:v>439</c:v>
                </c:pt>
                <c:pt idx="3169" formatCode="General">
                  <c:v>785</c:v>
                </c:pt>
                <c:pt idx="3170" formatCode="General">
                  <c:v>745</c:v>
                </c:pt>
                <c:pt idx="3171" formatCode="General">
                  <c:v>306</c:v>
                </c:pt>
                <c:pt idx="3172" formatCode="General">
                  <c:v>479</c:v>
                </c:pt>
                <c:pt idx="3173" formatCode="General">
                  <c:v>452</c:v>
                </c:pt>
                <c:pt idx="3174" formatCode="General">
                  <c:v>439</c:v>
                </c:pt>
                <c:pt idx="3175" formatCode="General">
                  <c:v>838</c:v>
                </c:pt>
                <c:pt idx="3176" formatCode="General">
                  <c:v>452</c:v>
                </c:pt>
                <c:pt idx="3177" formatCode="General">
                  <c:v>825</c:v>
                </c:pt>
                <c:pt idx="3178" formatCode="General">
                  <c:v>647</c:v>
                </c:pt>
                <c:pt idx="3179" formatCode="General">
                  <c:v>568</c:v>
                </c:pt>
                <c:pt idx="3180" formatCode="General">
                  <c:v>436</c:v>
                </c:pt>
                <c:pt idx="3181" formatCode="General">
                  <c:v>515</c:v>
                </c:pt>
                <c:pt idx="3182" formatCode="General">
                  <c:v>647</c:v>
                </c:pt>
                <c:pt idx="3183" formatCode="General">
                  <c:v>607</c:v>
                </c:pt>
                <c:pt idx="3184" formatCode="General">
                  <c:v>607</c:v>
                </c:pt>
                <c:pt idx="3185" formatCode="General">
                  <c:v>673</c:v>
                </c:pt>
                <c:pt idx="3186" formatCode="General">
                  <c:v>238</c:v>
                </c:pt>
                <c:pt idx="3187" formatCode="General">
                  <c:v>172</c:v>
                </c:pt>
                <c:pt idx="3188" formatCode="General">
                  <c:v>317</c:v>
                </c:pt>
                <c:pt idx="3189" formatCode="General">
                  <c:v>238</c:v>
                </c:pt>
                <c:pt idx="3190" formatCode="General">
                  <c:v>185</c:v>
                </c:pt>
                <c:pt idx="3191" formatCode="General">
                  <c:v>370</c:v>
                </c:pt>
                <c:pt idx="3192" formatCode="General">
                  <c:v>449</c:v>
                </c:pt>
                <c:pt idx="3193" formatCode="General">
                  <c:v>541</c:v>
                </c:pt>
                <c:pt idx="3194" formatCode="General">
                  <c:v>568</c:v>
                </c:pt>
                <c:pt idx="3195" formatCode="General">
                  <c:v>462</c:v>
                </c:pt>
                <c:pt idx="3196" formatCode="General">
                  <c:v>739</c:v>
                </c:pt>
                <c:pt idx="3197" formatCode="General">
                  <c:v>436</c:v>
                </c:pt>
                <c:pt idx="3198" formatCode="General">
                  <c:v>475</c:v>
                </c:pt>
                <c:pt idx="3199" formatCode="General">
                  <c:v>449</c:v>
                </c:pt>
                <c:pt idx="3200" formatCode="General">
                  <c:v>290</c:v>
                </c:pt>
                <c:pt idx="3201" formatCode="General">
                  <c:v>779</c:v>
                </c:pt>
                <c:pt idx="3202" formatCode="General">
                  <c:v>383</c:v>
                </c:pt>
                <c:pt idx="3203" formatCode="General">
                  <c:v>185</c:v>
                </c:pt>
                <c:pt idx="3204" formatCode="General">
                  <c:v>264</c:v>
                </c:pt>
                <c:pt idx="3205" formatCode="General">
                  <c:v>660</c:v>
                </c:pt>
                <c:pt idx="3206" formatCode="General">
                  <c:v>370</c:v>
                </c:pt>
                <c:pt idx="3207" formatCode="General">
                  <c:v>541</c:v>
                </c:pt>
                <c:pt idx="3208" formatCode="General">
                  <c:v>528</c:v>
                </c:pt>
                <c:pt idx="3209" formatCode="General">
                  <c:v>541</c:v>
                </c:pt>
                <c:pt idx="3210" formatCode="General">
                  <c:v>590</c:v>
                </c:pt>
                <c:pt idx="3211" formatCode="General">
                  <c:v>642</c:v>
                </c:pt>
                <c:pt idx="3212">
                  <c:v>1022</c:v>
                </c:pt>
                <c:pt idx="3213" formatCode="General">
                  <c:v>354</c:v>
                </c:pt>
                <c:pt idx="3214" formatCode="General">
                  <c:v>721</c:v>
                </c:pt>
                <c:pt idx="3215" formatCode="General">
                  <c:v>721</c:v>
                </c:pt>
                <c:pt idx="3216" formatCode="General">
                  <c:v>878</c:v>
                </c:pt>
                <c:pt idx="3217" formatCode="General">
                  <c:v>629</c:v>
                </c:pt>
                <c:pt idx="3218" formatCode="General">
                  <c:v>616</c:v>
                </c:pt>
                <c:pt idx="3219" formatCode="General">
                  <c:v>432</c:v>
                </c:pt>
                <c:pt idx="3220" formatCode="General">
                  <c:v>563</c:v>
                </c:pt>
                <c:pt idx="3221" formatCode="General">
                  <c:v>590</c:v>
                </c:pt>
                <c:pt idx="3222" formatCode="General">
                  <c:v>380</c:v>
                </c:pt>
                <c:pt idx="3223" formatCode="General">
                  <c:v>576</c:v>
                </c:pt>
                <c:pt idx="3224" formatCode="General">
                  <c:v>707</c:v>
                </c:pt>
                <c:pt idx="3225" formatCode="General">
                  <c:v>838</c:v>
                </c:pt>
                <c:pt idx="3226" formatCode="General">
                  <c:v>668</c:v>
                </c:pt>
                <c:pt idx="3227" formatCode="General">
                  <c:v>445</c:v>
                </c:pt>
                <c:pt idx="3228" formatCode="General">
                  <c:v>485</c:v>
                </c:pt>
                <c:pt idx="3229" formatCode="General">
                  <c:v>511</c:v>
                </c:pt>
                <c:pt idx="3230" formatCode="General">
                  <c:v>498</c:v>
                </c:pt>
                <c:pt idx="3231" formatCode="General">
                  <c:v>445</c:v>
                </c:pt>
                <c:pt idx="3232" formatCode="General">
                  <c:v>314</c:v>
                </c:pt>
                <c:pt idx="3233" formatCode="General">
                  <c:v>445</c:v>
                </c:pt>
                <c:pt idx="3234" formatCode="General">
                  <c:v>668</c:v>
                </c:pt>
                <c:pt idx="3235">
                  <c:v>1074</c:v>
                </c:pt>
                <c:pt idx="3236" formatCode="General">
                  <c:v>445</c:v>
                </c:pt>
                <c:pt idx="3237" formatCode="General">
                  <c:v>694</c:v>
                </c:pt>
                <c:pt idx="3238" formatCode="General">
                  <c:v>537</c:v>
                </c:pt>
                <c:pt idx="3239" formatCode="General">
                  <c:v>904</c:v>
                </c:pt>
                <c:pt idx="3240" formatCode="General">
                  <c:v>943</c:v>
                </c:pt>
                <c:pt idx="3241" formatCode="General">
                  <c:v>380</c:v>
                </c:pt>
                <c:pt idx="3242" formatCode="General">
                  <c:v>773</c:v>
                </c:pt>
                <c:pt idx="3243" formatCode="General">
                  <c:v>550</c:v>
                </c:pt>
                <c:pt idx="3244" formatCode="General">
                  <c:v>550</c:v>
                </c:pt>
                <c:pt idx="3245" formatCode="General">
                  <c:v>485</c:v>
                </c:pt>
                <c:pt idx="3246" formatCode="General">
                  <c:v>328</c:v>
                </c:pt>
                <c:pt idx="3247" formatCode="General">
                  <c:v>642</c:v>
                </c:pt>
                <c:pt idx="3248" formatCode="General">
                  <c:v>642</c:v>
                </c:pt>
                <c:pt idx="3249" formatCode="General">
                  <c:v>603</c:v>
                </c:pt>
                <c:pt idx="3250" formatCode="General">
                  <c:v>642</c:v>
                </c:pt>
                <c:pt idx="3251" formatCode="General">
                  <c:v>472</c:v>
                </c:pt>
                <c:pt idx="3252" formatCode="General">
                  <c:v>707</c:v>
                </c:pt>
                <c:pt idx="3253" formatCode="General">
                  <c:v>642</c:v>
                </c:pt>
                <c:pt idx="3254" formatCode="General">
                  <c:v>721</c:v>
                </c:pt>
                <c:pt idx="3255" formatCode="General">
                  <c:v>393</c:v>
                </c:pt>
                <c:pt idx="3256" formatCode="General">
                  <c:v>629</c:v>
                </c:pt>
                <c:pt idx="3257" formatCode="General">
                  <c:v>419</c:v>
                </c:pt>
                <c:pt idx="3258" formatCode="General">
                  <c:v>629</c:v>
                </c:pt>
                <c:pt idx="3259" formatCode="General">
                  <c:v>576</c:v>
                </c:pt>
                <c:pt idx="3260" formatCode="General">
                  <c:v>747</c:v>
                </c:pt>
                <c:pt idx="3261" formatCode="General">
                  <c:v>707</c:v>
                </c:pt>
                <c:pt idx="3262" formatCode="General">
                  <c:v>367</c:v>
                </c:pt>
                <c:pt idx="3263" formatCode="General">
                  <c:v>131</c:v>
                </c:pt>
                <c:pt idx="3264" formatCode="General">
                  <c:v>432</c:v>
                </c:pt>
                <c:pt idx="3265" formatCode="General">
                  <c:v>576</c:v>
                </c:pt>
                <c:pt idx="3266" formatCode="General">
                  <c:v>485</c:v>
                </c:pt>
                <c:pt idx="3267" formatCode="General">
                  <c:v>576</c:v>
                </c:pt>
                <c:pt idx="3268" formatCode="General">
                  <c:v>780</c:v>
                </c:pt>
                <c:pt idx="3269" formatCode="General">
                  <c:v>949</c:v>
                </c:pt>
                <c:pt idx="3270" formatCode="General">
                  <c:v>637</c:v>
                </c:pt>
                <c:pt idx="3271" formatCode="General">
                  <c:v>715</c:v>
                </c:pt>
                <c:pt idx="3272" formatCode="General">
                  <c:v>351</c:v>
                </c:pt>
                <c:pt idx="3273" formatCode="General">
                  <c:v>871</c:v>
                </c:pt>
                <c:pt idx="3274" formatCode="General">
                  <c:v>767</c:v>
                </c:pt>
                <c:pt idx="3275" formatCode="General">
                  <c:v>949</c:v>
                </c:pt>
                <c:pt idx="3276" formatCode="General">
                  <c:v>611</c:v>
                </c:pt>
                <c:pt idx="3277" formatCode="General">
                  <c:v>429</c:v>
                </c:pt>
                <c:pt idx="3278" formatCode="General">
                  <c:v>429</c:v>
                </c:pt>
                <c:pt idx="3279" formatCode="General">
                  <c:v>624</c:v>
                </c:pt>
                <c:pt idx="3280" formatCode="General">
                  <c:v>767</c:v>
                </c:pt>
                <c:pt idx="3281" formatCode="General">
                  <c:v>416</c:v>
                </c:pt>
                <c:pt idx="3282" formatCode="General">
                  <c:v>624</c:v>
                </c:pt>
                <c:pt idx="3283" formatCode="General">
                  <c:v>507</c:v>
                </c:pt>
                <c:pt idx="3284" formatCode="General">
                  <c:v>710</c:v>
                </c:pt>
                <c:pt idx="3285" formatCode="General">
                  <c:v>684</c:v>
                </c:pt>
                <c:pt idx="3286" formatCode="General">
                  <c:v>410</c:v>
                </c:pt>
                <c:pt idx="3287" formatCode="General">
                  <c:v>371</c:v>
                </c:pt>
                <c:pt idx="3288" formatCode="General">
                  <c:v>525</c:v>
                </c:pt>
                <c:pt idx="3289" formatCode="General">
                  <c:v>550</c:v>
                </c:pt>
                <c:pt idx="3290" formatCode="General">
                  <c:v>474</c:v>
                </c:pt>
                <c:pt idx="3291" formatCode="General">
                  <c:v>653</c:v>
                </c:pt>
                <c:pt idx="3292" formatCode="General">
                  <c:v>550</c:v>
                </c:pt>
                <c:pt idx="3293" formatCode="General">
                  <c:v>538</c:v>
                </c:pt>
                <c:pt idx="3294" formatCode="General">
                  <c:v>410</c:v>
                </c:pt>
                <c:pt idx="3295">
                  <c:v>1075</c:v>
                </c:pt>
                <c:pt idx="3296" formatCode="General">
                  <c:v>768</c:v>
                </c:pt>
                <c:pt idx="3297" formatCode="General">
                  <c:v>691</c:v>
                </c:pt>
                <c:pt idx="3298" formatCode="General">
                  <c:v>525</c:v>
                </c:pt>
                <c:pt idx="3299" formatCode="General">
                  <c:v>371</c:v>
                </c:pt>
                <c:pt idx="3300" formatCode="General">
                  <c:v>461</c:v>
                </c:pt>
                <c:pt idx="3301" formatCode="General">
                  <c:v>410</c:v>
                </c:pt>
                <c:pt idx="3302" formatCode="General">
                  <c:v>486</c:v>
                </c:pt>
                <c:pt idx="3303" formatCode="General">
                  <c:v>832</c:v>
                </c:pt>
                <c:pt idx="3304" formatCode="General">
                  <c:v>538</c:v>
                </c:pt>
                <c:pt idx="3305" formatCode="General">
                  <c:v>947</c:v>
                </c:pt>
                <c:pt idx="3306" formatCode="General">
                  <c:v>435</c:v>
                </c:pt>
                <c:pt idx="3307" formatCode="General">
                  <c:v>666</c:v>
                </c:pt>
                <c:pt idx="3308" formatCode="General">
                  <c:v>550</c:v>
                </c:pt>
                <c:pt idx="3309" formatCode="General">
                  <c:v>538</c:v>
                </c:pt>
                <c:pt idx="3310" formatCode="General">
                  <c:v>589</c:v>
                </c:pt>
                <c:pt idx="3311" formatCode="General">
                  <c:v>653</c:v>
                </c:pt>
                <c:pt idx="3312" formatCode="General">
                  <c:v>563</c:v>
                </c:pt>
                <c:pt idx="3313" formatCode="General">
                  <c:v>358</c:v>
                </c:pt>
                <c:pt idx="3314" formatCode="General">
                  <c:v>179</c:v>
                </c:pt>
                <c:pt idx="3315" formatCode="General">
                  <c:v>499</c:v>
                </c:pt>
                <c:pt idx="3316" formatCode="General">
                  <c:v>422</c:v>
                </c:pt>
                <c:pt idx="3317" formatCode="General">
                  <c:v>422</c:v>
                </c:pt>
                <c:pt idx="3318" formatCode="General">
                  <c:v>627</c:v>
                </c:pt>
                <c:pt idx="3319" formatCode="General">
                  <c:v>602</c:v>
                </c:pt>
                <c:pt idx="3320" formatCode="General">
                  <c:v>717</c:v>
                </c:pt>
                <c:pt idx="3321" formatCode="General">
                  <c:v>704</c:v>
                </c:pt>
                <c:pt idx="3322" formatCode="General">
                  <c:v>461</c:v>
                </c:pt>
                <c:pt idx="3323" formatCode="General">
                  <c:v>384</c:v>
                </c:pt>
                <c:pt idx="3324" formatCode="General">
                  <c:v>435</c:v>
                </c:pt>
                <c:pt idx="3325" formatCode="General">
                  <c:v>550</c:v>
                </c:pt>
                <c:pt idx="3326" formatCode="General">
                  <c:v>704</c:v>
                </c:pt>
                <c:pt idx="3327" formatCode="General">
                  <c:v>678</c:v>
                </c:pt>
                <c:pt idx="3328" formatCode="General">
                  <c:v>333</c:v>
                </c:pt>
                <c:pt idx="3329" formatCode="General">
                  <c:v>358</c:v>
                </c:pt>
                <c:pt idx="3330" formatCode="General">
                  <c:v>256</c:v>
                </c:pt>
                <c:pt idx="3331" formatCode="General">
                  <c:v>550</c:v>
                </c:pt>
                <c:pt idx="3332" formatCode="General">
                  <c:v>870</c:v>
                </c:pt>
                <c:pt idx="3333" formatCode="General">
                  <c:v>282</c:v>
                </c:pt>
                <c:pt idx="3334" formatCode="General">
                  <c:v>410</c:v>
                </c:pt>
                <c:pt idx="3335" formatCode="General">
                  <c:v>166</c:v>
                </c:pt>
                <c:pt idx="3336" formatCode="General">
                  <c:v>205</c:v>
                </c:pt>
                <c:pt idx="3337" formatCode="General">
                  <c:v>640</c:v>
                </c:pt>
                <c:pt idx="3338" formatCode="General">
                  <c:v>422</c:v>
                </c:pt>
                <c:pt idx="3339" formatCode="General">
                  <c:v>512</c:v>
                </c:pt>
                <c:pt idx="3340" formatCode="General">
                  <c:v>422</c:v>
                </c:pt>
                <c:pt idx="3341" formatCode="General">
                  <c:v>358</c:v>
                </c:pt>
                <c:pt idx="3342" formatCode="General">
                  <c:v>358</c:v>
                </c:pt>
                <c:pt idx="3343" formatCode="General">
                  <c:v>525</c:v>
                </c:pt>
                <c:pt idx="3344" formatCode="General">
                  <c:v>410</c:v>
                </c:pt>
                <c:pt idx="3345" formatCode="General">
                  <c:v>474</c:v>
                </c:pt>
                <c:pt idx="3346" formatCode="General">
                  <c:v>704</c:v>
                </c:pt>
                <c:pt idx="3347" formatCode="General">
                  <c:v>499</c:v>
                </c:pt>
                <c:pt idx="3348" formatCode="General">
                  <c:v>640</c:v>
                </c:pt>
                <c:pt idx="3349" formatCode="General">
                  <c:v>256</c:v>
                </c:pt>
                <c:pt idx="3350" formatCode="General">
                  <c:v>525</c:v>
                </c:pt>
                <c:pt idx="3351" formatCode="General">
                  <c:v>358</c:v>
                </c:pt>
                <c:pt idx="3352" formatCode="General">
                  <c:v>768</c:v>
                </c:pt>
                <c:pt idx="3353" formatCode="General">
                  <c:v>653</c:v>
                </c:pt>
                <c:pt idx="3354" formatCode="General">
                  <c:v>525</c:v>
                </c:pt>
                <c:pt idx="3355" formatCode="General">
                  <c:v>499</c:v>
                </c:pt>
                <c:pt idx="3356" formatCode="General">
                  <c:v>435</c:v>
                </c:pt>
                <c:pt idx="3357" formatCode="General">
                  <c:v>499</c:v>
                </c:pt>
                <c:pt idx="3358" formatCode="General">
                  <c:v>653</c:v>
                </c:pt>
                <c:pt idx="3359" formatCode="General">
                  <c:v>730</c:v>
                </c:pt>
                <c:pt idx="3360" formatCode="General">
                  <c:v>474</c:v>
                </c:pt>
                <c:pt idx="3361" formatCode="General">
                  <c:v>627</c:v>
                </c:pt>
                <c:pt idx="3362" formatCode="General">
                  <c:v>602</c:v>
                </c:pt>
                <c:pt idx="3363" formatCode="General">
                  <c:v>495</c:v>
                </c:pt>
                <c:pt idx="3364" formatCode="General">
                  <c:v>483</c:v>
                </c:pt>
                <c:pt idx="3365" formatCode="General">
                  <c:v>706</c:v>
                </c:pt>
                <c:pt idx="3366" formatCode="General">
                  <c:v>416</c:v>
                </c:pt>
                <c:pt idx="3367" formatCode="General">
                  <c:v>844</c:v>
                </c:pt>
                <c:pt idx="3368">
                  <c:v>1121</c:v>
                </c:pt>
                <c:pt idx="3369" formatCode="General">
                  <c:v>592</c:v>
                </c:pt>
                <c:pt idx="3370" formatCode="General">
                  <c:v>517</c:v>
                </c:pt>
                <c:pt idx="3371" formatCode="General">
                  <c:v>403</c:v>
                </c:pt>
                <c:pt idx="3372" formatCode="General">
                  <c:v>529</c:v>
                </c:pt>
                <c:pt idx="3373" formatCode="General">
                  <c:v>743</c:v>
                </c:pt>
                <c:pt idx="3374" formatCode="General">
                  <c:v>592</c:v>
                </c:pt>
                <c:pt idx="3375" formatCode="General">
                  <c:v>706</c:v>
                </c:pt>
                <c:pt idx="3376" formatCode="General">
                  <c:v>882</c:v>
                </c:pt>
                <c:pt idx="3377" formatCode="General">
                  <c:v>479</c:v>
                </c:pt>
                <c:pt idx="3378" formatCode="General">
                  <c:v>756</c:v>
                </c:pt>
                <c:pt idx="3379" formatCode="General">
                  <c:v>340</c:v>
                </c:pt>
                <c:pt idx="3380" formatCode="General">
                  <c:v>617</c:v>
                </c:pt>
                <c:pt idx="3381" formatCode="General">
                  <c:v>668</c:v>
                </c:pt>
                <c:pt idx="3382" formatCode="General">
                  <c:v>542</c:v>
                </c:pt>
                <c:pt idx="3383" formatCode="General">
                  <c:v>592</c:v>
                </c:pt>
                <c:pt idx="3384" formatCode="General">
                  <c:v>491</c:v>
                </c:pt>
                <c:pt idx="3385" formatCode="General">
                  <c:v>693</c:v>
                </c:pt>
                <c:pt idx="3386" formatCode="General">
                  <c:v>353</c:v>
                </c:pt>
                <c:pt idx="3387" formatCode="General">
                  <c:v>479</c:v>
                </c:pt>
                <c:pt idx="3388" formatCode="General">
                  <c:v>806</c:v>
                </c:pt>
                <c:pt idx="3389">
                  <c:v>5000</c:v>
                </c:pt>
                <c:pt idx="3390">
                  <c:v>7500</c:v>
                </c:pt>
                <c:pt idx="3391">
                  <c:v>7500</c:v>
                </c:pt>
                <c:pt idx="3392">
                  <c:v>6250</c:v>
                </c:pt>
                <c:pt idx="3393">
                  <c:v>7500</c:v>
                </c:pt>
                <c:pt idx="3394">
                  <c:v>6875</c:v>
                </c:pt>
                <c:pt idx="3395">
                  <c:v>5625</c:v>
                </c:pt>
                <c:pt idx="3396">
                  <c:v>6875</c:v>
                </c:pt>
                <c:pt idx="3397">
                  <c:v>8125</c:v>
                </c:pt>
                <c:pt idx="3398">
                  <c:v>6875</c:v>
                </c:pt>
                <c:pt idx="3399">
                  <c:v>6250</c:v>
                </c:pt>
                <c:pt idx="3400">
                  <c:v>5000</c:v>
                </c:pt>
                <c:pt idx="3401">
                  <c:v>5000</c:v>
                </c:pt>
                <c:pt idx="3402">
                  <c:v>3125</c:v>
                </c:pt>
                <c:pt idx="3403">
                  <c:v>4375</c:v>
                </c:pt>
                <c:pt idx="3404">
                  <c:v>6875</c:v>
                </c:pt>
                <c:pt idx="3405">
                  <c:v>5625</c:v>
                </c:pt>
                <c:pt idx="3406">
                  <c:v>4375</c:v>
                </c:pt>
                <c:pt idx="3407">
                  <c:v>5625</c:v>
                </c:pt>
                <c:pt idx="3408">
                  <c:v>5000</c:v>
                </c:pt>
                <c:pt idx="3409">
                  <c:v>3750</c:v>
                </c:pt>
                <c:pt idx="3410">
                  <c:v>3750</c:v>
                </c:pt>
                <c:pt idx="3411">
                  <c:v>5625</c:v>
                </c:pt>
                <c:pt idx="3412">
                  <c:v>5625</c:v>
                </c:pt>
                <c:pt idx="3413">
                  <c:v>6875</c:v>
                </c:pt>
                <c:pt idx="3414">
                  <c:v>6875</c:v>
                </c:pt>
                <c:pt idx="3415">
                  <c:v>6250</c:v>
                </c:pt>
                <c:pt idx="3416">
                  <c:v>7500</c:v>
                </c:pt>
                <c:pt idx="3417">
                  <c:v>5625</c:v>
                </c:pt>
                <c:pt idx="3418">
                  <c:v>6250</c:v>
                </c:pt>
                <c:pt idx="3419">
                  <c:v>5625</c:v>
                </c:pt>
                <c:pt idx="3420">
                  <c:v>6250</c:v>
                </c:pt>
                <c:pt idx="3421">
                  <c:v>6875</c:v>
                </c:pt>
                <c:pt idx="3422">
                  <c:v>4375</c:v>
                </c:pt>
                <c:pt idx="3423">
                  <c:v>6250</c:v>
                </c:pt>
                <c:pt idx="3424">
                  <c:v>5000</c:v>
                </c:pt>
                <c:pt idx="3425">
                  <c:v>2500</c:v>
                </c:pt>
                <c:pt idx="3426">
                  <c:v>2500</c:v>
                </c:pt>
                <c:pt idx="3427">
                  <c:v>4375</c:v>
                </c:pt>
                <c:pt idx="3428">
                  <c:v>6250</c:v>
                </c:pt>
                <c:pt idx="3429">
                  <c:v>6875</c:v>
                </c:pt>
                <c:pt idx="3430">
                  <c:v>5625</c:v>
                </c:pt>
                <c:pt idx="3431">
                  <c:v>6875</c:v>
                </c:pt>
                <c:pt idx="3432">
                  <c:v>3750</c:v>
                </c:pt>
                <c:pt idx="3433">
                  <c:v>5000</c:v>
                </c:pt>
                <c:pt idx="3434">
                  <c:v>6250</c:v>
                </c:pt>
                <c:pt idx="3435">
                  <c:v>5000</c:v>
                </c:pt>
                <c:pt idx="3436">
                  <c:v>6250</c:v>
                </c:pt>
                <c:pt idx="3437">
                  <c:v>7500</c:v>
                </c:pt>
                <c:pt idx="3438">
                  <c:v>4375</c:v>
                </c:pt>
                <c:pt idx="3439">
                  <c:v>4375</c:v>
                </c:pt>
                <c:pt idx="3440">
                  <c:v>5625</c:v>
                </c:pt>
                <c:pt idx="3441">
                  <c:v>3750</c:v>
                </c:pt>
                <c:pt idx="3442">
                  <c:v>3125</c:v>
                </c:pt>
                <c:pt idx="3443">
                  <c:v>4375</c:v>
                </c:pt>
                <c:pt idx="3444">
                  <c:v>4375</c:v>
                </c:pt>
                <c:pt idx="3445">
                  <c:v>4375</c:v>
                </c:pt>
                <c:pt idx="3446">
                  <c:v>5625</c:v>
                </c:pt>
                <c:pt idx="3447">
                  <c:v>3750</c:v>
                </c:pt>
                <c:pt idx="3448">
                  <c:v>2500</c:v>
                </c:pt>
                <c:pt idx="3449">
                  <c:v>2500</c:v>
                </c:pt>
                <c:pt idx="3450">
                  <c:v>5625</c:v>
                </c:pt>
                <c:pt idx="3451">
                  <c:v>4375</c:v>
                </c:pt>
                <c:pt idx="3452">
                  <c:v>5625</c:v>
                </c:pt>
                <c:pt idx="3453">
                  <c:v>4375</c:v>
                </c:pt>
                <c:pt idx="3454">
                  <c:v>3125</c:v>
                </c:pt>
                <c:pt idx="3455">
                  <c:v>6250</c:v>
                </c:pt>
                <c:pt idx="3456">
                  <c:v>6250</c:v>
                </c:pt>
                <c:pt idx="3457">
                  <c:v>5000</c:v>
                </c:pt>
                <c:pt idx="3458">
                  <c:v>7500</c:v>
                </c:pt>
                <c:pt idx="3459">
                  <c:v>4375</c:v>
                </c:pt>
                <c:pt idx="3460">
                  <c:v>3750</c:v>
                </c:pt>
                <c:pt idx="3461">
                  <c:v>5625</c:v>
                </c:pt>
                <c:pt idx="3462">
                  <c:v>6250</c:v>
                </c:pt>
                <c:pt idx="3463">
                  <c:v>7500</c:v>
                </c:pt>
                <c:pt idx="3464">
                  <c:v>4375</c:v>
                </c:pt>
                <c:pt idx="3465">
                  <c:v>4375</c:v>
                </c:pt>
                <c:pt idx="3466">
                  <c:v>6250</c:v>
                </c:pt>
                <c:pt idx="3467">
                  <c:v>5625</c:v>
                </c:pt>
                <c:pt idx="3468">
                  <c:v>4375</c:v>
                </c:pt>
                <c:pt idx="3469">
                  <c:v>5625</c:v>
                </c:pt>
                <c:pt idx="3470">
                  <c:v>4375</c:v>
                </c:pt>
                <c:pt idx="3471">
                  <c:v>3125</c:v>
                </c:pt>
                <c:pt idx="3472">
                  <c:v>6250</c:v>
                </c:pt>
                <c:pt idx="3473">
                  <c:v>5000</c:v>
                </c:pt>
                <c:pt idx="3474">
                  <c:v>4375</c:v>
                </c:pt>
                <c:pt idx="3475">
                  <c:v>6250</c:v>
                </c:pt>
                <c:pt idx="3476">
                  <c:v>5625</c:v>
                </c:pt>
                <c:pt idx="3477">
                  <c:v>6875</c:v>
                </c:pt>
                <c:pt idx="3478">
                  <c:v>6875</c:v>
                </c:pt>
                <c:pt idx="3479">
                  <c:v>5000</c:v>
                </c:pt>
                <c:pt idx="3480" formatCode="General">
                  <c:v>475</c:v>
                </c:pt>
                <c:pt idx="3481" formatCode="General">
                  <c:v>513</c:v>
                </c:pt>
                <c:pt idx="3482" formatCode="General">
                  <c:v>563</c:v>
                </c:pt>
                <c:pt idx="3483" formatCode="General">
                  <c:v>750</c:v>
                </c:pt>
                <c:pt idx="3484" formatCode="General">
                  <c:v>788</c:v>
                </c:pt>
                <c:pt idx="3485" formatCode="General">
                  <c:v>575</c:v>
                </c:pt>
                <c:pt idx="3486" formatCode="General">
                  <c:v>938</c:v>
                </c:pt>
                <c:pt idx="3487" formatCode="General">
                  <c:v>938</c:v>
                </c:pt>
                <c:pt idx="3488" formatCode="General">
                  <c:v>413</c:v>
                </c:pt>
                <c:pt idx="3489" formatCode="General">
                  <c:v>600</c:v>
                </c:pt>
                <c:pt idx="3490" formatCode="General">
                  <c:v>525</c:v>
                </c:pt>
                <c:pt idx="3491" formatCode="General">
                  <c:v>575</c:v>
                </c:pt>
                <c:pt idx="3492" formatCode="General">
                  <c:v>525</c:v>
                </c:pt>
                <c:pt idx="3493" formatCode="General">
                  <c:v>575</c:v>
                </c:pt>
                <c:pt idx="3494" formatCode="General">
                  <c:v>600</c:v>
                </c:pt>
                <c:pt idx="3495" formatCode="General">
                  <c:v>300</c:v>
                </c:pt>
                <c:pt idx="3496" formatCode="General">
                  <c:v>463</c:v>
                </c:pt>
                <c:pt idx="3497" formatCode="General">
                  <c:v>450</c:v>
                </c:pt>
                <c:pt idx="3498" formatCode="General">
                  <c:v>288</c:v>
                </c:pt>
                <c:pt idx="3499" formatCode="General">
                  <c:v>400</c:v>
                </c:pt>
                <c:pt idx="3500" formatCode="General">
                  <c:v>400</c:v>
                </c:pt>
                <c:pt idx="3501" formatCode="General">
                  <c:v>588</c:v>
                </c:pt>
                <c:pt idx="3502" formatCode="General">
                  <c:v>475</c:v>
                </c:pt>
                <c:pt idx="3503" formatCode="General">
                  <c:v>650</c:v>
                </c:pt>
                <c:pt idx="3504" formatCode="General">
                  <c:v>763</c:v>
                </c:pt>
                <c:pt idx="3505" formatCode="General">
                  <c:v>546</c:v>
                </c:pt>
                <c:pt idx="3506" formatCode="General">
                  <c:v>831</c:v>
                </c:pt>
                <c:pt idx="3507" formatCode="General">
                  <c:v>794</c:v>
                </c:pt>
                <c:pt idx="3508" formatCode="General">
                  <c:v>670</c:v>
                </c:pt>
                <c:pt idx="3509" formatCode="General">
                  <c:v>620</c:v>
                </c:pt>
                <c:pt idx="3510" formatCode="General">
                  <c:v>521</c:v>
                </c:pt>
                <c:pt idx="3511" formatCode="General">
                  <c:v>347</c:v>
                </c:pt>
                <c:pt idx="3512" formatCode="General">
                  <c:v>397</c:v>
                </c:pt>
                <c:pt idx="3513" formatCode="General">
                  <c:v>645</c:v>
                </c:pt>
                <c:pt idx="3514" formatCode="General">
                  <c:v>608</c:v>
                </c:pt>
                <c:pt idx="3515" formatCode="General">
                  <c:v>955</c:v>
                </c:pt>
                <c:pt idx="3516" formatCode="General">
                  <c:v>620</c:v>
                </c:pt>
                <c:pt idx="3517" formatCode="General">
                  <c:v>645</c:v>
                </c:pt>
                <c:pt idx="3518" formatCode="General">
                  <c:v>310</c:v>
                </c:pt>
                <c:pt idx="3519" formatCode="General">
                  <c:v>645</c:v>
                </c:pt>
                <c:pt idx="3520" formatCode="General">
                  <c:v>632</c:v>
                </c:pt>
                <c:pt idx="3521" formatCode="General">
                  <c:v>595</c:v>
                </c:pt>
                <c:pt idx="3522" formatCode="General">
                  <c:v>831</c:v>
                </c:pt>
                <c:pt idx="3523" formatCode="General">
                  <c:v>806</c:v>
                </c:pt>
                <c:pt idx="3524" formatCode="General">
                  <c:v>310</c:v>
                </c:pt>
                <c:pt idx="3525" formatCode="General">
                  <c:v>248</c:v>
                </c:pt>
                <c:pt idx="3526" formatCode="General">
                  <c:v>223</c:v>
                </c:pt>
                <c:pt idx="3527" formatCode="General">
                  <c:v>347</c:v>
                </c:pt>
                <c:pt idx="3528" formatCode="General">
                  <c:v>595</c:v>
                </c:pt>
                <c:pt idx="3529" formatCode="General">
                  <c:v>409</c:v>
                </c:pt>
                <c:pt idx="3530" formatCode="General">
                  <c:v>806</c:v>
                </c:pt>
                <c:pt idx="3531" formatCode="General">
                  <c:v>682</c:v>
                </c:pt>
                <c:pt idx="3532" formatCode="General">
                  <c:v>620</c:v>
                </c:pt>
                <c:pt idx="3533" formatCode="General">
                  <c:v>484</c:v>
                </c:pt>
                <c:pt idx="3534" formatCode="General">
                  <c:v>248</c:v>
                </c:pt>
                <c:pt idx="3535" formatCode="General">
                  <c:v>570</c:v>
                </c:pt>
                <c:pt idx="3536" formatCode="General">
                  <c:v>583</c:v>
                </c:pt>
                <c:pt idx="3537" formatCode="General">
                  <c:v>595</c:v>
                </c:pt>
                <c:pt idx="3538" formatCode="General">
                  <c:v>521</c:v>
                </c:pt>
                <c:pt idx="3539" formatCode="General">
                  <c:v>484</c:v>
                </c:pt>
                <c:pt idx="3540" formatCode="General">
                  <c:v>533</c:v>
                </c:pt>
                <c:pt idx="3541" formatCode="General">
                  <c:v>310</c:v>
                </c:pt>
                <c:pt idx="3542" formatCode="General">
                  <c:v>409</c:v>
                </c:pt>
                <c:pt idx="3543" formatCode="General">
                  <c:v>546</c:v>
                </c:pt>
                <c:pt idx="3544" formatCode="General">
                  <c:v>174</c:v>
                </c:pt>
                <c:pt idx="3545" formatCode="General">
                  <c:v>186</c:v>
                </c:pt>
                <c:pt idx="3546" formatCode="General">
                  <c:v>335</c:v>
                </c:pt>
                <c:pt idx="3547" formatCode="General">
                  <c:v>384</c:v>
                </c:pt>
                <c:pt idx="3548" formatCode="General">
                  <c:v>384</c:v>
                </c:pt>
                <c:pt idx="3549" formatCode="General">
                  <c:v>310</c:v>
                </c:pt>
                <c:pt idx="3550" formatCode="General">
                  <c:v>310</c:v>
                </c:pt>
                <c:pt idx="3551" formatCode="General">
                  <c:v>347</c:v>
                </c:pt>
                <c:pt idx="3552" formatCode="General">
                  <c:v>657</c:v>
                </c:pt>
                <c:pt idx="3553" formatCode="General">
                  <c:v>409</c:v>
                </c:pt>
                <c:pt idx="3554" formatCode="General">
                  <c:v>409</c:v>
                </c:pt>
                <c:pt idx="3555" formatCode="General">
                  <c:v>546</c:v>
                </c:pt>
                <c:pt idx="3556" formatCode="General">
                  <c:v>335</c:v>
                </c:pt>
                <c:pt idx="3557" formatCode="General">
                  <c:v>484</c:v>
                </c:pt>
                <c:pt idx="3558" formatCode="General">
                  <c:v>657</c:v>
                </c:pt>
                <c:pt idx="3559" formatCode="General">
                  <c:v>136</c:v>
                </c:pt>
                <c:pt idx="3560" formatCode="General">
                  <c:v>347</c:v>
                </c:pt>
                <c:pt idx="3561" formatCode="General">
                  <c:v>360</c:v>
                </c:pt>
                <c:pt idx="3562" formatCode="General">
                  <c:v>496</c:v>
                </c:pt>
                <c:pt idx="3563" formatCode="General">
                  <c:v>223</c:v>
                </c:pt>
                <c:pt idx="3564" formatCode="General">
                  <c:v>223</c:v>
                </c:pt>
                <c:pt idx="3565" formatCode="General">
                  <c:v>471</c:v>
                </c:pt>
                <c:pt idx="3566" formatCode="General">
                  <c:v>546</c:v>
                </c:pt>
                <c:pt idx="3567" formatCode="General">
                  <c:v>446</c:v>
                </c:pt>
                <c:pt idx="3568" formatCode="General">
                  <c:v>344</c:v>
                </c:pt>
                <c:pt idx="3569" formatCode="General">
                  <c:v>467</c:v>
                </c:pt>
                <c:pt idx="3570" formatCode="General">
                  <c:v>467</c:v>
                </c:pt>
                <c:pt idx="3571" formatCode="General">
                  <c:v>566</c:v>
                </c:pt>
                <c:pt idx="3572" formatCode="General">
                  <c:v>517</c:v>
                </c:pt>
                <c:pt idx="3573" formatCode="General">
                  <c:v>455</c:v>
                </c:pt>
                <c:pt idx="3574" formatCode="General">
                  <c:v>615</c:v>
                </c:pt>
                <c:pt idx="3575" formatCode="General">
                  <c:v>836</c:v>
                </c:pt>
                <c:pt idx="3576" formatCode="General">
                  <c:v>517</c:v>
                </c:pt>
                <c:pt idx="3577" formatCode="General">
                  <c:v>615</c:v>
                </c:pt>
                <c:pt idx="3578" formatCode="General">
                  <c:v>590</c:v>
                </c:pt>
                <c:pt idx="3579" formatCode="General">
                  <c:v>554</c:v>
                </c:pt>
                <c:pt idx="3580" formatCode="General">
                  <c:v>394</c:v>
                </c:pt>
                <c:pt idx="3581" formatCode="General">
                  <c:v>455</c:v>
                </c:pt>
                <c:pt idx="3582" formatCode="General">
                  <c:v>357</c:v>
                </c:pt>
                <c:pt idx="3583" formatCode="General">
                  <c:v>234</c:v>
                </c:pt>
                <c:pt idx="3584" formatCode="General">
                  <c:v>357</c:v>
                </c:pt>
                <c:pt idx="3585" formatCode="General">
                  <c:v>824</c:v>
                </c:pt>
                <c:pt idx="3586" formatCode="General">
                  <c:v>529</c:v>
                </c:pt>
                <c:pt idx="3587" formatCode="General">
                  <c:v>603</c:v>
                </c:pt>
                <c:pt idx="3588" formatCode="General">
                  <c:v>640</c:v>
                </c:pt>
                <c:pt idx="3589" formatCode="General">
                  <c:v>357</c:v>
                </c:pt>
                <c:pt idx="3590" formatCode="General">
                  <c:v>467</c:v>
                </c:pt>
                <c:pt idx="3591" formatCode="General">
                  <c:v>590</c:v>
                </c:pt>
                <c:pt idx="3592" formatCode="General">
                  <c:v>295</c:v>
                </c:pt>
                <c:pt idx="3593" formatCode="General">
                  <c:v>234</c:v>
                </c:pt>
                <c:pt idx="3594" formatCode="General">
                  <c:v>873</c:v>
                </c:pt>
                <c:pt idx="3595" formatCode="General">
                  <c:v>836</c:v>
                </c:pt>
                <c:pt idx="3596" formatCode="General">
                  <c:v>504</c:v>
                </c:pt>
                <c:pt idx="3597" formatCode="General">
                  <c:v>800</c:v>
                </c:pt>
                <c:pt idx="3598" formatCode="General">
                  <c:v>689</c:v>
                </c:pt>
                <c:pt idx="3599" formatCode="General">
                  <c:v>689</c:v>
                </c:pt>
                <c:pt idx="3600" formatCode="General">
                  <c:v>603</c:v>
                </c:pt>
                <c:pt idx="3601" formatCode="General">
                  <c:v>664</c:v>
                </c:pt>
                <c:pt idx="3602" formatCode="General">
                  <c:v>369</c:v>
                </c:pt>
                <c:pt idx="3603" formatCode="General">
                  <c:v>344</c:v>
                </c:pt>
                <c:pt idx="3604" formatCode="General">
                  <c:v>357</c:v>
                </c:pt>
                <c:pt idx="3605" formatCode="General">
                  <c:v>357</c:v>
                </c:pt>
                <c:pt idx="3606" formatCode="General">
                  <c:v>344</c:v>
                </c:pt>
                <c:pt idx="3607" formatCode="General">
                  <c:v>504</c:v>
                </c:pt>
                <c:pt idx="3608" formatCode="General">
                  <c:v>480</c:v>
                </c:pt>
                <c:pt idx="3609" formatCode="General">
                  <c:v>308</c:v>
                </c:pt>
                <c:pt idx="3610" formatCode="General">
                  <c:v>517</c:v>
                </c:pt>
                <c:pt idx="3611" formatCode="General">
                  <c:v>394</c:v>
                </c:pt>
                <c:pt idx="3612" formatCode="General">
                  <c:v>320</c:v>
                </c:pt>
                <c:pt idx="3613" formatCode="General">
                  <c:v>135</c:v>
                </c:pt>
                <c:pt idx="3614" formatCode="General">
                  <c:v>308</c:v>
                </c:pt>
                <c:pt idx="3615" formatCode="General">
                  <c:v>590</c:v>
                </c:pt>
                <c:pt idx="3616" formatCode="General">
                  <c:v>615</c:v>
                </c:pt>
                <c:pt idx="3617" formatCode="General">
                  <c:v>586</c:v>
                </c:pt>
                <c:pt idx="3618" formatCode="General">
                  <c:v>561</c:v>
                </c:pt>
                <c:pt idx="3619" formatCode="General">
                  <c:v>390</c:v>
                </c:pt>
                <c:pt idx="3620" formatCode="General">
                  <c:v>573</c:v>
                </c:pt>
                <c:pt idx="3621" formatCode="General">
                  <c:v>525</c:v>
                </c:pt>
                <c:pt idx="3622" formatCode="General">
                  <c:v>720</c:v>
                </c:pt>
                <c:pt idx="3623" formatCode="General">
                  <c:v>390</c:v>
                </c:pt>
                <c:pt idx="3624" formatCode="General">
                  <c:v>464</c:v>
                </c:pt>
                <c:pt idx="3625" formatCode="General">
                  <c:v>451</c:v>
                </c:pt>
                <c:pt idx="3626" formatCode="General">
                  <c:v>647</c:v>
                </c:pt>
                <c:pt idx="3627" formatCode="General">
                  <c:v>525</c:v>
                </c:pt>
                <c:pt idx="3628" formatCode="General">
                  <c:v>281</c:v>
                </c:pt>
                <c:pt idx="3629" formatCode="General">
                  <c:v>561</c:v>
                </c:pt>
                <c:pt idx="3630" formatCode="General">
                  <c:v>622</c:v>
                </c:pt>
                <c:pt idx="3631" formatCode="General">
                  <c:v>500</c:v>
                </c:pt>
                <c:pt idx="3632" formatCode="General">
                  <c:v>659</c:v>
                </c:pt>
                <c:pt idx="3633" formatCode="General">
                  <c:v>500</c:v>
                </c:pt>
                <c:pt idx="3634" formatCode="General">
                  <c:v>390</c:v>
                </c:pt>
                <c:pt idx="3635" formatCode="General">
                  <c:v>561</c:v>
                </c:pt>
                <c:pt idx="3636" formatCode="General">
                  <c:v>281</c:v>
                </c:pt>
                <c:pt idx="3637" formatCode="General">
                  <c:v>281</c:v>
                </c:pt>
                <c:pt idx="3638" formatCode="General">
                  <c:v>220</c:v>
                </c:pt>
                <c:pt idx="3639" formatCode="General">
                  <c:v>830</c:v>
                </c:pt>
                <c:pt idx="3640" formatCode="General">
                  <c:v>695</c:v>
                </c:pt>
                <c:pt idx="3641" formatCode="General">
                  <c:v>598</c:v>
                </c:pt>
                <c:pt idx="3642" formatCode="General">
                  <c:v>648</c:v>
                </c:pt>
                <c:pt idx="3643" formatCode="General">
                  <c:v>588</c:v>
                </c:pt>
                <c:pt idx="3644" formatCode="General">
                  <c:v>600</c:v>
                </c:pt>
                <c:pt idx="3645" formatCode="General">
                  <c:v>732</c:v>
                </c:pt>
                <c:pt idx="3646" formatCode="General">
                  <c:v>804</c:v>
                </c:pt>
                <c:pt idx="3647" formatCode="General">
                  <c:v>888</c:v>
                </c:pt>
                <c:pt idx="3648" formatCode="General">
                  <c:v>888</c:v>
                </c:pt>
                <c:pt idx="3649" formatCode="General">
                  <c:v>732</c:v>
                </c:pt>
                <c:pt idx="3650" formatCode="General">
                  <c:v>432</c:v>
                </c:pt>
                <c:pt idx="3651" formatCode="General">
                  <c:v>528</c:v>
                </c:pt>
                <c:pt idx="3652" formatCode="General">
                  <c:v>636</c:v>
                </c:pt>
                <c:pt idx="3653" formatCode="General">
                  <c:v>564</c:v>
                </c:pt>
                <c:pt idx="3654" formatCode="General">
                  <c:v>432</c:v>
                </c:pt>
                <c:pt idx="3655" formatCode="General">
                  <c:v>588</c:v>
                </c:pt>
                <c:pt idx="3656" formatCode="General">
                  <c:v>660</c:v>
                </c:pt>
                <c:pt idx="3657" formatCode="General">
                  <c:v>792</c:v>
                </c:pt>
                <c:pt idx="3658" formatCode="General">
                  <c:v>540</c:v>
                </c:pt>
                <c:pt idx="3659" formatCode="General">
                  <c:v>516</c:v>
                </c:pt>
                <c:pt idx="3660" formatCode="General">
                  <c:v>336</c:v>
                </c:pt>
                <c:pt idx="3661" formatCode="General">
                  <c:v>384</c:v>
                </c:pt>
                <c:pt idx="3662" formatCode="General">
                  <c:v>384</c:v>
                </c:pt>
                <c:pt idx="3663" formatCode="General">
                  <c:v>528</c:v>
                </c:pt>
                <c:pt idx="3664" formatCode="General">
                  <c:v>288</c:v>
                </c:pt>
                <c:pt idx="3665" formatCode="General">
                  <c:v>492</c:v>
                </c:pt>
                <c:pt idx="3666" formatCode="General">
                  <c:v>564</c:v>
                </c:pt>
                <c:pt idx="3667" formatCode="General">
                  <c:v>600</c:v>
                </c:pt>
                <c:pt idx="3668" formatCode="General">
                  <c:v>768</c:v>
                </c:pt>
                <c:pt idx="3669" formatCode="General">
                  <c:v>588</c:v>
                </c:pt>
                <c:pt idx="3670" formatCode="General">
                  <c:v>516</c:v>
                </c:pt>
                <c:pt idx="3671" formatCode="General">
                  <c:v>612</c:v>
                </c:pt>
                <c:pt idx="3672" formatCode="General">
                  <c:v>168</c:v>
                </c:pt>
                <c:pt idx="3673" formatCode="General">
                  <c:v>684</c:v>
                </c:pt>
                <c:pt idx="3674" formatCode="General">
                  <c:v>708</c:v>
                </c:pt>
                <c:pt idx="3675" formatCode="General">
                  <c:v>588</c:v>
                </c:pt>
                <c:pt idx="3676" formatCode="General">
                  <c:v>744</c:v>
                </c:pt>
                <c:pt idx="3677" formatCode="General">
                  <c:v>576</c:v>
                </c:pt>
                <c:pt idx="3678" formatCode="General">
                  <c:v>708</c:v>
                </c:pt>
                <c:pt idx="3679" formatCode="General">
                  <c:v>600</c:v>
                </c:pt>
                <c:pt idx="3680" formatCode="General">
                  <c:v>684</c:v>
                </c:pt>
                <c:pt idx="3681" formatCode="General">
                  <c:v>720</c:v>
                </c:pt>
                <c:pt idx="3682" formatCode="General">
                  <c:v>564</c:v>
                </c:pt>
                <c:pt idx="3683" formatCode="General">
                  <c:v>516</c:v>
                </c:pt>
                <c:pt idx="3684" formatCode="General">
                  <c:v>636</c:v>
                </c:pt>
                <c:pt idx="3685" formatCode="General">
                  <c:v>468</c:v>
                </c:pt>
                <c:pt idx="3686" formatCode="General">
                  <c:v>312</c:v>
                </c:pt>
                <c:pt idx="3687" formatCode="General">
                  <c:v>480</c:v>
                </c:pt>
                <c:pt idx="3688" formatCode="General">
                  <c:v>336</c:v>
                </c:pt>
                <c:pt idx="3689" formatCode="General">
                  <c:v>336</c:v>
                </c:pt>
                <c:pt idx="3690" formatCode="General">
                  <c:v>456</c:v>
                </c:pt>
                <c:pt idx="3691" formatCode="General">
                  <c:v>468</c:v>
                </c:pt>
                <c:pt idx="3692" formatCode="General">
                  <c:v>480</c:v>
                </c:pt>
                <c:pt idx="3693" formatCode="General">
                  <c:v>372</c:v>
                </c:pt>
                <c:pt idx="3694" formatCode="General">
                  <c:v>408</c:v>
                </c:pt>
                <c:pt idx="3695" formatCode="General">
                  <c:v>516</c:v>
                </c:pt>
                <c:pt idx="3696" formatCode="General">
                  <c:v>408</c:v>
                </c:pt>
                <c:pt idx="3697" formatCode="General">
                  <c:v>336</c:v>
                </c:pt>
                <c:pt idx="3698" formatCode="General">
                  <c:v>420</c:v>
                </c:pt>
                <c:pt idx="3699" formatCode="General">
                  <c:v>528</c:v>
                </c:pt>
                <c:pt idx="3700" formatCode="General">
                  <c:v>192</c:v>
                </c:pt>
                <c:pt idx="3701" formatCode="General">
                  <c:v>228</c:v>
                </c:pt>
                <c:pt idx="3702" formatCode="General">
                  <c:v>288</c:v>
                </c:pt>
                <c:pt idx="3703" formatCode="General">
                  <c:v>420</c:v>
                </c:pt>
                <c:pt idx="3704" formatCode="General">
                  <c:v>456</c:v>
                </c:pt>
                <c:pt idx="3705" formatCode="General">
                  <c:v>624</c:v>
                </c:pt>
                <c:pt idx="3706" formatCode="General">
                  <c:v>564</c:v>
                </c:pt>
                <c:pt idx="3707" formatCode="General">
                  <c:v>588</c:v>
                </c:pt>
                <c:pt idx="3708" formatCode="General">
                  <c:v>564</c:v>
                </c:pt>
                <c:pt idx="3709" formatCode="General">
                  <c:v>528</c:v>
                </c:pt>
                <c:pt idx="3710" formatCode="General">
                  <c:v>732</c:v>
                </c:pt>
                <c:pt idx="3711" formatCode="General">
                  <c:v>583</c:v>
                </c:pt>
                <c:pt idx="3712" formatCode="General">
                  <c:v>405</c:v>
                </c:pt>
                <c:pt idx="3713" formatCode="General">
                  <c:v>500</c:v>
                </c:pt>
                <c:pt idx="3714" formatCode="General">
                  <c:v>488</c:v>
                </c:pt>
                <c:pt idx="3715" formatCode="General">
                  <c:v>702</c:v>
                </c:pt>
                <c:pt idx="3716" formatCode="General">
                  <c:v>381</c:v>
                </c:pt>
                <c:pt idx="3717" formatCode="General">
                  <c:v>488</c:v>
                </c:pt>
                <c:pt idx="3718" formatCode="General">
                  <c:v>512</c:v>
                </c:pt>
                <c:pt idx="3719" formatCode="General">
                  <c:v>464</c:v>
                </c:pt>
                <c:pt idx="3720" formatCode="General">
                  <c:v>381</c:v>
                </c:pt>
                <c:pt idx="3721" formatCode="General">
                  <c:v>381</c:v>
                </c:pt>
                <c:pt idx="3722" formatCode="General">
                  <c:v>167</c:v>
                </c:pt>
                <c:pt idx="3723" formatCode="General">
                  <c:v>547</c:v>
                </c:pt>
                <c:pt idx="3724" formatCode="General">
                  <c:v>702</c:v>
                </c:pt>
                <c:pt idx="3725" formatCode="General">
                  <c:v>393</c:v>
                </c:pt>
                <c:pt idx="3726" formatCode="General">
                  <c:v>488</c:v>
                </c:pt>
                <c:pt idx="3727" formatCode="General">
                  <c:v>405</c:v>
                </c:pt>
                <c:pt idx="3728" formatCode="General">
                  <c:v>809</c:v>
                </c:pt>
                <c:pt idx="3729" formatCode="General">
                  <c:v>809</c:v>
                </c:pt>
                <c:pt idx="3730" formatCode="General">
                  <c:v>333</c:v>
                </c:pt>
                <c:pt idx="3731" formatCode="General">
                  <c:v>345</c:v>
                </c:pt>
                <c:pt idx="3732" formatCode="General">
                  <c:v>666</c:v>
                </c:pt>
                <c:pt idx="3733" formatCode="General">
                  <c:v>762</c:v>
                </c:pt>
                <c:pt idx="3734" formatCode="General">
                  <c:v>809</c:v>
                </c:pt>
                <c:pt idx="3735" formatCode="General">
                  <c:v>488</c:v>
                </c:pt>
                <c:pt idx="3736" formatCode="General">
                  <c:v>393</c:v>
                </c:pt>
                <c:pt idx="3737" formatCode="General">
                  <c:v>655</c:v>
                </c:pt>
                <c:pt idx="3738" formatCode="General">
                  <c:v>345</c:v>
                </c:pt>
                <c:pt idx="3739" formatCode="General">
                  <c:v>690</c:v>
                </c:pt>
                <c:pt idx="3740" formatCode="General">
                  <c:v>583</c:v>
                </c:pt>
                <c:pt idx="3741" formatCode="General">
                  <c:v>440</c:v>
                </c:pt>
                <c:pt idx="3742" formatCode="General">
                  <c:v>559</c:v>
                </c:pt>
                <c:pt idx="3743" formatCode="General">
                  <c:v>631</c:v>
                </c:pt>
                <c:pt idx="3744" formatCode="General">
                  <c:v>405</c:v>
                </c:pt>
                <c:pt idx="3745" formatCode="General">
                  <c:v>762</c:v>
                </c:pt>
                <c:pt idx="3746" formatCode="General">
                  <c:v>512</c:v>
                </c:pt>
                <c:pt idx="3747" formatCode="General">
                  <c:v>547</c:v>
                </c:pt>
                <c:pt idx="3748" formatCode="General">
                  <c:v>333</c:v>
                </c:pt>
                <c:pt idx="3749" formatCode="General">
                  <c:v>464</c:v>
                </c:pt>
                <c:pt idx="3750" formatCode="General">
                  <c:v>464</c:v>
                </c:pt>
                <c:pt idx="3751" formatCode="General">
                  <c:v>345</c:v>
                </c:pt>
                <c:pt idx="3752" formatCode="General">
                  <c:v>440</c:v>
                </c:pt>
                <c:pt idx="3753" formatCode="General">
                  <c:v>559</c:v>
                </c:pt>
                <c:pt idx="3754" formatCode="General">
                  <c:v>262</c:v>
                </c:pt>
                <c:pt idx="3755" formatCode="General">
                  <c:v>321</c:v>
                </c:pt>
                <c:pt idx="3756" formatCode="General">
                  <c:v>274</c:v>
                </c:pt>
                <c:pt idx="3757" formatCode="General">
                  <c:v>202</c:v>
                </c:pt>
                <c:pt idx="3758" formatCode="General">
                  <c:v>512</c:v>
                </c:pt>
                <c:pt idx="3759" formatCode="General">
                  <c:v>559</c:v>
                </c:pt>
                <c:pt idx="3760" formatCode="General">
                  <c:v>519</c:v>
                </c:pt>
                <c:pt idx="3761" formatCode="General">
                  <c:v>578</c:v>
                </c:pt>
                <c:pt idx="3762" formatCode="General">
                  <c:v>515</c:v>
                </c:pt>
                <c:pt idx="3763" formatCode="General">
                  <c:v>480</c:v>
                </c:pt>
                <c:pt idx="3764" formatCode="General">
                  <c:v>644</c:v>
                </c:pt>
                <c:pt idx="3765" formatCode="General">
                  <c:v>667</c:v>
                </c:pt>
                <c:pt idx="3766" formatCode="General">
                  <c:v>421</c:v>
                </c:pt>
                <c:pt idx="3767" formatCode="General">
                  <c:v>807</c:v>
                </c:pt>
                <c:pt idx="3768" formatCode="General">
                  <c:v>491</c:v>
                </c:pt>
                <c:pt idx="3769" formatCode="General">
                  <c:v>573</c:v>
                </c:pt>
                <c:pt idx="3770" formatCode="General">
                  <c:v>316</c:v>
                </c:pt>
                <c:pt idx="3771" formatCode="General">
                  <c:v>445</c:v>
                </c:pt>
                <c:pt idx="3772" formatCode="General">
                  <c:v>386</c:v>
                </c:pt>
                <c:pt idx="3773" formatCode="General">
                  <c:v>339</c:v>
                </c:pt>
                <c:pt idx="3774">
                  <c:v>1076</c:v>
                </c:pt>
                <c:pt idx="3775" formatCode="General">
                  <c:v>608</c:v>
                </c:pt>
                <c:pt idx="3776" formatCode="General">
                  <c:v>632</c:v>
                </c:pt>
                <c:pt idx="3777" formatCode="General">
                  <c:v>421</c:v>
                </c:pt>
                <c:pt idx="3778" formatCode="General">
                  <c:v>503</c:v>
                </c:pt>
                <c:pt idx="3779" formatCode="General">
                  <c:v>211</c:v>
                </c:pt>
                <c:pt idx="3780" formatCode="General">
                  <c:v>632</c:v>
                </c:pt>
                <c:pt idx="3781" formatCode="General">
                  <c:v>164</c:v>
                </c:pt>
                <c:pt idx="3782" formatCode="General">
                  <c:v>854</c:v>
                </c:pt>
                <c:pt idx="3783" formatCode="General">
                  <c:v>527</c:v>
                </c:pt>
                <c:pt idx="3784" formatCode="General">
                  <c:v>679</c:v>
                </c:pt>
                <c:pt idx="3785" formatCode="General">
                  <c:v>515</c:v>
                </c:pt>
                <c:pt idx="3786" formatCode="General">
                  <c:v>445</c:v>
                </c:pt>
                <c:pt idx="3787" formatCode="General">
                  <c:v>725</c:v>
                </c:pt>
                <c:pt idx="3788" formatCode="General">
                  <c:v>796</c:v>
                </c:pt>
                <c:pt idx="3789" formatCode="General">
                  <c:v>866</c:v>
                </c:pt>
                <c:pt idx="3790" formatCode="General">
                  <c:v>371</c:v>
                </c:pt>
                <c:pt idx="3791" formatCode="General">
                  <c:v>476</c:v>
                </c:pt>
                <c:pt idx="3792" formatCode="General">
                  <c:v>731</c:v>
                </c:pt>
                <c:pt idx="3793" formatCode="General">
                  <c:v>429</c:v>
                </c:pt>
                <c:pt idx="3794" formatCode="General">
                  <c:v>592</c:v>
                </c:pt>
                <c:pt idx="3795" formatCode="General">
                  <c:v>696</c:v>
                </c:pt>
                <c:pt idx="3796" formatCode="General">
                  <c:v>452</c:v>
                </c:pt>
                <c:pt idx="3797" formatCode="General">
                  <c:v>557</c:v>
                </c:pt>
                <c:pt idx="3798" formatCode="General">
                  <c:v>476</c:v>
                </c:pt>
                <c:pt idx="3799" formatCode="General">
                  <c:v>476</c:v>
                </c:pt>
                <c:pt idx="3800" formatCode="General">
                  <c:v>441</c:v>
                </c:pt>
                <c:pt idx="3801" formatCode="General">
                  <c:v>336</c:v>
                </c:pt>
                <c:pt idx="3802" formatCode="General">
                  <c:v>441</c:v>
                </c:pt>
                <c:pt idx="3803" formatCode="General">
                  <c:v>476</c:v>
                </c:pt>
                <c:pt idx="3804" formatCode="General">
                  <c:v>650</c:v>
                </c:pt>
                <c:pt idx="3805" formatCode="General">
                  <c:v>383</c:v>
                </c:pt>
                <c:pt idx="3806" formatCode="General">
                  <c:v>638</c:v>
                </c:pt>
                <c:pt idx="3807" formatCode="General">
                  <c:v>684</c:v>
                </c:pt>
                <c:pt idx="3808" formatCode="General">
                  <c:v>638</c:v>
                </c:pt>
                <c:pt idx="3809" formatCode="General">
                  <c:v>592</c:v>
                </c:pt>
                <c:pt idx="3810" formatCode="General">
                  <c:v>742</c:v>
                </c:pt>
                <c:pt idx="3811" formatCode="General">
                  <c:v>429</c:v>
                </c:pt>
                <c:pt idx="3812" formatCode="General">
                  <c:v>371</c:v>
                </c:pt>
                <c:pt idx="3813" formatCode="General">
                  <c:v>476</c:v>
                </c:pt>
                <c:pt idx="3814" formatCode="General">
                  <c:v>325</c:v>
                </c:pt>
                <c:pt idx="3815" formatCode="General">
                  <c:v>476</c:v>
                </c:pt>
                <c:pt idx="3816" formatCode="General">
                  <c:v>568</c:v>
                </c:pt>
                <c:pt idx="3817" formatCode="General">
                  <c:v>476</c:v>
                </c:pt>
                <c:pt idx="3818" formatCode="General">
                  <c:v>580</c:v>
                </c:pt>
                <c:pt idx="3819" formatCode="General">
                  <c:v>580</c:v>
                </c:pt>
                <c:pt idx="3820" formatCode="General">
                  <c:v>615</c:v>
                </c:pt>
                <c:pt idx="3821" formatCode="General">
                  <c:v>905</c:v>
                </c:pt>
                <c:pt idx="3822" formatCode="General">
                  <c:v>580</c:v>
                </c:pt>
                <c:pt idx="3823" formatCode="General">
                  <c:v>534</c:v>
                </c:pt>
                <c:pt idx="3824" formatCode="General">
                  <c:v>267</c:v>
                </c:pt>
                <c:pt idx="3825" formatCode="General">
                  <c:v>174</c:v>
                </c:pt>
                <c:pt idx="3826" formatCode="General">
                  <c:v>406</c:v>
                </c:pt>
                <c:pt idx="3827" formatCode="General">
                  <c:v>545</c:v>
                </c:pt>
                <c:pt idx="3828" formatCode="General">
                  <c:v>313</c:v>
                </c:pt>
                <c:pt idx="3829" formatCode="General">
                  <c:v>232</c:v>
                </c:pt>
                <c:pt idx="3830" formatCode="General">
                  <c:v>406</c:v>
                </c:pt>
                <c:pt idx="3831" formatCode="General">
                  <c:v>360</c:v>
                </c:pt>
                <c:pt idx="3832" formatCode="General">
                  <c:v>441</c:v>
                </c:pt>
                <c:pt idx="3833" formatCode="General">
                  <c:v>418</c:v>
                </c:pt>
                <c:pt idx="3834" formatCode="General">
                  <c:v>383</c:v>
                </c:pt>
                <c:pt idx="3835" formatCode="General">
                  <c:v>650</c:v>
                </c:pt>
                <c:pt idx="3836" formatCode="General">
                  <c:v>232</c:v>
                </c:pt>
                <c:pt idx="3837" formatCode="General">
                  <c:v>278</c:v>
                </c:pt>
                <c:pt idx="3838" formatCode="General">
                  <c:v>325</c:v>
                </c:pt>
                <c:pt idx="3839" formatCode="General">
                  <c:v>429</c:v>
                </c:pt>
                <c:pt idx="3840" formatCode="General">
                  <c:v>128</c:v>
                </c:pt>
                <c:pt idx="3841" formatCode="General">
                  <c:v>383</c:v>
                </c:pt>
                <c:pt idx="3842" formatCode="General">
                  <c:v>499</c:v>
                </c:pt>
                <c:pt idx="3843" formatCode="General">
                  <c:v>139</c:v>
                </c:pt>
                <c:pt idx="3844" formatCode="General">
                  <c:v>603</c:v>
                </c:pt>
                <c:pt idx="3845" formatCode="General">
                  <c:v>499</c:v>
                </c:pt>
                <c:pt idx="3846" formatCode="General">
                  <c:v>394</c:v>
                </c:pt>
                <c:pt idx="3847" formatCode="General">
                  <c:v>499</c:v>
                </c:pt>
                <c:pt idx="3848" formatCode="General">
                  <c:v>568</c:v>
                </c:pt>
                <c:pt idx="3849" formatCode="General">
                  <c:v>644</c:v>
                </c:pt>
                <c:pt idx="3850" formatCode="General">
                  <c:v>449</c:v>
                </c:pt>
                <c:pt idx="3851" formatCode="General">
                  <c:v>782</c:v>
                </c:pt>
                <c:pt idx="3852" formatCode="General">
                  <c:v>667</c:v>
                </c:pt>
                <c:pt idx="3853" formatCode="General">
                  <c:v>690</c:v>
                </c:pt>
                <c:pt idx="3854" formatCode="General">
                  <c:v>978</c:v>
                </c:pt>
                <c:pt idx="3855" formatCode="General">
                  <c:v>472</c:v>
                </c:pt>
                <c:pt idx="3856" formatCode="General">
                  <c:v>437</c:v>
                </c:pt>
                <c:pt idx="3857" formatCode="General">
                  <c:v>679</c:v>
                </c:pt>
                <c:pt idx="3858" formatCode="General">
                  <c:v>161</c:v>
                </c:pt>
                <c:pt idx="3859" formatCode="General">
                  <c:v>219</c:v>
                </c:pt>
                <c:pt idx="3860" formatCode="General">
                  <c:v>265</c:v>
                </c:pt>
                <c:pt idx="3861" formatCode="General">
                  <c:v>506</c:v>
                </c:pt>
                <c:pt idx="3862" formatCode="General">
                  <c:v>794</c:v>
                </c:pt>
                <c:pt idx="3863" formatCode="General">
                  <c:v>633</c:v>
                </c:pt>
                <c:pt idx="3864" formatCode="General">
                  <c:v>621</c:v>
                </c:pt>
                <c:pt idx="3865" formatCode="General">
                  <c:v>575</c:v>
                </c:pt>
                <c:pt idx="3866" formatCode="General">
                  <c:v>437</c:v>
                </c:pt>
                <c:pt idx="3867" formatCode="General">
                  <c:v>219</c:v>
                </c:pt>
                <c:pt idx="3868" formatCode="General">
                  <c:v>679</c:v>
                </c:pt>
                <c:pt idx="3869" formatCode="General">
                  <c:v>621</c:v>
                </c:pt>
                <c:pt idx="3870" formatCode="General">
                  <c:v>472</c:v>
                </c:pt>
                <c:pt idx="3871" formatCode="General">
                  <c:v>391</c:v>
                </c:pt>
                <c:pt idx="3872" formatCode="General">
                  <c:v>587</c:v>
                </c:pt>
                <c:pt idx="3873" formatCode="General">
                  <c:v>748</c:v>
                </c:pt>
                <c:pt idx="3874" formatCode="General">
                  <c:v>679</c:v>
                </c:pt>
                <c:pt idx="3875" formatCode="General">
                  <c:v>353</c:v>
                </c:pt>
                <c:pt idx="3876" formatCode="General">
                  <c:v>479</c:v>
                </c:pt>
                <c:pt idx="3877" formatCode="General">
                  <c:v>467</c:v>
                </c:pt>
                <c:pt idx="3878" formatCode="General">
                  <c:v>182</c:v>
                </c:pt>
                <c:pt idx="3879" formatCode="General">
                  <c:v>536</c:v>
                </c:pt>
                <c:pt idx="3880" formatCode="General">
                  <c:v>388</c:v>
                </c:pt>
                <c:pt idx="3881" formatCode="General">
                  <c:v>467</c:v>
                </c:pt>
                <c:pt idx="3882" formatCode="General">
                  <c:v>388</c:v>
                </c:pt>
                <c:pt idx="3883" formatCode="General">
                  <c:v>365</c:v>
                </c:pt>
                <c:pt idx="3884" formatCode="General">
                  <c:v>513</c:v>
                </c:pt>
                <c:pt idx="3885" formatCode="General">
                  <c:v>365</c:v>
                </c:pt>
                <c:pt idx="3886" formatCode="General">
                  <c:v>410</c:v>
                </c:pt>
                <c:pt idx="3887" formatCode="General">
                  <c:v>445</c:v>
                </c:pt>
                <c:pt idx="3888" formatCode="General">
                  <c:v>536</c:v>
                </c:pt>
                <c:pt idx="3889" formatCode="General">
                  <c:v>479</c:v>
                </c:pt>
                <c:pt idx="3890" formatCode="General">
                  <c:v>581</c:v>
                </c:pt>
                <c:pt idx="3891" formatCode="General">
                  <c:v>490</c:v>
                </c:pt>
                <c:pt idx="3892" formatCode="General">
                  <c:v>520</c:v>
                </c:pt>
                <c:pt idx="3893" formatCode="General">
                  <c:v>746</c:v>
                </c:pt>
                <c:pt idx="3894" formatCode="General">
                  <c:v>836</c:v>
                </c:pt>
                <c:pt idx="3895" formatCode="General">
                  <c:v>689</c:v>
                </c:pt>
                <c:pt idx="3896" formatCode="General">
                  <c:v>678</c:v>
                </c:pt>
                <c:pt idx="3897" formatCode="General">
                  <c:v>701</c:v>
                </c:pt>
                <c:pt idx="3898" formatCode="General">
                  <c:v>633</c:v>
                </c:pt>
                <c:pt idx="3899" formatCode="General">
                  <c:v>486</c:v>
                </c:pt>
                <c:pt idx="3900" formatCode="General">
                  <c:v>407</c:v>
                </c:pt>
                <c:pt idx="3901" formatCode="General">
                  <c:v>576</c:v>
                </c:pt>
                <c:pt idx="3902" formatCode="General">
                  <c:v>576</c:v>
                </c:pt>
                <c:pt idx="3903" formatCode="General">
                  <c:v>203</c:v>
                </c:pt>
                <c:pt idx="3904" formatCode="General">
                  <c:v>655</c:v>
                </c:pt>
                <c:pt idx="3905" formatCode="General">
                  <c:v>768</c:v>
                </c:pt>
                <c:pt idx="3906" formatCode="General">
                  <c:v>463</c:v>
                </c:pt>
                <c:pt idx="3907" formatCode="General">
                  <c:v>938</c:v>
                </c:pt>
                <c:pt idx="3908" formatCode="General">
                  <c:v>576</c:v>
                </c:pt>
                <c:pt idx="3909" formatCode="General">
                  <c:v>305</c:v>
                </c:pt>
                <c:pt idx="3910" formatCode="General">
                  <c:v>520</c:v>
                </c:pt>
                <c:pt idx="3911" formatCode="General">
                  <c:v>588</c:v>
                </c:pt>
                <c:pt idx="3912" formatCode="General">
                  <c:v>588</c:v>
                </c:pt>
                <c:pt idx="3913" formatCode="General">
                  <c:v>215</c:v>
                </c:pt>
                <c:pt idx="3914" formatCode="General">
                  <c:v>260</c:v>
                </c:pt>
                <c:pt idx="3915" formatCode="General">
                  <c:v>362</c:v>
                </c:pt>
                <c:pt idx="3916" formatCode="General">
                  <c:v>328</c:v>
                </c:pt>
                <c:pt idx="3917" formatCode="General">
                  <c:v>215</c:v>
                </c:pt>
                <c:pt idx="3918" formatCode="General">
                  <c:v>486</c:v>
                </c:pt>
                <c:pt idx="3919" formatCode="General">
                  <c:v>328</c:v>
                </c:pt>
                <c:pt idx="3920" formatCode="General">
                  <c:v>316</c:v>
                </c:pt>
                <c:pt idx="3921" formatCode="General">
                  <c:v>328</c:v>
                </c:pt>
                <c:pt idx="3922" formatCode="General">
                  <c:v>429</c:v>
                </c:pt>
                <c:pt idx="3923" formatCode="General">
                  <c:v>599</c:v>
                </c:pt>
                <c:pt idx="3924" formatCode="General">
                  <c:v>610</c:v>
                </c:pt>
                <c:pt idx="3925" formatCode="General">
                  <c:v>463</c:v>
                </c:pt>
                <c:pt idx="3926" formatCode="General">
                  <c:v>735</c:v>
                </c:pt>
                <c:pt idx="3927" formatCode="General">
                  <c:v>554</c:v>
                </c:pt>
                <c:pt idx="3928" formatCode="General">
                  <c:v>599</c:v>
                </c:pt>
                <c:pt idx="3929" formatCode="General">
                  <c:v>418</c:v>
                </c:pt>
                <c:pt idx="3930" formatCode="General">
                  <c:v>271</c:v>
                </c:pt>
                <c:pt idx="3931" formatCode="General">
                  <c:v>429</c:v>
                </c:pt>
                <c:pt idx="3932" formatCode="General">
                  <c:v>542</c:v>
                </c:pt>
                <c:pt idx="3933" formatCode="General">
                  <c:v>576</c:v>
                </c:pt>
                <c:pt idx="3934" formatCode="General">
                  <c:v>531</c:v>
                </c:pt>
                <c:pt idx="3935" formatCode="General">
                  <c:v>588</c:v>
                </c:pt>
                <c:pt idx="3936" formatCode="General">
                  <c:v>429</c:v>
                </c:pt>
                <c:pt idx="3937" formatCode="General">
                  <c:v>316</c:v>
                </c:pt>
                <c:pt idx="3938" formatCode="General">
                  <c:v>305</c:v>
                </c:pt>
                <c:pt idx="3939" formatCode="General">
                  <c:v>486</c:v>
                </c:pt>
                <c:pt idx="3940" formatCode="General">
                  <c:v>588</c:v>
                </c:pt>
                <c:pt idx="3941" formatCode="General">
                  <c:v>622</c:v>
                </c:pt>
                <c:pt idx="3942" formatCode="General">
                  <c:v>667</c:v>
                </c:pt>
                <c:pt idx="3943" formatCode="General">
                  <c:v>701</c:v>
                </c:pt>
                <c:pt idx="3944" formatCode="General">
                  <c:v>622</c:v>
                </c:pt>
                <c:pt idx="3945" formatCode="General">
                  <c:v>294</c:v>
                </c:pt>
                <c:pt idx="3946" formatCode="General">
                  <c:v>531</c:v>
                </c:pt>
                <c:pt idx="3947" formatCode="General">
                  <c:v>271</c:v>
                </c:pt>
                <c:pt idx="3948" formatCode="General">
                  <c:v>644</c:v>
                </c:pt>
                <c:pt idx="3949" formatCode="General">
                  <c:v>407</c:v>
                </c:pt>
                <c:pt idx="3950" formatCode="General">
                  <c:v>418</c:v>
                </c:pt>
                <c:pt idx="3951" formatCode="General">
                  <c:v>407</c:v>
                </c:pt>
                <c:pt idx="3952" formatCode="General">
                  <c:v>452</c:v>
                </c:pt>
                <c:pt idx="3953" formatCode="General">
                  <c:v>429</c:v>
                </c:pt>
                <c:pt idx="3954" formatCode="General">
                  <c:v>418</c:v>
                </c:pt>
                <c:pt idx="3955" formatCode="General">
                  <c:v>418</c:v>
                </c:pt>
                <c:pt idx="3956" formatCode="General">
                  <c:v>441</c:v>
                </c:pt>
                <c:pt idx="3957" formatCode="General">
                  <c:v>616</c:v>
                </c:pt>
                <c:pt idx="3958" formatCode="General">
                  <c:v>650</c:v>
                </c:pt>
                <c:pt idx="3959" formatCode="General">
                  <c:v>773</c:v>
                </c:pt>
                <c:pt idx="3960" formatCode="General">
                  <c:v>538</c:v>
                </c:pt>
                <c:pt idx="3961" formatCode="General">
                  <c:v>750</c:v>
                </c:pt>
                <c:pt idx="3962" formatCode="General">
                  <c:v>470</c:v>
                </c:pt>
                <c:pt idx="3963" formatCode="General">
                  <c:v>627</c:v>
                </c:pt>
                <c:pt idx="3964" formatCode="General">
                  <c:v>258</c:v>
                </c:pt>
                <c:pt idx="3965" formatCode="General">
                  <c:v>426</c:v>
                </c:pt>
                <c:pt idx="3966" formatCode="General">
                  <c:v>616</c:v>
                </c:pt>
                <c:pt idx="3967" formatCode="General">
                  <c:v>672</c:v>
                </c:pt>
                <c:pt idx="3968" formatCode="General">
                  <c:v>616</c:v>
                </c:pt>
                <c:pt idx="3969" formatCode="General">
                  <c:v>370</c:v>
                </c:pt>
                <c:pt idx="3970" formatCode="General">
                  <c:v>538</c:v>
                </c:pt>
                <c:pt idx="3971" formatCode="General">
                  <c:v>202</c:v>
                </c:pt>
                <c:pt idx="3972" formatCode="General">
                  <c:v>269</c:v>
                </c:pt>
                <c:pt idx="3973" formatCode="General">
                  <c:v>269</c:v>
                </c:pt>
                <c:pt idx="3974" formatCode="General">
                  <c:v>302</c:v>
                </c:pt>
                <c:pt idx="3975" formatCode="General">
                  <c:v>426</c:v>
                </c:pt>
                <c:pt idx="3976" formatCode="General">
                  <c:v>482</c:v>
                </c:pt>
                <c:pt idx="3977" formatCode="General">
                  <c:v>549</c:v>
                </c:pt>
                <c:pt idx="3978" formatCode="General">
                  <c:v>381</c:v>
                </c:pt>
                <c:pt idx="3979" formatCode="General">
                  <c:v>582</c:v>
                </c:pt>
                <c:pt idx="3980" formatCode="General">
                  <c:v>571</c:v>
                </c:pt>
                <c:pt idx="3981" formatCode="General">
                  <c:v>582</c:v>
                </c:pt>
                <c:pt idx="3982" formatCode="General">
                  <c:v>414</c:v>
                </c:pt>
                <c:pt idx="3983" formatCode="General">
                  <c:v>325</c:v>
                </c:pt>
                <c:pt idx="3984" formatCode="General">
                  <c:v>717</c:v>
                </c:pt>
                <c:pt idx="3985" formatCode="General">
                  <c:v>762</c:v>
                </c:pt>
                <c:pt idx="3986" formatCode="General">
                  <c:v>482</c:v>
                </c:pt>
                <c:pt idx="3987" formatCode="General">
                  <c:v>459</c:v>
                </c:pt>
                <c:pt idx="3988" formatCode="General">
                  <c:v>560</c:v>
                </c:pt>
                <c:pt idx="3989" formatCode="General">
                  <c:v>538</c:v>
                </c:pt>
                <c:pt idx="3990" formatCode="General">
                  <c:v>750</c:v>
                </c:pt>
                <c:pt idx="3991" formatCode="General">
                  <c:v>728</c:v>
                </c:pt>
                <c:pt idx="3992" formatCode="General">
                  <c:v>482</c:v>
                </c:pt>
                <c:pt idx="3993" formatCode="General">
                  <c:v>459</c:v>
                </c:pt>
                <c:pt idx="3994" formatCode="General">
                  <c:v>437</c:v>
                </c:pt>
                <c:pt idx="3995" formatCode="General">
                  <c:v>291</c:v>
                </c:pt>
                <c:pt idx="3996" formatCode="General">
                  <c:v>392</c:v>
                </c:pt>
                <c:pt idx="3997" formatCode="General">
                  <c:v>448</c:v>
                </c:pt>
                <c:pt idx="3998" formatCode="General">
                  <c:v>627</c:v>
                </c:pt>
                <c:pt idx="3999" formatCode="General">
                  <c:v>190</c:v>
                </c:pt>
                <c:pt idx="4000" formatCode="General">
                  <c:v>90</c:v>
                </c:pt>
                <c:pt idx="4001" formatCode="General">
                  <c:v>224</c:v>
                </c:pt>
                <c:pt idx="4002" formatCode="General">
                  <c:v>157</c:v>
                </c:pt>
                <c:pt idx="4003" formatCode="General">
                  <c:v>157</c:v>
                </c:pt>
                <c:pt idx="4004" formatCode="General">
                  <c:v>370</c:v>
                </c:pt>
                <c:pt idx="4005" formatCode="General">
                  <c:v>403</c:v>
                </c:pt>
                <c:pt idx="4006" formatCode="General">
                  <c:v>455</c:v>
                </c:pt>
                <c:pt idx="4007" formatCode="General">
                  <c:v>488</c:v>
                </c:pt>
                <c:pt idx="4008" formatCode="General">
                  <c:v>644</c:v>
                </c:pt>
                <c:pt idx="4009" formatCode="General">
                  <c:v>422</c:v>
                </c:pt>
                <c:pt idx="4010" formatCode="General">
                  <c:v>799</c:v>
                </c:pt>
                <c:pt idx="4011" formatCode="General">
                  <c:v>488</c:v>
                </c:pt>
                <c:pt idx="4012" formatCode="General">
                  <c:v>366</c:v>
                </c:pt>
                <c:pt idx="4013" formatCode="General">
                  <c:v>533</c:v>
                </c:pt>
                <c:pt idx="4014" formatCode="General">
                  <c:v>655</c:v>
                </c:pt>
                <c:pt idx="4015" formatCode="General">
                  <c:v>544</c:v>
                </c:pt>
                <c:pt idx="4016" formatCode="General">
                  <c:v>544</c:v>
                </c:pt>
                <c:pt idx="4017" formatCode="General">
                  <c:v>733</c:v>
                </c:pt>
                <c:pt idx="4018" formatCode="General">
                  <c:v>810</c:v>
                </c:pt>
                <c:pt idx="4019" formatCode="General">
                  <c:v>422</c:v>
                </c:pt>
                <c:pt idx="4020" formatCode="General">
                  <c:v>755</c:v>
                </c:pt>
                <c:pt idx="4021" formatCode="General">
                  <c:v>400</c:v>
                </c:pt>
                <c:pt idx="4022" formatCode="General">
                  <c:v>611</c:v>
                </c:pt>
                <c:pt idx="4023" formatCode="General">
                  <c:v>455</c:v>
                </c:pt>
                <c:pt idx="4024" formatCode="General">
                  <c:v>644</c:v>
                </c:pt>
                <c:pt idx="4025" formatCode="General">
                  <c:v>599</c:v>
                </c:pt>
                <c:pt idx="4026" formatCode="General">
                  <c:v>311</c:v>
                </c:pt>
                <c:pt idx="4027" formatCode="General">
                  <c:v>311</c:v>
                </c:pt>
                <c:pt idx="4028" formatCode="General">
                  <c:v>488</c:v>
                </c:pt>
                <c:pt idx="4029" formatCode="General">
                  <c:v>566</c:v>
                </c:pt>
                <c:pt idx="4030" formatCode="General">
                  <c:v>666</c:v>
                </c:pt>
                <c:pt idx="4031" formatCode="General">
                  <c:v>377</c:v>
                </c:pt>
                <c:pt idx="4032" formatCode="General">
                  <c:v>355</c:v>
                </c:pt>
                <c:pt idx="4033" formatCode="General">
                  <c:v>500</c:v>
                </c:pt>
                <c:pt idx="4034" formatCode="General">
                  <c:v>222</c:v>
                </c:pt>
                <c:pt idx="4035" formatCode="General">
                  <c:v>78</c:v>
                </c:pt>
                <c:pt idx="4036" formatCode="General">
                  <c:v>311</c:v>
                </c:pt>
                <c:pt idx="4037" formatCode="General">
                  <c:v>544</c:v>
                </c:pt>
                <c:pt idx="4038" formatCode="General">
                  <c:v>344</c:v>
                </c:pt>
                <c:pt idx="4039" formatCode="General">
                  <c:v>444</c:v>
                </c:pt>
                <c:pt idx="4040" formatCode="General">
                  <c:v>255</c:v>
                </c:pt>
                <c:pt idx="4041" formatCode="General">
                  <c:v>355</c:v>
                </c:pt>
                <c:pt idx="4042" formatCode="General">
                  <c:v>200</c:v>
                </c:pt>
                <c:pt idx="4043" formatCode="General">
                  <c:v>244</c:v>
                </c:pt>
                <c:pt idx="4044" formatCode="General">
                  <c:v>355</c:v>
                </c:pt>
                <c:pt idx="4045" formatCode="General">
                  <c:v>322</c:v>
                </c:pt>
                <c:pt idx="4046" formatCode="General">
                  <c:v>344</c:v>
                </c:pt>
                <c:pt idx="4047" formatCode="General">
                  <c:v>566</c:v>
                </c:pt>
                <c:pt idx="4048" formatCode="General">
                  <c:v>466</c:v>
                </c:pt>
                <c:pt idx="4049" formatCode="General">
                  <c:v>433</c:v>
                </c:pt>
                <c:pt idx="4050" formatCode="General">
                  <c:v>589</c:v>
                </c:pt>
                <c:pt idx="4051" formatCode="General">
                  <c:v>447</c:v>
                </c:pt>
                <c:pt idx="4052" formatCode="General">
                  <c:v>360</c:v>
                </c:pt>
                <c:pt idx="4053" formatCode="General">
                  <c:v>469</c:v>
                </c:pt>
                <c:pt idx="4054" formatCode="General">
                  <c:v>785</c:v>
                </c:pt>
                <c:pt idx="4055" formatCode="General">
                  <c:v>305</c:v>
                </c:pt>
                <c:pt idx="4056" formatCode="General">
                  <c:v>349</c:v>
                </c:pt>
                <c:pt idx="4057" formatCode="General">
                  <c:v>349</c:v>
                </c:pt>
                <c:pt idx="4058" formatCode="General">
                  <c:v>251</c:v>
                </c:pt>
                <c:pt idx="4059" formatCode="General">
                  <c:v>556</c:v>
                </c:pt>
                <c:pt idx="4060" formatCode="General">
                  <c:v>273</c:v>
                </c:pt>
                <c:pt idx="4061" formatCode="General">
                  <c:v>545</c:v>
                </c:pt>
                <c:pt idx="4062" formatCode="General">
                  <c:v>589</c:v>
                </c:pt>
                <c:pt idx="4063" formatCode="General">
                  <c:v>305</c:v>
                </c:pt>
                <c:pt idx="4064" formatCode="General">
                  <c:v>403</c:v>
                </c:pt>
                <c:pt idx="4065" formatCode="General">
                  <c:v>436</c:v>
                </c:pt>
                <c:pt idx="4066" formatCode="General">
                  <c:v>207</c:v>
                </c:pt>
                <c:pt idx="4067" formatCode="General">
                  <c:v>251</c:v>
                </c:pt>
                <c:pt idx="4068" formatCode="General">
                  <c:v>262</c:v>
                </c:pt>
                <c:pt idx="4069" formatCode="General">
                  <c:v>392</c:v>
                </c:pt>
                <c:pt idx="4070" formatCode="General">
                  <c:v>403</c:v>
                </c:pt>
                <c:pt idx="4071" formatCode="General">
                  <c:v>316</c:v>
                </c:pt>
                <c:pt idx="4072" formatCode="General">
                  <c:v>458</c:v>
                </c:pt>
                <c:pt idx="4073" formatCode="General">
                  <c:v>469</c:v>
                </c:pt>
                <c:pt idx="4074" formatCode="General">
                  <c:v>469</c:v>
                </c:pt>
                <c:pt idx="4075" formatCode="General">
                  <c:v>501</c:v>
                </c:pt>
                <c:pt idx="4076" formatCode="General">
                  <c:v>218</c:v>
                </c:pt>
                <c:pt idx="4077" formatCode="General">
                  <c:v>360</c:v>
                </c:pt>
                <c:pt idx="4078" formatCode="General">
                  <c:v>469</c:v>
                </c:pt>
                <c:pt idx="4079" formatCode="General">
                  <c:v>842</c:v>
                </c:pt>
                <c:pt idx="4080" formatCode="General">
                  <c:v>605</c:v>
                </c:pt>
                <c:pt idx="4081" formatCode="General">
                  <c:v>648</c:v>
                </c:pt>
                <c:pt idx="4082" formatCode="General">
                  <c:v>821</c:v>
                </c:pt>
                <c:pt idx="4083" formatCode="General">
                  <c:v>637</c:v>
                </c:pt>
                <c:pt idx="4084" formatCode="General">
                  <c:v>626</c:v>
                </c:pt>
                <c:pt idx="4085" formatCode="General">
                  <c:v>356</c:v>
                </c:pt>
                <c:pt idx="4086" formatCode="General">
                  <c:v>508</c:v>
                </c:pt>
                <c:pt idx="4087" formatCode="General">
                  <c:v>518</c:v>
                </c:pt>
                <c:pt idx="4088" formatCode="General">
                  <c:v>205</c:v>
                </c:pt>
                <c:pt idx="4089" formatCode="General">
                  <c:v>367</c:v>
                </c:pt>
                <c:pt idx="4090" formatCode="General">
                  <c:v>216</c:v>
                </c:pt>
                <c:pt idx="4091" formatCode="General">
                  <c:v>421</c:v>
                </c:pt>
                <c:pt idx="4092" formatCode="General">
                  <c:v>929</c:v>
                </c:pt>
                <c:pt idx="4093" formatCode="General">
                  <c:v>540</c:v>
                </c:pt>
                <c:pt idx="4094" formatCode="General">
                  <c:v>562</c:v>
                </c:pt>
                <c:pt idx="4095" formatCode="General">
                  <c:v>421</c:v>
                </c:pt>
                <c:pt idx="4096" formatCode="General">
                  <c:v>313</c:v>
                </c:pt>
                <c:pt idx="4097" formatCode="General">
                  <c:v>529</c:v>
                </c:pt>
                <c:pt idx="4098" formatCode="General">
                  <c:v>637</c:v>
                </c:pt>
                <c:pt idx="4099" formatCode="General">
                  <c:v>518</c:v>
                </c:pt>
                <c:pt idx="4100" formatCode="General">
                  <c:v>670</c:v>
                </c:pt>
                <c:pt idx="4101" formatCode="General">
                  <c:v>278</c:v>
                </c:pt>
                <c:pt idx="4102" formatCode="General">
                  <c:v>514</c:v>
                </c:pt>
                <c:pt idx="4103" formatCode="General">
                  <c:v>417</c:v>
                </c:pt>
                <c:pt idx="4104" formatCode="General">
                  <c:v>321</c:v>
                </c:pt>
                <c:pt idx="4105" formatCode="General">
                  <c:v>107</c:v>
                </c:pt>
                <c:pt idx="4106" formatCode="General">
                  <c:v>150</c:v>
                </c:pt>
                <c:pt idx="4107" formatCode="General">
                  <c:v>385</c:v>
                </c:pt>
                <c:pt idx="4108" formatCode="General">
                  <c:v>396</c:v>
                </c:pt>
                <c:pt idx="4109" formatCode="General">
                  <c:v>503</c:v>
                </c:pt>
                <c:pt idx="4110" formatCode="General">
                  <c:v>150</c:v>
                </c:pt>
                <c:pt idx="4111" formatCode="General">
                  <c:v>289</c:v>
                </c:pt>
                <c:pt idx="4112" formatCode="General">
                  <c:v>385</c:v>
                </c:pt>
                <c:pt idx="4113" formatCode="General">
                  <c:v>385</c:v>
                </c:pt>
                <c:pt idx="4114" formatCode="General">
                  <c:v>385</c:v>
                </c:pt>
                <c:pt idx="4115" formatCode="General">
                  <c:v>375</c:v>
                </c:pt>
                <c:pt idx="4116" formatCode="General">
                  <c:v>417</c:v>
                </c:pt>
                <c:pt idx="4117" formatCode="General">
                  <c:v>488</c:v>
                </c:pt>
                <c:pt idx="4118" formatCode="General">
                  <c:v>583</c:v>
                </c:pt>
                <c:pt idx="4119" formatCode="General">
                  <c:v>689</c:v>
                </c:pt>
                <c:pt idx="4120" formatCode="General">
                  <c:v>466</c:v>
                </c:pt>
                <c:pt idx="4121" formatCode="General">
                  <c:v>435</c:v>
                </c:pt>
                <c:pt idx="4122" formatCode="General">
                  <c:v>403</c:v>
                </c:pt>
                <c:pt idx="4123" formatCode="General">
                  <c:v>435</c:v>
                </c:pt>
                <c:pt idx="4124" formatCode="General">
                  <c:v>551</c:v>
                </c:pt>
                <c:pt idx="4125" formatCode="General">
                  <c:v>435</c:v>
                </c:pt>
                <c:pt idx="4126" formatCode="General">
                  <c:v>594</c:v>
                </c:pt>
                <c:pt idx="4127" formatCode="General">
                  <c:v>413</c:v>
                </c:pt>
                <c:pt idx="4128" formatCode="General">
                  <c:v>498</c:v>
                </c:pt>
                <c:pt idx="4129" formatCode="General">
                  <c:v>678</c:v>
                </c:pt>
                <c:pt idx="4130" formatCode="General">
                  <c:v>572</c:v>
                </c:pt>
                <c:pt idx="4131" formatCode="General">
                  <c:v>392</c:v>
                </c:pt>
                <c:pt idx="4132" formatCode="General">
                  <c:v>392</c:v>
                </c:pt>
                <c:pt idx="4133" formatCode="General">
                  <c:v>466</c:v>
                </c:pt>
                <c:pt idx="4134" formatCode="General">
                  <c:v>572</c:v>
                </c:pt>
                <c:pt idx="4135" formatCode="General">
                  <c:v>201</c:v>
                </c:pt>
                <c:pt idx="4136" formatCode="General">
                  <c:v>286</c:v>
                </c:pt>
                <c:pt idx="4137" formatCode="General">
                  <c:v>286</c:v>
                </c:pt>
                <c:pt idx="4138" formatCode="General">
                  <c:v>339</c:v>
                </c:pt>
                <c:pt idx="4139" formatCode="General">
                  <c:v>201</c:v>
                </c:pt>
                <c:pt idx="4140" formatCode="General">
                  <c:v>350</c:v>
                </c:pt>
                <c:pt idx="4141" formatCode="General">
                  <c:v>562</c:v>
                </c:pt>
                <c:pt idx="4142" formatCode="General">
                  <c:v>721</c:v>
                </c:pt>
                <c:pt idx="4143" formatCode="General">
                  <c:v>678</c:v>
                </c:pt>
                <c:pt idx="4144" formatCode="General">
                  <c:v>536</c:v>
                </c:pt>
                <c:pt idx="4145" formatCode="General">
                  <c:v>567</c:v>
                </c:pt>
                <c:pt idx="4146" formatCode="General">
                  <c:v>630</c:v>
                </c:pt>
                <c:pt idx="4147" formatCode="General">
                  <c:v>683</c:v>
                </c:pt>
                <c:pt idx="4148" formatCode="General">
                  <c:v>714</c:v>
                </c:pt>
                <c:pt idx="4149" formatCode="General">
                  <c:v>651</c:v>
                </c:pt>
                <c:pt idx="4150" formatCode="General">
                  <c:v>861</c:v>
                </c:pt>
                <c:pt idx="4151" formatCode="General">
                  <c:v>462</c:v>
                </c:pt>
                <c:pt idx="4152" formatCode="General">
                  <c:v>399</c:v>
                </c:pt>
                <c:pt idx="4153" formatCode="General">
                  <c:v>347</c:v>
                </c:pt>
                <c:pt idx="4154" formatCode="General">
                  <c:v>672</c:v>
                </c:pt>
                <c:pt idx="4155" formatCode="General">
                  <c:v>588</c:v>
                </c:pt>
                <c:pt idx="4156" formatCode="General">
                  <c:v>378</c:v>
                </c:pt>
                <c:pt idx="4157" formatCode="General">
                  <c:v>378</c:v>
                </c:pt>
                <c:pt idx="4158" formatCode="General">
                  <c:v>294</c:v>
                </c:pt>
                <c:pt idx="4159" formatCode="General">
                  <c:v>473</c:v>
                </c:pt>
                <c:pt idx="4160" formatCode="General">
                  <c:v>305</c:v>
                </c:pt>
                <c:pt idx="4161" formatCode="General">
                  <c:v>410</c:v>
                </c:pt>
                <c:pt idx="4162" formatCode="General">
                  <c:v>410</c:v>
                </c:pt>
                <c:pt idx="4163" formatCode="General">
                  <c:v>525</c:v>
                </c:pt>
                <c:pt idx="4164" formatCode="General">
                  <c:v>609</c:v>
                </c:pt>
                <c:pt idx="4165" formatCode="General">
                  <c:v>462</c:v>
                </c:pt>
                <c:pt idx="4166" formatCode="General">
                  <c:v>546</c:v>
                </c:pt>
                <c:pt idx="4167" formatCode="General">
                  <c:v>578</c:v>
                </c:pt>
                <c:pt idx="4168" formatCode="General">
                  <c:v>378</c:v>
                </c:pt>
                <c:pt idx="4169" formatCode="General">
                  <c:v>347</c:v>
                </c:pt>
                <c:pt idx="4170" formatCode="General">
                  <c:v>399</c:v>
                </c:pt>
                <c:pt idx="4171" formatCode="General">
                  <c:v>567</c:v>
                </c:pt>
                <c:pt idx="4172" formatCode="General">
                  <c:v>462</c:v>
                </c:pt>
                <c:pt idx="4173" formatCode="General">
                  <c:v>504</c:v>
                </c:pt>
                <c:pt idx="4174" formatCode="General">
                  <c:v>714</c:v>
                </c:pt>
                <c:pt idx="4175" formatCode="General">
                  <c:v>662</c:v>
                </c:pt>
                <c:pt idx="4176" formatCode="General">
                  <c:v>441</c:v>
                </c:pt>
                <c:pt idx="4177" formatCode="General">
                  <c:v>242</c:v>
                </c:pt>
                <c:pt idx="4178" formatCode="General">
                  <c:v>252</c:v>
                </c:pt>
                <c:pt idx="4179" formatCode="General">
                  <c:v>756</c:v>
                </c:pt>
                <c:pt idx="4180" formatCode="General">
                  <c:v>515</c:v>
                </c:pt>
                <c:pt idx="4181" formatCode="General">
                  <c:v>252</c:v>
                </c:pt>
                <c:pt idx="4182" formatCode="General">
                  <c:v>441</c:v>
                </c:pt>
                <c:pt idx="4183" formatCode="General">
                  <c:v>462</c:v>
                </c:pt>
                <c:pt idx="4184" formatCode="General">
                  <c:v>546</c:v>
                </c:pt>
                <c:pt idx="4185" formatCode="General">
                  <c:v>515</c:v>
                </c:pt>
                <c:pt idx="4186" formatCode="General">
                  <c:v>578</c:v>
                </c:pt>
                <c:pt idx="4187" formatCode="General">
                  <c:v>515</c:v>
                </c:pt>
                <c:pt idx="4188" formatCode="General">
                  <c:v>557</c:v>
                </c:pt>
                <c:pt idx="4189" formatCode="General">
                  <c:v>504</c:v>
                </c:pt>
                <c:pt idx="4190" formatCode="General">
                  <c:v>546</c:v>
                </c:pt>
                <c:pt idx="4191" formatCode="General">
                  <c:v>777</c:v>
                </c:pt>
                <c:pt idx="4192" formatCode="General">
                  <c:v>546</c:v>
                </c:pt>
                <c:pt idx="4193" formatCode="General">
                  <c:v>494</c:v>
                </c:pt>
                <c:pt idx="4194" formatCode="General">
                  <c:v>494</c:v>
                </c:pt>
                <c:pt idx="4195" formatCode="General">
                  <c:v>210</c:v>
                </c:pt>
                <c:pt idx="4196" formatCode="General">
                  <c:v>462</c:v>
                </c:pt>
                <c:pt idx="4197" formatCode="General">
                  <c:v>231</c:v>
                </c:pt>
                <c:pt idx="4198" formatCode="General">
                  <c:v>536</c:v>
                </c:pt>
                <c:pt idx="4199" formatCode="General">
                  <c:v>420</c:v>
                </c:pt>
                <c:pt idx="4200" formatCode="General">
                  <c:v>441</c:v>
                </c:pt>
                <c:pt idx="4201" formatCode="General">
                  <c:v>231</c:v>
                </c:pt>
                <c:pt idx="4202" formatCode="General">
                  <c:v>74</c:v>
                </c:pt>
                <c:pt idx="4203" formatCode="General">
                  <c:v>326</c:v>
                </c:pt>
                <c:pt idx="4204" formatCode="General">
                  <c:v>399</c:v>
                </c:pt>
                <c:pt idx="4205" formatCode="General">
                  <c:v>263</c:v>
                </c:pt>
                <c:pt idx="4206" formatCode="General">
                  <c:v>588</c:v>
                </c:pt>
                <c:pt idx="4207" formatCode="General">
                  <c:v>431</c:v>
                </c:pt>
                <c:pt idx="4208" formatCode="General">
                  <c:v>420</c:v>
                </c:pt>
                <c:pt idx="4209" formatCode="General">
                  <c:v>168</c:v>
                </c:pt>
                <c:pt idx="4210" formatCode="General">
                  <c:v>389</c:v>
                </c:pt>
                <c:pt idx="4211" formatCode="General">
                  <c:v>368</c:v>
                </c:pt>
                <c:pt idx="4212" formatCode="General">
                  <c:v>420</c:v>
                </c:pt>
                <c:pt idx="4213" formatCode="General">
                  <c:v>378</c:v>
                </c:pt>
                <c:pt idx="4214" formatCode="General">
                  <c:v>452</c:v>
                </c:pt>
                <c:pt idx="4215" formatCode="General">
                  <c:v>462</c:v>
                </c:pt>
                <c:pt idx="4216" formatCode="General">
                  <c:v>336</c:v>
                </c:pt>
                <c:pt idx="4217" formatCode="General">
                  <c:v>431</c:v>
                </c:pt>
                <c:pt idx="4218" formatCode="General">
                  <c:v>572</c:v>
                </c:pt>
                <c:pt idx="4219" formatCode="General">
                  <c:v>541</c:v>
                </c:pt>
                <c:pt idx="4220" formatCode="General">
                  <c:v>624</c:v>
                </c:pt>
                <c:pt idx="4221" formatCode="General">
                  <c:v>354</c:v>
                </c:pt>
                <c:pt idx="4222" formatCode="General">
                  <c:v>697</c:v>
                </c:pt>
                <c:pt idx="4223" formatCode="General">
                  <c:v>624</c:v>
                </c:pt>
                <c:pt idx="4224" formatCode="General">
                  <c:v>676</c:v>
                </c:pt>
                <c:pt idx="4225" formatCode="General">
                  <c:v>842</c:v>
                </c:pt>
                <c:pt idx="4226" formatCode="General">
                  <c:v>333</c:v>
                </c:pt>
                <c:pt idx="4227" formatCode="General">
                  <c:v>520</c:v>
                </c:pt>
                <c:pt idx="4228" formatCode="General">
                  <c:v>426</c:v>
                </c:pt>
                <c:pt idx="4229" formatCode="General">
                  <c:v>385</c:v>
                </c:pt>
                <c:pt idx="4230" formatCode="General">
                  <c:v>395</c:v>
                </c:pt>
                <c:pt idx="4231" formatCode="General">
                  <c:v>406</c:v>
                </c:pt>
                <c:pt idx="4232" formatCode="General">
                  <c:v>302</c:v>
                </c:pt>
                <c:pt idx="4233" formatCode="General">
                  <c:v>562</c:v>
                </c:pt>
                <c:pt idx="4234" formatCode="General">
                  <c:v>551</c:v>
                </c:pt>
                <c:pt idx="4235" formatCode="General">
                  <c:v>426</c:v>
                </c:pt>
                <c:pt idx="4236" formatCode="General">
                  <c:v>562</c:v>
                </c:pt>
                <c:pt idx="4237" formatCode="General">
                  <c:v>634</c:v>
                </c:pt>
                <c:pt idx="4238" formatCode="General">
                  <c:v>655</c:v>
                </c:pt>
                <c:pt idx="4239" formatCode="General">
                  <c:v>260</c:v>
                </c:pt>
                <c:pt idx="4240" formatCode="General">
                  <c:v>125</c:v>
                </c:pt>
                <c:pt idx="4241" formatCode="General">
                  <c:v>447</c:v>
                </c:pt>
                <c:pt idx="4242" formatCode="General">
                  <c:v>354</c:v>
                </c:pt>
                <c:pt idx="4243" formatCode="General">
                  <c:v>364</c:v>
                </c:pt>
                <c:pt idx="4244" formatCode="General">
                  <c:v>499</c:v>
                </c:pt>
                <c:pt idx="4245" formatCode="General">
                  <c:v>385</c:v>
                </c:pt>
                <c:pt idx="4246" formatCode="General">
                  <c:v>551</c:v>
                </c:pt>
                <c:pt idx="4247" formatCode="General">
                  <c:v>371</c:v>
                </c:pt>
                <c:pt idx="4248" formatCode="General">
                  <c:v>632</c:v>
                </c:pt>
                <c:pt idx="4249" formatCode="General">
                  <c:v>520</c:v>
                </c:pt>
                <c:pt idx="4250" formatCode="General">
                  <c:v>530</c:v>
                </c:pt>
                <c:pt idx="4251" formatCode="General">
                  <c:v>541</c:v>
                </c:pt>
                <c:pt idx="4252" formatCode="General">
                  <c:v>551</c:v>
                </c:pt>
                <c:pt idx="4253" formatCode="General">
                  <c:v>449</c:v>
                </c:pt>
                <c:pt idx="4254" formatCode="General">
                  <c:v>388</c:v>
                </c:pt>
                <c:pt idx="4255" formatCode="General">
                  <c:v>602</c:v>
                </c:pt>
                <c:pt idx="4256" formatCode="General">
                  <c:v>347</c:v>
                </c:pt>
                <c:pt idx="4257" formatCode="General">
                  <c:v>388</c:v>
                </c:pt>
                <c:pt idx="4258" formatCode="General">
                  <c:v>286</c:v>
                </c:pt>
                <c:pt idx="4259" formatCode="General">
                  <c:v>388</c:v>
                </c:pt>
                <c:pt idx="4260" formatCode="General">
                  <c:v>510</c:v>
                </c:pt>
                <c:pt idx="4261" formatCode="General">
                  <c:v>653</c:v>
                </c:pt>
                <c:pt idx="4262" formatCode="General">
                  <c:v>612</c:v>
                </c:pt>
                <c:pt idx="4263" formatCode="General">
                  <c:v>245</c:v>
                </c:pt>
                <c:pt idx="4264" formatCode="General">
                  <c:v>245</c:v>
                </c:pt>
                <c:pt idx="4265" formatCode="General">
                  <c:v>235</c:v>
                </c:pt>
                <c:pt idx="4266" formatCode="General">
                  <c:v>428</c:v>
                </c:pt>
                <c:pt idx="4267" formatCode="General">
                  <c:v>479</c:v>
                </c:pt>
                <c:pt idx="4268" formatCode="General">
                  <c:v>530</c:v>
                </c:pt>
                <c:pt idx="4269" formatCode="General">
                  <c:v>500</c:v>
                </c:pt>
                <c:pt idx="4270" formatCode="General">
                  <c:v>541</c:v>
                </c:pt>
                <c:pt idx="4271" formatCode="General">
                  <c:v>551</c:v>
                </c:pt>
                <c:pt idx="4272" formatCode="General">
                  <c:v>418</c:v>
                </c:pt>
                <c:pt idx="4273" formatCode="General">
                  <c:v>520</c:v>
                </c:pt>
                <c:pt idx="4274" formatCode="General">
                  <c:v>612</c:v>
                </c:pt>
                <c:pt idx="4275" formatCode="General">
                  <c:v>449</c:v>
                </c:pt>
                <c:pt idx="4276" formatCode="General">
                  <c:v>357</c:v>
                </c:pt>
                <c:pt idx="4277" formatCode="General">
                  <c:v>469</c:v>
                </c:pt>
                <c:pt idx="4278" formatCode="General">
                  <c:v>326</c:v>
                </c:pt>
                <c:pt idx="4279" formatCode="General">
                  <c:v>418</c:v>
                </c:pt>
                <c:pt idx="4280" formatCode="General">
                  <c:v>133</c:v>
                </c:pt>
                <c:pt idx="4281" formatCode="General">
                  <c:v>204</c:v>
                </c:pt>
                <c:pt idx="4282" formatCode="General">
                  <c:v>194</c:v>
                </c:pt>
                <c:pt idx="4283" formatCode="General">
                  <c:v>296</c:v>
                </c:pt>
                <c:pt idx="4284" formatCode="General">
                  <c:v>377</c:v>
                </c:pt>
                <c:pt idx="4285" formatCode="General">
                  <c:v>408</c:v>
                </c:pt>
                <c:pt idx="4286" formatCode="General">
                  <c:v>388</c:v>
                </c:pt>
                <c:pt idx="4287" formatCode="General">
                  <c:v>469</c:v>
                </c:pt>
                <c:pt idx="4288" formatCode="General">
                  <c:v>717</c:v>
                </c:pt>
                <c:pt idx="4289" formatCode="General">
                  <c:v>434</c:v>
                </c:pt>
                <c:pt idx="4290" formatCode="General">
                  <c:v>556</c:v>
                </c:pt>
                <c:pt idx="4291" formatCode="General">
                  <c:v>333</c:v>
                </c:pt>
                <c:pt idx="4292" formatCode="General">
                  <c:v>434</c:v>
                </c:pt>
                <c:pt idx="4293" formatCode="General">
                  <c:v>747</c:v>
                </c:pt>
                <c:pt idx="4294" formatCode="General">
                  <c:v>576</c:v>
                </c:pt>
                <c:pt idx="4295" formatCode="General">
                  <c:v>545</c:v>
                </c:pt>
                <c:pt idx="4296" formatCode="General">
                  <c:v>293</c:v>
                </c:pt>
                <c:pt idx="4297" formatCode="General">
                  <c:v>242</c:v>
                </c:pt>
                <c:pt idx="4298" formatCode="General">
                  <c:v>323</c:v>
                </c:pt>
                <c:pt idx="4299" formatCode="General">
                  <c:v>293</c:v>
                </c:pt>
                <c:pt idx="4300" formatCode="General">
                  <c:v>192</c:v>
                </c:pt>
                <c:pt idx="4301" formatCode="General">
                  <c:v>515</c:v>
                </c:pt>
                <c:pt idx="4302" formatCode="General">
                  <c:v>444</c:v>
                </c:pt>
                <c:pt idx="4303" formatCode="General">
                  <c:v>485</c:v>
                </c:pt>
                <c:pt idx="4304" formatCode="General">
                  <c:v>697</c:v>
                </c:pt>
                <c:pt idx="4305" formatCode="General">
                  <c:v>465</c:v>
                </c:pt>
                <c:pt idx="4306" formatCode="General">
                  <c:v>293</c:v>
                </c:pt>
                <c:pt idx="4307" formatCode="General">
                  <c:v>424</c:v>
                </c:pt>
                <c:pt idx="4308" formatCode="General">
                  <c:v>525</c:v>
                </c:pt>
                <c:pt idx="4309" formatCode="General">
                  <c:v>232</c:v>
                </c:pt>
                <c:pt idx="4310" formatCode="General">
                  <c:v>141</c:v>
                </c:pt>
                <c:pt idx="4311" formatCode="General">
                  <c:v>333</c:v>
                </c:pt>
                <c:pt idx="4312" formatCode="General">
                  <c:v>232</c:v>
                </c:pt>
                <c:pt idx="4313" formatCode="General">
                  <c:v>556</c:v>
                </c:pt>
                <c:pt idx="4314" formatCode="General">
                  <c:v>545</c:v>
                </c:pt>
                <c:pt idx="4315" formatCode="General">
                  <c:v>424</c:v>
                </c:pt>
                <c:pt idx="4316" formatCode="General">
                  <c:v>596</c:v>
                </c:pt>
                <c:pt idx="4317" formatCode="General">
                  <c:v>515</c:v>
                </c:pt>
                <c:pt idx="4318" formatCode="General">
                  <c:v>545</c:v>
                </c:pt>
                <c:pt idx="4319" formatCode="General">
                  <c:v>313</c:v>
                </c:pt>
                <c:pt idx="4320" formatCode="General">
                  <c:v>333</c:v>
                </c:pt>
                <c:pt idx="4321" formatCode="General">
                  <c:v>303</c:v>
                </c:pt>
                <c:pt idx="4322" formatCode="General">
                  <c:v>222</c:v>
                </c:pt>
                <c:pt idx="4323" formatCode="General">
                  <c:v>273</c:v>
                </c:pt>
                <c:pt idx="4324" formatCode="General">
                  <c:v>444</c:v>
                </c:pt>
                <c:pt idx="4325" formatCode="General">
                  <c:v>283</c:v>
                </c:pt>
                <c:pt idx="4326" formatCode="General">
                  <c:v>354</c:v>
                </c:pt>
                <c:pt idx="4327" formatCode="General">
                  <c:v>333</c:v>
                </c:pt>
                <c:pt idx="4328" formatCode="General">
                  <c:v>424</c:v>
                </c:pt>
                <c:pt idx="4329">
                  <c:v>6000</c:v>
                </c:pt>
                <c:pt idx="4330">
                  <c:v>5000</c:v>
                </c:pt>
                <c:pt idx="4331">
                  <c:v>5500</c:v>
                </c:pt>
                <c:pt idx="4332">
                  <c:v>5000</c:v>
                </c:pt>
                <c:pt idx="4333">
                  <c:v>6000</c:v>
                </c:pt>
                <c:pt idx="4334">
                  <c:v>3000</c:v>
                </c:pt>
                <c:pt idx="4335">
                  <c:v>4000</c:v>
                </c:pt>
                <c:pt idx="4336">
                  <c:v>3000</c:v>
                </c:pt>
                <c:pt idx="4337">
                  <c:v>3500</c:v>
                </c:pt>
                <c:pt idx="4338">
                  <c:v>4000</c:v>
                </c:pt>
                <c:pt idx="4339">
                  <c:v>3500</c:v>
                </c:pt>
                <c:pt idx="4340">
                  <c:v>4000</c:v>
                </c:pt>
                <c:pt idx="4341">
                  <c:v>2000</c:v>
                </c:pt>
                <c:pt idx="4342">
                  <c:v>5000</c:v>
                </c:pt>
                <c:pt idx="4343">
                  <c:v>3500</c:v>
                </c:pt>
                <c:pt idx="4344">
                  <c:v>5000</c:v>
                </c:pt>
                <c:pt idx="4345">
                  <c:v>5500</c:v>
                </c:pt>
                <c:pt idx="4346">
                  <c:v>6500</c:v>
                </c:pt>
                <c:pt idx="4347">
                  <c:v>5500</c:v>
                </c:pt>
                <c:pt idx="4348">
                  <c:v>5500</c:v>
                </c:pt>
                <c:pt idx="4349">
                  <c:v>4000</c:v>
                </c:pt>
                <c:pt idx="4350">
                  <c:v>4500</c:v>
                </c:pt>
                <c:pt idx="4351">
                  <c:v>2000</c:v>
                </c:pt>
                <c:pt idx="4352">
                  <c:v>3500</c:v>
                </c:pt>
                <c:pt idx="4353">
                  <c:v>6000</c:v>
                </c:pt>
                <c:pt idx="4354">
                  <c:v>4500</c:v>
                </c:pt>
                <c:pt idx="4355">
                  <c:v>3000</c:v>
                </c:pt>
                <c:pt idx="4356">
                  <c:v>6000</c:v>
                </c:pt>
                <c:pt idx="4357">
                  <c:v>4000</c:v>
                </c:pt>
                <c:pt idx="4358">
                  <c:v>2500</c:v>
                </c:pt>
                <c:pt idx="4359">
                  <c:v>1500</c:v>
                </c:pt>
                <c:pt idx="4360">
                  <c:v>1500</c:v>
                </c:pt>
                <c:pt idx="4361">
                  <c:v>2500</c:v>
                </c:pt>
                <c:pt idx="4362">
                  <c:v>6000</c:v>
                </c:pt>
                <c:pt idx="4363">
                  <c:v>4000</c:v>
                </c:pt>
                <c:pt idx="4364">
                  <c:v>4000</c:v>
                </c:pt>
                <c:pt idx="4365">
                  <c:v>5000</c:v>
                </c:pt>
                <c:pt idx="4366">
                  <c:v>5000</c:v>
                </c:pt>
                <c:pt idx="4367">
                  <c:v>3000</c:v>
                </c:pt>
                <c:pt idx="4368">
                  <c:v>3000</c:v>
                </c:pt>
                <c:pt idx="4369">
                  <c:v>4500</c:v>
                </c:pt>
                <c:pt idx="4370">
                  <c:v>3500</c:v>
                </c:pt>
                <c:pt idx="4371">
                  <c:v>4000</c:v>
                </c:pt>
                <c:pt idx="4372">
                  <c:v>5000</c:v>
                </c:pt>
                <c:pt idx="4373">
                  <c:v>5000</c:v>
                </c:pt>
                <c:pt idx="4374">
                  <c:v>3500</c:v>
                </c:pt>
                <c:pt idx="4375">
                  <c:v>5000</c:v>
                </c:pt>
                <c:pt idx="4376">
                  <c:v>5500</c:v>
                </c:pt>
                <c:pt idx="4377">
                  <c:v>6500</c:v>
                </c:pt>
                <c:pt idx="4378" formatCode="General">
                  <c:v>360</c:v>
                </c:pt>
                <c:pt idx="4379" formatCode="General">
                  <c:v>740</c:v>
                </c:pt>
                <c:pt idx="4380" formatCode="General">
                  <c:v>590</c:v>
                </c:pt>
                <c:pt idx="4381" formatCode="General">
                  <c:v>500</c:v>
                </c:pt>
                <c:pt idx="4382" formatCode="General">
                  <c:v>530</c:v>
                </c:pt>
                <c:pt idx="4383" formatCode="General">
                  <c:v>670</c:v>
                </c:pt>
                <c:pt idx="4384" formatCode="General">
                  <c:v>580</c:v>
                </c:pt>
                <c:pt idx="4385" formatCode="General">
                  <c:v>470</c:v>
                </c:pt>
                <c:pt idx="4386" formatCode="General">
                  <c:v>280</c:v>
                </c:pt>
                <c:pt idx="4387" formatCode="General">
                  <c:v>290</c:v>
                </c:pt>
                <c:pt idx="4388" formatCode="General">
                  <c:v>190</c:v>
                </c:pt>
                <c:pt idx="4389" formatCode="General">
                  <c:v>330</c:v>
                </c:pt>
                <c:pt idx="4390" formatCode="General">
                  <c:v>420</c:v>
                </c:pt>
                <c:pt idx="4391" formatCode="General">
                  <c:v>470</c:v>
                </c:pt>
                <c:pt idx="4392" formatCode="General">
                  <c:v>420</c:v>
                </c:pt>
                <c:pt idx="4393" formatCode="General">
                  <c:v>540</c:v>
                </c:pt>
                <c:pt idx="4394" formatCode="General">
                  <c:v>240</c:v>
                </c:pt>
                <c:pt idx="4395" formatCode="General">
                  <c:v>190</c:v>
                </c:pt>
                <c:pt idx="4396" formatCode="General">
                  <c:v>640</c:v>
                </c:pt>
                <c:pt idx="4397" formatCode="General">
                  <c:v>500</c:v>
                </c:pt>
                <c:pt idx="4398" formatCode="General">
                  <c:v>550</c:v>
                </c:pt>
                <c:pt idx="4399" formatCode="General">
                  <c:v>446</c:v>
                </c:pt>
                <c:pt idx="4400" formatCode="General">
                  <c:v>416</c:v>
                </c:pt>
                <c:pt idx="4401" formatCode="General">
                  <c:v>436</c:v>
                </c:pt>
                <c:pt idx="4402" formatCode="General">
                  <c:v>277</c:v>
                </c:pt>
                <c:pt idx="4403" formatCode="General">
                  <c:v>158</c:v>
                </c:pt>
                <c:pt idx="4404" formatCode="General">
                  <c:v>416</c:v>
                </c:pt>
                <c:pt idx="4405" formatCode="General">
                  <c:v>436</c:v>
                </c:pt>
                <c:pt idx="4406" formatCode="General">
                  <c:v>356</c:v>
                </c:pt>
                <c:pt idx="4407" formatCode="General">
                  <c:v>436</c:v>
                </c:pt>
                <c:pt idx="4408" formatCode="General">
                  <c:v>347</c:v>
                </c:pt>
                <c:pt idx="4409" formatCode="General">
                  <c:v>627</c:v>
                </c:pt>
                <c:pt idx="4410" formatCode="General">
                  <c:v>706</c:v>
                </c:pt>
                <c:pt idx="4411" formatCode="General">
                  <c:v>578</c:v>
                </c:pt>
                <c:pt idx="4412" formatCode="General">
                  <c:v>568</c:v>
                </c:pt>
                <c:pt idx="4413" formatCode="General">
                  <c:v>529</c:v>
                </c:pt>
                <c:pt idx="4414" formatCode="General">
                  <c:v>402</c:v>
                </c:pt>
                <c:pt idx="4415" formatCode="General">
                  <c:v>431</c:v>
                </c:pt>
                <c:pt idx="4416" formatCode="General">
                  <c:v>529</c:v>
                </c:pt>
                <c:pt idx="4417" formatCode="General">
                  <c:v>372</c:v>
                </c:pt>
                <c:pt idx="4418" formatCode="General">
                  <c:v>314</c:v>
                </c:pt>
                <c:pt idx="4419" formatCode="General">
                  <c:v>608</c:v>
                </c:pt>
                <c:pt idx="4420" formatCode="General">
                  <c:v>323</c:v>
                </c:pt>
                <c:pt idx="4421" formatCode="General">
                  <c:v>412</c:v>
                </c:pt>
                <c:pt idx="4422" formatCode="General">
                  <c:v>568</c:v>
                </c:pt>
                <c:pt idx="4423" formatCode="General">
                  <c:v>549</c:v>
                </c:pt>
                <c:pt idx="4424" formatCode="General">
                  <c:v>647</c:v>
                </c:pt>
                <c:pt idx="4425" formatCode="General">
                  <c:v>578</c:v>
                </c:pt>
                <c:pt idx="4426" formatCode="General">
                  <c:v>500</c:v>
                </c:pt>
                <c:pt idx="4427" formatCode="General">
                  <c:v>402</c:v>
                </c:pt>
                <c:pt idx="4428" formatCode="General">
                  <c:v>382</c:v>
                </c:pt>
                <c:pt idx="4429" formatCode="General">
                  <c:v>323</c:v>
                </c:pt>
                <c:pt idx="4430" formatCode="General">
                  <c:v>137</c:v>
                </c:pt>
                <c:pt idx="4431" formatCode="General">
                  <c:v>245</c:v>
                </c:pt>
                <c:pt idx="4432" formatCode="General">
                  <c:v>265</c:v>
                </c:pt>
                <c:pt idx="4433" formatCode="General">
                  <c:v>627</c:v>
                </c:pt>
                <c:pt idx="4434" formatCode="General">
                  <c:v>412</c:v>
                </c:pt>
                <c:pt idx="4435" formatCode="General">
                  <c:v>490</c:v>
                </c:pt>
                <c:pt idx="4436" formatCode="General">
                  <c:v>578</c:v>
                </c:pt>
                <c:pt idx="4437" formatCode="General">
                  <c:v>363</c:v>
                </c:pt>
                <c:pt idx="4438" formatCode="General">
                  <c:v>235</c:v>
                </c:pt>
                <c:pt idx="4439" formatCode="General">
                  <c:v>510</c:v>
                </c:pt>
                <c:pt idx="4440" formatCode="General">
                  <c:v>627</c:v>
                </c:pt>
                <c:pt idx="4441" formatCode="General">
                  <c:v>235</c:v>
                </c:pt>
                <c:pt idx="4442" formatCode="General">
                  <c:v>314</c:v>
                </c:pt>
                <c:pt idx="4443" formatCode="General">
                  <c:v>333</c:v>
                </c:pt>
                <c:pt idx="4444" formatCode="General">
                  <c:v>196</c:v>
                </c:pt>
                <c:pt idx="4445" formatCode="General">
                  <c:v>363</c:v>
                </c:pt>
                <c:pt idx="4446" formatCode="General">
                  <c:v>529</c:v>
                </c:pt>
                <c:pt idx="4447" formatCode="General">
                  <c:v>147</c:v>
                </c:pt>
                <c:pt idx="4448" formatCode="General">
                  <c:v>176</c:v>
                </c:pt>
                <c:pt idx="4449" formatCode="General">
                  <c:v>412</c:v>
                </c:pt>
                <c:pt idx="4450" formatCode="General">
                  <c:v>578</c:v>
                </c:pt>
                <c:pt idx="4451" formatCode="General">
                  <c:v>372</c:v>
                </c:pt>
                <c:pt idx="4452" formatCode="General">
                  <c:v>176</c:v>
                </c:pt>
                <c:pt idx="4453" formatCode="General">
                  <c:v>529</c:v>
                </c:pt>
                <c:pt idx="4454" formatCode="General">
                  <c:v>519</c:v>
                </c:pt>
                <c:pt idx="4455" formatCode="General">
                  <c:v>500</c:v>
                </c:pt>
                <c:pt idx="4456" formatCode="General">
                  <c:v>323</c:v>
                </c:pt>
                <c:pt idx="4457" formatCode="General">
                  <c:v>480</c:v>
                </c:pt>
                <c:pt idx="4458" formatCode="General">
                  <c:v>382</c:v>
                </c:pt>
                <c:pt idx="4459" formatCode="General">
                  <c:v>627</c:v>
                </c:pt>
                <c:pt idx="4460" formatCode="General">
                  <c:v>519</c:v>
                </c:pt>
                <c:pt idx="4461" formatCode="General">
                  <c:v>412</c:v>
                </c:pt>
                <c:pt idx="4462" formatCode="General">
                  <c:v>627</c:v>
                </c:pt>
                <c:pt idx="4463" formatCode="General">
                  <c:v>500</c:v>
                </c:pt>
                <c:pt idx="4464" formatCode="General">
                  <c:v>431</c:v>
                </c:pt>
                <c:pt idx="4465" formatCode="General">
                  <c:v>451</c:v>
                </c:pt>
                <c:pt idx="4466" formatCode="General">
                  <c:v>451</c:v>
                </c:pt>
                <c:pt idx="4467" formatCode="General">
                  <c:v>451</c:v>
                </c:pt>
                <c:pt idx="4468" formatCode="General">
                  <c:v>500</c:v>
                </c:pt>
                <c:pt idx="4469" formatCode="General">
                  <c:v>666</c:v>
                </c:pt>
                <c:pt idx="4470" formatCode="General">
                  <c:v>608</c:v>
                </c:pt>
                <c:pt idx="4471" formatCode="General">
                  <c:v>255</c:v>
                </c:pt>
                <c:pt idx="4472" formatCode="General">
                  <c:v>343</c:v>
                </c:pt>
                <c:pt idx="4473" formatCode="General">
                  <c:v>274</c:v>
                </c:pt>
                <c:pt idx="4474" formatCode="General">
                  <c:v>392</c:v>
                </c:pt>
                <c:pt idx="4475" formatCode="General">
                  <c:v>186</c:v>
                </c:pt>
                <c:pt idx="4476" formatCode="General">
                  <c:v>294</c:v>
                </c:pt>
                <c:pt idx="4477" formatCode="General">
                  <c:v>118</c:v>
                </c:pt>
                <c:pt idx="4478" formatCode="General">
                  <c:v>539</c:v>
                </c:pt>
                <c:pt idx="4479" formatCode="General">
                  <c:v>451</c:v>
                </c:pt>
                <c:pt idx="4480" formatCode="General">
                  <c:v>461</c:v>
                </c:pt>
                <c:pt idx="4481" formatCode="General">
                  <c:v>547</c:v>
                </c:pt>
                <c:pt idx="4482" formatCode="General">
                  <c:v>278</c:v>
                </c:pt>
                <c:pt idx="4483" formatCode="General">
                  <c:v>250</c:v>
                </c:pt>
                <c:pt idx="4484" formatCode="General">
                  <c:v>576</c:v>
                </c:pt>
                <c:pt idx="4485" formatCode="General">
                  <c:v>374</c:v>
                </c:pt>
                <c:pt idx="4486" formatCode="General">
                  <c:v>413</c:v>
                </c:pt>
                <c:pt idx="4487" formatCode="General">
                  <c:v>288</c:v>
                </c:pt>
                <c:pt idx="4488" formatCode="General">
                  <c:v>355</c:v>
                </c:pt>
                <c:pt idx="4489" formatCode="General">
                  <c:v>384</c:v>
                </c:pt>
                <c:pt idx="4490" formatCode="General">
                  <c:v>154</c:v>
                </c:pt>
                <c:pt idx="4491" formatCode="General">
                  <c:v>106</c:v>
                </c:pt>
                <c:pt idx="4492" formatCode="General">
                  <c:v>106</c:v>
                </c:pt>
                <c:pt idx="4493" formatCode="General">
                  <c:v>307</c:v>
                </c:pt>
                <c:pt idx="4494" formatCode="General">
                  <c:v>336</c:v>
                </c:pt>
                <c:pt idx="4495" formatCode="General">
                  <c:v>365</c:v>
                </c:pt>
                <c:pt idx="4496" formatCode="General">
                  <c:v>365</c:v>
                </c:pt>
                <c:pt idx="4497" formatCode="General">
                  <c:v>278</c:v>
                </c:pt>
                <c:pt idx="4498" formatCode="General">
                  <c:v>355</c:v>
                </c:pt>
                <c:pt idx="4499" formatCode="General">
                  <c:v>346</c:v>
                </c:pt>
                <c:pt idx="4500" formatCode="General">
                  <c:v>403</c:v>
                </c:pt>
                <c:pt idx="4501" formatCode="General">
                  <c:v>298</c:v>
                </c:pt>
                <c:pt idx="4502" formatCode="General">
                  <c:v>394</c:v>
                </c:pt>
                <c:pt idx="4503" formatCode="General">
                  <c:v>566</c:v>
                </c:pt>
                <c:pt idx="4504">
                  <c:v>2850</c:v>
                </c:pt>
                <c:pt idx="4505" formatCode="General">
                  <c:v>608</c:v>
                </c:pt>
                <c:pt idx="4506" formatCode="General">
                  <c:v>741</c:v>
                </c:pt>
                <c:pt idx="4507" formatCode="General">
                  <c:v>494</c:v>
                </c:pt>
                <c:pt idx="4508" formatCode="General">
                  <c:v>371</c:v>
                </c:pt>
                <c:pt idx="4509" formatCode="General">
                  <c:v>551</c:v>
                </c:pt>
                <c:pt idx="4510" formatCode="General">
                  <c:v>437</c:v>
                </c:pt>
                <c:pt idx="4511" formatCode="General">
                  <c:v>219</c:v>
                </c:pt>
                <c:pt idx="4512" formatCode="General">
                  <c:v>266</c:v>
                </c:pt>
                <c:pt idx="4513" formatCode="General">
                  <c:v>475</c:v>
                </c:pt>
                <c:pt idx="4514" formatCode="General">
                  <c:v>390</c:v>
                </c:pt>
                <c:pt idx="4515" formatCode="General">
                  <c:v>447</c:v>
                </c:pt>
                <c:pt idx="4516" formatCode="General">
                  <c:v>456</c:v>
                </c:pt>
                <c:pt idx="4517" formatCode="General">
                  <c:v>437</c:v>
                </c:pt>
                <c:pt idx="4518" formatCode="General">
                  <c:v>437</c:v>
                </c:pt>
                <c:pt idx="4519" formatCode="General">
                  <c:v>456</c:v>
                </c:pt>
                <c:pt idx="4520" formatCode="General">
                  <c:v>418</c:v>
                </c:pt>
                <c:pt idx="4521" formatCode="General">
                  <c:v>323</c:v>
                </c:pt>
                <c:pt idx="4522" formatCode="General">
                  <c:v>551</c:v>
                </c:pt>
                <c:pt idx="4523" formatCode="General">
                  <c:v>513</c:v>
                </c:pt>
                <c:pt idx="4524" formatCode="General">
                  <c:v>494</c:v>
                </c:pt>
                <c:pt idx="4525" formatCode="General">
                  <c:v>314</c:v>
                </c:pt>
                <c:pt idx="4526" formatCode="General">
                  <c:v>580</c:v>
                </c:pt>
                <c:pt idx="4527" formatCode="General">
                  <c:v>637</c:v>
                </c:pt>
                <c:pt idx="4528" formatCode="General">
                  <c:v>523</c:v>
                </c:pt>
                <c:pt idx="4529" formatCode="General">
                  <c:v>513</c:v>
                </c:pt>
                <c:pt idx="4530" formatCode="General">
                  <c:v>385</c:v>
                </c:pt>
                <c:pt idx="4531" formatCode="General">
                  <c:v>470</c:v>
                </c:pt>
                <c:pt idx="4532" formatCode="General">
                  <c:v>348</c:v>
                </c:pt>
                <c:pt idx="4533" formatCode="General">
                  <c:v>508</c:v>
                </c:pt>
                <c:pt idx="4534" formatCode="General">
                  <c:v>639</c:v>
                </c:pt>
                <c:pt idx="4535" formatCode="General">
                  <c:v>555</c:v>
                </c:pt>
                <c:pt idx="4536" formatCode="General">
                  <c:v>649</c:v>
                </c:pt>
                <c:pt idx="4537" formatCode="General">
                  <c:v>338</c:v>
                </c:pt>
                <c:pt idx="4538" formatCode="General">
                  <c:v>414</c:v>
                </c:pt>
                <c:pt idx="4539" formatCode="General">
                  <c:v>620</c:v>
                </c:pt>
                <c:pt idx="4540" formatCode="General">
                  <c:v>404</c:v>
                </c:pt>
                <c:pt idx="4541" formatCode="General">
                  <c:v>263</c:v>
                </c:pt>
                <c:pt idx="4542" formatCode="General">
                  <c:v>348</c:v>
                </c:pt>
                <c:pt idx="4543" formatCode="General">
                  <c:v>235</c:v>
                </c:pt>
                <c:pt idx="4544" formatCode="General">
                  <c:v>630</c:v>
                </c:pt>
                <c:pt idx="4545" formatCode="General">
                  <c:v>611</c:v>
                </c:pt>
                <c:pt idx="4546" formatCode="General">
                  <c:v>470</c:v>
                </c:pt>
                <c:pt idx="4547" formatCode="General">
                  <c:v>414</c:v>
                </c:pt>
                <c:pt idx="4548" formatCode="General">
                  <c:v>216</c:v>
                </c:pt>
                <c:pt idx="4549" formatCode="General">
                  <c:v>132</c:v>
                </c:pt>
                <c:pt idx="4550" formatCode="General">
                  <c:v>263</c:v>
                </c:pt>
                <c:pt idx="4551" formatCode="General">
                  <c:v>414</c:v>
                </c:pt>
                <c:pt idx="4552" formatCode="General">
                  <c:v>508</c:v>
                </c:pt>
                <c:pt idx="4553" formatCode="General">
                  <c:v>395</c:v>
                </c:pt>
                <c:pt idx="4554" formatCode="General">
                  <c:v>301</c:v>
                </c:pt>
                <c:pt idx="4555" formatCode="General">
                  <c:v>273</c:v>
                </c:pt>
                <c:pt idx="4556" formatCode="General">
                  <c:v>470</c:v>
                </c:pt>
                <c:pt idx="4557" formatCode="General">
                  <c:v>498</c:v>
                </c:pt>
                <c:pt idx="4558" formatCode="General">
                  <c:v>479</c:v>
                </c:pt>
                <c:pt idx="4559" formatCode="General">
                  <c:v>489</c:v>
                </c:pt>
                <c:pt idx="4560" formatCode="General">
                  <c:v>301</c:v>
                </c:pt>
                <c:pt idx="4561" formatCode="General">
                  <c:v>442</c:v>
                </c:pt>
                <c:pt idx="4562" formatCode="General">
                  <c:v>479</c:v>
                </c:pt>
                <c:pt idx="4563" formatCode="General">
                  <c:v>451</c:v>
                </c:pt>
                <c:pt idx="4564" formatCode="General">
                  <c:v>498</c:v>
                </c:pt>
                <c:pt idx="4565" formatCode="General">
                  <c:v>442</c:v>
                </c:pt>
                <c:pt idx="4566" formatCode="General">
                  <c:v>395</c:v>
                </c:pt>
                <c:pt idx="4567" formatCode="General">
                  <c:v>508</c:v>
                </c:pt>
                <c:pt idx="4568" formatCode="General">
                  <c:v>658</c:v>
                </c:pt>
                <c:pt idx="4569" formatCode="General">
                  <c:v>564</c:v>
                </c:pt>
                <c:pt idx="4570" formatCode="General">
                  <c:v>226</c:v>
                </c:pt>
                <c:pt idx="4571" formatCode="General">
                  <c:v>273</c:v>
                </c:pt>
                <c:pt idx="4572" formatCode="General">
                  <c:v>338</c:v>
                </c:pt>
                <c:pt idx="4573" formatCode="General">
                  <c:v>508</c:v>
                </c:pt>
                <c:pt idx="4574" formatCode="General">
                  <c:v>179</c:v>
                </c:pt>
                <c:pt idx="4575" formatCode="General">
                  <c:v>122</c:v>
                </c:pt>
                <c:pt idx="4576" formatCode="General">
                  <c:v>310</c:v>
                </c:pt>
                <c:pt idx="4577" formatCode="General">
                  <c:v>310</c:v>
                </c:pt>
                <c:pt idx="4578" formatCode="General">
                  <c:v>395</c:v>
                </c:pt>
                <c:pt idx="4579" formatCode="General">
                  <c:v>141</c:v>
                </c:pt>
                <c:pt idx="4580" formatCode="General">
                  <c:v>244</c:v>
                </c:pt>
                <c:pt idx="4581" formatCode="General">
                  <c:v>320</c:v>
                </c:pt>
                <c:pt idx="4582" formatCode="General">
                  <c:v>367</c:v>
                </c:pt>
                <c:pt idx="4583" formatCode="General">
                  <c:v>432</c:v>
                </c:pt>
                <c:pt idx="4584" formatCode="General">
                  <c:v>282</c:v>
                </c:pt>
                <c:pt idx="4585" formatCode="General">
                  <c:v>385</c:v>
                </c:pt>
                <c:pt idx="4586" formatCode="General">
                  <c:v>549</c:v>
                </c:pt>
                <c:pt idx="4587" formatCode="General">
                  <c:v>177</c:v>
                </c:pt>
                <c:pt idx="4588" formatCode="General">
                  <c:v>242</c:v>
                </c:pt>
                <c:pt idx="4589" formatCode="General">
                  <c:v>381</c:v>
                </c:pt>
                <c:pt idx="4590" formatCode="General">
                  <c:v>149</c:v>
                </c:pt>
                <c:pt idx="4591" formatCode="General">
                  <c:v>372</c:v>
                </c:pt>
                <c:pt idx="4592" formatCode="General">
                  <c:v>363</c:v>
                </c:pt>
                <c:pt idx="4593" formatCode="General">
                  <c:v>409</c:v>
                </c:pt>
                <c:pt idx="4594" formatCode="General">
                  <c:v>270</c:v>
                </c:pt>
                <c:pt idx="4595" formatCode="General">
                  <c:v>400</c:v>
                </c:pt>
                <c:pt idx="4596" formatCode="General">
                  <c:v>372</c:v>
                </c:pt>
                <c:pt idx="4597" formatCode="General">
                  <c:v>335</c:v>
                </c:pt>
                <c:pt idx="4598" formatCode="General">
                  <c:v>233</c:v>
                </c:pt>
                <c:pt idx="4599" formatCode="General">
                  <c:v>419</c:v>
                </c:pt>
                <c:pt idx="4600" formatCode="General">
                  <c:v>372</c:v>
                </c:pt>
                <c:pt idx="4601" formatCode="General">
                  <c:v>335</c:v>
                </c:pt>
                <c:pt idx="4602" formatCode="General">
                  <c:v>601</c:v>
                </c:pt>
                <c:pt idx="4603" formatCode="General">
                  <c:v>419</c:v>
                </c:pt>
                <c:pt idx="4604" formatCode="General">
                  <c:v>400</c:v>
                </c:pt>
                <c:pt idx="4605" formatCode="General">
                  <c:v>446</c:v>
                </c:pt>
                <c:pt idx="4606" formatCode="General">
                  <c:v>291</c:v>
                </c:pt>
                <c:pt idx="4607" formatCode="General">
                  <c:v>491</c:v>
                </c:pt>
                <c:pt idx="4608" formatCode="General">
                  <c:v>555</c:v>
                </c:pt>
                <c:pt idx="4609" formatCode="General">
                  <c:v>501</c:v>
                </c:pt>
                <c:pt idx="4610" formatCode="General">
                  <c:v>491</c:v>
                </c:pt>
                <c:pt idx="4611" formatCode="General">
                  <c:v>546</c:v>
                </c:pt>
                <c:pt idx="4612" formatCode="General">
                  <c:v>646</c:v>
                </c:pt>
                <c:pt idx="4613" formatCode="General">
                  <c:v>528</c:v>
                </c:pt>
                <c:pt idx="4614" formatCode="General">
                  <c:v>264</c:v>
                </c:pt>
                <c:pt idx="4615" formatCode="General">
                  <c:v>355</c:v>
                </c:pt>
                <c:pt idx="4616" formatCode="General">
                  <c:v>473</c:v>
                </c:pt>
                <c:pt idx="4617" formatCode="General">
                  <c:v>264</c:v>
                </c:pt>
                <c:pt idx="4618" formatCode="General">
                  <c:v>246</c:v>
                </c:pt>
                <c:pt idx="4619" formatCode="General">
                  <c:v>209</c:v>
                </c:pt>
                <c:pt idx="4620" formatCode="General">
                  <c:v>218</c:v>
                </c:pt>
                <c:pt idx="4621" formatCode="General">
                  <c:v>218</c:v>
                </c:pt>
                <c:pt idx="4622" formatCode="General">
                  <c:v>82</c:v>
                </c:pt>
                <c:pt idx="4623" formatCode="General">
                  <c:v>355</c:v>
                </c:pt>
                <c:pt idx="4624" formatCode="General">
                  <c:v>355</c:v>
                </c:pt>
                <c:pt idx="4625" formatCode="General">
                  <c:v>419</c:v>
                </c:pt>
                <c:pt idx="4626" formatCode="General">
                  <c:v>291</c:v>
                </c:pt>
                <c:pt idx="4627" formatCode="General">
                  <c:v>446</c:v>
                </c:pt>
                <c:pt idx="4628" formatCode="General">
                  <c:v>400</c:v>
                </c:pt>
                <c:pt idx="4629" formatCode="General">
                  <c:v>464</c:v>
                </c:pt>
                <c:pt idx="4630" formatCode="General">
                  <c:v>510</c:v>
                </c:pt>
                <c:pt idx="4631" formatCode="General">
                  <c:v>428</c:v>
                </c:pt>
                <c:pt idx="4632" formatCode="General">
                  <c:v>373</c:v>
                </c:pt>
                <c:pt idx="4633" formatCode="General">
                  <c:v>228</c:v>
                </c:pt>
                <c:pt idx="4634" formatCode="General">
                  <c:v>309</c:v>
                </c:pt>
                <c:pt idx="4635" formatCode="General">
                  <c:v>628</c:v>
                </c:pt>
                <c:pt idx="4636" formatCode="General">
                  <c:v>137</c:v>
                </c:pt>
                <c:pt idx="4637" formatCode="General">
                  <c:v>255</c:v>
                </c:pt>
                <c:pt idx="4638" formatCode="General">
                  <c:v>264</c:v>
                </c:pt>
                <c:pt idx="4639" formatCode="General">
                  <c:v>209</c:v>
                </c:pt>
                <c:pt idx="4640" formatCode="General">
                  <c:v>510</c:v>
                </c:pt>
                <c:pt idx="4641" formatCode="General">
                  <c:v>346</c:v>
                </c:pt>
                <c:pt idx="4642" formatCode="General">
                  <c:v>464</c:v>
                </c:pt>
                <c:pt idx="4643" formatCode="General">
                  <c:v>428</c:v>
                </c:pt>
                <c:pt idx="4644" formatCode="General">
                  <c:v>482</c:v>
                </c:pt>
                <c:pt idx="4645" formatCode="General">
                  <c:v>510</c:v>
                </c:pt>
                <c:pt idx="4646" formatCode="General">
                  <c:v>491</c:v>
                </c:pt>
                <c:pt idx="4647" formatCode="General">
                  <c:v>555</c:v>
                </c:pt>
                <c:pt idx="4648" formatCode="General">
                  <c:v>173</c:v>
                </c:pt>
                <c:pt idx="4649" formatCode="General">
                  <c:v>264</c:v>
                </c:pt>
                <c:pt idx="4650" formatCode="General">
                  <c:v>346</c:v>
                </c:pt>
                <c:pt idx="4651" formatCode="General">
                  <c:v>264</c:v>
                </c:pt>
                <c:pt idx="4652" formatCode="General">
                  <c:v>555</c:v>
                </c:pt>
                <c:pt idx="4653" formatCode="General">
                  <c:v>537</c:v>
                </c:pt>
                <c:pt idx="4654" formatCode="General">
                  <c:v>446</c:v>
                </c:pt>
                <c:pt idx="4655" formatCode="General">
                  <c:v>382</c:v>
                </c:pt>
                <c:pt idx="4656" formatCode="General">
                  <c:v>528</c:v>
                </c:pt>
                <c:pt idx="4657" formatCode="General">
                  <c:v>291</c:v>
                </c:pt>
                <c:pt idx="4658" formatCode="General">
                  <c:v>410</c:v>
                </c:pt>
                <c:pt idx="4659" formatCode="General">
                  <c:v>473</c:v>
                </c:pt>
                <c:pt idx="4660" formatCode="General">
                  <c:v>282</c:v>
                </c:pt>
                <c:pt idx="4661" formatCode="General">
                  <c:v>364</c:v>
                </c:pt>
                <c:pt idx="4662" formatCode="General">
                  <c:v>246</c:v>
                </c:pt>
                <c:pt idx="4663" formatCode="General">
                  <c:v>246</c:v>
                </c:pt>
                <c:pt idx="4664" formatCode="General">
                  <c:v>264</c:v>
                </c:pt>
                <c:pt idx="4665" formatCode="General">
                  <c:v>191</c:v>
                </c:pt>
                <c:pt idx="4666" formatCode="General">
                  <c:v>209</c:v>
                </c:pt>
                <c:pt idx="4667" formatCode="General">
                  <c:v>109</c:v>
                </c:pt>
                <c:pt idx="4668" formatCode="General">
                  <c:v>328</c:v>
                </c:pt>
                <c:pt idx="4669" formatCode="General">
                  <c:v>400</c:v>
                </c:pt>
                <c:pt idx="4670" formatCode="General">
                  <c:v>419</c:v>
                </c:pt>
                <c:pt idx="4671" formatCode="General">
                  <c:v>455</c:v>
                </c:pt>
                <c:pt idx="4672" formatCode="General">
                  <c:v>373</c:v>
                </c:pt>
                <c:pt idx="4673" formatCode="General">
                  <c:v>495</c:v>
                </c:pt>
                <c:pt idx="4674" formatCode="General">
                  <c:v>513</c:v>
                </c:pt>
                <c:pt idx="4675" formatCode="General">
                  <c:v>459</c:v>
                </c:pt>
                <c:pt idx="4676" formatCode="General">
                  <c:v>495</c:v>
                </c:pt>
                <c:pt idx="4677" formatCode="General">
                  <c:v>531</c:v>
                </c:pt>
                <c:pt idx="4678" formatCode="General">
                  <c:v>441</c:v>
                </c:pt>
                <c:pt idx="4679" formatCode="General">
                  <c:v>477</c:v>
                </c:pt>
                <c:pt idx="4680" formatCode="General">
                  <c:v>558</c:v>
                </c:pt>
                <c:pt idx="4681" formatCode="General">
                  <c:v>567</c:v>
                </c:pt>
                <c:pt idx="4682" formatCode="General">
                  <c:v>477</c:v>
                </c:pt>
                <c:pt idx="4683" formatCode="General">
                  <c:v>441</c:v>
                </c:pt>
                <c:pt idx="4684" formatCode="General">
                  <c:v>387</c:v>
                </c:pt>
                <c:pt idx="4685" formatCode="General">
                  <c:v>450</c:v>
                </c:pt>
                <c:pt idx="4686" formatCode="General">
                  <c:v>207</c:v>
                </c:pt>
                <c:pt idx="4687" formatCode="General">
                  <c:v>333</c:v>
                </c:pt>
                <c:pt idx="4688" formatCode="General">
                  <c:v>252</c:v>
                </c:pt>
                <c:pt idx="4689" formatCode="General">
                  <c:v>531</c:v>
                </c:pt>
                <c:pt idx="4690" formatCode="General">
                  <c:v>378</c:v>
                </c:pt>
                <c:pt idx="4691" formatCode="General">
                  <c:v>423</c:v>
                </c:pt>
                <c:pt idx="4692" formatCode="General">
                  <c:v>243</c:v>
                </c:pt>
                <c:pt idx="4693" formatCode="General">
                  <c:v>378</c:v>
                </c:pt>
                <c:pt idx="4694" formatCode="General">
                  <c:v>387</c:v>
                </c:pt>
                <c:pt idx="4695" formatCode="General">
                  <c:v>459</c:v>
                </c:pt>
                <c:pt idx="4696" formatCode="General">
                  <c:v>252</c:v>
                </c:pt>
                <c:pt idx="4697" formatCode="General">
                  <c:v>369</c:v>
                </c:pt>
                <c:pt idx="4698" formatCode="General">
                  <c:v>468</c:v>
                </c:pt>
                <c:pt idx="4699" formatCode="General">
                  <c:v>396</c:v>
                </c:pt>
                <c:pt idx="4700" formatCode="General">
                  <c:v>423</c:v>
                </c:pt>
                <c:pt idx="4701" formatCode="General">
                  <c:v>414</c:v>
                </c:pt>
                <c:pt idx="4702" formatCode="General">
                  <c:v>351</c:v>
                </c:pt>
                <c:pt idx="4703" formatCode="General">
                  <c:v>396</c:v>
                </c:pt>
                <c:pt idx="4704" formatCode="General">
                  <c:v>306</c:v>
                </c:pt>
                <c:pt idx="4705" formatCode="General">
                  <c:v>360</c:v>
                </c:pt>
                <c:pt idx="4706" formatCode="General">
                  <c:v>369</c:v>
                </c:pt>
                <c:pt idx="4707" formatCode="General">
                  <c:v>423</c:v>
                </c:pt>
                <c:pt idx="4708" formatCode="General">
                  <c:v>252</c:v>
                </c:pt>
                <c:pt idx="4709" formatCode="General">
                  <c:v>261</c:v>
                </c:pt>
                <c:pt idx="4710" formatCode="General">
                  <c:v>117</c:v>
                </c:pt>
                <c:pt idx="4711" formatCode="General">
                  <c:v>360</c:v>
                </c:pt>
                <c:pt idx="4712" formatCode="General">
                  <c:v>441</c:v>
                </c:pt>
                <c:pt idx="4713" formatCode="General">
                  <c:v>270</c:v>
                </c:pt>
                <c:pt idx="4714" formatCode="General">
                  <c:v>333</c:v>
                </c:pt>
                <c:pt idx="4715" formatCode="General">
                  <c:v>216</c:v>
                </c:pt>
                <c:pt idx="4716" formatCode="General">
                  <c:v>333</c:v>
                </c:pt>
                <c:pt idx="4717" formatCode="General">
                  <c:v>99</c:v>
                </c:pt>
                <c:pt idx="4718" formatCode="General">
                  <c:v>468</c:v>
                </c:pt>
                <c:pt idx="4719" formatCode="General">
                  <c:v>324</c:v>
                </c:pt>
                <c:pt idx="4720" formatCode="General">
                  <c:v>486</c:v>
                </c:pt>
                <c:pt idx="4721" formatCode="General">
                  <c:v>468</c:v>
                </c:pt>
                <c:pt idx="4722" formatCode="General">
                  <c:v>576</c:v>
                </c:pt>
                <c:pt idx="4723" formatCode="General">
                  <c:v>563</c:v>
                </c:pt>
                <c:pt idx="4724" formatCode="General">
                  <c:v>625</c:v>
                </c:pt>
                <c:pt idx="4725" formatCode="General">
                  <c:v>686</c:v>
                </c:pt>
                <c:pt idx="4726" formatCode="General">
                  <c:v>405</c:v>
                </c:pt>
                <c:pt idx="4727" formatCode="General">
                  <c:v>334</c:v>
                </c:pt>
                <c:pt idx="4728" formatCode="General">
                  <c:v>282</c:v>
                </c:pt>
                <c:pt idx="4729" formatCode="General">
                  <c:v>326</c:v>
                </c:pt>
                <c:pt idx="4730" formatCode="General">
                  <c:v>361</c:v>
                </c:pt>
                <c:pt idx="4731" formatCode="General">
                  <c:v>730</c:v>
                </c:pt>
                <c:pt idx="4732" formatCode="General">
                  <c:v>634</c:v>
                </c:pt>
                <c:pt idx="4733" formatCode="General">
                  <c:v>519</c:v>
                </c:pt>
                <c:pt idx="4734" formatCode="General">
                  <c:v>343</c:v>
                </c:pt>
                <c:pt idx="4735" formatCode="General">
                  <c:v>440</c:v>
                </c:pt>
                <c:pt idx="4736" formatCode="General">
                  <c:v>334</c:v>
                </c:pt>
                <c:pt idx="4737" formatCode="General">
                  <c:v>299</c:v>
                </c:pt>
                <c:pt idx="4738" formatCode="General">
                  <c:v>334</c:v>
                </c:pt>
                <c:pt idx="4739" formatCode="General">
                  <c:v>202</c:v>
                </c:pt>
                <c:pt idx="4740" formatCode="General">
                  <c:v>202</c:v>
                </c:pt>
                <c:pt idx="4741" formatCode="General">
                  <c:v>299</c:v>
                </c:pt>
                <c:pt idx="4742" formatCode="General">
                  <c:v>370</c:v>
                </c:pt>
                <c:pt idx="4743" formatCode="General">
                  <c:v>158</c:v>
                </c:pt>
                <c:pt idx="4744" formatCode="General">
                  <c:v>88</c:v>
                </c:pt>
                <c:pt idx="4745" formatCode="General">
                  <c:v>167</c:v>
                </c:pt>
                <c:pt idx="4746" formatCode="General">
                  <c:v>317</c:v>
                </c:pt>
                <c:pt idx="4747" formatCode="General">
                  <c:v>475</c:v>
                </c:pt>
                <c:pt idx="4748" formatCode="General">
                  <c:v>458</c:v>
                </c:pt>
                <c:pt idx="4749" formatCode="General">
                  <c:v>334</c:v>
                </c:pt>
                <c:pt idx="4750" formatCode="General">
                  <c:v>414</c:v>
                </c:pt>
                <c:pt idx="4751" formatCode="General">
                  <c:v>458</c:v>
                </c:pt>
                <c:pt idx="4752" formatCode="General">
                  <c:v>449</c:v>
                </c:pt>
                <c:pt idx="4753" formatCode="General">
                  <c:v>387</c:v>
                </c:pt>
                <c:pt idx="4754" formatCode="General">
                  <c:v>88</c:v>
                </c:pt>
                <c:pt idx="4755" formatCode="General">
                  <c:v>123</c:v>
                </c:pt>
                <c:pt idx="4756" formatCode="General">
                  <c:v>123</c:v>
                </c:pt>
                <c:pt idx="4757" formatCode="General">
                  <c:v>290</c:v>
                </c:pt>
                <c:pt idx="4758" formatCode="General">
                  <c:v>317</c:v>
                </c:pt>
                <c:pt idx="4759" formatCode="General">
                  <c:v>326</c:v>
                </c:pt>
                <c:pt idx="4760" formatCode="General">
                  <c:v>167</c:v>
                </c:pt>
                <c:pt idx="4761" formatCode="General">
                  <c:v>123</c:v>
                </c:pt>
                <c:pt idx="4762" formatCode="General">
                  <c:v>642</c:v>
                </c:pt>
                <c:pt idx="4763" formatCode="General">
                  <c:v>466</c:v>
                </c:pt>
                <c:pt idx="4764" formatCode="General">
                  <c:v>519</c:v>
                </c:pt>
                <c:pt idx="4765" formatCode="General">
                  <c:v>519</c:v>
                </c:pt>
                <c:pt idx="4766" formatCode="General">
                  <c:v>510</c:v>
                </c:pt>
                <c:pt idx="4767" formatCode="General">
                  <c:v>440</c:v>
                </c:pt>
                <c:pt idx="4768" formatCode="General">
                  <c:v>449</c:v>
                </c:pt>
                <c:pt idx="4769" formatCode="General">
                  <c:v>484</c:v>
                </c:pt>
                <c:pt idx="4770" formatCode="General">
                  <c:v>414</c:v>
                </c:pt>
                <c:pt idx="4771" formatCode="General">
                  <c:v>431</c:v>
                </c:pt>
                <c:pt idx="4772" formatCode="General">
                  <c:v>466</c:v>
                </c:pt>
                <c:pt idx="4773" formatCode="General">
                  <c:v>546</c:v>
                </c:pt>
                <c:pt idx="4774" formatCode="General">
                  <c:v>238</c:v>
                </c:pt>
                <c:pt idx="4775" formatCode="General">
                  <c:v>246</c:v>
                </c:pt>
                <c:pt idx="4776" formatCode="General">
                  <c:v>167</c:v>
                </c:pt>
                <c:pt idx="4777" formatCode="General">
                  <c:v>264</c:v>
                </c:pt>
                <c:pt idx="4778" formatCode="General">
                  <c:v>211</c:v>
                </c:pt>
                <c:pt idx="4779" formatCode="General">
                  <c:v>343</c:v>
                </c:pt>
                <c:pt idx="4780" formatCode="General">
                  <c:v>466</c:v>
                </c:pt>
                <c:pt idx="4781" formatCode="General">
                  <c:v>273</c:v>
                </c:pt>
                <c:pt idx="4782" formatCode="General">
                  <c:v>282</c:v>
                </c:pt>
                <c:pt idx="4783" formatCode="General">
                  <c:v>264</c:v>
                </c:pt>
                <c:pt idx="4784" formatCode="General">
                  <c:v>387</c:v>
                </c:pt>
                <c:pt idx="4785" formatCode="General">
                  <c:v>326</c:v>
                </c:pt>
                <c:pt idx="4786" formatCode="General">
                  <c:v>211</c:v>
                </c:pt>
                <c:pt idx="4787" formatCode="General">
                  <c:v>158</c:v>
                </c:pt>
                <c:pt idx="4788" formatCode="General">
                  <c:v>238</c:v>
                </c:pt>
                <c:pt idx="4789" formatCode="General">
                  <c:v>246</c:v>
                </c:pt>
                <c:pt idx="4790" formatCode="General">
                  <c:v>387</c:v>
                </c:pt>
                <c:pt idx="4791" formatCode="General">
                  <c:v>352</c:v>
                </c:pt>
                <c:pt idx="4792" formatCode="General">
                  <c:v>246</c:v>
                </c:pt>
                <c:pt idx="4793" formatCode="General">
                  <c:v>282</c:v>
                </c:pt>
                <c:pt idx="4794" formatCode="General">
                  <c:v>308</c:v>
                </c:pt>
                <c:pt idx="4795" formatCode="General">
                  <c:v>317</c:v>
                </c:pt>
                <c:pt idx="4796" formatCode="General">
                  <c:v>370</c:v>
                </c:pt>
                <c:pt idx="4797" formatCode="General">
                  <c:v>374</c:v>
                </c:pt>
                <c:pt idx="4798" formatCode="General">
                  <c:v>418</c:v>
                </c:pt>
                <c:pt idx="4799" formatCode="General">
                  <c:v>374</c:v>
                </c:pt>
                <c:pt idx="4800" formatCode="General">
                  <c:v>487</c:v>
                </c:pt>
                <c:pt idx="4801" formatCode="General">
                  <c:v>705</c:v>
                </c:pt>
                <c:pt idx="4802" formatCode="General">
                  <c:v>461</c:v>
                </c:pt>
                <c:pt idx="4803" formatCode="General">
                  <c:v>296</c:v>
                </c:pt>
                <c:pt idx="4804" formatCode="General">
                  <c:v>252</c:v>
                </c:pt>
                <c:pt idx="4805" formatCode="General">
                  <c:v>165</c:v>
                </c:pt>
                <c:pt idx="4806" formatCode="General">
                  <c:v>165</c:v>
                </c:pt>
                <c:pt idx="4807" formatCode="General">
                  <c:v>426</c:v>
                </c:pt>
                <c:pt idx="4808" formatCode="General">
                  <c:v>461</c:v>
                </c:pt>
                <c:pt idx="4809" formatCode="General">
                  <c:v>470</c:v>
                </c:pt>
                <c:pt idx="4810" formatCode="General">
                  <c:v>487</c:v>
                </c:pt>
                <c:pt idx="4811" formatCode="General">
                  <c:v>339</c:v>
                </c:pt>
                <c:pt idx="4812" formatCode="General">
                  <c:v>331</c:v>
                </c:pt>
                <c:pt idx="4813" formatCode="General">
                  <c:v>444</c:v>
                </c:pt>
                <c:pt idx="4814" formatCode="General">
                  <c:v>383</c:v>
                </c:pt>
                <c:pt idx="4815" formatCode="General">
                  <c:v>365</c:v>
                </c:pt>
                <c:pt idx="4816" formatCode="General">
                  <c:v>392</c:v>
                </c:pt>
                <c:pt idx="4817" formatCode="General">
                  <c:v>209</c:v>
                </c:pt>
                <c:pt idx="4818" formatCode="General">
                  <c:v>357</c:v>
                </c:pt>
                <c:pt idx="4819" formatCode="General">
                  <c:v>392</c:v>
                </c:pt>
                <c:pt idx="4820" formatCode="General">
                  <c:v>218</c:v>
                </c:pt>
                <c:pt idx="4821" formatCode="General">
                  <c:v>322</c:v>
                </c:pt>
                <c:pt idx="4822" formatCode="General">
                  <c:v>470</c:v>
                </c:pt>
                <c:pt idx="4823" formatCode="General">
                  <c:v>331</c:v>
                </c:pt>
                <c:pt idx="4824" formatCode="General">
                  <c:v>322</c:v>
                </c:pt>
                <c:pt idx="4825" formatCode="General">
                  <c:v>365</c:v>
                </c:pt>
                <c:pt idx="4826" formatCode="General">
                  <c:v>461</c:v>
                </c:pt>
                <c:pt idx="4827" formatCode="General">
                  <c:v>452</c:v>
                </c:pt>
                <c:pt idx="4828" formatCode="General">
                  <c:v>296</c:v>
                </c:pt>
                <c:pt idx="4829" formatCode="General">
                  <c:v>470</c:v>
                </c:pt>
                <c:pt idx="4830" formatCode="General">
                  <c:v>447</c:v>
                </c:pt>
                <c:pt idx="4831" formatCode="General">
                  <c:v>289</c:v>
                </c:pt>
                <c:pt idx="4832" formatCode="General">
                  <c:v>451</c:v>
                </c:pt>
                <c:pt idx="4833" formatCode="General">
                  <c:v>544</c:v>
                </c:pt>
                <c:pt idx="4834" formatCode="General">
                  <c:v>417</c:v>
                </c:pt>
                <c:pt idx="4835" formatCode="General">
                  <c:v>476</c:v>
                </c:pt>
                <c:pt idx="4836" formatCode="General">
                  <c:v>425</c:v>
                </c:pt>
                <c:pt idx="4837" formatCode="General">
                  <c:v>527</c:v>
                </c:pt>
                <c:pt idx="4838" formatCode="General">
                  <c:v>383</c:v>
                </c:pt>
                <c:pt idx="4839" formatCode="General">
                  <c:v>485</c:v>
                </c:pt>
                <c:pt idx="4840" formatCode="General">
                  <c:v>315</c:v>
                </c:pt>
                <c:pt idx="4841" formatCode="General">
                  <c:v>383</c:v>
                </c:pt>
                <c:pt idx="4842" formatCode="General">
                  <c:v>468</c:v>
                </c:pt>
                <c:pt idx="4843" formatCode="General">
                  <c:v>374</c:v>
                </c:pt>
                <c:pt idx="4844" formatCode="General">
                  <c:v>306</c:v>
                </c:pt>
                <c:pt idx="4845" formatCode="General">
                  <c:v>476</c:v>
                </c:pt>
                <c:pt idx="4846" formatCode="General">
                  <c:v>366</c:v>
                </c:pt>
                <c:pt idx="4847" formatCode="General">
                  <c:v>357</c:v>
                </c:pt>
                <c:pt idx="4848" formatCode="General">
                  <c:v>349</c:v>
                </c:pt>
                <c:pt idx="4849" formatCode="General">
                  <c:v>162</c:v>
                </c:pt>
                <c:pt idx="4850" formatCode="General">
                  <c:v>434</c:v>
                </c:pt>
                <c:pt idx="4851" formatCode="General">
                  <c:v>366</c:v>
                </c:pt>
                <c:pt idx="4852" formatCode="General">
                  <c:v>400</c:v>
                </c:pt>
                <c:pt idx="4853" formatCode="General">
                  <c:v>451</c:v>
                </c:pt>
                <c:pt idx="4854" formatCode="General">
                  <c:v>349</c:v>
                </c:pt>
                <c:pt idx="4855" formatCode="General">
                  <c:v>510</c:v>
                </c:pt>
                <c:pt idx="4856" formatCode="General">
                  <c:v>366</c:v>
                </c:pt>
                <c:pt idx="4857" formatCode="General">
                  <c:v>425</c:v>
                </c:pt>
                <c:pt idx="4858" formatCode="General">
                  <c:v>451</c:v>
                </c:pt>
                <c:pt idx="4859" formatCode="General">
                  <c:v>544</c:v>
                </c:pt>
                <c:pt idx="4860" formatCode="General">
                  <c:v>349</c:v>
                </c:pt>
                <c:pt idx="4861" formatCode="General">
                  <c:v>400</c:v>
                </c:pt>
                <c:pt idx="4862" formatCode="General">
                  <c:v>255</c:v>
                </c:pt>
                <c:pt idx="4863" formatCode="General">
                  <c:v>247</c:v>
                </c:pt>
                <c:pt idx="4864" formatCode="General">
                  <c:v>374</c:v>
                </c:pt>
                <c:pt idx="4865" formatCode="General">
                  <c:v>281</c:v>
                </c:pt>
                <c:pt idx="4866" formatCode="General">
                  <c:v>170</c:v>
                </c:pt>
                <c:pt idx="4867" formatCode="General">
                  <c:v>306</c:v>
                </c:pt>
                <c:pt idx="4868" formatCode="General">
                  <c:v>128</c:v>
                </c:pt>
                <c:pt idx="4869" formatCode="General">
                  <c:v>204</c:v>
                </c:pt>
                <c:pt idx="4870" formatCode="General">
                  <c:v>510</c:v>
                </c:pt>
                <c:pt idx="4871" formatCode="General">
                  <c:v>247</c:v>
                </c:pt>
                <c:pt idx="4872" formatCode="General">
                  <c:v>298</c:v>
                </c:pt>
                <c:pt idx="4873" formatCode="General">
                  <c:v>255</c:v>
                </c:pt>
                <c:pt idx="4874" formatCode="General">
                  <c:v>247</c:v>
                </c:pt>
                <c:pt idx="4875" formatCode="General">
                  <c:v>213</c:v>
                </c:pt>
                <c:pt idx="4876" formatCode="General">
                  <c:v>196</c:v>
                </c:pt>
                <c:pt idx="4877" formatCode="General">
                  <c:v>340</c:v>
                </c:pt>
                <c:pt idx="4878" formatCode="General">
                  <c:v>315</c:v>
                </c:pt>
                <c:pt idx="4879" formatCode="General">
                  <c:v>323</c:v>
                </c:pt>
                <c:pt idx="4880" formatCode="General">
                  <c:v>344</c:v>
                </c:pt>
                <c:pt idx="4881" formatCode="General">
                  <c:v>420</c:v>
                </c:pt>
                <c:pt idx="4882" formatCode="General">
                  <c:v>235</c:v>
                </c:pt>
                <c:pt idx="4883" formatCode="General">
                  <c:v>311</c:v>
                </c:pt>
                <c:pt idx="4884" formatCode="General">
                  <c:v>386</c:v>
                </c:pt>
                <c:pt idx="4885" formatCode="General">
                  <c:v>437</c:v>
                </c:pt>
                <c:pt idx="4886" formatCode="General">
                  <c:v>412</c:v>
                </c:pt>
                <c:pt idx="4887" formatCode="General">
                  <c:v>445</c:v>
                </c:pt>
                <c:pt idx="4888" formatCode="General">
                  <c:v>504</c:v>
                </c:pt>
                <c:pt idx="4889" formatCode="General">
                  <c:v>538</c:v>
                </c:pt>
                <c:pt idx="4890" formatCode="General">
                  <c:v>437</c:v>
                </c:pt>
                <c:pt idx="4891" formatCode="General">
                  <c:v>496</c:v>
                </c:pt>
                <c:pt idx="4892" formatCode="General">
                  <c:v>420</c:v>
                </c:pt>
                <c:pt idx="4893" formatCode="General">
                  <c:v>370</c:v>
                </c:pt>
                <c:pt idx="4894" formatCode="General">
                  <c:v>361</c:v>
                </c:pt>
                <c:pt idx="4895" formatCode="General">
                  <c:v>269</c:v>
                </c:pt>
                <c:pt idx="4896" formatCode="General">
                  <c:v>412</c:v>
                </c:pt>
                <c:pt idx="4897" formatCode="General">
                  <c:v>454</c:v>
                </c:pt>
                <c:pt idx="4898" formatCode="General">
                  <c:v>395</c:v>
                </c:pt>
                <c:pt idx="4899" formatCode="General">
                  <c:v>445</c:v>
                </c:pt>
                <c:pt idx="4900" formatCode="General">
                  <c:v>487</c:v>
                </c:pt>
                <c:pt idx="4901" formatCode="General">
                  <c:v>428</c:v>
                </c:pt>
                <c:pt idx="4902" formatCode="General">
                  <c:v>328</c:v>
                </c:pt>
                <c:pt idx="4903" formatCode="General">
                  <c:v>428</c:v>
                </c:pt>
                <c:pt idx="4904" formatCode="General">
                  <c:v>521</c:v>
                </c:pt>
                <c:pt idx="4905" formatCode="General">
                  <c:v>521</c:v>
                </c:pt>
                <c:pt idx="4906" formatCode="General">
                  <c:v>420</c:v>
                </c:pt>
                <c:pt idx="4907" formatCode="General">
                  <c:v>266</c:v>
                </c:pt>
                <c:pt idx="4908" formatCode="General">
                  <c:v>564</c:v>
                </c:pt>
                <c:pt idx="4909" formatCode="General">
                  <c:v>307</c:v>
                </c:pt>
                <c:pt idx="4910" formatCode="General">
                  <c:v>606</c:v>
                </c:pt>
                <c:pt idx="4911" formatCode="General">
                  <c:v>573</c:v>
                </c:pt>
                <c:pt idx="4912" formatCode="General">
                  <c:v>415</c:v>
                </c:pt>
                <c:pt idx="4913" formatCode="General">
                  <c:v>149</c:v>
                </c:pt>
                <c:pt idx="4914" formatCode="General">
                  <c:v>116</c:v>
                </c:pt>
                <c:pt idx="4915" formatCode="General">
                  <c:v>241</c:v>
                </c:pt>
                <c:pt idx="4916" formatCode="General">
                  <c:v>448</c:v>
                </c:pt>
                <c:pt idx="4917" formatCode="General">
                  <c:v>407</c:v>
                </c:pt>
                <c:pt idx="4918" formatCode="General">
                  <c:v>415</c:v>
                </c:pt>
                <c:pt idx="4919" formatCode="General">
                  <c:v>423</c:v>
                </c:pt>
                <c:pt idx="4920" formatCode="General">
                  <c:v>340</c:v>
                </c:pt>
                <c:pt idx="4921" formatCode="General">
                  <c:v>440</c:v>
                </c:pt>
                <c:pt idx="4922" formatCode="General">
                  <c:v>224</c:v>
                </c:pt>
                <c:pt idx="4923" formatCode="General">
                  <c:v>448</c:v>
                </c:pt>
                <c:pt idx="4924" formatCode="General">
                  <c:v>448</c:v>
                </c:pt>
                <c:pt idx="4925" formatCode="General">
                  <c:v>224</c:v>
                </c:pt>
                <c:pt idx="4926" formatCode="General">
                  <c:v>390</c:v>
                </c:pt>
                <c:pt idx="4927" formatCode="General">
                  <c:v>398</c:v>
                </c:pt>
                <c:pt idx="4928" formatCode="General">
                  <c:v>282</c:v>
                </c:pt>
                <c:pt idx="4929" formatCode="General">
                  <c:v>340</c:v>
                </c:pt>
                <c:pt idx="4930" formatCode="General">
                  <c:v>390</c:v>
                </c:pt>
                <c:pt idx="4931" formatCode="General">
                  <c:v>457</c:v>
                </c:pt>
                <c:pt idx="4932" formatCode="General">
                  <c:v>448</c:v>
                </c:pt>
                <c:pt idx="4933" formatCode="General">
                  <c:v>324</c:v>
                </c:pt>
                <c:pt idx="4934" formatCode="General">
                  <c:v>415</c:v>
                </c:pt>
                <c:pt idx="4935" formatCode="General">
                  <c:v>465</c:v>
                </c:pt>
                <c:pt idx="4936" formatCode="General">
                  <c:v>357</c:v>
                </c:pt>
                <c:pt idx="4937" formatCode="General">
                  <c:v>440</c:v>
                </c:pt>
                <c:pt idx="4938" formatCode="General">
                  <c:v>191</c:v>
                </c:pt>
                <c:pt idx="4939" formatCode="General">
                  <c:v>274</c:v>
                </c:pt>
                <c:pt idx="4940" formatCode="General">
                  <c:v>324</c:v>
                </c:pt>
                <c:pt idx="4941" formatCode="General">
                  <c:v>340</c:v>
                </c:pt>
                <c:pt idx="4942" formatCode="General">
                  <c:v>141</c:v>
                </c:pt>
                <c:pt idx="4943" formatCode="General">
                  <c:v>58</c:v>
                </c:pt>
                <c:pt idx="4944" formatCode="General">
                  <c:v>100</c:v>
                </c:pt>
                <c:pt idx="4945" formatCode="General">
                  <c:v>291</c:v>
                </c:pt>
                <c:pt idx="4946" formatCode="General">
                  <c:v>266</c:v>
                </c:pt>
                <c:pt idx="4947" formatCode="General">
                  <c:v>307</c:v>
                </c:pt>
                <c:pt idx="4948" formatCode="General">
                  <c:v>374</c:v>
                </c:pt>
                <c:pt idx="4949" formatCode="General">
                  <c:v>324</c:v>
                </c:pt>
                <c:pt idx="4950" formatCode="General">
                  <c:v>382</c:v>
                </c:pt>
                <c:pt idx="4951" formatCode="General">
                  <c:v>216</c:v>
                </c:pt>
                <c:pt idx="4952" formatCode="General">
                  <c:v>349</c:v>
                </c:pt>
                <c:pt idx="4953" formatCode="General">
                  <c:v>332</c:v>
                </c:pt>
                <c:pt idx="4954" formatCode="General">
                  <c:v>241</c:v>
                </c:pt>
                <c:pt idx="4955" formatCode="General">
                  <c:v>348</c:v>
                </c:pt>
                <c:pt idx="4956" formatCode="General">
                  <c:v>518</c:v>
                </c:pt>
                <c:pt idx="4957" formatCode="General">
                  <c:v>308</c:v>
                </c:pt>
                <c:pt idx="4958" formatCode="General">
                  <c:v>527</c:v>
                </c:pt>
                <c:pt idx="4959" formatCode="General">
                  <c:v>478</c:v>
                </c:pt>
                <c:pt idx="4960" formatCode="General">
                  <c:v>510</c:v>
                </c:pt>
                <c:pt idx="4961" formatCode="General">
                  <c:v>429</c:v>
                </c:pt>
                <c:pt idx="4962" formatCode="General">
                  <c:v>356</c:v>
                </c:pt>
                <c:pt idx="4963" formatCode="General">
                  <c:v>300</c:v>
                </c:pt>
                <c:pt idx="4964" formatCode="General">
                  <c:v>429</c:v>
                </c:pt>
                <c:pt idx="4965" formatCode="General">
                  <c:v>478</c:v>
                </c:pt>
                <c:pt idx="4966" formatCode="General">
                  <c:v>494</c:v>
                </c:pt>
                <c:pt idx="4967" formatCode="General">
                  <c:v>308</c:v>
                </c:pt>
                <c:pt idx="4968" formatCode="General">
                  <c:v>275</c:v>
                </c:pt>
                <c:pt idx="4969" formatCode="General">
                  <c:v>348</c:v>
                </c:pt>
                <c:pt idx="4970" formatCode="General">
                  <c:v>356</c:v>
                </c:pt>
                <c:pt idx="4971" formatCode="General">
                  <c:v>300</c:v>
                </c:pt>
                <c:pt idx="4972" formatCode="General">
                  <c:v>259</c:v>
                </c:pt>
                <c:pt idx="4973" formatCode="General">
                  <c:v>308</c:v>
                </c:pt>
                <c:pt idx="4974" formatCode="General">
                  <c:v>194</c:v>
                </c:pt>
                <c:pt idx="4975" formatCode="General">
                  <c:v>381</c:v>
                </c:pt>
                <c:pt idx="4976" formatCode="General">
                  <c:v>559</c:v>
                </c:pt>
                <c:pt idx="4977" formatCode="General">
                  <c:v>235</c:v>
                </c:pt>
                <c:pt idx="4978" formatCode="General">
                  <c:v>300</c:v>
                </c:pt>
                <c:pt idx="4979" formatCode="General">
                  <c:v>518</c:v>
                </c:pt>
                <c:pt idx="4980" formatCode="General">
                  <c:v>356</c:v>
                </c:pt>
                <c:pt idx="4981" formatCode="General">
                  <c:v>259</c:v>
                </c:pt>
                <c:pt idx="4982" formatCode="General">
                  <c:v>235</c:v>
                </c:pt>
                <c:pt idx="4983" formatCode="General">
                  <c:v>267</c:v>
                </c:pt>
                <c:pt idx="4984" formatCode="General">
                  <c:v>429</c:v>
                </c:pt>
                <c:pt idx="4985" formatCode="General">
                  <c:v>308</c:v>
                </c:pt>
                <c:pt idx="4986" formatCode="General">
                  <c:v>292</c:v>
                </c:pt>
                <c:pt idx="4987" formatCode="General">
                  <c:v>332</c:v>
                </c:pt>
                <c:pt idx="4988" formatCode="General">
                  <c:v>300</c:v>
                </c:pt>
                <c:pt idx="4989" formatCode="General">
                  <c:v>300</c:v>
                </c:pt>
                <c:pt idx="4990" formatCode="General">
                  <c:v>356</c:v>
                </c:pt>
                <c:pt idx="4991" formatCode="General">
                  <c:v>429</c:v>
                </c:pt>
                <c:pt idx="4992" formatCode="General">
                  <c:v>421</c:v>
                </c:pt>
                <c:pt idx="4993" formatCode="General">
                  <c:v>332</c:v>
                </c:pt>
                <c:pt idx="4994" formatCode="General">
                  <c:v>365</c:v>
                </c:pt>
                <c:pt idx="4995" formatCode="General">
                  <c:v>470</c:v>
                </c:pt>
                <c:pt idx="4996" formatCode="General">
                  <c:v>575</c:v>
                </c:pt>
                <c:pt idx="4997" formatCode="General">
                  <c:v>446</c:v>
                </c:pt>
                <c:pt idx="4998" formatCode="General">
                  <c:v>454</c:v>
                </c:pt>
              </c:numCache>
            </c:numRef>
          </c:xVal>
          <c:yVal>
            <c:numRef>
              <c:f>'Raw Data&amp; 2.1.1'!$K$2:$K$5000</c:f>
              <c:numCache>
                <c:formatCode>"$"#,##0_);[Red]\("$"#,##0\)</c:formatCode>
                <c:ptCount val="4999"/>
                <c:pt idx="0">
                  <c:v>1257</c:v>
                </c:pt>
                <c:pt idx="1">
                  <c:v>806</c:v>
                </c:pt>
                <c:pt idx="2">
                  <c:v>3150</c:v>
                </c:pt>
                <c:pt idx="3">
                  <c:v>3881</c:v>
                </c:pt>
                <c:pt idx="4">
                  <c:v>3206</c:v>
                </c:pt>
                <c:pt idx="5">
                  <c:v>2494</c:v>
                </c:pt>
                <c:pt idx="6">
                  <c:v>3150</c:v>
                </c:pt>
                <c:pt idx="7">
                  <c:v>2700</c:v>
                </c:pt>
                <c:pt idx="8">
                  <c:v>2700</c:v>
                </c:pt>
                <c:pt idx="9">
                  <c:v>993</c:v>
                </c:pt>
                <c:pt idx="10">
                  <c:v>2975</c:v>
                </c:pt>
                <c:pt idx="11">
                  <c:v>2231</c:v>
                </c:pt>
                <c:pt idx="12">
                  <c:v>2975</c:v>
                </c:pt>
                <c:pt idx="13">
                  <c:v>3400</c:v>
                </c:pt>
                <c:pt idx="14">
                  <c:v>2550</c:v>
                </c:pt>
                <c:pt idx="15">
                  <c:v>3400</c:v>
                </c:pt>
                <c:pt idx="16">
                  <c:v>3400</c:v>
                </c:pt>
                <c:pt idx="17">
                  <c:v>2975</c:v>
                </c:pt>
                <c:pt idx="18">
                  <c:v>1129</c:v>
                </c:pt>
                <c:pt idx="19">
                  <c:v>875</c:v>
                </c:pt>
                <c:pt idx="20">
                  <c:v>1038</c:v>
                </c:pt>
                <c:pt idx="21">
                  <c:v>2800</c:v>
                </c:pt>
                <c:pt idx="22">
                  <c:v>3200</c:v>
                </c:pt>
                <c:pt idx="23">
                  <c:v>2800</c:v>
                </c:pt>
                <c:pt idx="24">
                  <c:v>2800</c:v>
                </c:pt>
                <c:pt idx="25">
                  <c:v>3200</c:v>
                </c:pt>
                <c:pt idx="26">
                  <c:v>2400</c:v>
                </c:pt>
                <c:pt idx="27">
                  <c:v>978</c:v>
                </c:pt>
                <c:pt idx="28">
                  <c:v>811</c:v>
                </c:pt>
                <c:pt idx="29">
                  <c:v>666</c:v>
                </c:pt>
                <c:pt idx="30">
                  <c:v>679</c:v>
                </c:pt>
                <c:pt idx="31">
                  <c:v>559</c:v>
                </c:pt>
                <c:pt idx="32">
                  <c:v>4125</c:v>
                </c:pt>
                <c:pt idx="33">
                  <c:v>2625</c:v>
                </c:pt>
                <c:pt idx="34">
                  <c:v>3000</c:v>
                </c:pt>
                <c:pt idx="35">
                  <c:v>3000</c:v>
                </c:pt>
                <c:pt idx="36">
                  <c:v>2250</c:v>
                </c:pt>
                <c:pt idx="37">
                  <c:v>1969</c:v>
                </c:pt>
                <c:pt idx="38">
                  <c:v>2250</c:v>
                </c:pt>
                <c:pt idx="39">
                  <c:v>800</c:v>
                </c:pt>
                <c:pt idx="40">
                  <c:v>445</c:v>
                </c:pt>
                <c:pt idx="41">
                  <c:v>445</c:v>
                </c:pt>
                <c:pt idx="42">
                  <c:v>663</c:v>
                </c:pt>
                <c:pt idx="43">
                  <c:v>837</c:v>
                </c:pt>
                <c:pt idx="44">
                  <c:v>1250</c:v>
                </c:pt>
                <c:pt idx="45">
                  <c:v>452</c:v>
                </c:pt>
                <c:pt idx="46">
                  <c:v>511</c:v>
                </c:pt>
                <c:pt idx="47">
                  <c:v>1026</c:v>
                </c:pt>
                <c:pt idx="48">
                  <c:v>447</c:v>
                </c:pt>
                <c:pt idx="49">
                  <c:v>3063</c:v>
                </c:pt>
                <c:pt idx="50">
                  <c:v>3500</c:v>
                </c:pt>
                <c:pt idx="51">
                  <c:v>3063</c:v>
                </c:pt>
                <c:pt idx="52">
                  <c:v>3063</c:v>
                </c:pt>
                <c:pt idx="53">
                  <c:v>3063</c:v>
                </c:pt>
                <c:pt idx="54">
                  <c:v>1225</c:v>
                </c:pt>
                <c:pt idx="55">
                  <c:v>3500</c:v>
                </c:pt>
                <c:pt idx="56">
                  <c:v>3500</c:v>
                </c:pt>
                <c:pt idx="57">
                  <c:v>3063</c:v>
                </c:pt>
                <c:pt idx="58">
                  <c:v>1400</c:v>
                </c:pt>
                <c:pt idx="59">
                  <c:v>3500</c:v>
                </c:pt>
                <c:pt idx="60">
                  <c:v>2100</c:v>
                </c:pt>
                <c:pt idx="61">
                  <c:v>2800</c:v>
                </c:pt>
                <c:pt idx="62">
                  <c:v>2450</c:v>
                </c:pt>
                <c:pt idx="63">
                  <c:v>3063</c:v>
                </c:pt>
                <c:pt idx="64">
                  <c:v>1838</c:v>
                </c:pt>
                <c:pt idx="65">
                  <c:v>3063</c:v>
                </c:pt>
                <c:pt idx="66">
                  <c:v>3500</c:v>
                </c:pt>
                <c:pt idx="67">
                  <c:v>414</c:v>
                </c:pt>
                <c:pt idx="68">
                  <c:v>365</c:v>
                </c:pt>
                <c:pt idx="69">
                  <c:v>497</c:v>
                </c:pt>
                <c:pt idx="70">
                  <c:v>473</c:v>
                </c:pt>
                <c:pt idx="71">
                  <c:v>758</c:v>
                </c:pt>
                <c:pt idx="72">
                  <c:v>426</c:v>
                </c:pt>
                <c:pt idx="73">
                  <c:v>511</c:v>
                </c:pt>
                <c:pt idx="74">
                  <c:v>2415</c:v>
                </c:pt>
                <c:pt idx="75">
                  <c:v>601</c:v>
                </c:pt>
                <c:pt idx="76">
                  <c:v>474</c:v>
                </c:pt>
                <c:pt idx="77">
                  <c:v>490</c:v>
                </c:pt>
                <c:pt idx="78">
                  <c:v>527</c:v>
                </c:pt>
                <c:pt idx="79">
                  <c:v>963</c:v>
                </c:pt>
                <c:pt idx="80">
                  <c:v>351</c:v>
                </c:pt>
                <c:pt idx="81">
                  <c:v>559</c:v>
                </c:pt>
                <c:pt idx="82">
                  <c:v>426</c:v>
                </c:pt>
                <c:pt idx="83">
                  <c:v>476</c:v>
                </c:pt>
                <c:pt idx="84">
                  <c:v>321</c:v>
                </c:pt>
                <c:pt idx="85">
                  <c:v>546</c:v>
                </c:pt>
                <c:pt idx="86">
                  <c:v>401</c:v>
                </c:pt>
                <c:pt idx="87">
                  <c:v>462</c:v>
                </c:pt>
                <c:pt idx="88">
                  <c:v>1152</c:v>
                </c:pt>
                <c:pt idx="89">
                  <c:v>3250</c:v>
                </c:pt>
                <c:pt idx="90">
                  <c:v>3250</c:v>
                </c:pt>
                <c:pt idx="91">
                  <c:v>2600</c:v>
                </c:pt>
                <c:pt idx="92">
                  <c:v>2844</c:v>
                </c:pt>
                <c:pt idx="93">
                  <c:v>1706</c:v>
                </c:pt>
                <c:pt idx="94">
                  <c:v>1300</c:v>
                </c:pt>
                <c:pt idx="95">
                  <c:v>2275</c:v>
                </c:pt>
                <c:pt idx="96">
                  <c:v>3250</c:v>
                </c:pt>
                <c:pt idx="97">
                  <c:v>3250</c:v>
                </c:pt>
                <c:pt idx="98">
                  <c:v>2275</c:v>
                </c:pt>
                <c:pt idx="99">
                  <c:v>1950</c:v>
                </c:pt>
                <c:pt idx="100">
                  <c:v>2844</c:v>
                </c:pt>
                <c:pt idx="101">
                  <c:v>1950</c:v>
                </c:pt>
                <c:pt idx="102">
                  <c:v>2275</c:v>
                </c:pt>
                <c:pt idx="103">
                  <c:v>2275</c:v>
                </c:pt>
                <c:pt idx="104">
                  <c:v>2600</c:v>
                </c:pt>
                <c:pt idx="105">
                  <c:v>1150</c:v>
                </c:pt>
                <c:pt idx="106">
                  <c:v>518</c:v>
                </c:pt>
                <c:pt idx="107">
                  <c:v>1140</c:v>
                </c:pt>
                <c:pt idx="108">
                  <c:v>393</c:v>
                </c:pt>
                <c:pt idx="109">
                  <c:v>314</c:v>
                </c:pt>
                <c:pt idx="110">
                  <c:v>448</c:v>
                </c:pt>
                <c:pt idx="111">
                  <c:v>478</c:v>
                </c:pt>
                <c:pt idx="112">
                  <c:v>425</c:v>
                </c:pt>
                <c:pt idx="113">
                  <c:v>446</c:v>
                </c:pt>
                <c:pt idx="114">
                  <c:v>483</c:v>
                </c:pt>
                <c:pt idx="115">
                  <c:v>559</c:v>
                </c:pt>
                <c:pt idx="116">
                  <c:v>3200</c:v>
                </c:pt>
                <c:pt idx="117">
                  <c:v>403</c:v>
                </c:pt>
                <c:pt idx="118">
                  <c:v>408</c:v>
                </c:pt>
                <c:pt idx="119">
                  <c:v>1129</c:v>
                </c:pt>
                <c:pt idx="120">
                  <c:v>531</c:v>
                </c:pt>
                <c:pt idx="121">
                  <c:v>782</c:v>
                </c:pt>
                <c:pt idx="122">
                  <c:v>482</c:v>
                </c:pt>
                <c:pt idx="123">
                  <c:v>1096</c:v>
                </c:pt>
                <c:pt idx="124">
                  <c:v>405</c:v>
                </c:pt>
                <c:pt idx="125">
                  <c:v>397</c:v>
                </c:pt>
                <c:pt idx="126">
                  <c:v>364</c:v>
                </c:pt>
                <c:pt idx="127">
                  <c:v>335</c:v>
                </c:pt>
                <c:pt idx="128">
                  <c:v>442</c:v>
                </c:pt>
                <c:pt idx="129">
                  <c:v>513</c:v>
                </c:pt>
                <c:pt idx="130">
                  <c:v>295</c:v>
                </c:pt>
                <c:pt idx="131">
                  <c:v>431</c:v>
                </c:pt>
                <c:pt idx="132">
                  <c:v>565</c:v>
                </c:pt>
                <c:pt idx="133">
                  <c:v>348</c:v>
                </c:pt>
                <c:pt idx="134">
                  <c:v>430</c:v>
                </c:pt>
                <c:pt idx="135">
                  <c:v>576</c:v>
                </c:pt>
                <c:pt idx="136">
                  <c:v>893</c:v>
                </c:pt>
                <c:pt idx="137">
                  <c:v>1050</c:v>
                </c:pt>
                <c:pt idx="138">
                  <c:v>1238</c:v>
                </c:pt>
                <c:pt idx="139">
                  <c:v>700</c:v>
                </c:pt>
                <c:pt idx="140">
                  <c:v>449</c:v>
                </c:pt>
                <c:pt idx="141">
                  <c:v>1156</c:v>
                </c:pt>
                <c:pt idx="142">
                  <c:v>467</c:v>
                </c:pt>
                <c:pt idx="143">
                  <c:v>669</c:v>
                </c:pt>
                <c:pt idx="144">
                  <c:v>996</c:v>
                </c:pt>
                <c:pt idx="145">
                  <c:v>487</c:v>
                </c:pt>
                <c:pt idx="146">
                  <c:v>461</c:v>
                </c:pt>
                <c:pt idx="147">
                  <c:v>406</c:v>
                </c:pt>
                <c:pt idx="148">
                  <c:v>502</c:v>
                </c:pt>
                <c:pt idx="149">
                  <c:v>257</c:v>
                </c:pt>
                <c:pt idx="150">
                  <c:v>260</c:v>
                </c:pt>
                <c:pt idx="151">
                  <c:v>364</c:v>
                </c:pt>
                <c:pt idx="152">
                  <c:v>379</c:v>
                </c:pt>
                <c:pt idx="153">
                  <c:v>690</c:v>
                </c:pt>
                <c:pt idx="154">
                  <c:v>477</c:v>
                </c:pt>
                <c:pt idx="155">
                  <c:v>282</c:v>
                </c:pt>
                <c:pt idx="156">
                  <c:v>496</c:v>
                </c:pt>
                <c:pt idx="157">
                  <c:v>668</c:v>
                </c:pt>
                <c:pt idx="158">
                  <c:v>816</c:v>
                </c:pt>
                <c:pt idx="159">
                  <c:v>761</c:v>
                </c:pt>
                <c:pt idx="160">
                  <c:v>305</c:v>
                </c:pt>
                <c:pt idx="161">
                  <c:v>382</c:v>
                </c:pt>
                <c:pt idx="162">
                  <c:v>511</c:v>
                </c:pt>
                <c:pt idx="163">
                  <c:v>1040</c:v>
                </c:pt>
                <c:pt idx="164">
                  <c:v>565</c:v>
                </c:pt>
                <c:pt idx="165">
                  <c:v>544</c:v>
                </c:pt>
                <c:pt idx="166">
                  <c:v>3150</c:v>
                </c:pt>
                <c:pt idx="167">
                  <c:v>4050</c:v>
                </c:pt>
                <c:pt idx="168">
                  <c:v>3150</c:v>
                </c:pt>
                <c:pt idx="169">
                  <c:v>1575</c:v>
                </c:pt>
                <c:pt idx="170">
                  <c:v>2400</c:v>
                </c:pt>
                <c:pt idx="171">
                  <c:v>2100</c:v>
                </c:pt>
                <c:pt idx="172">
                  <c:v>3600</c:v>
                </c:pt>
                <c:pt idx="173">
                  <c:v>2400</c:v>
                </c:pt>
                <c:pt idx="174">
                  <c:v>2400</c:v>
                </c:pt>
                <c:pt idx="175">
                  <c:v>2625</c:v>
                </c:pt>
                <c:pt idx="176">
                  <c:v>1800</c:v>
                </c:pt>
                <c:pt idx="177">
                  <c:v>2400</c:v>
                </c:pt>
                <c:pt idx="178">
                  <c:v>1575</c:v>
                </c:pt>
                <c:pt idx="179">
                  <c:v>1575</c:v>
                </c:pt>
                <c:pt idx="180">
                  <c:v>3150</c:v>
                </c:pt>
                <c:pt idx="181">
                  <c:v>3150</c:v>
                </c:pt>
                <c:pt idx="182">
                  <c:v>3150</c:v>
                </c:pt>
                <c:pt idx="183">
                  <c:v>2625</c:v>
                </c:pt>
                <c:pt idx="184">
                  <c:v>2400</c:v>
                </c:pt>
                <c:pt idx="185">
                  <c:v>3000</c:v>
                </c:pt>
                <c:pt idx="186">
                  <c:v>3600</c:v>
                </c:pt>
                <c:pt idx="187">
                  <c:v>2700</c:v>
                </c:pt>
                <c:pt idx="188">
                  <c:v>837</c:v>
                </c:pt>
                <c:pt idx="189">
                  <c:v>643</c:v>
                </c:pt>
                <c:pt idx="190">
                  <c:v>874</c:v>
                </c:pt>
                <c:pt idx="191">
                  <c:v>1076</c:v>
                </c:pt>
                <c:pt idx="192">
                  <c:v>1076</c:v>
                </c:pt>
                <c:pt idx="193">
                  <c:v>713</c:v>
                </c:pt>
                <c:pt idx="194">
                  <c:v>430</c:v>
                </c:pt>
                <c:pt idx="195">
                  <c:v>751</c:v>
                </c:pt>
                <c:pt idx="196">
                  <c:v>533</c:v>
                </c:pt>
                <c:pt idx="197">
                  <c:v>429</c:v>
                </c:pt>
                <c:pt idx="198">
                  <c:v>470</c:v>
                </c:pt>
                <c:pt idx="199">
                  <c:v>747</c:v>
                </c:pt>
                <c:pt idx="200">
                  <c:v>383</c:v>
                </c:pt>
                <c:pt idx="201">
                  <c:v>449</c:v>
                </c:pt>
                <c:pt idx="202">
                  <c:v>2581</c:v>
                </c:pt>
                <c:pt idx="203">
                  <c:v>434</c:v>
                </c:pt>
                <c:pt idx="204">
                  <c:v>538</c:v>
                </c:pt>
                <c:pt idx="205">
                  <c:v>339</c:v>
                </c:pt>
                <c:pt idx="206">
                  <c:v>342</c:v>
                </c:pt>
                <c:pt idx="207">
                  <c:v>882</c:v>
                </c:pt>
                <c:pt idx="208">
                  <c:v>531</c:v>
                </c:pt>
                <c:pt idx="209">
                  <c:v>868</c:v>
                </c:pt>
                <c:pt idx="210">
                  <c:v>598</c:v>
                </c:pt>
                <c:pt idx="211">
                  <c:v>529</c:v>
                </c:pt>
                <c:pt idx="212">
                  <c:v>616</c:v>
                </c:pt>
                <c:pt idx="213">
                  <c:v>665</c:v>
                </c:pt>
                <c:pt idx="214">
                  <c:v>749</c:v>
                </c:pt>
                <c:pt idx="215">
                  <c:v>690</c:v>
                </c:pt>
                <c:pt idx="216">
                  <c:v>941</c:v>
                </c:pt>
                <c:pt idx="217">
                  <c:v>1166</c:v>
                </c:pt>
                <c:pt idx="218">
                  <c:v>398</c:v>
                </c:pt>
                <c:pt idx="219">
                  <c:v>331</c:v>
                </c:pt>
                <c:pt idx="220">
                  <c:v>381</c:v>
                </c:pt>
                <c:pt idx="221">
                  <c:v>472</c:v>
                </c:pt>
                <c:pt idx="222">
                  <c:v>279</c:v>
                </c:pt>
                <c:pt idx="223">
                  <c:v>725</c:v>
                </c:pt>
                <c:pt idx="224">
                  <c:v>340</c:v>
                </c:pt>
                <c:pt idx="225">
                  <c:v>343</c:v>
                </c:pt>
                <c:pt idx="226">
                  <c:v>505</c:v>
                </c:pt>
                <c:pt idx="227">
                  <c:v>625</c:v>
                </c:pt>
                <c:pt idx="228">
                  <c:v>435</c:v>
                </c:pt>
                <c:pt idx="229">
                  <c:v>441</c:v>
                </c:pt>
                <c:pt idx="230">
                  <c:v>339</c:v>
                </c:pt>
                <c:pt idx="231">
                  <c:v>487</c:v>
                </c:pt>
                <c:pt idx="232">
                  <c:v>849</c:v>
                </c:pt>
                <c:pt idx="233">
                  <c:v>362</c:v>
                </c:pt>
                <c:pt idx="234">
                  <c:v>402</c:v>
                </c:pt>
                <c:pt idx="235">
                  <c:v>205</c:v>
                </c:pt>
                <c:pt idx="236">
                  <c:v>698</c:v>
                </c:pt>
                <c:pt idx="237">
                  <c:v>723</c:v>
                </c:pt>
                <c:pt idx="238">
                  <c:v>602</c:v>
                </c:pt>
                <c:pt idx="239">
                  <c:v>787</c:v>
                </c:pt>
                <c:pt idx="240">
                  <c:v>383</c:v>
                </c:pt>
                <c:pt idx="241">
                  <c:v>402</c:v>
                </c:pt>
                <c:pt idx="242">
                  <c:v>828</c:v>
                </c:pt>
                <c:pt idx="243">
                  <c:v>532</c:v>
                </c:pt>
                <c:pt idx="244">
                  <c:v>744</c:v>
                </c:pt>
                <c:pt idx="245">
                  <c:v>374</c:v>
                </c:pt>
                <c:pt idx="246">
                  <c:v>445</c:v>
                </c:pt>
                <c:pt idx="247">
                  <c:v>373</c:v>
                </c:pt>
                <c:pt idx="248">
                  <c:v>531</c:v>
                </c:pt>
                <c:pt idx="249">
                  <c:v>608</c:v>
                </c:pt>
                <c:pt idx="250">
                  <c:v>447</c:v>
                </c:pt>
                <c:pt idx="251">
                  <c:v>661</c:v>
                </c:pt>
                <c:pt idx="252">
                  <c:v>461</c:v>
                </c:pt>
                <c:pt idx="253">
                  <c:v>474</c:v>
                </c:pt>
                <c:pt idx="254">
                  <c:v>197</c:v>
                </c:pt>
                <c:pt idx="255">
                  <c:v>459</c:v>
                </c:pt>
                <c:pt idx="256">
                  <c:v>647</c:v>
                </c:pt>
                <c:pt idx="257">
                  <c:v>645</c:v>
                </c:pt>
                <c:pt idx="258">
                  <c:v>921</c:v>
                </c:pt>
                <c:pt idx="259">
                  <c:v>585</c:v>
                </c:pt>
                <c:pt idx="260">
                  <c:v>396</c:v>
                </c:pt>
                <c:pt idx="261">
                  <c:v>496</c:v>
                </c:pt>
                <c:pt idx="262">
                  <c:v>614</c:v>
                </c:pt>
                <c:pt idx="263">
                  <c:v>950</c:v>
                </c:pt>
                <c:pt idx="264">
                  <c:v>984</c:v>
                </c:pt>
                <c:pt idx="265">
                  <c:v>792</c:v>
                </c:pt>
                <c:pt idx="266">
                  <c:v>435</c:v>
                </c:pt>
                <c:pt idx="267">
                  <c:v>287</c:v>
                </c:pt>
                <c:pt idx="268">
                  <c:v>530</c:v>
                </c:pt>
                <c:pt idx="269">
                  <c:v>397</c:v>
                </c:pt>
                <c:pt idx="270">
                  <c:v>698</c:v>
                </c:pt>
                <c:pt idx="271">
                  <c:v>467</c:v>
                </c:pt>
                <c:pt idx="272">
                  <c:v>643</c:v>
                </c:pt>
                <c:pt idx="273">
                  <c:v>417</c:v>
                </c:pt>
                <c:pt idx="274">
                  <c:v>2750</c:v>
                </c:pt>
                <c:pt idx="275">
                  <c:v>2750</c:v>
                </c:pt>
                <c:pt idx="276">
                  <c:v>2888</c:v>
                </c:pt>
                <c:pt idx="277">
                  <c:v>1925</c:v>
                </c:pt>
                <c:pt idx="278">
                  <c:v>1650</c:v>
                </c:pt>
                <c:pt idx="279">
                  <c:v>2406</c:v>
                </c:pt>
                <c:pt idx="280">
                  <c:v>2750</c:v>
                </c:pt>
                <c:pt idx="281">
                  <c:v>2200</c:v>
                </c:pt>
                <c:pt idx="282">
                  <c:v>2888</c:v>
                </c:pt>
                <c:pt idx="283">
                  <c:v>2200</c:v>
                </c:pt>
                <c:pt idx="284">
                  <c:v>2200</c:v>
                </c:pt>
                <c:pt idx="285">
                  <c:v>2888</c:v>
                </c:pt>
                <c:pt idx="286">
                  <c:v>2406</c:v>
                </c:pt>
                <c:pt idx="287">
                  <c:v>1100</c:v>
                </c:pt>
                <c:pt idx="288">
                  <c:v>2750</c:v>
                </c:pt>
                <c:pt idx="289">
                  <c:v>1650</c:v>
                </c:pt>
                <c:pt idx="290">
                  <c:v>1444</c:v>
                </c:pt>
                <c:pt idx="291">
                  <c:v>2475</c:v>
                </c:pt>
                <c:pt idx="292">
                  <c:v>2063</c:v>
                </c:pt>
                <c:pt idx="293">
                  <c:v>2750</c:v>
                </c:pt>
                <c:pt idx="294">
                  <c:v>2888</c:v>
                </c:pt>
                <c:pt idx="295">
                  <c:v>2888</c:v>
                </c:pt>
                <c:pt idx="296">
                  <c:v>1444</c:v>
                </c:pt>
                <c:pt idx="297">
                  <c:v>2750</c:v>
                </c:pt>
                <c:pt idx="298">
                  <c:v>3300</c:v>
                </c:pt>
                <c:pt idx="299">
                  <c:v>3300</c:v>
                </c:pt>
                <c:pt idx="300">
                  <c:v>3300</c:v>
                </c:pt>
                <c:pt idx="301">
                  <c:v>3300</c:v>
                </c:pt>
                <c:pt idx="302">
                  <c:v>2750</c:v>
                </c:pt>
                <c:pt idx="303">
                  <c:v>622</c:v>
                </c:pt>
                <c:pt idx="304">
                  <c:v>764</c:v>
                </c:pt>
                <c:pt idx="305">
                  <c:v>779</c:v>
                </c:pt>
                <c:pt idx="306">
                  <c:v>428</c:v>
                </c:pt>
                <c:pt idx="307">
                  <c:v>691</c:v>
                </c:pt>
                <c:pt idx="308">
                  <c:v>661</c:v>
                </c:pt>
                <c:pt idx="309">
                  <c:v>780</c:v>
                </c:pt>
                <c:pt idx="310">
                  <c:v>404</c:v>
                </c:pt>
                <c:pt idx="311">
                  <c:v>329</c:v>
                </c:pt>
                <c:pt idx="312">
                  <c:v>382</c:v>
                </c:pt>
                <c:pt idx="313">
                  <c:v>292</c:v>
                </c:pt>
                <c:pt idx="314">
                  <c:v>500</c:v>
                </c:pt>
                <c:pt idx="315">
                  <c:v>729</c:v>
                </c:pt>
                <c:pt idx="316">
                  <c:v>394</c:v>
                </c:pt>
                <c:pt idx="317">
                  <c:v>641</c:v>
                </c:pt>
                <c:pt idx="318">
                  <c:v>435</c:v>
                </c:pt>
                <c:pt idx="319">
                  <c:v>441</c:v>
                </c:pt>
                <c:pt idx="320">
                  <c:v>416</c:v>
                </c:pt>
                <c:pt idx="321">
                  <c:v>604</c:v>
                </c:pt>
                <c:pt idx="322">
                  <c:v>729</c:v>
                </c:pt>
                <c:pt idx="323">
                  <c:v>576</c:v>
                </c:pt>
                <c:pt idx="324">
                  <c:v>376</c:v>
                </c:pt>
                <c:pt idx="325">
                  <c:v>412</c:v>
                </c:pt>
                <c:pt idx="326">
                  <c:v>325</c:v>
                </c:pt>
                <c:pt idx="327">
                  <c:v>496</c:v>
                </c:pt>
                <c:pt idx="328">
                  <c:v>608</c:v>
                </c:pt>
                <c:pt idx="329">
                  <c:v>466</c:v>
                </c:pt>
                <c:pt idx="330">
                  <c:v>444</c:v>
                </c:pt>
                <c:pt idx="331">
                  <c:v>598</c:v>
                </c:pt>
                <c:pt idx="332">
                  <c:v>656</c:v>
                </c:pt>
                <c:pt idx="333">
                  <c:v>594</c:v>
                </c:pt>
                <c:pt idx="334">
                  <c:v>653</c:v>
                </c:pt>
                <c:pt idx="335">
                  <c:v>907</c:v>
                </c:pt>
                <c:pt idx="336">
                  <c:v>1231</c:v>
                </c:pt>
                <c:pt idx="337">
                  <c:v>767</c:v>
                </c:pt>
                <c:pt idx="338">
                  <c:v>350</c:v>
                </c:pt>
                <c:pt idx="339">
                  <c:v>410</c:v>
                </c:pt>
                <c:pt idx="340">
                  <c:v>211</c:v>
                </c:pt>
                <c:pt idx="341">
                  <c:v>260</c:v>
                </c:pt>
                <c:pt idx="342">
                  <c:v>569</c:v>
                </c:pt>
                <c:pt idx="343">
                  <c:v>349</c:v>
                </c:pt>
                <c:pt idx="344">
                  <c:v>523</c:v>
                </c:pt>
                <c:pt idx="345">
                  <c:v>592</c:v>
                </c:pt>
                <c:pt idx="346">
                  <c:v>373</c:v>
                </c:pt>
                <c:pt idx="347">
                  <c:v>486</c:v>
                </c:pt>
                <c:pt idx="348">
                  <c:v>420</c:v>
                </c:pt>
                <c:pt idx="349">
                  <c:v>659</c:v>
                </c:pt>
                <c:pt idx="350">
                  <c:v>820</c:v>
                </c:pt>
                <c:pt idx="351">
                  <c:v>594</c:v>
                </c:pt>
                <c:pt idx="352">
                  <c:v>507</c:v>
                </c:pt>
                <c:pt idx="353">
                  <c:v>285</c:v>
                </c:pt>
                <c:pt idx="354">
                  <c:v>366</c:v>
                </c:pt>
                <c:pt idx="355">
                  <c:v>309</c:v>
                </c:pt>
                <c:pt idx="356">
                  <c:v>486</c:v>
                </c:pt>
                <c:pt idx="357">
                  <c:v>281</c:v>
                </c:pt>
                <c:pt idx="358">
                  <c:v>202</c:v>
                </c:pt>
                <c:pt idx="359">
                  <c:v>279</c:v>
                </c:pt>
                <c:pt idx="360">
                  <c:v>279</c:v>
                </c:pt>
                <c:pt idx="361">
                  <c:v>336</c:v>
                </c:pt>
                <c:pt idx="362">
                  <c:v>278</c:v>
                </c:pt>
                <c:pt idx="363">
                  <c:v>341</c:v>
                </c:pt>
                <c:pt idx="364">
                  <c:v>333</c:v>
                </c:pt>
                <c:pt idx="365">
                  <c:v>467</c:v>
                </c:pt>
                <c:pt idx="366">
                  <c:v>377</c:v>
                </c:pt>
                <c:pt idx="367">
                  <c:v>396</c:v>
                </c:pt>
                <c:pt idx="368">
                  <c:v>479</c:v>
                </c:pt>
                <c:pt idx="369">
                  <c:v>537</c:v>
                </c:pt>
                <c:pt idx="370">
                  <c:v>425</c:v>
                </c:pt>
                <c:pt idx="371">
                  <c:v>794</c:v>
                </c:pt>
                <c:pt idx="372">
                  <c:v>203</c:v>
                </c:pt>
                <c:pt idx="373">
                  <c:v>642</c:v>
                </c:pt>
                <c:pt idx="374">
                  <c:v>602</c:v>
                </c:pt>
                <c:pt idx="375">
                  <c:v>878</c:v>
                </c:pt>
                <c:pt idx="376">
                  <c:v>568</c:v>
                </c:pt>
                <c:pt idx="377">
                  <c:v>869</c:v>
                </c:pt>
                <c:pt idx="378">
                  <c:v>926</c:v>
                </c:pt>
                <c:pt idx="379">
                  <c:v>447</c:v>
                </c:pt>
                <c:pt idx="380">
                  <c:v>383</c:v>
                </c:pt>
                <c:pt idx="381">
                  <c:v>1060</c:v>
                </c:pt>
                <c:pt idx="382">
                  <c:v>308</c:v>
                </c:pt>
                <c:pt idx="383">
                  <c:v>328</c:v>
                </c:pt>
                <c:pt idx="384">
                  <c:v>309</c:v>
                </c:pt>
                <c:pt idx="385">
                  <c:v>884</c:v>
                </c:pt>
                <c:pt idx="386">
                  <c:v>359</c:v>
                </c:pt>
                <c:pt idx="387">
                  <c:v>625</c:v>
                </c:pt>
                <c:pt idx="388">
                  <c:v>545</c:v>
                </c:pt>
                <c:pt idx="389">
                  <c:v>377</c:v>
                </c:pt>
                <c:pt idx="390">
                  <c:v>359</c:v>
                </c:pt>
                <c:pt idx="391">
                  <c:v>528</c:v>
                </c:pt>
                <c:pt idx="392">
                  <c:v>564</c:v>
                </c:pt>
                <c:pt idx="393">
                  <c:v>552</c:v>
                </c:pt>
                <c:pt idx="394">
                  <c:v>673</c:v>
                </c:pt>
                <c:pt idx="395">
                  <c:v>858</c:v>
                </c:pt>
                <c:pt idx="396">
                  <c:v>953</c:v>
                </c:pt>
                <c:pt idx="397">
                  <c:v>783</c:v>
                </c:pt>
                <c:pt idx="398">
                  <c:v>513</c:v>
                </c:pt>
                <c:pt idx="399">
                  <c:v>443</c:v>
                </c:pt>
                <c:pt idx="400">
                  <c:v>535</c:v>
                </c:pt>
                <c:pt idx="401">
                  <c:v>518</c:v>
                </c:pt>
                <c:pt idx="402">
                  <c:v>453</c:v>
                </c:pt>
                <c:pt idx="403">
                  <c:v>478</c:v>
                </c:pt>
                <c:pt idx="404">
                  <c:v>513</c:v>
                </c:pt>
                <c:pt idx="405">
                  <c:v>1061</c:v>
                </c:pt>
                <c:pt idx="406">
                  <c:v>644</c:v>
                </c:pt>
                <c:pt idx="407">
                  <c:v>532</c:v>
                </c:pt>
                <c:pt idx="408">
                  <c:v>624</c:v>
                </c:pt>
                <c:pt idx="409">
                  <c:v>579</c:v>
                </c:pt>
                <c:pt idx="410">
                  <c:v>384</c:v>
                </c:pt>
                <c:pt idx="411">
                  <c:v>215</c:v>
                </c:pt>
                <c:pt idx="412">
                  <c:v>372</c:v>
                </c:pt>
                <c:pt idx="413">
                  <c:v>218</c:v>
                </c:pt>
                <c:pt idx="414">
                  <c:v>433</c:v>
                </c:pt>
                <c:pt idx="415">
                  <c:v>284</c:v>
                </c:pt>
                <c:pt idx="416">
                  <c:v>366</c:v>
                </c:pt>
                <c:pt idx="417">
                  <c:v>506</c:v>
                </c:pt>
                <c:pt idx="418">
                  <c:v>829</c:v>
                </c:pt>
                <c:pt idx="419">
                  <c:v>337</c:v>
                </c:pt>
                <c:pt idx="420">
                  <c:v>421</c:v>
                </c:pt>
                <c:pt idx="421">
                  <c:v>436</c:v>
                </c:pt>
                <c:pt idx="422">
                  <c:v>366</c:v>
                </c:pt>
                <c:pt idx="423">
                  <c:v>654</c:v>
                </c:pt>
                <c:pt idx="424">
                  <c:v>667</c:v>
                </c:pt>
                <c:pt idx="425">
                  <c:v>566</c:v>
                </c:pt>
                <c:pt idx="426">
                  <c:v>642</c:v>
                </c:pt>
                <c:pt idx="427">
                  <c:v>307</c:v>
                </c:pt>
                <c:pt idx="428">
                  <c:v>472</c:v>
                </c:pt>
                <c:pt idx="429">
                  <c:v>578</c:v>
                </c:pt>
                <c:pt idx="430">
                  <c:v>379</c:v>
                </c:pt>
                <c:pt idx="431">
                  <c:v>539</c:v>
                </c:pt>
                <c:pt idx="432">
                  <c:v>587</c:v>
                </c:pt>
                <c:pt idx="433">
                  <c:v>923</c:v>
                </c:pt>
                <c:pt idx="434">
                  <c:v>528</c:v>
                </c:pt>
                <c:pt idx="435">
                  <c:v>575</c:v>
                </c:pt>
                <c:pt idx="436">
                  <c:v>767</c:v>
                </c:pt>
                <c:pt idx="437">
                  <c:v>1007</c:v>
                </c:pt>
                <c:pt idx="438">
                  <c:v>856</c:v>
                </c:pt>
                <c:pt idx="439">
                  <c:v>967</c:v>
                </c:pt>
                <c:pt idx="440">
                  <c:v>1118</c:v>
                </c:pt>
                <c:pt idx="441">
                  <c:v>209</c:v>
                </c:pt>
                <c:pt idx="442">
                  <c:v>302</c:v>
                </c:pt>
                <c:pt idx="443">
                  <c:v>368</c:v>
                </c:pt>
                <c:pt idx="444">
                  <c:v>451</c:v>
                </c:pt>
                <c:pt idx="445">
                  <c:v>624</c:v>
                </c:pt>
                <c:pt idx="446">
                  <c:v>875</c:v>
                </c:pt>
                <c:pt idx="447">
                  <c:v>406</c:v>
                </c:pt>
                <c:pt idx="448">
                  <c:v>683</c:v>
                </c:pt>
                <c:pt idx="449">
                  <c:v>331</c:v>
                </c:pt>
                <c:pt idx="450">
                  <c:v>615</c:v>
                </c:pt>
                <c:pt idx="451">
                  <c:v>609</c:v>
                </c:pt>
                <c:pt idx="452">
                  <c:v>656</c:v>
                </c:pt>
                <c:pt idx="453">
                  <c:v>456</c:v>
                </c:pt>
                <c:pt idx="454">
                  <c:v>335</c:v>
                </c:pt>
                <c:pt idx="455">
                  <c:v>537</c:v>
                </c:pt>
                <c:pt idx="456">
                  <c:v>491</c:v>
                </c:pt>
                <c:pt idx="457">
                  <c:v>624</c:v>
                </c:pt>
                <c:pt idx="458">
                  <c:v>545</c:v>
                </c:pt>
                <c:pt idx="459">
                  <c:v>585</c:v>
                </c:pt>
                <c:pt idx="460">
                  <c:v>617</c:v>
                </c:pt>
                <c:pt idx="461">
                  <c:v>706</c:v>
                </c:pt>
                <c:pt idx="462">
                  <c:v>616</c:v>
                </c:pt>
                <c:pt idx="463">
                  <c:v>624</c:v>
                </c:pt>
                <c:pt idx="464">
                  <c:v>654</c:v>
                </c:pt>
                <c:pt idx="465">
                  <c:v>826</c:v>
                </c:pt>
                <c:pt idx="466">
                  <c:v>2625</c:v>
                </c:pt>
                <c:pt idx="467">
                  <c:v>1875</c:v>
                </c:pt>
                <c:pt idx="468">
                  <c:v>3938</c:v>
                </c:pt>
                <c:pt idx="469">
                  <c:v>3000</c:v>
                </c:pt>
                <c:pt idx="470">
                  <c:v>2500</c:v>
                </c:pt>
                <c:pt idx="471">
                  <c:v>2188</c:v>
                </c:pt>
                <c:pt idx="472">
                  <c:v>2500</c:v>
                </c:pt>
                <c:pt idx="473">
                  <c:v>2000</c:v>
                </c:pt>
                <c:pt idx="474">
                  <c:v>3000</c:v>
                </c:pt>
                <c:pt idx="475">
                  <c:v>3500</c:v>
                </c:pt>
                <c:pt idx="476">
                  <c:v>2000</c:v>
                </c:pt>
                <c:pt idx="477">
                  <c:v>3063</c:v>
                </c:pt>
                <c:pt idx="478">
                  <c:v>3063</c:v>
                </c:pt>
                <c:pt idx="479">
                  <c:v>1750</c:v>
                </c:pt>
                <c:pt idx="480">
                  <c:v>1500</c:v>
                </c:pt>
                <c:pt idx="481">
                  <c:v>2188</c:v>
                </c:pt>
                <c:pt idx="482">
                  <c:v>3063</c:v>
                </c:pt>
                <c:pt idx="483">
                  <c:v>2188</c:v>
                </c:pt>
                <c:pt idx="484">
                  <c:v>875</c:v>
                </c:pt>
                <c:pt idx="485">
                  <c:v>2188</c:v>
                </c:pt>
                <c:pt idx="486">
                  <c:v>3063</c:v>
                </c:pt>
                <c:pt idx="487">
                  <c:v>1313</c:v>
                </c:pt>
                <c:pt idx="488">
                  <c:v>2625</c:v>
                </c:pt>
                <c:pt idx="489">
                  <c:v>2625</c:v>
                </c:pt>
                <c:pt idx="490">
                  <c:v>1500</c:v>
                </c:pt>
                <c:pt idx="491">
                  <c:v>3000</c:v>
                </c:pt>
                <c:pt idx="492">
                  <c:v>1500</c:v>
                </c:pt>
                <c:pt idx="493">
                  <c:v>2000</c:v>
                </c:pt>
                <c:pt idx="494">
                  <c:v>3063</c:v>
                </c:pt>
                <c:pt idx="495">
                  <c:v>2625</c:v>
                </c:pt>
                <c:pt idx="496">
                  <c:v>1500</c:v>
                </c:pt>
                <c:pt idx="497">
                  <c:v>3000</c:v>
                </c:pt>
                <c:pt idx="498">
                  <c:v>1500</c:v>
                </c:pt>
                <c:pt idx="499">
                  <c:v>2625</c:v>
                </c:pt>
                <c:pt idx="500">
                  <c:v>2188</c:v>
                </c:pt>
                <c:pt idx="501">
                  <c:v>3500</c:v>
                </c:pt>
                <c:pt idx="502">
                  <c:v>3000</c:v>
                </c:pt>
                <c:pt idx="503">
                  <c:v>2000</c:v>
                </c:pt>
                <c:pt idx="504">
                  <c:v>2500</c:v>
                </c:pt>
                <c:pt idx="505">
                  <c:v>3500</c:v>
                </c:pt>
                <c:pt idx="506">
                  <c:v>2250</c:v>
                </c:pt>
                <c:pt idx="507">
                  <c:v>2250</c:v>
                </c:pt>
                <c:pt idx="508">
                  <c:v>1875</c:v>
                </c:pt>
                <c:pt idx="509">
                  <c:v>2188</c:v>
                </c:pt>
                <c:pt idx="510">
                  <c:v>414</c:v>
                </c:pt>
                <c:pt idx="511">
                  <c:v>752</c:v>
                </c:pt>
                <c:pt idx="512">
                  <c:v>868</c:v>
                </c:pt>
                <c:pt idx="513">
                  <c:v>610</c:v>
                </c:pt>
                <c:pt idx="514">
                  <c:v>1040</c:v>
                </c:pt>
                <c:pt idx="515">
                  <c:v>689</c:v>
                </c:pt>
                <c:pt idx="516">
                  <c:v>578</c:v>
                </c:pt>
                <c:pt idx="517">
                  <c:v>707</c:v>
                </c:pt>
                <c:pt idx="518">
                  <c:v>1016</c:v>
                </c:pt>
                <c:pt idx="519">
                  <c:v>477</c:v>
                </c:pt>
                <c:pt idx="520">
                  <c:v>583</c:v>
                </c:pt>
                <c:pt idx="521">
                  <c:v>734</c:v>
                </c:pt>
                <c:pt idx="522">
                  <c:v>280</c:v>
                </c:pt>
                <c:pt idx="523">
                  <c:v>455</c:v>
                </c:pt>
                <c:pt idx="524">
                  <c:v>302</c:v>
                </c:pt>
                <c:pt idx="525">
                  <c:v>280</c:v>
                </c:pt>
                <c:pt idx="526">
                  <c:v>188</c:v>
                </c:pt>
                <c:pt idx="527">
                  <c:v>493</c:v>
                </c:pt>
                <c:pt idx="528">
                  <c:v>329</c:v>
                </c:pt>
                <c:pt idx="529">
                  <c:v>354</c:v>
                </c:pt>
                <c:pt idx="530">
                  <c:v>229</c:v>
                </c:pt>
                <c:pt idx="531">
                  <c:v>363</c:v>
                </c:pt>
                <c:pt idx="532">
                  <c:v>406</c:v>
                </c:pt>
                <c:pt idx="533">
                  <c:v>464</c:v>
                </c:pt>
                <c:pt idx="534">
                  <c:v>526</c:v>
                </c:pt>
                <c:pt idx="535">
                  <c:v>863</c:v>
                </c:pt>
                <c:pt idx="536">
                  <c:v>486</c:v>
                </c:pt>
                <c:pt idx="537">
                  <c:v>299</c:v>
                </c:pt>
                <c:pt idx="538">
                  <c:v>315</c:v>
                </c:pt>
                <c:pt idx="539">
                  <c:v>813</c:v>
                </c:pt>
                <c:pt idx="540">
                  <c:v>764</c:v>
                </c:pt>
                <c:pt idx="541">
                  <c:v>567</c:v>
                </c:pt>
                <c:pt idx="542">
                  <c:v>532</c:v>
                </c:pt>
                <c:pt idx="543">
                  <c:v>397</c:v>
                </c:pt>
                <c:pt idx="544">
                  <c:v>156</c:v>
                </c:pt>
                <c:pt idx="545">
                  <c:v>466</c:v>
                </c:pt>
                <c:pt idx="546">
                  <c:v>472</c:v>
                </c:pt>
                <c:pt idx="547">
                  <c:v>511</c:v>
                </c:pt>
                <c:pt idx="548">
                  <c:v>781</c:v>
                </c:pt>
                <c:pt idx="549">
                  <c:v>457</c:v>
                </c:pt>
                <c:pt idx="550">
                  <c:v>628</c:v>
                </c:pt>
                <c:pt idx="551">
                  <c:v>802</c:v>
                </c:pt>
                <c:pt idx="552">
                  <c:v>716</c:v>
                </c:pt>
                <c:pt idx="553">
                  <c:v>405</c:v>
                </c:pt>
                <c:pt idx="554">
                  <c:v>409</c:v>
                </c:pt>
                <c:pt idx="555">
                  <c:v>260</c:v>
                </c:pt>
                <c:pt idx="556">
                  <c:v>336</c:v>
                </c:pt>
                <c:pt idx="557">
                  <c:v>133</c:v>
                </c:pt>
                <c:pt idx="558">
                  <c:v>223</c:v>
                </c:pt>
                <c:pt idx="559">
                  <c:v>337</c:v>
                </c:pt>
                <c:pt idx="560">
                  <c:v>253</c:v>
                </c:pt>
                <c:pt idx="561">
                  <c:v>561</c:v>
                </c:pt>
                <c:pt idx="562">
                  <c:v>720</c:v>
                </c:pt>
                <c:pt idx="563">
                  <c:v>555</c:v>
                </c:pt>
                <c:pt idx="564">
                  <c:v>2450</c:v>
                </c:pt>
                <c:pt idx="565">
                  <c:v>2573</c:v>
                </c:pt>
                <c:pt idx="566">
                  <c:v>650</c:v>
                </c:pt>
                <c:pt idx="567">
                  <c:v>491</c:v>
                </c:pt>
                <c:pt idx="568">
                  <c:v>882</c:v>
                </c:pt>
                <c:pt idx="569">
                  <c:v>838</c:v>
                </c:pt>
                <c:pt idx="570">
                  <c:v>556</c:v>
                </c:pt>
                <c:pt idx="571">
                  <c:v>387</c:v>
                </c:pt>
                <c:pt idx="572">
                  <c:v>201</c:v>
                </c:pt>
                <c:pt idx="573">
                  <c:v>289</c:v>
                </c:pt>
                <c:pt idx="574">
                  <c:v>548</c:v>
                </c:pt>
                <c:pt idx="575">
                  <c:v>576</c:v>
                </c:pt>
                <c:pt idx="576">
                  <c:v>1063</c:v>
                </c:pt>
                <c:pt idx="577">
                  <c:v>793</c:v>
                </c:pt>
                <c:pt idx="578">
                  <c:v>1047</c:v>
                </c:pt>
                <c:pt idx="579">
                  <c:v>732</c:v>
                </c:pt>
                <c:pt idx="580">
                  <c:v>796</c:v>
                </c:pt>
                <c:pt idx="581">
                  <c:v>606</c:v>
                </c:pt>
                <c:pt idx="582">
                  <c:v>514</c:v>
                </c:pt>
                <c:pt idx="583">
                  <c:v>512</c:v>
                </c:pt>
                <c:pt idx="584">
                  <c:v>462</c:v>
                </c:pt>
                <c:pt idx="585">
                  <c:v>643</c:v>
                </c:pt>
                <c:pt idx="586">
                  <c:v>532</c:v>
                </c:pt>
                <c:pt idx="587">
                  <c:v>516</c:v>
                </c:pt>
                <c:pt idx="588">
                  <c:v>610</c:v>
                </c:pt>
                <c:pt idx="589">
                  <c:v>528</c:v>
                </c:pt>
                <c:pt idx="590">
                  <c:v>516</c:v>
                </c:pt>
                <c:pt idx="591">
                  <c:v>292</c:v>
                </c:pt>
                <c:pt idx="592">
                  <c:v>673</c:v>
                </c:pt>
                <c:pt idx="593">
                  <c:v>1075</c:v>
                </c:pt>
                <c:pt idx="594">
                  <c:v>896</c:v>
                </c:pt>
                <c:pt idx="595">
                  <c:v>861</c:v>
                </c:pt>
                <c:pt idx="596">
                  <c:v>691</c:v>
                </c:pt>
                <c:pt idx="597">
                  <c:v>298</c:v>
                </c:pt>
                <c:pt idx="598">
                  <c:v>204</c:v>
                </c:pt>
                <c:pt idx="599">
                  <c:v>591</c:v>
                </c:pt>
                <c:pt idx="600">
                  <c:v>309</c:v>
                </c:pt>
                <c:pt idx="601">
                  <c:v>361</c:v>
                </c:pt>
                <c:pt idx="602">
                  <c:v>364</c:v>
                </c:pt>
                <c:pt idx="603">
                  <c:v>619</c:v>
                </c:pt>
                <c:pt idx="604">
                  <c:v>211</c:v>
                </c:pt>
                <c:pt idx="605">
                  <c:v>361</c:v>
                </c:pt>
                <c:pt idx="606">
                  <c:v>618</c:v>
                </c:pt>
                <c:pt idx="607">
                  <c:v>534</c:v>
                </c:pt>
                <c:pt idx="608">
                  <c:v>392</c:v>
                </c:pt>
                <c:pt idx="609">
                  <c:v>436</c:v>
                </c:pt>
                <c:pt idx="610">
                  <c:v>432</c:v>
                </c:pt>
                <c:pt idx="611">
                  <c:v>453</c:v>
                </c:pt>
                <c:pt idx="612">
                  <c:v>480</c:v>
                </c:pt>
                <c:pt idx="613">
                  <c:v>698</c:v>
                </c:pt>
                <c:pt idx="614">
                  <c:v>939</c:v>
                </c:pt>
                <c:pt idx="615">
                  <c:v>531</c:v>
                </c:pt>
                <c:pt idx="616">
                  <c:v>215</c:v>
                </c:pt>
                <c:pt idx="617">
                  <c:v>484</c:v>
                </c:pt>
                <c:pt idx="618">
                  <c:v>641</c:v>
                </c:pt>
                <c:pt idx="619">
                  <c:v>375</c:v>
                </c:pt>
                <c:pt idx="620">
                  <c:v>431</c:v>
                </c:pt>
                <c:pt idx="621">
                  <c:v>436</c:v>
                </c:pt>
                <c:pt idx="622">
                  <c:v>450</c:v>
                </c:pt>
                <c:pt idx="623">
                  <c:v>396</c:v>
                </c:pt>
                <c:pt idx="624">
                  <c:v>460</c:v>
                </c:pt>
                <c:pt idx="625">
                  <c:v>468</c:v>
                </c:pt>
                <c:pt idx="626">
                  <c:v>498</c:v>
                </c:pt>
                <c:pt idx="627">
                  <c:v>702</c:v>
                </c:pt>
                <c:pt idx="628">
                  <c:v>537</c:v>
                </c:pt>
                <c:pt idx="629">
                  <c:v>602</c:v>
                </c:pt>
                <c:pt idx="630">
                  <c:v>251</c:v>
                </c:pt>
                <c:pt idx="631">
                  <c:v>280</c:v>
                </c:pt>
                <c:pt idx="632">
                  <c:v>482</c:v>
                </c:pt>
                <c:pt idx="633">
                  <c:v>471</c:v>
                </c:pt>
                <c:pt idx="634">
                  <c:v>583</c:v>
                </c:pt>
                <c:pt idx="635">
                  <c:v>440</c:v>
                </c:pt>
                <c:pt idx="636">
                  <c:v>270</c:v>
                </c:pt>
                <c:pt idx="637">
                  <c:v>602</c:v>
                </c:pt>
                <c:pt idx="638">
                  <c:v>430</c:v>
                </c:pt>
                <c:pt idx="639">
                  <c:v>634</c:v>
                </c:pt>
                <c:pt idx="640">
                  <c:v>414</c:v>
                </c:pt>
                <c:pt idx="641">
                  <c:v>542</c:v>
                </c:pt>
                <c:pt idx="642">
                  <c:v>342</c:v>
                </c:pt>
                <c:pt idx="643">
                  <c:v>752</c:v>
                </c:pt>
                <c:pt idx="644">
                  <c:v>261</c:v>
                </c:pt>
                <c:pt idx="645">
                  <c:v>293</c:v>
                </c:pt>
                <c:pt idx="646">
                  <c:v>459</c:v>
                </c:pt>
                <c:pt idx="647">
                  <c:v>734</c:v>
                </c:pt>
                <c:pt idx="648">
                  <c:v>291</c:v>
                </c:pt>
                <c:pt idx="649">
                  <c:v>515</c:v>
                </c:pt>
                <c:pt idx="650">
                  <c:v>451</c:v>
                </c:pt>
                <c:pt idx="651">
                  <c:v>264</c:v>
                </c:pt>
                <c:pt idx="652">
                  <c:v>303</c:v>
                </c:pt>
                <c:pt idx="653">
                  <c:v>527</c:v>
                </c:pt>
                <c:pt idx="654">
                  <c:v>493</c:v>
                </c:pt>
                <c:pt idx="655">
                  <c:v>566</c:v>
                </c:pt>
                <c:pt idx="656">
                  <c:v>285</c:v>
                </c:pt>
                <c:pt idx="657">
                  <c:v>954</c:v>
                </c:pt>
                <c:pt idx="658">
                  <c:v>487</c:v>
                </c:pt>
                <c:pt idx="659">
                  <c:v>485</c:v>
                </c:pt>
                <c:pt idx="660">
                  <c:v>913</c:v>
                </c:pt>
                <c:pt idx="661">
                  <c:v>1000</c:v>
                </c:pt>
                <c:pt idx="662">
                  <c:v>708</c:v>
                </c:pt>
                <c:pt idx="663">
                  <c:v>531</c:v>
                </c:pt>
                <c:pt idx="664">
                  <c:v>410</c:v>
                </c:pt>
                <c:pt idx="665">
                  <c:v>545</c:v>
                </c:pt>
                <c:pt idx="666">
                  <c:v>717</c:v>
                </c:pt>
                <c:pt idx="667">
                  <c:v>822</c:v>
                </c:pt>
                <c:pt idx="668">
                  <c:v>580</c:v>
                </c:pt>
                <c:pt idx="669">
                  <c:v>868</c:v>
                </c:pt>
                <c:pt idx="670">
                  <c:v>679</c:v>
                </c:pt>
                <c:pt idx="671">
                  <c:v>420</c:v>
                </c:pt>
                <c:pt idx="672">
                  <c:v>583</c:v>
                </c:pt>
                <c:pt idx="673">
                  <c:v>541</c:v>
                </c:pt>
                <c:pt idx="674">
                  <c:v>176</c:v>
                </c:pt>
                <c:pt idx="675">
                  <c:v>321</c:v>
                </c:pt>
                <c:pt idx="676">
                  <c:v>343</c:v>
                </c:pt>
                <c:pt idx="677">
                  <c:v>115</c:v>
                </c:pt>
                <c:pt idx="678">
                  <c:v>492</c:v>
                </c:pt>
                <c:pt idx="679">
                  <c:v>345</c:v>
                </c:pt>
                <c:pt idx="680">
                  <c:v>383</c:v>
                </c:pt>
                <c:pt idx="681">
                  <c:v>346</c:v>
                </c:pt>
                <c:pt idx="682">
                  <c:v>491</c:v>
                </c:pt>
                <c:pt idx="683">
                  <c:v>319</c:v>
                </c:pt>
                <c:pt idx="684">
                  <c:v>279</c:v>
                </c:pt>
                <c:pt idx="685">
                  <c:v>522</c:v>
                </c:pt>
                <c:pt idx="686">
                  <c:v>274</c:v>
                </c:pt>
                <c:pt idx="687">
                  <c:v>372</c:v>
                </c:pt>
                <c:pt idx="688">
                  <c:v>451</c:v>
                </c:pt>
                <c:pt idx="689">
                  <c:v>552</c:v>
                </c:pt>
                <c:pt idx="690">
                  <c:v>421</c:v>
                </c:pt>
                <c:pt idx="691">
                  <c:v>426</c:v>
                </c:pt>
                <c:pt idx="692">
                  <c:v>614</c:v>
                </c:pt>
                <c:pt idx="693">
                  <c:v>724</c:v>
                </c:pt>
                <c:pt idx="694">
                  <c:v>603</c:v>
                </c:pt>
                <c:pt idx="695">
                  <c:v>206</c:v>
                </c:pt>
                <c:pt idx="696">
                  <c:v>347</c:v>
                </c:pt>
                <c:pt idx="697">
                  <c:v>255</c:v>
                </c:pt>
                <c:pt idx="698">
                  <c:v>406</c:v>
                </c:pt>
                <c:pt idx="699">
                  <c:v>622</c:v>
                </c:pt>
                <c:pt idx="700">
                  <c:v>665</c:v>
                </c:pt>
                <c:pt idx="701">
                  <c:v>408</c:v>
                </c:pt>
                <c:pt idx="702">
                  <c:v>576</c:v>
                </c:pt>
                <c:pt idx="703">
                  <c:v>566</c:v>
                </c:pt>
                <c:pt idx="704">
                  <c:v>492</c:v>
                </c:pt>
                <c:pt idx="705">
                  <c:v>673</c:v>
                </c:pt>
                <c:pt idx="706">
                  <c:v>453</c:v>
                </c:pt>
                <c:pt idx="707">
                  <c:v>775</c:v>
                </c:pt>
                <c:pt idx="708">
                  <c:v>462</c:v>
                </c:pt>
                <c:pt idx="709">
                  <c:v>381</c:v>
                </c:pt>
                <c:pt idx="710">
                  <c:v>929</c:v>
                </c:pt>
                <c:pt idx="711">
                  <c:v>798</c:v>
                </c:pt>
                <c:pt idx="712">
                  <c:v>370</c:v>
                </c:pt>
                <c:pt idx="713">
                  <c:v>324</c:v>
                </c:pt>
                <c:pt idx="714">
                  <c:v>809</c:v>
                </c:pt>
                <c:pt idx="715">
                  <c:v>330</c:v>
                </c:pt>
                <c:pt idx="716">
                  <c:v>207</c:v>
                </c:pt>
                <c:pt idx="717">
                  <c:v>414</c:v>
                </c:pt>
                <c:pt idx="718">
                  <c:v>120</c:v>
                </c:pt>
                <c:pt idx="719">
                  <c:v>473</c:v>
                </c:pt>
                <c:pt idx="720">
                  <c:v>340</c:v>
                </c:pt>
                <c:pt idx="721">
                  <c:v>701</c:v>
                </c:pt>
                <c:pt idx="722">
                  <c:v>308</c:v>
                </c:pt>
                <c:pt idx="723">
                  <c:v>564</c:v>
                </c:pt>
                <c:pt idx="724">
                  <c:v>570</c:v>
                </c:pt>
                <c:pt idx="725">
                  <c:v>508</c:v>
                </c:pt>
                <c:pt idx="726">
                  <c:v>507</c:v>
                </c:pt>
                <c:pt idx="727">
                  <c:v>305</c:v>
                </c:pt>
                <c:pt idx="728">
                  <c:v>414</c:v>
                </c:pt>
                <c:pt idx="729">
                  <c:v>613</c:v>
                </c:pt>
                <c:pt idx="730">
                  <c:v>140</c:v>
                </c:pt>
                <c:pt idx="731">
                  <c:v>434</c:v>
                </c:pt>
                <c:pt idx="732">
                  <c:v>396</c:v>
                </c:pt>
                <c:pt idx="733">
                  <c:v>600</c:v>
                </c:pt>
                <c:pt idx="734">
                  <c:v>700</c:v>
                </c:pt>
                <c:pt idx="735">
                  <c:v>930</c:v>
                </c:pt>
                <c:pt idx="736">
                  <c:v>695</c:v>
                </c:pt>
                <c:pt idx="737">
                  <c:v>364</c:v>
                </c:pt>
                <c:pt idx="738">
                  <c:v>271</c:v>
                </c:pt>
                <c:pt idx="739">
                  <c:v>402</c:v>
                </c:pt>
                <c:pt idx="740">
                  <c:v>547</c:v>
                </c:pt>
                <c:pt idx="741">
                  <c:v>230</c:v>
                </c:pt>
                <c:pt idx="742">
                  <c:v>264</c:v>
                </c:pt>
                <c:pt idx="743">
                  <c:v>512</c:v>
                </c:pt>
                <c:pt idx="744">
                  <c:v>407</c:v>
                </c:pt>
                <c:pt idx="745">
                  <c:v>196</c:v>
                </c:pt>
                <c:pt idx="746">
                  <c:v>265</c:v>
                </c:pt>
                <c:pt idx="747">
                  <c:v>236</c:v>
                </c:pt>
                <c:pt idx="748">
                  <c:v>273</c:v>
                </c:pt>
                <c:pt idx="749">
                  <c:v>2756</c:v>
                </c:pt>
                <c:pt idx="750">
                  <c:v>3150</c:v>
                </c:pt>
                <c:pt idx="751">
                  <c:v>3600</c:v>
                </c:pt>
                <c:pt idx="752">
                  <c:v>3150</c:v>
                </c:pt>
                <c:pt idx="753">
                  <c:v>3544</c:v>
                </c:pt>
                <c:pt idx="754">
                  <c:v>2700</c:v>
                </c:pt>
                <c:pt idx="755">
                  <c:v>2700</c:v>
                </c:pt>
                <c:pt idx="756">
                  <c:v>2756</c:v>
                </c:pt>
                <c:pt idx="757">
                  <c:v>1969</c:v>
                </c:pt>
                <c:pt idx="758">
                  <c:v>3938</c:v>
                </c:pt>
                <c:pt idx="759">
                  <c:v>2756</c:v>
                </c:pt>
                <c:pt idx="760">
                  <c:v>3600</c:v>
                </c:pt>
                <c:pt idx="761">
                  <c:v>3150</c:v>
                </c:pt>
                <c:pt idx="762">
                  <c:v>2700</c:v>
                </c:pt>
                <c:pt idx="763">
                  <c:v>2250</c:v>
                </c:pt>
                <c:pt idx="764">
                  <c:v>2756</c:v>
                </c:pt>
                <c:pt idx="765">
                  <c:v>4050</c:v>
                </c:pt>
                <c:pt idx="766">
                  <c:v>3150</c:v>
                </c:pt>
                <c:pt idx="767">
                  <c:v>2700</c:v>
                </c:pt>
                <c:pt idx="768">
                  <c:v>3600</c:v>
                </c:pt>
                <c:pt idx="769">
                  <c:v>3150</c:v>
                </c:pt>
                <c:pt idx="770">
                  <c:v>1800</c:v>
                </c:pt>
                <c:pt idx="771">
                  <c:v>1800</c:v>
                </c:pt>
                <c:pt idx="772">
                  <c:v>1969</c:v>
                </c:pt>
                <c:pt idx="773">
                  <c:v>1350</c:v>
                </c:pt>
                <c:pt idx="774">
                  <c:v>3150</c:v>
                </c:pt>
                <c:pt idx="775">
                  <c:v>1800</c:v>
                </c:pt>
                <c:pt idx="776">
                  <c:v>2756</c:v>
                </c:pt>
                <c:pt idx="777">
                  <c:v>1575</c:v>
                </c:pt>
                <c:pt idx="778">
                  <c:v>1181</c:v>
                </c:pt>
                <c:pt idx="779">
                  <c:v>1969</c:v>
                </c:pt>
                <c:pt idx="780">
                  <c:v>2025</c:v>
                </c:pt>
                <c:pt idx="781">
                  <c:v>2025</c:v>
                </c:pt>
                <c:pt idx="782">
                  <c:v>3600</c:v>
                </c:pt>
                <c:pt idx="783">
                  <c:v>2700</c:v>
                </c:pt>
                <c:pt idx="784">
                  <c:v>2700</c:v>
                </c:pt>
                <c:pt idx="785">
                  <c:v>1688</c:v>
                </c:pt>
                <c:pt idx="786">
                  <c:v>1350</c:v>
                </c:pt>
                <c:pt idx="787">
                  <c:v>2700</c:v>
                </c:pt>
                <c:pt idx="788">
                  <c:v>2700</c:v>
                </c:pt>
                <c:pt idx="789">
                  <c:v>2700</c:v>
                </c:pt>
                <c:pt idx="790">
                  <c:v>675</c:v>
                </c:pt>
                <c:pt idx="791">
                  <c:v>3150</c:v>
                </c:pt>
                <c:pt idx="792">
                  <c:v>2700</c:v>
                </c:pt>
                <c:pt idx="793">
                  <c:v>2700</c:v>
                </c:pt>
                <c:pt idx="794">
                  <c:v>3600</c:v>
                </c:pt>
                <c:pt idx="795">
                  <c:v>675</c:v>
                </c:pt>
                <c:pt idx="796">
                  <c:v>1800</c:v>
                </c:pt>
                <c:pt idx="797">
                  <c:v>2700</c:v>
                </c:pt>
                <c:pt idx="798">
                  <c:v>2700</c:v>
                </c:pt>
                <c:pt idx="799">
                  <c:v>2756</c:v>
                </c:pt>
                <c:pt idx="800">
                  <c:v>2363</c:v>
                </c:pt>
                <c:pt idx="801">
                  <c:v>2250</c:v>
                </c:pt>
                <c:pt idx="802">
                  <c:v>2756</c:v>
                </c:pt>
                <c:pt idx="803">
                  <c:v>3150</c:v>
                </c:pt>
                <c:pt idx="804">
                  <c:v>3600</c:v>
                </c:pt>
                <c:pt idx="805">
                  <c:v>3600</c:v>
                </c:pt>
                <c:pt idx="806">
                  <c:v>2250</c:v>
                </c:pt>
                <c:pt idx="807">
                  <c:v>3150</c:v>
                </c:pt>
                <c:pt idx="808">
                  <c:v>2756</c:v>
                </c:pt>
                <c:pt idx="809">
                  <c:v>1969</c:v>
                </c:pt>
                <c:pt idx="810">
                  <c:v>2363</c:v>
                </c:pt>
                <c:pt idx="811">
                  <c:v>2363</c:v>
                </c:pt>
                <c:pt idx="812">
                  <c:v>3150</c:v>
                </c:pt>
                <c:pt idx="813">
                  <c:v>3150</c:v>
                </c:pt>
                <c:pt idx="814">
                  <c:v>2700</c:v>
                </c:pt>
                <c:pt idx="815">
                  <c:v>2250</c:v>
                </c:pt>
                <c:pt idx="816">
                  <c:v>2250</c:v>
                </c:pt>
                <c:pt idx="817">
                  <c:v>3150</c:v>
                </c:pt>
                <c:pt idx="818">
                  <c:v>3600</c:v>
                </c:pt>
                <c:pt idx="819">
                  <c:v>2756</c:v>
                </c:pt>
                <c:pt idx="820">
                  <c:v>2250</c:v>
                </c:pt>
                <c:pt idx="821">
                  <c:v>3150</c:v>
                </c:pt>
                <c:pt idx="822">
                  <c:v>3150</c:v>
                </c:pt>
                <c:pt idx="823">
                  <c:v>3600</c:v>
                </c:pt>
                <c:pt idx="824">
                  <c:v>2756</c:v>
                </c:pt>
                <c:pt idx="825">
                  <c:v>559</c:v>
                </c:pt>
                <c:pt idx="826">
                  <c:v>375</c:v>
                </c:pt>
                <c:pt idx="827">
                  <c:v>385</c:v>
                </c:pt>
                <c:pt idx="828">
                  <c:v>356</c:v>
                </c:pt>
                <c:pt idx="829">
                  <c:v>673</c:v>
                </c:pt>
                <c:pt idx="830">
                  <c:v>518</c:v>
                </c:pt>
                <c:pt idx="831">
                  <c:v>468</c:v>
                </c:pt>
                <c:pt idx="832">
                  <c:v>405</c:v>
                </c:pt>
                <c:pt idx="833">
                  <c:v>370</c:v>
                </c:pt>
                <c:pt idx="834">
                  <c:v>562</c:v>
                </c:pt>
                <c:pt idx="835">
                  <c:v>454</c:v>
                </c:pt>
                <c:pt idx="836">
                  <c:v>605</c:v>
                </c:pt>
                <c:pt idx="837">
                  <c:v>590</c:v>
                </c:pt>
                <c:pt idx="838">
                  <c:v>527</c:v>
                </c:pt>
                <c:pt idx="839">
                  <c:v>341</c:v>
                </c:pt>
                <c:pt idx="840">
                  <c:v>1016</c:v>
                </c:pt>
                <c:pt idx="841">
                  <c:v>522</c:v>
                </c:pt>
                <c:pt idx="842">
                  <c:v>835</c:v>
                </c:pt>
                <c:pt idx="843">
                  <c:v>792</c:v>
                </c:pt>
                <c:pt idx="844">
                  <c:v>635</c:v>
                </c:pt>
                <c:pt idx="845">
                  <c:v>749</c:v>
                </c:pt>
                <c:pt idx="846">
                  <c:v>770</c:v>
                </c:pt>
                <c:pt idx="847">
                  <c:v>673</c:v>
                </c:pt>
                <c:pt idx="848">
                  <c:v>562</c:v>
                </c:pt>
                <c:pt idx="849">
                  <c:v>528</c:v>
                </c:pt>
                <c:pt idx="850">
                  <c:v>819</c:v>
                </c:pt>
                <c:pt idx="851">
                  <c:v>501</c:v>
                </c:pt>
                <c:pt idx="852">
                  <c:v>668</c:v>
                </c:pt>
                <c:pt idx="853">
                  <c:v>1009</c:v>
                </c:pt>
                <c:pt idx="854">
                  <c:v>608</c:v>
                </c:pt>
                <c:pt idx="855">
                  <c:v>328</c:v>
                </c:pt>
                <c:pt idx="856">
                  <c:v>455</c:v>
                </c:pt>
                <c:pt idx="857">
                  <c:v>300</c:v>
                </c:pt>
                <c:pt idx="858">
                  <c:v>464</c:v>
                </c:pt>
                <c:pt idx="859">
                  <c:v>236</c:v>
                </c:pt>
                <c:pt idx="860">
                  <c:v>300</c:v>
                </c:pt>
                <c:pt idx="861">
                  <c:v>695</c:v>
                </c:pt>
                <c:pt idx="862">
                  <c:v>324</c:v>
                </c:pt>
                <c:pt idx="863">
                  <c:v>907</c:v>
                </c:pt>
                <c:pt idx="864">
                  <c:v>498</c:v>
                </c:pt>
                <c:pt idx="865">
                  <c:v>482</c:v>
                </c:pt>
                <c:pt idx="866">
                  <c:v>549</c:v>
                </c:pt>
                <c:pt idx="867">
                  <c:v>626</c:v>
                </c:pt>
                <c:pt idx="868">
                  <c:v>413</c:v>
                </c:pt>
                <c:pt idx="869">
                  <c:v>527</c:v>
                </c:pt>
                <c:pt idx="870">
                  <c:v>381</c:v>
                </c:pt>
                <c:pt idx="871">
                  <c:v>711</c:v>
                </c:pt>
                <c:pt idx="872">
                  <c:v>396</c:v>
                </c:pt>
                <c:pt idx="873">
                  <c:v>650</c:v>
                </c:pt>
                <c:pt idx="874">
                  <c:v>314</c:v>
                </c:pt>
                <c:pt idx="875">
                  <c:v>216</c:v>
                </c:pt>
                <c:pt idx="876">
                  <c:v>326</c:v>
                </c:pt>
                <c:pt idx="877">
                  <c:v>377</c:v>
                </c:pt>
                <c:pt idx="878">
                  <c:v>124</c:v>
                </c:pt>
                <c:pt idx="879">
                  <c:v>250</c:v>
                </c:pt>
                <c:pt idx="880">
                  <c:v>235</c:v>
                </c:pt>
                <c:pt idx="881">
                  <c:v>511</c:v>
                </c:pt>
                <c:pt idx="882">
                  <c:v>263</c:v>
                </c:pt>
                <c:pt idx="883">
                  <c:v>314</c:v>
                </c:pt>
                <c:pt idx="884">
                  <c:v>74</c:v>
                </c:pt>
                <c:pt idx="885">
                  <c:v>344</c:v>
                </c:pt>
                <c:pt idx="886">
                  <c:v>511</c:v>
                </c:pt>
                <c:pt idx="887">
                  <c:v>554</c:v>
                </c:pt>
                <c:pt idx="888">
                  <c:v>368</c:v>
                </c:pt>
                <c:pt idx="889">
                  <c:v>323</c:v>
                </c:pt>
                <c:pt idx="890">
                  <c:v>332</c:v>
                </c:pt>
                <c:pt idx="891">
                  <c:v>461</c:v>
                </c:pt>
                <c:pt idx="892">
                  <c:v>413</c:v>
                </c:pt>
                <c:pt idx="893">
                  <c:v>710</c:v>
                </c:pt>
                <c:pt idx="894">
                  <c:v>773</c:v>
                </c:pt>
                <c:pt idx="895">
                  <c:v>855</c:v>
                </c:pt>
                <c:pt idx="896">
                  <c:v>812</c:v>
                </c:pt>
                <c:pt idx="897">
                  <c:v>612</c:v>
                </c:pt>
                <c:pt idx="898">
                  <c:v>514</c:v>
                </c:pt>
                <c:pt idx="899">
                  <c:v>290</c:v>
                </c:pt>
                <c:pt idx="900">
                  <c:v>309</c:v>
                </c:pt>
                <c:pt idx="901">
                  <c:v>305</c:v>
                </c:pt>
                <c:pt idx="902">
                  <c:v>359</c:v>
                </c:pt>
                <c:pt idx="903">
                  <c:v>229</c:v>
                </c:pt>
                <c:pt idx="904">
                  <c:v>106</c:v>
                </c:pt>
                <c:pt idx="905">
                  <c:v>268</c:v>
                </c:pt>
                <c:pt idx="906">
                  <c:v>461</c:v>
                </c:pt>
                <c:pt idx="907">
                  <c:v>409</c:v>
                </c:pt>
                <c:pt idx="908">
                  <c:v>205</c:v>
                </c:pt>
                <c:pt idx="909">
                  <c:v>186</c:v>
                </c:pt>
                <c:pt idx="910">
                  <c:v>451</c:v>
                </c:pt>
                <c:pt idx="911">
                  <c:v>444</c:v>
                </c:pt>
                <c:pt idx="912">
                  <c:v>589</c:v>
                </c:pt>
                <c:pt idx="913">
                  <c:v>654</c:v>
                </c:pt>
                <c:pt idx="914">
                  <c:v>205</c:v>
                </c:pt>
                <c:pt idx="915">
                  <c:v>519</c:v>
                </c:pt>
                <c:pt idx="916">
                  <c:v>335</c:v>
                </c:pt>
                <c:pt idx="917">
                  <c:v>225</c:v>
                </c:pt>
                <c:pt idx="918">
                  <c:v>306</c:v>
                </c:pt>
                <c:pt idx="919">
                  <c:v>190</c:v>
                </c:pt>
                <c:pt idx="920">
                  <c:v>318</c:v>
                </c:pt>
                <c:pt idx="921">
                  <c:v>425</c:v>
                </c:pt>
                <c:pt idx="922">
                  <c:v>408</c:v>
                </c:pt>
                <c:pt idx="923">
                  <c:v>278</c:v>
                </c:pt>
                <c:pt idx="924">
                  <c:v>613</c:v>
                </c:pt>
                <c:pt idx="925">
                  <c:v>791</c:v>
                </c:pt>
                <c:pt idx="926">
                  <c:v>333</c:v>
                </c:pt>
                <c:pt idx="927">
                  <c:v>1925</c:v>
                </c:pt>
                <c:pt idx="928">
                  <c:v>2310</c:v>
                </c:pt>
                <c:pt idx="929">
                  <c:v>552</c:v>
                </c:pt>
                <c:pt idx="930">
                  <c:v>375</c:v>
                </c:pt>
                <c:pt idx="931">
                  <c:v>883</c:v>
                </c:pt>
                <c:pt idx="932">
                  <c:v>572</c:v>
                </c:pt>
                <c:pt idx="933">
                  <c:v>276</c:v>
                </c:pt>
                <c:pt idx="934">
                  <c:v>584</c:v>
                </c:pt>
                <c:pt idx="935">
                  <c:v>298</c:v>
                </c:pt>
                <c:pt idx="936">
                  <c:v>196</c:v>
                </c:pt>
                <c:pt idx="937">
                  <c:v>407</c:v>
                </c:pt>
                <c:pt idx="938">
                  <c:v>288</c:v>
                </c:pt>
                <c:pt idx="939">
                  <c:v>358</c:v>
                </c:pt>
                <c:pt idx="940">
                  <c:v>592</c:v>
                </c:pt>
                <c:pt idx="941">
                  <c:v>667</c:v>
                </c:pt>
                <c:pt idx="942">
                  <c:v>480</c:v>
                </c:pt>
                <c:pt idx="943">
                  <c:v>797</c:v>
                </c:pt>
                <c:pt idx="944">
                  <c:v>533</c:v>
                </c:pt>
                <c:pt idx="945">
                  <c:v>534</c:v>
                </c:pt>
                <c:pt idx="946">
                  <c:v>403</c:v>
                </c:pt>
                <c:pt idx="947">
                  <c:v>670</c:v>
                </c:pt>
                <c:pt idx="948">
                  <c:v>555</c:v>
                </c:pt>
                <c:pt idx="949">
                  <c:v>251</c:v>
                </c:pt>
                <c:pt idx="950">
                  <c:v>526</c:v>
                </c:pt>
                <c:pt idx="951">
                  <c:v>719</c:v>
                </c:pt>
                <c:pt idx="952">
                  <c:v>705</c:v>
                </c:pt>
                <c:pt idx="953">
                  <c:v>289</c:v>
                </c:pt>
                <c:pt idx="954">
                  <c:v>738</c:v>
                </c:pt>
                <c:pt idx="955">
                  <c:v>577</c:v>
                </c:pt>
                <c:pt idx="956">
                  <c:v>391</c:v>
                </c:pt>
                <c:pt idx="957">
                  <c:v>461</c:v>
                </c:pt>
                <c:pt idx="958">
                  <c:v>611</c:v>
                </c:pt>
                <c:pt idx="959">
                  <c:v>336</c:v>
                </c:pt>
                <c:pt idx="960">
                  <c:v>265</c:v>
                </c:pt>
                <c:pt idx="961">
                  <c:v>171</c:v>
                </c:pt>
                <c:pt idx="962">
                  <c:v>371</c:v>
                </c:pt>
                <c:pt idx="963">
                  <c:v>449</c:v>
                </c:pt>
                <c:pt idx="964">
                  <c:v>339</c:v>
                </c:pt>
                <c:pt idx="965">
                  <c:v>781</c:v>
                </c:pt>
                <c:pt idx="966">
                  <c:v>243</c:v>
                </c:pt>
                <c:pt idx="967">
                  <c:v>408</c:v>
                </c:pt>
                <c:pt idx="968">
                  <c:v>398</c:v>
                </c:pt>
                <c:pt idx="969">
                  <c:v>668</c:v>
                </c:pt>
                <c:pt idx="970">
                  <c:v>521</c:v>
                </c:pt>
                <c:pt idx="971">
                  <c:v>233</c:v>
                </c:pt>
                <c:pt idx="972">
                  <c:v>258</c:v>
                </c:pt>
                <c:pt idx="973">
                  <c:v>328</c:v>
                </c:pt>
                <c:pt idx="974">
                  <c:v>551</c:v>
                </c:pt>
                <c:pt idx="975">
                  <c:v>587</c:v>
                </c:pt>
                <c:pt idx="976">
                  <c:v>456</c:v>
                </c:pt>
                <c:pt idx="977">
                  <c:v>479</c:v>
                </c:pt>
                <c:pt idx="978">
                  <c:v>464</c:v>
                </c:pt>
                <c:pt idx="979">
                  <c:v>437</c:v>
                </c:pt>
                <c:pt idx="980">
                  <c:v>346</c:v>
                </c:pt>
                <c:pt idx="981">
                  <c:v>378</c:v>
                </c:pt>
                <c:pt idx="982">
                  <c:v>622</c:v>
                </c:pt>
                <c:pt idx="983">
                  <c:v>531</c:v>
                </c:pt>
                <c:pt idx="984">
                  <c:v>448</c:v>
                </c:pt>
                <c:pt idx="985">
                  <c:v>778</c:v>
                </c:pt>
                <c:pt idx="986">
                  <c:v>477</c:v>
                </c:pt>
                <c:pt idx="987">
                  <c:v>275</c:v>
                </c:pt>
                <c:pt idx="988">
                  <c:v>376</c:v>
                </c:pt>
                <c:pt idx="989">
                  <c:v>320</c:v>
                </c:pt>
                <c:pt idx="990">
                  <c:v>238</c:v>
                </c:pt>
                <c:pt idx="991">
                  <c:v>437</c:v>
                </c:pt>
                <c:pt idx="992">
                  <c:v>506</c:v>
                </c:pt>
                <c:pt idx="993">
                  <c:v>441</c:v>
                </c:pt>
                <c:pt idx="994">
                  <c:v>557</c:v>
                </c:pt>
                <c:pt idx="995">
                  <c:v>398</c:v>
                </c:pt>
                <c:pt idx="996">
                  <c:v>455</c:v>
                </c:pt>
                <c:pt idx="997">
                  <c:v>441</c:v>
                </c:pt>
                <c:pt idx="998">
                  <c:v>674</c:v>
                </c:pt>
                <c:pt idx="999">
                  <c:v>421</c:v>
                </c:pt>
                <c:pt idx="1000">
                  <c:v>520</c:v>
                </c:pt>
                <c:pt idx="1001">
                  <c:v>650</c:v>
                </c:pt>
                <c:pt idx="1002">
                  <c:v>310</c:v>
                </c:pt>
                <c:pt idx="1003">
                  <c:v>200</c:v>
                </c:pt>
                <c:pt idx="1004">
                  <c:v>348</c:v>
                </c:pt>
                <c:pt idx="1005">
                  <c:v>178</c:v>
                </c:pt>
                <c:pt idx="1006">
                  <c:v>252</c:v>
                </c:pt>
                <c:pt idx="1007">
                  <c:v>168</c:v>
                </c:pt>
                <c:pt idx="1008">
                  <c:v>422</c:v>
                </c:pt>
                <c:pt idx="1009">
                  <c:v>430</c:v>
                </c:pt>
                <c:pt idx="1010">
                  <c:v>135</c:v>
                </c:pt>
                <c:pt idx="1011">
                  <c:v>176</c:v>
                </c:pt>
                <c:pt idx="1012">
                  <c:v>161</c:v>
                </c:pt>
                <c:pt idx="1013">
                  <c:v>461</c:v>
                </c:pt>
                <c:pt idx="1014">
                  <c:v>245</c:v>
                </c:pt>
                <c:pt idx="1015">
                  <c:v>402</c:v>
                </c:pt>
                <c:pt idx="1016">
                  <c:v>682</c:v>
                </c:pt>
                <c:pt idx="1017">
                  <c:v>541</c:v>
                </c:pt>
                <c:pt idx="1018">
                  <c:v>818</c:v>
                </c:pt>
                <c:pt idx="1019">
                  <c:v>760</c:v>
                </c:pt>
                <c:pt idx="1020">
                  <c:v>277</c:v>
                </c:pt>
                <c:pt idx="1021">
                  <c:v>286</c:v>
                </c:pt>
                <c:pt idx="1022">
                  <c:v>295</c:v>
                </c:pt>
                <c:pt idx="1023">
                  <c:v>281</c:v>
                </c:pt>
                <c:pt idx="1024">
                  <c:v>330</c:v>
                </c:pt>
                <c:pt idx="1025">
                  <c:v>561</c:v>
                </c:pt>
                <c:pt idx="1026">
                  <c:v>323</c:v>
                </c:pt>
                <c:pt idx="1027">
                  <c:v>319</c:v>
                </c:pt>
                <c:pt idx="1028">
                  <c:v>454</c:v>
                </c:pt>
                <c:pt idx="1029">
                  <c:v>690</c:v>
                </c:pt>
                <c:pt idx="1030">
                  <c:v>319</c:v>
                </c:pt>
                <c:pt idx="1031">
                  <c:v>306</c:v>
                </c:pt>
                <c:pt idx="1032">
                  <c:v>672</c:v>
                </c:pt>
                <c:pt idx="1033">
                  <c:v>607</c:v>
                </c:pt>
                <c:pt idx="1034">
                  <c:v>420</c:v>
                </c:pt>
                <c:pt idx="1035">
                  <c:v>445</c:v>
                </c:pt>
                <c:pt idx="1036">
                  <c:v>515</c:v>
                </c:pt>
                <c:pt idx="1037">
                  <c:v>690</c:v>
                </c:pt>
                <c:pt idx="1038">
                  <c:v>631</c:v>
                </c:pt>
                <c:pt idx="1039">
                  <c:v>431</c:v>
                </c:pt>
                <c:pt idx="1040">
                  <c:v>379</c:v>
                </c:pt>
                <c:pt idx="1041">
                  <c:v>525</c:v>
                </c:pt>
                <c:pt idx="1042">
                  <c:v>189</c:v>
                </c:pt>
                <c:pt idx="1043">
                  <c:v>624</c:v>
                </c:pt>
                <c:pt idx="1044">
                  <c:v>710</c:v>
                </c:pt>
                <c:pt idx="1045">
                  <c:v>563</c:v>
                </c:pt>
                <c:pt idx="1046">
                  <c:v>614</c:v>
                </c:pt>
                <c:pt idx="1047">
                  <c:v>722</c:v>
                </c:pt>
                <c:pt idx="1048">
                  <c:v>520</c:v>
                </c:pt>
                <c:pt idx="1049">
                  <c:v>898</c:v>
                </c:pt>
                <c:pt idx="1050">
                  <c:v>710</c:v>
                </c:pt>
                <c:pt idx="1051">
                  <c:v>459</c:v>
                </c:pt>
                <c:pt idx="1052">
                  <c:v>531</c:v>
                </c:pt>
                <c:pt idx="1053">
                  <c:v>531</c:v>
                </c:pt>
                <c:pt idx="1054">
                  <c:v>329</c:v>
                </c:pt>
                <c:pt idx="1055">
                  <c:v>319</c:v>
                </c:pt>
                <c:pt idx="1056">
                  <c:v>328</c:v>
                </c:pt>
                <c:pt idx="1057">
                  <c:v>601</c:v>
                </c:pt>
                <c:pt idx="1058">
                  <c:v>968</c:v>
                </c:pt>
                <c:pt idx="1059">
                  <c:v>393</c:v>
                </c:pt>
                <c:pt idx="1060">
                  <c:v>480</c:v>
                </c:pt>
                <c:pt idx="1061">
                  <c:v>624</c:v>
                </c:pt>
                <c:pt idx="1062">
                  <c:v>295</c:v>
                </c:pt>
                <c:pt idx="1063">
                  <c:v>393</c:v>
                </c:pt>
                <c:pt idx="1064">
                  <c:v>152</c:v>
                </c:pt>
                <c:pt idx="1065">
                  <c:v>415</c:v>
                </c:pt>
                <c:pt idx="1066">
                  <c:v>291</c:v>
                </c:pt>
                <c:pt idx="1067">
                  <c:v>225</c:v>
                </c:pt>
                <c:pt idx="1068">
                  <c:v>140</c:v>
                </c:pt>
                <c:pt idx="1069">
                  <c:v>207</c:v>
                </c:pt>
                <c:pt idx="1070">
                  <c:v>359</c:v>
                </c:pt>
                <c:pt idx="1071">
                  <c:v>226</c:v>
                </c:pt>
                <c:pt idx="1072">
                  <c:v>599</c:v>
                </c:pt>
                <c:pt idx="1073">
                  <c:v>176</c:v>
                </c:pt>
                <c:pt idx="1074">
                  <c:v>263</c:v>
                </c:pt>
                <c:pt idx="1075">
                  <c:v>471</c:v>
                </c:pt>
                <c:pt idx="1076">
                  <c:v>391</c:v>
                </c:pt>
                <c:pt idx="1077">
                  <c:v>650</c:v>
                </c:pt>
                <c:pt idx="1078">
                  <c:v>508</c:v>
                </c:pt>
                <c:pt idx="1079">
                  <c:v>681</c:v>
                </c:pt>
                <c:pt idx="1080">
                  <c:v>123</c:v>
                </c:pt>
                <c:pt idx="1081">
                  <c:v>370</c:v>
                </c:pt>
                <c:pt idx="1082">
                  <c:v>406</c:v>
                </c:pt>
                <c:pt idx="1083">
                  <c:v>161</c:v>
                </c:pt>
                <c:pt idx="1084">
                  <c:v>348</c:v>
                </c:pt>
                <c:pt idx="1085">
                  <c:v>485</c:v>
                </c:pt>
                <c:pt idx="1086">
                  <c:v>576</c:v>
                </c:pt>
                <c:pt idx="1087">
                  <c:v>514</c:v>
                </c:pt>
                <c:pt idx="1088">
                  <c:v>354</c:v>
                </c:pt>
                <c:pt idx="1089">
                  <c:v>261</c:v>
                </c:pt>
                <c:pt idx="1090">
                  <c:v>418</c:v>
                </c:pt>
                <c:pt idx="1091">
                  <c:v>150</c:v>
                </c:pt>
                <c:pt idx="1092">
                  <c:v>375</c:v>
                </c:pt>
                <c:pt idx="1093">
                  <c:v>413</c:v>
                </c:pt>
                <c:pt idx="1094">
                  <c:v>183</c:v>
                </c:pt>
                <c:pt idx="1095">
                  <c:v>543</c:v>
                </c:pt>
                <c:pt idx="1096">
                  <c:v>489</c:v>
                </c:pt>
                <c:pt idx="1097">
                  <c:v>321</c:v>
                </c:pt>
                <c:pt idx="1098">
                  <c:v>443</c:v>
                </c:pt>
                <c:pt idx="1099">
                  <c:v>520</c:v>
                </c:pt>
                <c:pt idx="1100">
                  <c:v>551</c:v>
                </c:pt>
                <c:pt idx="1101">
                  <c:v>549</c:v>
                </c:pt>
                <c:pt idx="1102">
                  <c:v>357</c:v>
                </c:pt>
                <c:pt idx="1103">
                  <c:v>622</c:v>
                </c:pt>
                <c:pt idx="1104">
                  <c:v>570</c:v>
                </c:pt>
                <c:pt idx="1105">
                  <c:v>676</c:v>
                </c:pt>
                <c:pt idx="1106">
                  <c:v>503</c:v>
                </c:pt>
                <c:pt idx="1107">
                  <c:v>639</c:v>
                </c:pt>
                <c:pt idx="1108">
                  <c:v>919</c:v>
                </c:pt>
                <c:pt idx="1109">
                  <c:v>437</c:v>
                </c:pt>
                <c:pt idx="1110">
                  <c:v>225</c:v>
                </c:pt>
                <c:pt idx="1111">
                  <c:v>173</c:v>
                </c:pt>
                <c:pt idx="1112">
                  <c:v>220</c:v>
                </c:pt>
                <c:pt idx="1113">
                  <c:v>288</c:v>
                </c:pt>
                <c:pt idx="1114">
                  <c:v>230</c:v>
                </c:pt>
                <c:pt idx="1115">
                  <c:v>338</c:v>
                </c:pt>
                <c:pt idx="1116">
                  <c:v>311</c:v>
                </c:pt>
                <c:pt idx="1117">
                  <c:v>446</c:v>
                </c:pt>
                <c:pt idx="1118">
                  <c:v>490</c:v>
                </c:pt>
                <c:pt idx="1119">
                  <c:v>188</c:v>
                </c:pt>
                <c:pt idx="1120">
                  <c:v>430</c:v>
                </c:pt>
                <c:pt idx="1121">
                  <c:v>691</c:v>
                </c:pt>
                <c:pt idx="1122">
                  <c:v>403</c:v>
                </c:pt>
                <c:pt idx="1123">
                  <c:v>606</c:v>
                </c:pt>
                <c:pt idx="1124">
                  <c:v>435</c:v>
                </c:pt>
                <c:pt idx="1125">
                  <c:v>444</c:v>
                </c:pt>
                <c:pt idx="1126">
                  <c:v>465</c:v>
                </c:pt>
                <c:pt idx="1127">
                  <c:v>725</c:v>
                </c:pt>
                <c:pt idx="1128">
                  <c:v>545</c:v>
                </c:pt>
                <c:pt idx="1129">
                  <c:v>514</c:v>
                </c:pt>
                <c:pt idx="1130">
                  <c:v>580</c:v>
                </c:pt>
                <c:pt idx="1131">
                  <c:v>555</c:v>
                </c:pt>
                <c:pt idx="1132">
                  <c:v>664</c:v>
                </c:pt>
                <c:pt idx="1133">
                  <c:v>343</c:v>
                </c:pt>
                <c:pt idx="1134">
                  <c:v>960</c:v>
                </c:pt>
                <c:pt idx="1135">
                  <c:v>267</c:v>
                </c:pt>
                <c:pt idx="1136">
                  <c:v>368</c:v>
                </c:pt>
                <c:pt idx="1137">
                  <c:v>195</c:v>
                </c:pt>
                <c:pt idx="1138">
                  <c:v>155</c:v>
                </c:pt>
                <c:pt idx="1139">
                  <c:v>431</c:v>
                </c:pt>
                <c:pt idx="1140">
                  <c:v>320</c:v>
                </c:pt>
                <c:pt idx="1141">
                  <c:v>476</c:v>
                </c:pt>
                <c:pt idx="1142">
                  <c:v>199</c:v>
                </c:pt>
                <c:pt idx="1143">
                  <c:v>145</c:v>
                </c:pt>
                <c:pt idx="1144">
                  <c:v>163</c:v>
                </c:pt>
                <c:pt idx="1145">
                  <c:v>387</c:v>
                </c:pt>
                <c:pt idx="1146">
                  <c:v>294</c:v>
                </c:pt>
                <c:pt idx="1147">
                  <c:v>345</c:v>
                </c:pt>
                <c:pt idx="1148">
                  <c:v>313</c:v>
                </c:pt>
                <c:pt idx="1149">
                  <c:v>535</c:v>
                </c:pt>
                <c:pt idx="1150">
                  <c:v>253</c:v>
                </c:pt>
                <c:pt idx="1151">
                  <c:v>131</c:v>
                </c:pt>
                <c:pt idx="1152">
                  <c:v>355</c:v>
                </c:pt>
                <c:pt idx="1153">
                  <c:v>431</c:v>
                </c:pt>
                <c:pt idx="1154">
                  <c:v>402</c:v>
                </c:pt>
                <c:pt idx="1155">
                  <c:v>150</c:v>
                </c:pt>
                <c:pt idx="1156">
                  <c:v>359</c:v>
                </c:pt>
                <c:pt idx="1157">
                  <c:v>557</c:v>
                </c:pt>
                <c:pt idx="1158">
                  <c:v>291</c:v>
                </c:pt>
                <c:pt idx="1159">
                  <c:v>174</c:v>
                </c:pt>
                <c:pt idx="1160">
                  <c:v>147</c:v>
                </c:pt>
                <c:pt idx="1161">
                  <c:v>442</c:v>
                </c:pt>
                <c:pt idx="1162">
                  <c:v>317</c:v>
                </c:pt>
                <c:pt idx="1163">
                  <c:v>440</c:v>
                </c:pt>
                <c:pt idx="1164">
                  <c:v>536</c:v>
                </c:pt>
                <c:pt idx="1165">
                  <c:v>525</c:v>
                </c:pt>
                <c:pt idx="1166">
                  <c:v>378</c:v>
                </c:pt>
                <c:pt idx="1167">
                  <c:v>395</c:v>
                </c:pt>
                <c:pt idx="1168">
                  <c:v>377</c:v>
                </c:pt>
                <c:pt idx="1169">
                  <c:v>373</c:v>
                </c:pt>
                <c:pt idx="1170">
                  <c:v>331</c:v>
                </c:pt>
                <c:pt idx="1171">
                  <c:v>536</c:v>
                </c:pt>
                <c:pt idx="1172">
                  <c:v>359</c:v>
                </c:pt>
                <c:pt idx="1173">
                  <c:v>635</c:v>
                </c:pt>
                <c:pt idx="1174">
                  <c:v>682</c:v>
                </c:pt>
                <c:pt idx="1175">
                  <c:v>623</c:v>
                </c:pt>
                <c:pt idx="1176">
                  <c:v>260</c:v>
                </c:pt>
                <c:pt idx="1177">
                  <c:v>372</c:v>
                </c:pt>
                <c:pt idx="1178">
                  <c:v>443</c:v>
                </c:pt>
                <c:pt idx="1179">
                  <c:v>495</c:v>
                </c:pt>
                <c:pt idx="1180">
                  <c:v>204</c:v>
                </c:pt>
                <c:pt idx="1181">
                  <c:v>108</c:v>
                </c:pt>
                <c:pt idx="1182">
                  <c:v>628</c:v>
                </c:pt>
                <c:pt idx="1183">
                  <c:v>480</c:v>
                </c:pt>
                <c:pt idx="1184">
                  <c:v>557</c:v>
                </c:pt>
                <c:pt idx="1185">
                  <c:v>1104</c:v>
                </c:pt>
                <c:pt idx="1186">
                  <c:v>455</c:v>
                </c:pt>
                <c:pt idx="1187">
                  <c:v>822</c:v>
                </c:pt>
                <c:pt idx="1188">
                  <c:v>421</c:v>
                </c:pt>
                <c:pt idx="1189">
                  <c:v>402</c:v>
                </c:pt>
                <c:pt idx="1190">
                  <c:v>386</c:v>
                </c:pt>
                <c:pt idx="1191">
                  <c:v>335</c:v>
                </c:pt>
                <c:pt idx="1192">
                  <c:v>435</c:v>
                </c:pt>
                <c:pt idx="1193">
                  <c:v>927</c:v>
                </c:pt>
                <c:pt idx="1194">
                  <c:v>1027</c:v>
                </c:pt>
                <c:pt idx="1195">
                  <c:v>183</c:v>
                </c:pt>
                <c:pt idx="1196">
                  <c:v>507</c:v>
                </c:pt>
                <c:pt idx="1197">
                  <c:v>515</c:v>
                </c:pt>
                <c:pt idx="1198">
                  <c:v>558</c:v>
                </c:pt>
                <c:pt idx="1199">
                  <c:v>304</c:v>
                </c:pt>
                <c:pt idx="1200">
                  <c:v>353</c:v>
                </c:pt>
                <c:pt idx="1201">
                  <c:v>642</c:v>
                </c:pt>
                <c:pt idx="1202">
                  <c:v>538</c:v>
                </c:pt>
                <c:pt idx="1203">
                  <c:v>508</c:v>
                </c:pt>
                <c:pt idx="1204">
                  <c:v>515</c:v>
                </c:pt>
                <c:pt idx="1205">
                  <c:v>365</c:v>
                </c:pt>
                <c:pt idx="1206">
                  <c:v>748</c:v>
                </c:pt>
                <c:pt idx="1207">
                  <c:v>166</c:v>
                </c:pt>
                <c:pt idx="1208">
                  <c:v>363</c:v>
                </c:pt>
                <c:pt idx="1209">
                  <c:v>119</c:v>
                </c:pt>
                <c:pt idx="1210">
                  <c:v>145</c:v>
                </c:pt>
                <c:pt idx="1211">
                  <c:v>414</c:v>
                </c:pt>
                <c:pt idx="1212">
                  <c:v>234</c:v>
                </c:pt>
                <c:pt idx="1213">
                  <c:v>562</c:v>
                </c:pt>
                <c:pt idx="1214">
                  <c:v>393</c:v>
                </c:pt>
                <c:pt idx="1215">
                  <c:v>252</c:v>
                </c:pt>
                <c:pt idx="1216">
                  <c:v>306</c:v>
                </c:pt>
                <c:pt idx="1217">
                  <c:v>448</c:v>
                </c:pt>
                <c:pt idx="1218">
                  <c:v>284</c:v>
                </c:pt>
                <c:pt idx="1219">
                  <c:v>776</c:v>
                </c:pt>
                <c:pt idx="1220">
                  <c:v>436</c:v>
                </c:pt>
                <c:pt idx="1221">
                  <c:v>594</c:v>
                </c:pt>
                <c:pt idx="1222">
                  <c:v>514</c:v>
                </c:pt>
                <c:pt idx="1223">
                  <c:v>433</c:v>
                </c:pt>
                <c:pt idx="1224">
                  <c:v>646</c:v>
                </c:pt>
                <c:pt idx="1225">
                  <c:v>737</c:v>
                </c:pt>
                <c:pt idx="1226">
                  <c:v>546</c:v>
                </c:pt>
                <c:pt idx="1227">
                  <c:v>441</c:v>
                </c:pt>
                <c:pt idx="1228">
                  <c:v>304</c:v>
                </c:pt>
                <c:pt idx="1229">
                  <c:v>500</c:v>
                </c:pt>
                <c:pt idx="1230">
                  <c:v>135</c:v>
                </c:pt>
                <c:pt idx="1231">
                  <c:v>231</c:v>
                </c:pt>
                <c:pt idx="1232">
                  <c:v>573</c:v>
                </c:pt>
                <c:pt idx="1233">
                  <c:v>152</c:v>
                </c:pt>
                <c:pt idx="1234">
                  <c:v>152</c:v>
                </c:pt>
                <c:pt idx="1235">
                  <c:v>389</c:v>
                </c:pt>
                <c:pt idx="1236">
                  <c:v>291</c:v>
                </c:pt>
                <c:pt idx="1237">
                  <c:v>354</c:v>
                </c:pt>
                <c:pt idx="1238">
                  <c:v>261</c:v>
                </c:pt>
                <c:pt idx="1239">
                  <c:v>293</c:v>
                </c:pt>
                <c:pt idx="1240">
                  <c:v>292</c:v>
                </c:pt>
                <c:pt idx="1241">
                  <c:v>227</c:v>
                </c:pt>
                <c:pt idx="1242">
                  <c:v>376</c:v>
                </c:pt>
                <c:pt idx="1243">
                  <c:v>277</c:v>
                </c:pt>
                <c:pt idx="1244">
                  <c:v>321</c:v>
                </c:pt>
                <c:pt idx="1245">
                  <c:v>327</c:v>
                </c:pt>
                <c:pt idx="1246">
                  <c:v>2800</c:v>
                </c:pt>
                <c:pt idx="1247">
                  <c:v>3200</c:v>
                </c:pt>
                <c:pt idx="1248">
                  <c:v>2800</c:v>
                </c:pt>
                <c:pt idx="1249">
                  <c:v>3150</c:v>
                </c:pt>
                <c:pt idx="1250">
                  <c:v>4500</c:v>
                </c:pt>
                <c:pt idx="1251">
                  <c:v>1500</c:v>
                </c:pt>
                <c:pt idx="1252">
                  <c:v>3600</c:v>
                </c:pt>
                <c:pt idx="1253">
                  <c:v>2100</c:v>
                </c:pt>
                <c:pt idx="1254">
                  <c:v>2400</c:v>
                </c:pt>
                <c:pt idx="1255">
                  <c:v>5400</c:v>
                </c:pt>
                <c:pt idx="1256">
                  <c:v>3500</c:v>
                </c:pt>
                <c:pt idx="1257">
                  <c:v>2800</c:v>
                </c:pt>
                <c:pt idx="1258">
                  <c:v>2450</c:v>
                </c:pt>
                <c:pt idx="1259">
                  <c:v>2800</c:v>
                </c:pt>
                <c:pt idx="1260">
                  <c:v>2400</c:v>
                </c:pt>
                <c:pt idx="1261">
                  <c:v>2400</c:v>
                </c:pt>
                <c:pt idx="1262">
                  <c:v>3200</c:v>
                </c:pt>
                <c:pt idx="1263">
                  <c:v>3600</c:v>
                </c:pt>
                <c:pt idx="1264">
                  <c:v>2800</c:v>
                </c:pt>
                <c:pt idx="1265">
                  <c:v>2800</c:v>
                </c:pt>
                <c:pt idx="1266">
                  <c:v>2400</c:v>
                </c:pt>
                <c:pt idx="1267">
                  <c:v>2000</c:v>
                </c:pt>
                <c:pt idx="1268">
                  <c:v>2800</c:v>
                </c:pt>
                <c:pt idx="1269">
                  <c:v>2800</c:v>
                </c:pt>
                <c:pt idx="1270">
                  <c:v>2800</c:v>
                </c:pt>
                <c:pt idx="1271">
                  <c:v>3200</c:v>
                </c:pt>
                <c:pt idx="1272">
                  <c:v>2400</c:v>
                </c:pt>
                <c:pt idx="1273">
                  <c:v>2800</c:v>
                </c:pt>
                <c:pt idx="1274">
                  <c:v>3150</c:v>
                </c:pt>
                <c:pt idx="1275">
                  <c:v>1600</c:v>
                </c:pt>
                <c:pt idx="1276">
                  <c:v>1600</c:v>
                </c:pt>
                <c:pt idx="1277">
                  <c:v>2100</c:v>
                </c:pt>
                <c:pt idx="1278">
                  <c:v>1400</c:v>
                </c:pt>
                <c:pt idx="1279">
                  <c:v>1750</c:v>
                </c:pt>
                <c:pt idx="1280">
                  <c:v>1050</c:v>
                </c:pt>
                <c:pt idx="1281">
                  <c:v>2450</c:v>
                </c:pt>
                <c:pt idx="1282">
                  <c:v>1400</c:v>
                </c:pt>
                <c:pt idx="1283">
                  <c:v>2400</c:v>
                </c:pt>
                <c:pt idx="1284">
                  <c:v>2100</c:v>
                </c:pt>
                <c:pt idx="1285">
                  <c:v>2400</c:v>
                </c:pt>
                <c:pt idx="1286">
                  <c:v>1800</c:v>
                </c:pt>
                <c:pt idx="1287">
                  <c:v>2700</c:v>
                </c:pt>
                <c:pt idx="1288">
                  <c:v>1800</c:v>
                </c:pt>
                <c:pt idx="1289">
                  <c:v>2400</c:v>
                </c:pt>
                <c:pt idx="1290">
                  <c:v>1200</c:v>
                </c:pt>
                <c:pt idx="1291">
                  <c:v>2100</c:v>
                </c:pt>
                <c:pt idx="1292">
                  <c:v>1500</c:v>
                </c:pt>
                <c:pt idx="1293">
                  <c:v>2400</c:v>
                </c:pt>
                <c:pt idx="1294">
                  <c:v>2100</c:v>
                </c:pt>
                <c:pt idx="1295">
                  <c:v>1200</c:v>
                </c:pt>
                <c:pt idx="1296">
                  <c:v>2800</c:v>
                </c:pt>
                <c:pt idx="1297">
                  <c:v>1500</c:v>
                </c:pt>
                <c:pt idx="1298">
                  <c:v>2400</c:v>
                </c:pt>
                <c:pt idx="1299">
                  <c:v>3200</c:v>
                </c:pt>
                <c:pt idx="1300">
                  <c:v>2700</c:v>
                </c:pt>
                <c:pt idx="1301">
                  <c:v>2800</c:v>
                </c:pt>
                <c:pt idx="1302">
                  <c:v>2700</c:v>
                </c:pt>
                <c:pt idx="1303">
                  <c:v>2000</c:v>
                </c:pt>
                <c:pt idx="1304">
                  <c:v>1050</c:v>
                </c:pt>
                <c:pt idx="1305">
                  <c:v>2700</c:v>
                </c:pt>
                <c:pt idx="1306">
                  <c:v>2100</c:v>
                </c:pt>
                <c:pt idx="1307">
                  <c:v>2800</c:v>
                </c:pt>
                <c:pt idx="1308">
                  <c:v>3600</c:v>
                </c:pt>
                <c:pt idx="1309">
                  <c:v>3200</c:v>
                </c:pt>
                <c:pt idx="1310">
                  <c:v>2800</c:v>
                </c:pt>
                <c:pt idx="1311">
                  <c:v>2100</c:v>
                </c:pt>
                <c:pt idx="1312">
                  <c:v>2800</c:v>
                </c:pt>
                <c:pt idx="1313">
                  <c:v>2800</c:v>
                </c:pt>
                <c:pt idx="1314">
                  <c:v>3600</c:v>
                </c:pt>
                <c:pt idx="1315">
                  <c:v>2450</c:v>
                </c:pt>
                <c:pt idx="1316">
                  <c:v>3200</c:v>
                </c:pt>
                <c:pt idx="1317">
                  <c:v>3200</c:v>
                </c:pt>
                <c:pt idx="1318">
                  <c:v>3200</c:v>
                </c:pt>
                <c:pt idx="1319">
                  <c:v>3200</c:v>
                </c:pt>
                <c:pt idx="1320">
                  <c:v>1800</c:v>
                </c:pt>
                <c:pt idx="1321">
                  <c:v>2700</c:v>
                </c:pt>
                <c:pt idx="1322">
                  <c:v>2800</c:v>
                </c:pt>
                <c:pt idx="1323">
                  <c:v>3200</c:v>
                </c:pt>
                <c:pt idx="1324">
                  <c:v>3200</c:v>
                </c:pt>
                <c:pt idx="1325">
                  <c:v>3200</c:v>
                </c:pt>
                <c:pt idx="1326">
                  <c:v>1500</c:v>
                </c:pt>
                <c:pt idx="1327">
                  <c:v>1500</c:v>
                </c:pt>
                <c:pt idx="1328">
                  <c:v>2400</c:v>
                </c:pt>
                <c:pt idx="1329">
                  <c:v>2700</c:v>
                </c:pt>
                <c:pt idx="1330">
                  <c:v>564</c:v>
                </c:pt>
                <c:pt idx="1331">
                  <c:v>372</c:v>
                </c:pt>
                <c:pt idx="1332">
                  <c:v>470</c:v>
                </c:pt>
                <c:pt idx="1333">
                  <c:v>615</c:v>
                </c:pt>
                <c:pt idx="1334">
                  <c:v>574</c:v>
                </c:pt>
                <c:pt idx="1335">
                  <c:v>428</c:v>
                </c:pt>
                <c:pt idx="1336">
                  <c:v>778</c:v>
                </c:pt>
                <c:pt idx="1337">
                  <c:v>708</c:v>
                </c:pt>
                <c:pt idx="1338">
                  <c:v>441</c:v>
                </c:pt>
                <c:pt idx="1339">
                  <c:v>522</c:v>
                </c:pt>
                <c:pt idx="1340">
                  <c:v>370</c:v>
                </c:pt>
                <c:pt idx="1341">
                  <c:v>152</c:v>
                </c:pt>
                <c:pt idx="1342">
                  <c:v>146</c:v>
                </c:pt>
                <c:pt idx="1343">
                  <c:v>614</c:v>
                </c:pt>
                <c:pt idx="1344">
                  <c:v>115</c:v>
                </c:pt>
                <c:pt idx="1345">
                  <c:v>155</c:v>
                </c:pt>
                <c:pt idx="1346">
                  <c:v>418</c:v>
                </c:pt>
                <c:pt idx="1347">
                  <c:v>370</c:v>
                </c:pt>
                <c:pt idx="1348">
                  <c:v>462</c:v>
                </c:pt>
                <c:pt idx="1349">
                  <c:v>461</c:v>
                </c:pt>
                <c:pt idx="1350">
                  <c:v>262</c:v>
                </c:pt>
                <c:pt idx="1351">
                  <c:v>322</c:v>
                </c:pt>
                <c:pt idx="1352">
                  <c:v>653</c:v>
                </c:pt>
                <c:pt idx="1353">
                  <c:v>619</c:v>
                </c:pt>
                <c:pt idx="1354">
                  <c:v>552</c:v>
                </c:pt>
                <c:pt idx="1355">
                  <c:v>331</c:v>
                </c:pt>
                <c:pt idx="1356">
                  <c:v>357</c:v>
                </c:pt>
                <c:pt idx="1357">
                  <c:v>455</c:v>
                </c:pt>
                <c:pt idx="1358">
                  <c:v>420</c:v>
                </c:pt>
                <c:pt idx="1359">
                  <c:v>321</c:v>
                </c:pt>
                <c:pt idx="1360">
                  <c:v>471</c:v>
                </c:pt>
                <c:pt idx="1361">
                  <c:v>284</c:v>
                </c:pt>
                <c:pt idx="1362">
                  <c:v>289</c:v>
                </c:pt>
                <c:pt idx="1363">
                  <c:v>451</c:v>
                </c:pt>
                <c:pt idx="1364">
                  <c:v>405</c:v>
                </c:pt>
                <c:pt idx="1365">
                  <c:v>220</c:v>
                </c:pt>
                <c:pt idx="1366">
                  <c:v>534</c:v>
                </c:pt>
                <c:pt idx="1367">
                  <c:v>729</c:v>
                </c:pt>
                <c:pt idx="1368">
                  <c:v>459</c:v>
                </c:pt>
                <c:pt idx="1369">
                  <c:v>534</c:v>
                </c:pt>
                <c:pt idx="1370">
                  <c:v>450</c:v>
                </c:pt>
                <c:pt idx="1371">
                  <c:v>318</c:v>
                </c:pt>
                <c:pt idx="1372">
                  <c:v>307</c:v>
                </c:pt>
                <c:pt idx="1373">
                  <c:v>494</c:v>
                </c:pt>
                <c:pt idx="1374">
                  <c:v>360</c:v>
                </c:pt>
                <c:pt idx="1375">
                  <c:v>408</c:v>
                </c:pt>
                <c:pt idx="1376">
                  <c:v>605</c:v>
                </c:pt>
                <c:pt idx="1377">
                  <c:v>248</c:v>
                </c:pt>
                <c:pt idx="1378">
                  <c:v>783</c:v>
                </c:pt>
                <c:pt idx="1379">
                  <c:v>953</c:v>
                </c:pt>
                <c:pt idx="1380">
                  <c:v>247</c:v>
                </c:pt>
                <c:pt idx="1381">
                  <c:v>263</c:v>
                </c:pt>
                <c:pt idx="1382">
                  <c:v>720</c:v>
                </c:pt>
                <c:pt idx="1383">
                  <c:v>811</c:v>
                </c:pt>
                <c:pt idx="1384">
                  <c:v>471</c:v>
                </c:pt>
                <c:pt idx="1385">
                  <c:v>461</c:v>
                </c:pt>
                <c:pt idx="1386">
                  <c:v>519</c:v>
                </c:pt>
                <c:pt idx="1387">
                  <c:v>290</c:v>
                </c:pt>
                <c:pt idx="1388">
                  <c:v>608</c:v>
                </c:pt>
                <c:pt idx="1389">
                  <c:v>426</c:v>
                </c:pt>
                <c:pt idx="1390">
                  <c:v>571</c:v>
                </c:pt>
                <c:pt idx="1391">
                  <c:v>298</c:v>
                </c:pt>
                <c:pt idx="1392">
                  <c:v>582</c:v>
                </c:pt>
                <c:pt idx="1393">
                  <c:v>778</c:v>
                </c:pt>
                <c:pt idx="1394">
                  <c:v>665</c:v>
                </c:pt>
                <c:pt idx="1395">
                  <c:v>600</c:v>
                </c:pt>
                <c:pt idx="1396">
                  <c:v>526</c:v>
                </c:pt>
                <c:pt idx="1397">
                  <c:v>387</c:v>
                </c:pt>
                <c:pt idx="1398">
                  <c:v>215</c:v>
                </c:pt>
                <c:pt idx="1399">
                  <c:v>383</c:v>
                </c:pt>
                <c:pt idx="1400">
                  <c:v>473</c:v>
                </c:pt>
                <c:pt idx="1401">
                  <c:v>356</c:v>
                </c:pt>
                <c:pt idx="1402">
                  <c:v>479</c:v>
                </c:pt>
                <c:pt idx="1403">
                  <c:v>316</c:v>
                </c:pt>
                <c:pt idx="1404">
                  <c:v>268</c:v>
                </c:pt>
                <c:pt idx="1405">
                  <c:v>259</c:v>
                </c:pt>
                <c:pt idx="1406">
                  <c:v>396</c:v>
                </c:pt>
                <c:pt idx="1407">
                  <c:v>2633</c:v>
                </c:pt>
                <c:pt idx="1408">
                  <c:v>2340</c:v>
                </c:pt>
                <c:pt idx="1409">
                  <c:v>369</c:v>
                </c:pt>
                <c:pt idx="1410">
                  <c:v>335</c:v>
                </c:pt>
                <c:pt idx="1411">
                  <c:v>280</c:v>
                </c:pt>
                <c:pt idx="1412">
                  <c:v>185</c:v>
                </c:pt>
                <c:pt idx="1413">
                  <c:v>581</c:v>
                </c:pt>
                <c:pt idx="1414">
                  <c:v>571</c:v>
                </c:pt>
                <c:pt idx="1415">
                  <c:v>488</c:v>
                </c:pt>
                <c:pt idx="1416">
                  <c:v>411</c:v>
                </c:pt>
                <c:pt idx="1417">
                  <c:v>624</c:v>
                </c:pt>
                <c:pt idx="1418">
                  <c:v>215</c:v>
                </c:pt>
                <c:pt idx="1419">
                  <c:v>555</c:v>
                </c:pt>
                <c:pt idx="1420">
                  <c:v>683</c:v>
                </c:pt>
                <c:pt idx="1421">
                  <c:v>488</c:v>
                </c:pt>
                <c:pt idx="1422">
                  <c:v>650</c:v>
                </c:pt>
                <c:pt idx="1423">
                  <c:v>468</c:v>
                </c:pt>
                <c:pt idx="1424">
                  <c:v>936</c:v>
                </c:pt>
                <c:pt idx="1425">
                  <c:v>174</c:v>
                </c:pt>
                <c:pt idx="1426">
                  <c:v>271</c:v>
                </c:pt>
                <c:pt idx="1427">
                  <c:v>401</c:v>
                </c:pt>
                <c:pt idx="1428">
                  <c:v>548</c:v>
                </c:pt>
                <c:pt idx="1429">
                  <c:v>544</c:v>
                </c:pt>
                <c:pt idx="1430">
                  <c:v>293</c:v>
                </c:pt>
                <c:pt idx="1431">
                  <c:v>513</c:v>
                </c:pt>
                <c:pt idx="1432">
                  <c:v>520</c:v>
                </c:pt>
                <c:pt idx="1433">
                  <c:v>187</c:v>
                </c:pt>
                <c:pt idx="1434">
                  <c:v>304</c:v>
                </c:pt>
                <c:pt idx="1435">
                  <c:v>532</c:v>
                </c:pt>
                <c:pt idx="1436">
                  <c:v>284</c:v>
                </c:pt>
                <c:pt idx="1437">
                  <c:v>687</c:v>
                </c:pt>
                <c:pt idx="1438">
                  <c:v>369</c:v>
                </c:pt>
                <c:pt idx="1439">
                  <c:v>449</c:v>
                </c:pt>
                <c:pt idx="1440">
                  <c:v>295</c:v>
                </c:pt>
                <c:pt idx="1441">
                  <c:v>396</c:v>
                </c:pt>
                <c:pt idx="1442">
                  <c:v>276</c:v>
                </c:pt>
                <c:pt idx="1443">
                  <c:v>524</c:v>
                </c:pt>
                <c:pt idx="1444">
                  <c:v>832</c:v>
                </c:pt>
                <c:pt idx="1445">
                  <c:v>515</c:v>
                </c:pt>
                <c:pt idx="1446">
                  <c:v>323</c:v>
                </c:pt>
                <c:pt idx="1447">
                  <c:v>416</c:v>
                </c:pt>
                <c:pt idx="1448">
                  <c:v>699</c:v>
                </c:pt>
                <c:pt idx="1449">
                  <c:v>147</c:v>
                </c:pt>
                <c:pt idx="1450">
                  <c:v>230</c:v>
                </c:pt>
                <c:pt idx="1451">
                  <c:v>219</c:v>
                </c:pt>
                <c:pt idx="1452">
                  <c:v>292</c:v>
                </c:pt>
                <c:pt idx="1453">
                  <c:v>178</c:v>
                </c:pt>
                <c:pt idx="1454">
                  <c:v>458</c:v>
                </c:pt>
                <c:pt idx="1455">
                  <c:v>584</c:v>
                </c:pt>
                <c:pt idx="1456">
                  <c:v>280</c:v>
                </c:pt>
                <c:pt idx="1457">
                  <c:v>318</c:v>
                </c:pt>
                <c:pt idx="1458">
                  <c:v>272</c:v>
                </c:pt>
                <c:pt idx="1459">
                  <c:v>326</c:v>
                </c:pt>
                <c:pt idx="1460">
                  <c:v>242</c:v>
                </c:pt>
                <c:pt idx="1461">
                  <c:v>241</c:v>
                </c:pt>
                <c:pt idx="1462">
                  <c:v>632</c:v>
                </c:pt>
                <c:pt idx="1463">
                  <c:v>285</c:v>
                </c:pt>
                <c:pt idx="1464">
                  <c:v>280</c:v>
                </c:pt>
                <c:pt idx="1465">
                  <c:v>380</c:v>
                </c:pt>
                <c:pt idx="1466">
                  <c:v>317</c:v>
                </c:pt>
                <c:pt idx="1467">
                  <c:v>363</c:v>
                </c:pt>
                <c:pt idx="1468">
                  <c:v>433</c:v>
                </c:pt>
                <c:pt idx="1469">
                  <c:v>273</c:v>
                </c:pt>
                <c:pt idx="1470">
                  <c:v>306</c:v>
                </c:pt>
                <c:pt idx="1471">
                  <c:v>210</c:v>
                </c:pt>
                <c:pt idx="1472">
                  <c:v>438</c:v>
                </c:pt>
                <c:pt idx="1473">
                  <c:v>478</c:v>
                </c:pt>
                <c:pt idx="1474">
                  <c:v>269</c:v>
                </c:pt>
                <c:pt idx="1475">
                  <c:v>306</c:v>
                </c:pt>
                <c:pt idx="1476">
                  <c:v>283</c:v>
                </c:pt>
                <c:pt idx="1477">
                  <c:v>336</c:v>
                </c:pt>
                <c:pt idx="1478">
                  <c:v>252</c:v>
                </c:pt>
                <c:pt idx="1479">
                  <c:v>268</c:v>
                </c:pt>
                <c:pt idx="1480">
                  <c:v>430</c:v>
                </c:pt>
                <c:pt idx="1481">
                  <c:v>468</c:v>
                </c:pt>
                <c:pt idx="1482">
                  <c:v>109</c:v>
                </c:pt>
                <c:pt idx="1483">
                  <c:v>356</c:v>
                </c:pt>
                <c:pt idx="1484">
                  <c:v>237</c:v>
                </c:pt>
                <c:pt idx="1485">
                  <c:v>432</c:v>
                </c:pt>
                <c:pt idx="1486">
                  <c:v>328</c:v>
                </c:pt>
                <c:pt idx="1487">
                  <c:v>239</c:v>
                </c:pt>
                <c:pt idx="1488">
                  <c:v>221</c:v>
                </c:pt>
                <c:pt idx="1489">
                  <c:v>367</c:v>
                </c:pt>
                <c:pt idx="1490">
                  <c:v>322</c:v>
                </c:pt>
                <c:pt idx="1491">
                  <c:v>442</c:v>
                </c:pt>
                <c:pt idx="1492">
                  <c:v>428</c:v>
                </c:pt>
                <c:pt idx="1493">
                  <c:v>424</c:v>
                </c:pt>
                <c:pt idx="1494">
                  <c:v>449</c:v>
                </c:pt>
                <c:pt idx="1495">
                  <c:v>403</c:v>
                </c:pt>
                <c:pt idx="1496">
                  <c:v>399</c:v>
                </c:pt>
                <c:pt idx="1497">
                  <c:v>574</c:v>
                </c:pt>
                <c:pt idx="1498">
                  <c:v>404</c:v>
                </c:pt>
                <c:pt idx="1499">
                  <c:v>346</c:v>
                </c:pt>
                <c:pt idx="1500">
                  <c:v>379</c:v>
                </c:pt>
                <c:pt idx="1501">
                  <c:v>151</c:v>
                </c:pt>
                <c:pt idx="1502">
                  <c:v>633</c:v>
                </c:pt>
                <c:pt idx="1503">
                  <c:v>603</c:v>
                </c:pt>
                <c:pt idx="1504">
                  <c:v>398</c:v>
                </c:pt>
                <c:pt idx="1505">
                  <c:v>653</c:v>
                </c:pt>
                <c:pt idx="1506">
                  <c:v>579</c:v>
                </c:pt>
                <c:pt idx="1507">
                  <c:v>323</c:v>
                </c:pt>
                <c:pt idx="1508">
                  <c:v>539</c:v>
                </c:pt>
                <c:pt idx="1509">
                  <c:v>260</c:v>
                </c:pt>
                <c:pt idx="1510">
                  <c:v>132</c:v>
                </c:pt>
                <c:pt idx="1511">
                  <c:v>307</c:v>
                </c:pt>
                <c:pt idx="1512">
                  <c:v>208</c:v>
                </c:pt>
                <c:pt idx="1513">
                  <c:v>212</c:v>
                </c:pt>
                <c:pt idx="1514">
                  <c:v>491</c:v>
                </c:pt>
                <c:pt idx="1515">
                  <c:v>513</c:v>
                </c:pt>
                <c:pt idx="1516">
                  <c:v>514</c:v>
                </c:pt>
                <c:pt idx="1517">
                  <c:v>715</c:v>
                </c:pt>
                <c:pt idx="1518">
                  <c:v>634</c:v>
                </c:pt>
                <c:pt idx="1519">
                  <c:v>391</c:v>
                </c:pt>
                <c:pt idx="1520">
                  <c:v>626</c:v>
                </c:pt>
                <c:pt idx="1521">
                  <c:v>511</c:v>
                </c:pt>
                <c:pt idx="1522">
                  <c:v>678</c:v>
                </c:pt>
                <c:pt idx="1523">
                  <c:v>808</c:v>
                </c:pt>
                <c:pt idx="1524">
                  <c:v>943</c:v>
                </c:pt>
                <c:pt idx="1525">
                  <c:v>728</c:v>
                </c:pt>
                <c:pt idx="1526">
                  <c:v>314</c:v>
                </c:pt>
                <c:pt idx="1527">
                  <c:v>581</c:v>
                </c:pt>
                <c:pt idx="1528">
                  <c:v>418</c:v>
                </c:pt>
                <c:pt idx="1529">
                  <c:v>435</c:v>
                </c:pt>
                <c:pt idx="1530">
                  <c:v>381</c:v>
                </c:pt>
                <c:pt idx="1531">
                  <c:v>472</c:v>
                </c:pt>
                <c:pt idx="1532">
                  <c:v>245</c:v>
                </c:pt>
                <c:pt idx="1533">
                  <c:v>369</c:v>
                </c:pt>
                <c:pt idx="1534">
                  <c:v>296</c:v>
                </c:pt>
                <c:pt idx="1535">
                  <c:v>231</c:v>
                </c:pt>
                <c:pt idx="1536">
                  <c:v>540</c:v>
                </c:pt>
                <c:pt idx="1537">
                  <c:v>529</c:v>
                </c:pt>
                <c:pt idx="1538">
                  <c:v>443</c:v>
                </c:pt>
                <c:pt idx="1539">
                  <c:v>551</c:v>
                </c:pt>
                <c:pt idx="1540">
                  <c:v>424</c:v>
                </c:pt>
                <c:pt idx="1541">
                  <c:v>416</c:v>
                </c:pt>
                <c:pt idx="1542">
                  <c:v>455</c:v>
                </c:pt>
                <c:pt idx="1543">
                  <c:v>791</c:v>
                </c:pt>
                <c:pt idx="1544">
                  <c:v>270</c:v>
                </c:pt>
                <c:pt idx="1545">
                  <c:v>504</c:v>
                </c:pt>
                <c:pt idx="1546">
                  <c:v>515</c:v>
                </c:pt>
                <c:pt idx="1547">
                  <c:v>417</c:v>
                </c:pt>
                <c:pt idx="1548">
                  <c:v>587</c:v>
                </c:pt>
                <c:pt idx="1549">
                  <c:v>327</c:v>
                </c:pt>
                <c:pt idx="1550">
                  <c:v>437</c:v>
                </c:pt>
                <c:pt idx="1551">
                  <c:v>372</c:v>
                </c:pt>
                <c:pt idx="1552">
                  <c:v>699</c:v>
                </c:pt>
                <c:pt idx="1553">
                  <c:v>832</c:v>
                </c:pt>
                <c:pt idx="1554">
                  <c:v>345</c:v>
                </c:pt>
                <c:pt idx="1555">
                  <c:v>550</c:v>
                </c:pt>
                <c:pt idx="1556">
                  <c:v>367</c:v>
                </c:pt>
                <c:pt idx="1557">
                  <c:v>415</c:v>
                </c:pt>
                <c:pt idx="1558">
                  <c:v>489</c:v>
                </c:pt>
                <c:pt idx="1559">
                  <c:v>442</c:v>
                </c:pt>
                <c:pt idx="1560">
                  <c:v>381</c:v>
                </c:pt>
                <c:pt idx="1561">
                  <c:v>372</c:v>
                </c:pt>
                <c:pt idx="1562">
                  <c:v>307</c:v>
                </c:pt>
                <c:pt idx="1563">
                  <c:v>711</c:v>
                </c:pt>
                <c:pt idx="1564">
                  <c:v>415</c:v>
                </c:pt>
                <c:pt idx="1565">
                  <c:v>307</c:v>
                </c:pt>
                <c:pt idx="1566">
                  <c:v>150</c:v>
                </c:pt>
                <c:pt idx="1567">
                  <c:v>584</c:v>
                </c:pt>
                <c:pt idx="1568">
                  <c:v>262</c:v>
                </c:pt>
                <c:pt idx="1569">
                  <c:v>198</c:v>
                </c:pt>
                <c:pt idx="1570">
                  <c:v>337</c:v>
                </c:pt>
                <c:pt idx="1571">
                  <c:v>337</c:v>
                </c:pt>
                <c:pt idx="1572">
                  <c:v>237</c:v>
                </c:pt>
                <c:pt idx="1573">
                  <c:v>511</c:v>
                </c:pt>
                <c:pt idx="1574">
                  <c:v>246</c:v>
                </c:pt>
                <c:pt idx="1575">
                  <c:v>302</c:v>
                </c:pt>
                <c:pt idx="1576">
                  <c:v>230</c:v>
                </c:pt>
                <c:pt idx="1577">
                  <c:v>378</c:v>
                </c:pt>
                <c:pt idx="1578">
                  <c:v>318</c:v>
                </c:pt>
                <c:pt idx="1579">
                  <c:v>259</c:v>
                </c:pt>
                <c:pt idx="1580">
                  <c:v>323</c:v>
                </c:pt>
                <c:pt idx="1581">
                  <c:v>290</c:v>
                </c:pt>
                <c:pt idx="1582">
                  <c:v>362</c:v>
                </c:pt>
                <c:pt idx="1583">
                  <c:v>503</c:v>
                </c:pt>
                <c:pt idx="1584">
                  <c:v>259</c:v>
                </c:pt>
                <c:pt idx="1585">
                  <c:v>429</c:v>
                </c:pt>
                <c:pt idx="1586">
                  <c:v>278</c:v>
                </c:pt>
                <c:pt idx="1587">
                  <c:v>317</c:v>
                </c:pt>
                <c:pt idx="1588">
                  <c:v>238</c:v>
                </c:pt>
                <c:pt idx="1589">
                  <c:v>273</c:v>
                </c:pt>
                <c:pt idx="1590">
                  <c:v>191</c:v>
                </c:pt>
                <c:pt idx="1591">
                  <c:v>460</c:v>
                </c:pt>
                <c:pt idx="1592">
                  <c:v>283</c:v>
                </c:pt>
                <c:pt idx="1593">
                  <c:v>510</c:v>
                </c:pt>
                <c:pt idx="1594">
                  <c:v>282</c:v>
                </c:pt>
                <c:pt idx="1595">
                  <c:v>129</c:v>
                </c:pt>
                <c:pt idx="1596">
                  <c:v>421</c:v>
                </c:pt>
                <c:pt idx="1597">
                  <c:v>266</c:v>
                </c:pt>
                <c:pt idx="1598">
                  <c:v>270</c:v>
                </c:pt>
                <c:pt idx="1599">
                  <c:v>324</c:v>
                </c:pt>
                <c:pt idx="1600">
                  <c:v>309</c:v>
                </c:pt>
                <c:pt idx="1601">
                  <c:v>324</c:v>
                </c:pt>
                <c:pt idx="1602">
                  <c:v>169</c:v>
                </c:pt>
                <c:pt idx="1603">
                  <c:v>285</c:v>
                </c:pt>
                <c:pt idx="1604">
                  <c:v>279</c:v>
                </c:pt>
                <c:pt idx="1605">
                  <c:v>285</c:v>
                </c:pt>
                <c:pt idx="1606">
                  <c:v>496</c:v>
                </c:pt>
                <c:pt idx="1607">
                  <c:v>234</c:v>
                </c:pt>
                <c:pt idx="1608">
                  <c:v>459</c:v>
                </c:pt>
                <c:pt idx="1609">
                  <c:v>382</c:v>
                </c:pt>
                <c:pt idx="1610">
                  <c:v>623</c:v>
                </c:pt>
                <c:pt idx="1611">
                  <c:v>231</c:v>
                </c:pt>
                <c:pt idx="1612">
                  <c:v>707</c:v>
                </c:pt>
                <c:pt idx="1613">
                  <c:v>452</c:v>
                </c:pt>
                <c:pt idx="1614">
                  <c:v>264</c:v>
                </c:pt>
                <c:pt idx="1615">
                  <c:v>147</c:v>
                </c:pt>
                <c:pt idx="1616">
                  <c:v>454</c:v>
                </c:pt>
                <c:pt idx="1617">
                  <c:v>443</c:v>
                </c:pt>
                <c:pt idx="1618">
                  <c:v>606</c:v>
                </c:pt>
                <c:pt idx="1619">
                  <c:v>537</c:v>
                </c:pt>
                <c:pt idx="1620">
                  <c:v>444</c:v>
                </c:pt>
                <c:pt idx="1621">
                  <c:v>360</c:v>
                </c:pt>
                <c:pt idx="1622">
                  <c:v>352</c:v>
                </c:pt>
                <c:pt idx="1623">
                  <c:v>243</c:v>
                </c:pt>
                <c:pt idx="1624">
                  <c:v>535</c:v>
                </c:pt>
                <c:pt idx="1625">
                  <c:v>580</c:v>
                </c:pt>
                <c:pt idx="1626">
                  <c:v>827</c:v>
                </c:pt>
                <c:pt idx="1627">
                  <c:v>527</c:v>
                </c:pt>
                <c:pt idx="1628">
                  <c:v>501</c:v>
                </c:pt>
                <c:pt idx="1629">
                  <c:v>420</c:v>
                </c:pt>
                <c:pt idx="1630">
                  <c:v>489</c:v>
                </c:pt>
                <c:pt idx="1631">
                  <c:v>804</c:v>
                </c:pt>
                <c:pt idx="1632">
                  <c:v>699</c:v>
                </c:pt>
                <c:pt idx="1633">
                  <c:v>704</c:v>
                </c:pt>
                <c:pt idx="1634">
                  <c:v>280</c:v>
                </c:pt>
                <c:pt idx="1635">
                  <c:v>260</c:v>
                </c:pt>
                <c:pt idx="1636">
                  <c:v>149</c:v>
                </c:pt>
                <c:pt idx="1637">
                  <c:v>530</c:v>
                </c:pt>
                <c:pt idx="1638">
                  <c:v>330</c:v>
                </c:pt>
                <c:pt idx="1639">
                  <c:v>555</c:v>
                </c:pt>
                <c:pt idx="1640">
                  <c:v>492</c:v>
                </c:pt>
                <c:pt idx="1641">
                  <c:v>285</c:v>
                </c:pt>
                <c:pt idx="1642">
                  <c:v>166</c:v>
                </c:pt>
                <c:pt idx="1643">
                  <c:v>329</c:v>
                </c:pt>
                <c:pt idx="1644">
                  <c:v>352</c:v>
                </c:pt>
                <c:pt idx="1645">
                  <c:v>359</c:v>
                </c:pt>
                <c:pt idx="1646">
                  <c:v>526</c:v>
                </c:pt>
                <c:pt idx="1647">
                  <c:v>424</c:v>
                </c:pt>
                <c:pt idx="1648">
                  <c:v>454</c:v>
                </c:pt>
                <c:pt idx="1649">
                  <c:v>473</c:v>
                </c:pt>
                <c:pt idx="1650">
                  <c:v>464</c:v>
                </c:pt>
                <c:pt idx="1651">
                  <c:v>521</c:v>
                </c:pt>
                <c:pt idx="1652">
                  <c:v>482</c:v>
                </c:pt>
                <c:pt idx="1653">
                  <c:v>560</c:v>
                </c:pt>
                <c:pt idx="1654">
                  <c:v>508</c:v>
                </c:pt>
                <c:pt idx="1655">
                  <c:v>228</c:v>
                </c:pt>
                <c:pt idx="1656">
                  <c:v>241</c:v>
                </c:pt>
                <c:pt idx="1657">
                  <c:v>254</c:v>
                </c:pt>
                <c:pt idx="1658">
                  <c:v>334</c:v>
                </c:pt>
                <c:pt idx="1659">
                  <c:v>270</c:v>
                </c:pt>
                <c:pt idx="1660">
                  <c:v>142</c:v>
                </c:pt>
                <c:pt idx="1661">
                  <c:v>297</c:v>
                </c:pt>
                <c:pt idx="1662">
                  <c:v>117</c:v>
                </c:pt>
                <c:pt idx="1663">
                  <c:v>203</c:v>
                </c:pt>
                <c:pt idx="1664">
                  <c:v>284</c:v>
                </c:pt>
                <c:pt idx="1665">
                  <c:v>468</c:v>
                </c:pt>
                <c:pt idx="1666">
                  <c:v>344</c:v>
                </c:pt>
                <c:pt idx="1667">
                  <c:v>359</c:v>
                </c:pt>
                <c:pt idx="1668">
                  <c:v>528</c:v>
                </c:pt>
                <c:pt idx="1669">
                  <c:v>378</c:v>
                </c:pt>
                <c:pt idx="1670">
                  <c:v>646</c:v>
                </c:pt>
                <c:pt idx="1671">
                  <c:v>287</c:v>
                </c:pt>
                <c:pt idx="1672">
                  <c:v>681</c:v>
                </c:pt>
                <c:pt idx="1673">
                  <c:v>774</c:v>
                </c:pt>
                <c:pt idx="1674">
                  <c:v>348</c:v>
                </c:pt>
                <c:pt idx="1675">
                  <c:v>244</c:v>
                </c:pt>
                <c:pt idx="1676">
                  <c:v>594</c:v>
                </c:pt>
                <c:pt idx="1677">
                  <c:v>366</c:v>
                </c:pt>
                <c:pt idx="1678">
                  <c:v>165</c:v>
                </c:pt>
                <c:pt idx="1679">
                  <c:v>356</c:v>
                </c:pt>
                <c:pt idx="1680">
                  <c:v>308</c:v>
                </c:pt>
                <c:pt idx="1681">
                  <c:v>179</c:v>
                </c:pt>
                <c:pt idx="1682">
                  <c:v>443</c:v>
                </c:pt>
                <c:pt idx="1683">
                  <c:v>787</c:v>
                </c:pt>
                <c:pt idx="1684">
                  <c:v>510</c:v>
                </c:pt>
                <c:pt idx="1685">
                  <c:v>173</c:v>
                </c:pt>
                <c:pt idx="1686">
                  <c:v>381</c:v>
                </c:pt>
                <c:pt idx="1687">
                  <c:v>428</c:v>
                </c:pt>
                <c:pt idx="1688">
                  <c:v>185</c:v>
                </c:pt>
                <c:pt idx="1689">
                  <c:v>509</c:v>
                </c:pt>
                <c:pt idx="1690">
                  <c:v>460</c:v>
                </c:pt>
                <c:pt idx="1691">
                  <c:v>635</c:v>
                </c:pt>
                <c:pt idx="1692">
                  <c:v>576</c:v>
                </c:pt>
                <c:pt idx="1693">
                  <c:v>691</c:v>
                </c:pt>
                <c:pt idx="1694">
                  <c:v>358</c:v>
                </c:pt>
                <c:pt idx="1695">
                  <c:v>544</c:v>
                </c:pt>
                <c:pt idx="1696">
                  <c:v>418</c:v>
                </c:pt>
                <c:pt idx="1697">
                  <c:v>209</c:v>
                </c:pt>
                <c:pt idx="1698">
                  <c:v>396</c:v>
                </c:pt>
                <c:pt idx="1699">
                  <c:v>406</c:v>
                </c:pt>
                <c:pt idx="1700">
                  <c:v>467</c:v>
                </c:pt>
                <c:pt idx="1701">
                  <c:v>221</c:v>
                </c:pt>
                <c:pt idx="1702">
                  <c:v>248</c:v>
                </c:pt>
                <c:pt idx="1703">
                  <c:v>472</c:v>
                </c:pt>
                <c:pt idx="1704">
                  <c:v>166</c:v>
                </c:pt>
                <c:pt idx="1705">
                  <c:v>341</c:v>
                </c:pt>
                <c:pt idx="1706">
                  <c:v>170</c:v>
                </c:pt>
                <c:pt idx="1707">
                  <c:v>220</c:v>
                </c:pt>
                <c:pt idx="1708">
                  <c:v>540</c:v>
                </c:pt>
                <c:pt idx="1709">
                  <c:v>207</c:v>
                </c:pt>
                <c:pt idx="1710">
                  <c:v>250</c:v>
                </c:pt>
                <c:pt idx="1711">
                  <c:v>140</c:v>
                </c:pt>
                <c:pt idx="1712">
                  <c:v>529</c:v>
                </c:pt>
                <c:pt idx="1713">
                  <c:v>331</c:v>
                </c:pt>
                <c:pt idx="1714">
                  <c:v>193</c:v>
                </c:pt>
                <c:pt idx="1715">
                  <c:v>348</c:v>
                </c:pt>
                <c:pt idx="1716">
                  <c:v>326</c:v>
                </c:pt>
                <c:pt idx="1717">
                  <c:v>298</c:v>
                </c:pt>
                <c:pt idx="1718">
                  <c:v>211</c:v>
                </c:pt>
                <c:pt idx="1719">
                  <c:v>455</c:v>
                </c:pt>
                <c:pt idx="1720">
                  <c:v>252</c:v>
                </c:pt>
                <c:pt idx="1721">
                  <c:v>239</c:v>
                </c:pt>
                <c:pt idx="1722">
                  <c:v>233</c:v>
                </c:pt>
                <c:pt idx="1723">
                  <c:v>359</c:v>
                </c:pt>
                <c:pt idx="1724">
                  <c:v>285</c:v>
                </c:pt>
                <c:pt idx="1725">
                  <c:v>291</c:v>
                </c:pt>
                <c:pt idx="1726">
                  <c:v>216</c:v>
                </c:pt>
                <c:pt idx="1727">
                  <c:v>326</c:v>
                </c:pt>
                <c:pt idx="1728">
                  <c:v>386</c:v>
                </c:pt>
                <c:pt idx="1729">
                  <c:v>214</c:v>
                </c:pt>
                <c:pt idx="1730">
                  <c:v>328</c:v>
                </c:pt>
                <c:pt idx="1731">
                  <c:v>519</c:v>
                </c:pt>
                <c:pt idx="1732">
                  <c:v>142</c:v>
                </c:pt>
                <c:pt idx="1733">
                  <c:v>318</c:v>
                </c:pt>
                <c:pt idx="1734">
                  <c:v>433</c:v>
                </c:pt>
                <c:pt idx="1735">
                  <c:v>253</c:v>
                </c:pt>
                <c:pt idx="1736">
                  <c:v>216</c:v>
                </c:pt>
                <c:pt idx="1737">
                  <c:v>405</c:v>
                </c:pt>
                <c:pt idx="1738">
                  <c:v>440</c:v>
                </c:pt>
                <c:pt idx="1739">
                  <c:v>382</c:v>
                </c:pt>
                <c:pt idx="1740">
                  <c:v>372</c:v>
                </c:pt>
                <c:pt idx="1741">
                  <c:v>174</c:v>
                </c:pt>
                <c:pt idx="1742">
                  <c:v>364</c:v>
                </c:pt>
                <c:pt idx="1743">
                  <c:v>485</c:v>
                </c:pt>
                <c:pt idx="1744">
                  <c:v>610</c:v>
                </c:pt>
                <c:pt idx="1745">
                  <c:v>766</c:v>
                </c:pt>
                <c:pt idx="1746">
                  <c:v>215</c:v>
                </c:pt>
                <c:pt idx="1747">
                  <c:v>503</c:v>
                </c:pt>
                <c:pt idx="1748">
                  <c:v>766</c:v>
                </c:pt>
                <c:pt idx="1749">
                  <c:v>502</c:v>
                </c:pt>
                <c:pt idx="1750">
                  <c:v>539</c:v>
                </c:pt>
                <c:pt idx="1751">
                  <c:v>429</c:v>
                </c:pt>
                <c:pt idx="1752">
                  <c:v>440</c:v>
                </c:pt>
                <c:pt idx="1753">
                  <c:v>513</c:v>
                </c:pt>
                <c:pt idx="1754">
                  <c:v>549</c:v>
                </c:pt>
                <c:pt idx="1755">
                  <c:v>429</c:v>
                </c:pt>
                <c:pt idx="1756">
                  <c:v>281</c:v>
                </c:pt>
                <c:pt idx="1757">
                  <c:v>289</c:v>
                </c:pt>
                <c:pt idx="1758">
                  <c:v>448</c:v>
                </c:pt>
                <c:pt idx="1759">
                  <c:v>532</c:v>
                </c:pt>
                <c:pt idx="1760">
                  <c:v>655</c:v>
                </c:pt>
                <c:pt idx="1761">
                  <c:v>304</c:v>
                </c:pt>
                <c:pt idx="1762">
                  <c:v>215</c:v>
                </c:pt>
                <c:pt idx="1763">
                  <c:v>549</c:v>
                </c:pt>
                <c:pt idx="1764">
                  <c:v>612</c:v>
                </c:pt>
                <c:pt idx="1765">
                  <c:v>156</c:v>
                </c:pt>
                <c:pt idx="1766">
                  <c:v>247</c:v>
                </c:pt>
                <c:pt idx="1767">
                  <c:v>389</c:v>
                </c:pt>
                <c:pt idx="1768">
                  <c:v>465</c:v>
                </c:pt>
                <c:pt idx="1769">
                  <c:v>348</c:v>
                </c:pt>
                <c:pt idx="1770">
                  <c:v>350</c:v>
                </c:pt>
                <c:pt idx="1771">
                  <c:v>101</c:v>
                </c:pt>
                <c:pt idx="1772">
                  <c:v>242</c:v>
                </c:pt>
                <c:pt idx="1773">
                  <c:v>231</c:v>
                </c:pt>
                <c:pt idx="1774">
                  <c:v>339</c:v>
                </c:pt>
                <c:pt idx="1775">
                  <c:v>146</c:v>
                </c:pt>
                <c:pt idx="1776">
                  <c:v>114</c:v>
                </c:pt>
                <c:pt idx="1777">
                  <c:v>253</c:v>
                </c:pt>
                <c:pt idx="1778">
                  <c:v>2756</c:v>
                </c:pt>
                <c:pt idx="1779">
                  <c:v>3063</c:v>
                </c:pt>
                <c:pt idx="1780">
                  <c:v>2800</c:v>
                </c:pt>
                <c:pt idx="1781">
                  <c:v>3063</c:v>
                </c:pt>
                <c:pt idx="1782">
                  <c:v>2800</c:v>
                </c:pt>
                <c:pt idx="1783">
                  <c:v>3063</c:v>
                </c:pt>
                <c:pt idx="1784">
                  <c:v>3500</c:v>
                </c:pt>
                <c:pt idx="1785">
                  <c:v>2450</c:v>
                </c:pt>
                <c:pt idx="1786">
                  <c:v>2800</c:v>
                </c:pt>
                <c:pt idx="1787">
                  <c:v>2188</c:v>
                </c:pt>
                <c:pt idx="1788">
                  <c:v>2756</c:v>
                </c:pt>
                <c:pt idx="1789">
                  <c:v>1575</c:v>
                </c:pt>
                <c:pt idx="1790">
                  <c:v>3150</c:v>
                </c:pt>
                <c:pt idx="1791">
                  <c:v>3150</c:v>
                </c:pt>
                <c:pt idx="1792">
                  <c:v>2100</c:v>
                </c:pt>
                <c:pt idx="1793">
                  <c:v>1838</c:v>
                </c:pt>
                <c:pt idx="1794">
                  <c:v>2450</c:v>
                </c:pt>
                <c:pt idx="1795">
                  <c:v>2144</c:v>
                </c:pt>
                <c:pt idx="1796">
                  <c:v>2756</c:v>
                </c:pt>
                <c:pt idx="1797">
                  <c:v>1531</c:v>
                </c:pt>
                <c:pt idx="1798">
                  <c:v>1838</c:v>
                </c:pt>
                <c:pt idx="1799">
                  <c:v>2450</c:v>
                </c:pt>
                <c:pt idx="1800">
                  <c:v>2756</c:v>
                </c:pt>
                <c:pt idx="1801">
                  <c:v>2450</c:v>
                </c:pt>
                <c:pt idx="1802">
                  <c:v>3150</c:v>
                </c:pt>
                <c:pt idx="1803">
                  <c:v>2363</c:v>
                </c:pt>
                <c:pt idx="1804">
                  <c:v>2363</c:v>
                </c:pt>
                <c:pt idx="1805">
                  <c:v>2363</c:v>
                </c:pt>
                <c:pt idx="1806">
                  <c:v>2188</c:v>
                </c:pt>
                <c:pt idx="1807">
                  <c:v>1313</c:v>
                </c:pt>
                <c:pt idx="1808">
                  <c:v>3150</c:v>
                </c:pt>
                <c:pt idx="1809">
                  <c:v>3150</c:v>
                </c:pt>
                <c:pt idx="1810">
                  <c:v>3938</c:v>
                </c:pt>
                <c:pt idx="1811">
                  <c:v>3544</c:v>
                </c:pt>
                <c:pt idx="1812">
                  <c:v>2756</c:v>
                </c:pt>
                <c:pt idx="1813">
                  <c:v>2756</c:v>
                </c:pt>
                <c:pt idx="1814">
                  <c:v>2800</c:v>
                </c:pt>
                <c:pt idx="1815">
                  <c:v>3150</c:v>
                </c:pt>
                <c:pt idx="1816">
                  <c:v>1400</c:v>
                </c:pt>
                <c:pt idx="1817">
                  <c:v>2144</c:v>
                </c:pt>
                <c:pt idx="1818">
                  <c:v>2450</c:v>
                </c:pt>
                <c:pt idx="1819">
                  <c:v>1225</c:v>
                </c:pt>
                <c:pt idx="1820">
                  <c:v>1838</c:v>
                </c:pt>
                <c:pt idx="1821">
                  <c:v>3063</c:v>
                </c:pt>
                <c:pt idx="1822">
                  <c:v>2100</c:v>
                </c:pt>
                <c:pt idx="1823">
                  <c:v>3063</c:v>
                </c:pt>
                <c:pt idx="1824">
                  <c:v>2363</c:v>
                </c:pt>
                <c:pt idx="1825">
                  <c:v>1838</c:v>
                </c:pt>
                <c:pt idx="1826">
                  <c:v>2756</c:v>
                </c:pt>
                <c:pt idx="1827">
                  <c:v>2100</c:v>
                </c:pt>
                <c:pt idx="1828">
                  <c:v>3063</c:v>
                </c:pt>
                <c:pt idx="1829">
                  <c:v>1838</c:v>
                </c:pt>
                <c:pt idx="1830">
                  <c:v>2363</c:v>
                </c:pt>
                <c:pt idx="1831">
                  <c:v>2756</c:v>
                </c:pt>
                <c:pt idx="1832">
                  <c:v>1838</c:v>
                </c:pt>
                <c:pt idx="1833">
                  <c:v>2756</c:v>
                </c:pt>
                <c:pt idx="1834">
                  <c:v>2100</c:v>
                </c:pt>
                <c:pt idx="1835">
                  <c:v>1575</c:v>
                </c:pt>
                <c:pt idx="1836">
                  <c:v>2450</c:v>
                </c:pt>
                <c:pt idx="1837">
                  <c:v>2100</c:v>
                </c:pt>
                <c:pt idx="1838">
                  <c:v>3063</c:v>
                </c:pt>
                <c:pt idx="1839">
                  <c:v>1575</c:v>
                </c:pt>
                <c:pt idx="1840">
                  <c:v>2100</c:v>
                </c:pt>
                <c:pt idx="1841">
                  <c:v>1225</c:v>
                </c:pt>
                <c:pt idx="1842">
                  <c:v>1225</c:v>
                </c:pt>
                <c:pt idx="1843">
                  <c:v>525</c:v>
                </c:pt>
                <c:pt idx="1844">
                  <c:v>1313</c:v>
                </c:pt>
                <c:pt idx="1845">
                  <c:v>3063</c:v>
                </c:pt>
                <c:pt idx="1846">
                  <c:v>2100</c:v>
                </c:pt>
                <c:pt idx="1847">
                  <c:v>4375</c:v>
                </c:pt>
                <c:pt idx="1848">
                  <c:v>1313</c:v>
                </c:pt>
                <c:pt idx="1849">
                  <c:v>1225</c:v>
                </c:pt>
                <c:pt idx="1850">
                  <c:v>1838</c:v>
                </c:pt>
                <c:pt idx="1851">
                  <c:v>3938</c:v>
                </c:pt>
                <c:pt idx="1852">
                  <c:v>1313</c:v>
                </c:pt>
                <c:pt idx="1853">
                  <c:v>3063</c:v>
                </c:pt>
                <c:pt idx="1854">
                  <c:v>2100</c:v>
                </c:pt>
                <c:pt idx="1855">
                  <c:v>4375</c:v>
                </c:pt>
                <c:pt idx="1856">
                  <c:v>1838</c:v>
                </c:pt>
                <c:pt idx="1857">
                  <c:v>2144</c:v>
                </c:pt>
                <c:pt idx="1858">
                  <c:v>1838</c:v>
                </c:pt>
                <c:pt idx="1859">
                  <c:v>2100</c:v>
                </c:pt>
                <c:pt idx="1860">
                  <c:v>2756</c:v>
                </c:pt>
                <c:pt idx="1861">
                  <c:v>2625</c:v>
                </c:pt>
                <c:pt idx="1862">
                  <c:v>1531</c:v>
                </c:pt>
                <c:pt idx="1863">
                  <c:v>2450</c:v>
                </c:pt>
                <c:pt idx="1864">
                  <c:v>1750</c:v>
                </c:pt>
                <c:pt idx="1865">
                  <c:v>1750</c:v>
                </c:pt>
                <c:pt idx="1866">
                  <c:v>2450</c:v>
                </c:pt>
                <c:pt idx="1867">
                  <c:v>2450</c:v>
                </c:pt>
                <c:pt idx="1868">
                  <c:v>3150</c:v>
                </c:pt>
                <c:pt idx="1869">
                  <c:v>1531</c:v>
                </c:pt>
                <c:pt idx="1870">
                  <c:v>1531</c:v>
                </c:pt>
                <c:pt idx="1871">
                  <c:v>1838</c:v>
                </c:pt>
                <c:pt idx="1872">
                  <c:v>2756</c:v>
                </c:pt>
                <c:pt idx="1873">
                  <c:v>2450</c:v>
                </c:pt>
                <c:pt idx="1874">
                  <c:v>2625</c:v>
                </c:pt>
                <c:pt idx="1875">
                  <c:v>3063</c:v>
                </c:pt>
                <c:pt idx="1876">
                  <c:v>3063</c:v>
                </c:pt>
                <c:pt idx="1877">
                  <c:v>2450</c:v>
                </c:pt>
                <c:pt idx="1878">
                  <c:v>2625</c:v>
                </c:pt>
                <c:pt idx="1879">
                  <c:v>2363</c:v>
                </c:pt>
                <c:pt idx="1880">
                  <c:v>2144</c:v>
                </c:pt>
                <c:pt idx="1881">
                  <c:v>2363</c:v>
                </c:pt>
                <c:pt idx="1882">
                  <c:v>2144</c:v>
                </c:pt>
                <c:pt idx="1883">
                  <c:v>1750</c:v>
                </c:pt>
                <c:pt idx="1884">
                  <c:v>2625</c:v>
                </c:pt>
                <c:pt idx="1885">
                  <c:v>2800</c:v>
                </c:pt>
                <c:pt idx="1886">
                  <c:v>2363</c:v>
                </c:pt>
                <c:pt idx="1887">
                  <c:v>1750</c:v>
                </c:pt>
                <c:pt idx="1888">
                  <c:v>1750</c:v>
                </c:pt>
                <c:pt idx="1889">
                  <c:v>2450</c:v>
                </c:pt>
                <c:pt idx="1890">
                  <c:v>2756</c:v>
                </c:pt>
                <c:pt idx="1891">
                  <c:v>2625</c:v>
                </c:pt>
                <c:pt idx="1892">
                  <c:v>2100</c:v>
                </c:pt>
                <c:pt idx="1893">
                  <c:v>1969</c:v>
                </c:pt>
                <c:pt idx="1894">
                  <c:v>1969</c:v>
                </c:pt>
                <c:pt idx="1895">
                  <c:v>2450</c:v>
                </c:pt>
                <c:pt idx="1896">
                  <c:v>2363</c:v>
                </c:pt>
                <c:pt idx="1897">
                  <c:v>2363</c:v>
                </c:pt>
                <c:pt idx="1898">
                  <c:v>327</c:v>
                </c:pt>
                <c:pt idx="1899">
                  <c:v>357</c:v>
                </c:pt>
                <c:pt idx="1900">
                  <c:v>331</c:v>
                </c:pt>
                <c:pt idx="1901">
                  <c:v>336</c:v>
                </c:pt>
                <c:pt idx="1902">
                  <c:v>305</c:v>
                </c:pt>
                <c:pt idx="1903">
                  <c:v>620</c:v>
                </c:pt>
                <c:pt idx="1904">
                  <c:v>472</c:v>
                </c:pt>
                <c:pt idx="1905">
                  <c:v>370</c:v>
                </c:pt>
                <c:pt idx="1906">
                  <c:v>378</c:v>
                </c:pt>
                <c:pt idx="1907">
                  <c:v>235</c:v>
                </c:pt>
                <c:pt idx="1908">
                  <c:v>197</c:v>
                </c:pt>
                <c:pt idx="1909">
                  <c:v>478</c:v>
                </c:pt>
                <c:pt idx="1910">
                  <c:v>266</c:v>
                </c:pt>
                <c:pt idx="1911">
                  <c:v>252</c:v>
                </c:pt>
                <c:pt idx="1912">
                  <c:v>369</c:v>
                </c:pt>
                <c:pt idx="1913">
                  <c:v>536</c:v>
                </c:pt>
                <c:pt idx="1914">
                  <c:v>694</c:v>
                </c:pt>
                <c:pt idx="1915">
                  <c:v>359</c:v>
                </c:pt>
                <c:pt idx="1916">
                  <c:v>454</c:v>
                </c:pt>
                <c:pt idx="1917">
                  <c:v>685</c:v>
                </c:pt>
                <c:pt idx="1918">
                  <c:v>463</c:v>
                </c:pt>
                <c:pt idx="1919">
                  <c:v>490</c:v>
                </c:pt>
                <c:pt idx="1920">
                  <c:v>528</c:v>
                </c:pt>
                <c:pt idx="1921">
                  <c:v>386</c:v>
                </c:pt>
                <c:pt idx="1922">
                  <c:v>250</c:v>
                </c:pt>
                <c:pt idx="1923">
                  <c:v>481</c:v>
                </c:pt>
                <c:pt idx="1924">
                  <c:v>489</c:v>
                </c:pt>
                <c:pt idx="1925">
                  <c:v>273</c:v>
                </c:pt>
                <c:pt idx="1926">
                  <c:v>189</c:v>
                </c:pt>
                <c:pt idx="1927">
                  <c:v>243</c:v>
                </c:pt>
                <c:pt idx="1928">
                  <c:v>301</c:v>
                </c:pt>
                <c:pt idx="1929">
                  <c:v>266</c:v>
                </c:pt>
                <c:pt idx="1930">
                  <c:v>243</c:v>
                </c:pt>
                <c:pt idx="1931">
                  <c:v>403</c:v>
                </c:pt>
                <c:pt idx="1932">
                  <c:v>373</c:v>
                </c:pt>
                <c:pt idx="1933">
                  <c:v>434</c:v>
                </c:pt>
                <c:pt idx="1934">
                  <c:v>356</c:v>
                </c:pt>
                <c:pt idx="1935">
                  <c:v>663</c:v>
                </c:pt>
                <c:pt idx="1936">
                  <c:v>660</c:v>
                </c:pt>
                <c:pt idx="1937">
                  <c:v>412</c:v>
                </c:pt>
                <c:pt idx="1938">
                  <c:v>508</c:v>
                </c:pt>
                <c:pt idx="1939">
                  <c:v>382</c:v>
                </c:pt>
                <c:pt idx="1940">
                  <c:v>468</c:v>
                </c:pt>
                <c:pt idx="1941">
                  <c:v>432</c:v>
                </c:pt>
                <c:pt idx="1942">
                  <c:v>382</c:v>
                </c:pt>
                <c:pt idx="1943">
                  <c:v>487</c:v>
                </c:pt>
                <c:pt idx="1944">
                  <c:v>310</c:v>
                </c:pt>
                <c:pt idx="1945">
                  <c:v>564</c:v>
                </c:pt>
                <c:pt idx="1946">
                  <c:v>522</c:v>
                </c:pt>
                <c:pt idx="1947">
                  <c:v>212</c:v>
                </c:pt>
                <c:pt idx="1948">
                  <c:v>258</c:v>
                </c:pt>
                <c:pt idx="1949">
                  <c:v>362</c:v>
                </c:pt>
                <c:pt idx="1950">
                  <c:v>306</c:v>
                </c:pt>
                <c:pt idx="1951">
                  <c:v>351</c:v>
                </c:pt>
                <c:pt idx="1952">
                  <c:v>328</c:v>
                </c:pt>
                <c:pt idx="1953">
                  <c:v>278</c:v>
                </c:pt>
                <c:pt idx="1954">
                  <c:v>284</c:v>
                </c:pt>
                <c:pt idx="1955">
                  <c:v>677</c:v>
                </c:pt>
                <c:pt idx="1956">
                  <c:v>234</c:v>
                </c:pt>
                <c:pt idx="1957">
                  <c:v>393</c:v>
                </c:pt>
                <c:pt idx="1958">
                  <c:v>216</c:v>
                </c:pt>
                <c:pt idx="1959">
                  <c:v>633</c:v>
                </c:pt>
                <c:pt idx="1960">
                  <c:v>304</c:v>
                </c:pt>
                <c:pt idx="1961">
                  <c:v>298</c:v>
                </c:pt>
                <c:pt idx="1962">
                  <c:v>325</c:v>
                </c:pt>
                <c:pt idx="1963">
                  <c:v>145</c:v>
                </c:pt>
                <c:pt idx="1964">
                  <c:v>563</c:v>
                </c:pt>
                <c:pt idx="1965">
                  <c:v>415</c:v>
                </c:pt>
                <c:pt idx="1966">
                  <c:v>672</c:v>
                </c:pt>
                <c:pt idx="1967">
                  <c:v>358</c:v>
                </c:pt>
                <c:pt idx="1968">
                  <c:v>540</c:v>
                </c:pt>
                <c:pt idx="1969">
                  <c:v>247</c:v>
                </c:pt>
                <c:pt idx="1970">
                  <c:v>350</c:v>
                </c:pt>
                <c:pt idx="1971">
                  <c:v>533</c:v>
                </c:pt>
                <c:pt idx="1972">
                  <c:v>346</c:v>
                </c:pt>
                <c:pt idx="1973">
                  <c:v>450</c:v>
                </c:pt>
                <c:pt idx="1974">
                  <c:v>542</c:v>
                </c:pt>
                <c:pt idx="1975">
                  <c:v>276</c:v>
                </c:pt>
                <c:pt idx="1976">
                  <c:v>360</c:v>
                </c:pt>
                <c:pt idx="1977">
                  <c:v>450</c:v>
                </c:pt>
                <c:pt idx="1978">
                  <c:v>382</c:v>
                </c:pt>
                <c:pt idx="1979">
                  <c:v>587</c:v>
                </c:pt>
                <c:pt idx="1980">
                  <c:v>405</c:v>
                </c:pt>
                <c:pt idx="1981">
                  <c:v>355</c:v>
                </c:pt>
                <c:pt idx="1982">
                  <c:v>204</c:v>
                </c:pt>
                <c:pt idx="1983">
                  <c:v>201</c:v>
                </c:pt>
                <c:pt idx="1984">
                  <c:v>343</c:v>
                </c:pt>
                <c:pt idx="1985">
                  <c:v>219</c:v>
                </c:pt>
                <c:pt idx="1986">
                  <c:v>390</c:v>
                </c:pt>
                <c:pt idx="1987">
                  <c:v>282</c:v>
                </c:pt>
                <c:pt idx="1988">
                  <c:v>256</c:v>
                </c:pt>
                <c:pt idx="1989">
                  <c:v>247</c:v>
                </c:pt>
                <c:pt idx="1990">
                  <c:v>286</c:v>
                </c:pt>
                <c:pt idx="1991">
                  <c:v>298</c:v>
                </c:pt>
                <c:pt idx="1992">
                  <c:v>187</c:v>
                </c:pt>
                <c:pt idx="1993">
                  <c:v>262</c:v>
                </c:pt>
                <c:pt idx="1994">
                  <c:v>294</c:v>
                </c:pt>
                <c:pt idx="1995">
                  <c:v>271</c:v>
                </c:pt>
                <c:pt idx="1996">
                  <c:v>247</c:v>
                </c:pt>
                <c:pt idx="1997">
                  <c:v>262</c:v>
                </c:pt>
                <c:pt idx="1998">
                  <c:v>163</c:v>
                </c:pt>
                <c:pt idx="1999">
                  <c:v>327</c:v>
                </c:pt>
                <c:pt idx="2000">
                  <c:v>250</c:v>
                </c:pt>
                <c:pt idx="2001">
                  <c:v>255</c:v>
                </c:pt>
                <c:pt idx="2002">
                  <c:v>253</c:v>
                </c:pt>
                <c:pt idx="2003">
                  <c:v>294</c:v>
                </c:pt>
                <c:pt idx="2004">
                  <c:v>353</c:v>
                </c:pt>
                <c:pt idx="2005">
                  <c:v>362</c:v>
                </c:pt>
                <c:pt idx="2006">
                  <c:v>321</c:v>
                </c:pt>
                <c:pt idx="2007">
                  <c:v>203</c:v>
                </c:pt>
                <c:pt idx="2008">
                  <c:v>289</c:v>
                </c:pt>
                <c:pt idx="2009">
                  <c:v>428</c:v>
                </c:pt>
                <c:pt idx="2010">
                  <c:v>247</c:v>
                </c:pt>
                <c:pt idx="2011">
                  <c:v>221</c:v>
                </c:pt>
                <c:pt idx="2012">
                  <c:v>2975</c:v>
                </c:pt>
                <c:pt idx="2013">
                  <c:v>468</c:v>
                </c:pt>
                <c:pt idx="2014">
                  <c:v>475</c:v>
                </c:pt>
                <c:pt idx="2015">
                  <c:v>280</c:v>
                </c:pt>
                <c:pt idx="2016">
                  <c:v>171</c:v>
                </c:pt>
                <c:pt idx="2017">
                  <c:v>216</c:v>
                </c:pt>
                <c:pt idx="2018">
                  <c:v>112</c:v>
                </c:pt>
                <c:pt idx="2019">
                  <c:v>272</c:v>
                </c:pt>
                <c:pt idx="2020">
                  <c:v>189</c:v>
                </c:pt>
                <c:pt idx="2021">
                  <c:v>104</c:v>
                </c:pt>
                <c:pt idx="2022">
                  <c:v>157</c:v>
                </c:pt>
                <c:pt idx="2023">
                  <c:v>256</c:v>
                </c:pt>
                <c:pt idx="2024">
                  <c:v>257</c:v>
                </c:pt>
                <c:pt idx="2025">
                  <c:v>286</c:v>
                </c:pt>
                <c:pt idx="2026">
                  <c:v>421</c:v>
                </c:pt>
                <c:pt idx="2027">
                  <c:v>344</c:v>
                </c:pt>
                <c:pt idx="2028">
                  <c:v>312</c:v>
                </c:pt>
                <c:pt idx="2029">
                  <c:v>277</c:v>
                </c:pt>
                <c:pt idx="2030">
                  <c:v>319</c:v>
                </c:pt>
                <c:pt idx="2031">
                  <c:v>372</c:v>
                </c:pt>
                <c:pt idx="2032">
                  <c:v>390</c:v>
                </c:pt>
                <c:pt idx="2033">
                  <c:v>278</c:v>
                </c:pt>
                <c:pt idx="2034">
                  <c:v>381</c:v>
                </c:pt>
                <c:pt idx="2035">
                  <c:v>397</c:v>
                </c:pt>
                <c:pt idx="2036">
                  <c:v>330</c:v>
                </c:pt>
                <c:pt idx="2037">
                  <c:v>328</c:v>
                </c:pt>
                <c:pt idx="2038">
                  <c:v>283</c:v>
                </c:pt>
                <c:pt idx="2039">
                  <c:v>359</c:v>
                </c:pt>
                <c:pt idx="2040">
                  <c:v>203</c:v>
                </c:pt>
                <c:pt idx="2041">
                  <c:v>161</c:v>
                </c:pt>
                <c:pt idx="2042">
                  <c:v>310</c:v>
                </c:pt>
                <c:pt idx="2043">
                  <c:v>477</c:v>
                </c:pt>
                <c:pt idx="2044">
                  <c:v>708</c:v>
                </c:pt>
                <c:pt idx="2045">
                  <c:v>195</c:v>
                </c:pt>
                <c:pt idx="2046">
                  <c:v>196</c:v>
                </c:pt>
                <c:pt idx="2047">
                  <c:v>852</c:v>
                </c:pt>
                <c:pt idx="2048">
                  <c:v>352</c:v>
                </c:pt>
                <c:pt idx="2049">
                  <c:v>206</c:v>
                </c:pt>
                <c:pt idx="2050">
                  <c:v>628</c:v>
                </c:pt>
                <c:pt idx="2051">
                  <c:v>302</c:v>
                </c:pt>
                <c:pt idx="2052">
                  <c:v>431</c:v>
                </c:pt>
                <c:pt idx="2053">
                  <c:v>389</c:v>
                </c:pt>
                <c:pt idx="2054">
                  <c:v>659</c:v>
                </c:pt>
                <c:pt idx="2055">
                  <c:v>688</c:v>
                </c:pt>
                <c:pt idx="2056">
                  <c:v>255</c:v>
                </c:pt>
                <c:pt idx="2057">
                  <c:v>513</c:v>
                </c:pt>
                <c:pt idx="2058">
                  <c:v>280</c:v>
                </c:pt>
                <c:pt idx="2059">
                  <c:v>251</c:v>
                </c:pt>
                <c:pt idx="2060">
                  <c:v>214</c:v>
                </c:pt>
                <c:pt idx="2061">
                  <c:v>283</c:v>
                </c:pt>
                <c:pt idx="2062">
                  <c:v>331</c:v>
                </c:pt>
                <c:pt idx="2063">
                  <c:v>429</c:v>
                </c:pt>
                <c:pt idx="2064">
                  <c:v>422</c:v>
                </c:pt>
                <c:pt idx="2065">
                  <c:v>538</c:v>
                </c:pt>
                <c:pt idx="2066">
                  <c:v>557</c:v>
                </c:pt>
                <c:pt idx="2067">
                  <c:v>299</c:v>
                </c:pt>
                <c:pt idx="2068">
                  <c:v>210</c:v>
                </c:pt>
                <c:pt idx="2069">
                  <c:v>582</c:v>
                </c:pt>
                <c:pt idx="2070">
                  <c:v>211</c:v>
                </c:pt>
                <c:pt idx="2071">
                  <c:v>595</c:v>
                </c:pt>
                <c:pt idx="2072">
                  <c:v>528</c:v>
                </c:pt>
                <c:pt idx="2073">
                  <c:v>660</c:v>
                </c:pt>
                <c:pt idx="2074">
                  <c:v>282</c:v>
                </c:pt>
                <c:pt idx="2075">
                  <c:v>438</c:v>
                </c:pt>
                <c:pt idx="2076">
                  <c:v>417</c:v>
                </c:pt>
                <c:pt idx="2077">
                  <c:v>301</c:v>
                </c:pt>
                <c:pt idx="2078">
                  <c:v>479</c:v>
                </c:pt>
                <c:pt idx="2079">
                  <c:v>234</c:v>
                </c:pt>
                <c:pt idx="2080">
                  <c:v>289</c:v>
                </c:pt>
                <c:pt idx="2081">
                  <c:v>303</c:v>
                </c:pt>
                <c:pt idx="2082">
                  <c:v>363</c:v>
                </c:pt>
                <c:pt idx="2083">
                  <c:v>290</c:v>
                </c:pt>
                <c:pt idx="2084">
                  <c:v>253</c:v>
                </c:pt>
                <c:pt idx="2085">
                  <c:v>780</c:v>
                </c:pt>
                <c:pt idx="2086">
                  <c:v>434</c:v>
                </c:pt>
                <c:pt idx="2087">
                  <c:v>403</c:v>
                </c:pt>
                <c:pt idx="2088">
                  <c:v>490</c:v>
                </c:pt>
                <c:pt idx="2089">
                  <c:v>645</c:v>
                </c:pt>
                <c:pt idx="2090">
                  <c:v>292</c:v>
                </c:pt>
                <c:pt idx="2091">
                  <c:v>259</c:v>
                </c:pt>
                <c:pt idx="2092">
                  <c:v>300</c:v>
                </c:pt>
                <c:pt idx="2093">
                  <c:v>444</c:v>
                </c:pt>
                <c:pt idx="2094">
                  <c:v>261</c:v>
                </c:pt>
                <c:pt idx="2095">
                  <c:v>488</c:v>
                </c:pt>
                <c:pt idx="2096">
                  <c:v>262</c:v>
                </c:pt>
                <c:pt idx="2097">
                  <c:v>361</c:v>
                </c:pt>
                <c:pt idx="2098">
                  <c:v>346</c:v>
                </c:pt>
                <c:pt idx="2099">
                  <c:v>374</c:v>
                </c:pt>
                <c:pt idx="2100">
                  <c:v>302</c:v>
                </c:pt>
                <c:pt idx="2101">
                  <c:v>415</c:v>
                </c:pt>
                <c:pt idx="2102">
                  <c:v>315</c:v>
                </c:pt>
                <c:pt idx="2103">
                  <c:v>443</c:v>
                </c:pt>
                <c:pt idx="2104">
                  <c:v>181</c:v>
                </c:pt>
                <c:pt idx="2105">
                  <c:v>307</c:v>
                </c:pt>
                <c:pt idx="2106">
                  <c:v>336</c:v>
                </c:pt>
                <c:pt idx="2107">
                  <c:v>343</c:v>
                </c:pt>
                <c:pt idx="2108">
                  <c:v>216</c:v>
                </c:pt>
                <c:pt idx="2109">
                  <c:v>791</c:v>
                </c:pt>
                <c:pt idx="2110">
                  <c:v>415</c:v>
                </c:pt>
                <c:pt idx="2111">
                  <c:v>212</c:v>
                </c:pt>
                <c:pt idx="2112">
                  <c:v>325</c:v>
                </c:pt>
                <c:pt idx="2113">
                  <c:v>346</c:v>
                </c:pt>
                <c:pt idx="2114">
                  <c:v>383</c:v>
                </c:pt>
                <c:pt idx="2115">
                  <c:v>319</c:v>
                </c:pt>
                <c:pt idx="2116">
                  <c:v>143</c:v>
                </c:pt>
                <c:pt idx="2117">
                  <c:v>328</c:v>
                </c:pt>
                <c:pt idx="2118">
                  <c:v>239</c:v>
                </c:pt>
                <c:pt idx="2119">
                  <c:v>157</c:v>
                </c:pt>
                <c:pt idx="2120">
                  <c:v>215</c:v>
                </c:pt>
                <c:pt idx="2121">
                  <c:v>251</c:v>
                </c:pt>
                <c:pt idx="2122">
                  <c:v>285</c:v>
                </c:pt>
                <c:pt idx="2123">
                  <c:v>181</c:v>
                </c:pt>
                <c:pt idx="2124">
                  <c:v>272</c:v>
                </c:pt>
                <c:pt idx="2125">
                  <c:v>161</c:v>
                </c:pt>
                <c:pt idx="2126">
                  <c:v>312</c:v>
                </c:pt>
                <c:pt idx="2127">
                  <c:v>117</c:v>
                </c:pt>
                <c:pt idx="2128">
                  <c:v>419</c:v>
                </c:pt>
                <c:pt idx="2129">
                  <c:v>604</c:v>
                </c:pt>
                <c:pt idx="2130">
                  <c:v>341</c:v>
                </c:pt>
                <c:pt idx="2131">
                  <c:v>293</c:v>
                </c:pt>
                <c:pt idx="2132">
                  <c:v>372</c:v>
                </c:pt>
                <c:pt idx="2133">
                  <c:v>399</c:v>
                </c:pt>
                <c:pt idx="2134">
                  <c:v>376</c:v>
                </c:pt>
                <c:pt idx="2135">
                  <c:v>362</c:v>
                </c:pt>
                <c:pt idx="2136">
                  <c:v>379</c:v>
                </c:pt>
                <c:pt idx="2137">
                  <c:v>334</c:v>
                </c:pt>
                <c:pt idx="2138">
                  <c:v>226</c:v>
                </c:pt>
                <c:pt idx="2139">
                  <c:v>334</c:v>
                </c:pt>
                <c:pt idx="2140">
                  <c:v>649</c:v>
                </c:pt>
                <c:pt idx="2141">
                  <c:v>497</c:v>
                </c:pt>
                <c:pt idx="2142">
                  <c:v>363</c:v>
                </c:pt>
                <c:pt idx="2143">
                  <c:v>396</c:v>
                </c:pt>
                <c:pt idx="2144">
                  <c:v>388</c:v>
                </c:pt>
                <c:pt idx="2145">
                  <c:v>236</c:v>
                </c:pt>
                <c:pt idx="2146">
                  <c:v>404</c:v>
                </c:pt>
                <c:pt idx="2147">
                  <c:v>395</c:v>
                </c:pt>
                <c:pt idx="2148">
                  <c:v>386</c:v>
                </c:pt>
                <c:pt idx="2149">
                  <c:v>155</c:v>
                </c:pt>
                <c:pt idx="2150">
                  <c:v>262</c:v>
                </c:pt>
                <c:pt idx="2151">
                  <c:v>295</c:v>
                </c:pt>
                <c:pt idx="2152">
                  <c:v>210</c:v>
                </c:pt>
                <c:pt idx="2153">
                  <c:v>350</c:v>
                </c:pt>
                <c:pt idx="2154">
                  <c:v>156</c:v>
                </c:pt>
                <c:pt idx="2155">
                  <c:v>324</c:v>
                </c:pt>
                <c:pt idx="2156">
                  <c:v>341</c:v>
                </c:pt>
                <c:pt idx="2157">
                  <c:v>284</c:v>
                </c:pt>
                <c:pt idx="2158">
                  <c:v>104</c:v>
                </c:pt>
                <c:pt idx="2159">
                  <c:v>341</c:v>
                </c:pt>
                <c:pt idx="2160">
                  <c:v>220</c:v>
                </c:pt>
                <c:pt idx="2161">
                  <c:v>443</c:v>
                </c:pt>
                <c:pt idx="2162">
                  <c:v>346</c:v>
                </c:pt>
                <c:pt idx="2163">
                  <c:v>585</c:v>
                </c:pt>
                <c:pt idx="2164">
                  <c:v>381</c:v>
                </c:pt>
                <c:pt idx="2165">
                  <c:v>633</c:v>
                </c:pt>
                <c:pt idx="2166">
                  <c:v>209</c:v>
                </c:pt>
                <c:pt idx="2167">
                  <c:v>446</c:v>
                </c:pt>
                <c:pt idx="2168">
                  <c:v>416</c:v>
                </c:pt>
                <c:pt idx="2169">
                  <c:v>314</c:v>
                </c:pt>
                <c:pt idx="2170">
                  <c:v>507</c:v>
                </c:pt>
                <c:pt idx="2171">
                  <c:v>251</c:v>
                </c:pt>
                <c:pt idx="2172">
                  <c:v>433</c:v>
                </c:pt>
                <c:pt idx="2173">
                  <c:v>938</c:v>
                </c:pt>
                <c:pt idx="2174">
                  <c:v>352</c:v>
                </c:pt>
                <c:pt idx="2175">
                  <c:v>331</c:v>
                </c:pt>
                <c:pt idx="2176">
                  <c:v>302</c:v>
                </c:pt>
                <c:pt idx="2177">
                  <c:v>308</c:v>
                </c:pt>
                <c:pt idx="2178">
                  <c:v>287</c:v>
                </c:pt>
                <c:pt idx="2179">
                  <c:v>625</c:v>
                </c:pt>
                <c:pt idx="2180">
                  <c:v>348</c:v>
                </c:pt>
                <c:pt idx="2181">
                  <c:v>659</c:v>
                </c:pt>
                <c:pt idx="2182">
                  <c:v>150</c:v>
                </c:pt>
                <c:pt idx="2183">
                  <c:v>688</c:v>
                </c:pt>
                <c:pt idx="2184">
                  <c:v>408</c:v>
                </c:pt>
                <c:pt idx="2185">
                  <c:v>359</c:v>
                </c:pt>
                <c:pt idx="2186">
                  <c:v>487</c:v>
                </c:pt>
                <c:pt idx="2187">
                  <c:v>457</c:v>
                </c:pt>
                <c:pt idx="2188">
                  <c:v>575</c:v>
                </c:pt>
                <c:pt idx="2189">
                  <c:v>246</c:v>
                </c:pt>
                <c:pt idx="2190">
                  <c:v>399</c:v>
                </c:pt>
                <c:pt idx="2191">
                  <c:v>457</c:v>
                </c:pt>
                <c:pt idx="2192">
                  <c:v>548</c:v>
                </c:pt>
                <c:pt idx="2193">
                  <c:v>188</c:v>
                </c:pt>
                <c:pt idx="2194">
                  <c:v>211</c:v>
                </c:pt>
                <c:pt idx="2195">
                  <c:v>300</c:v>
                </c:pt>
                <c:pt idx="2196">
                  <c:v>291</c:v>
                </c:pt>
                <c:pt idx="2197">
                  <c:v>300</c:v>
                </c:pt>
                <c:pt idx="2198">
                  <c:v>210</c:v>
                </c:pt>
                <c:pt idx="2199">
                  <c:v>294</c:v>
                </c:pt>
                <c:pt idx="2200">
                  <c:v>217</c:v>
                </c:pt>
                <c:pt idx="2201">
                  <c:v>267</c:v>
                </c:pt>
                <c:pt idx="2202">
                  <c:v>345</c:v>
                </c:pt>
                <c:pt idx="2203">
                  <c:v>306</c:v>
                </c:pt>
                <c:pt idx="2204">
                  <c:v>336</c:v>
                </c:pt>
                <c:pt idx="2205">
                  <c:v>507</c:v>
                </c:pt>
                <c:pt idx="2206">
                  <c:v>385</c:v>
                </c:pt>
                <c:pt idx="2207">
                  <c:v>404</c:v>
                </c:pt>
                <c:pt idx="2208">
                  <c:v>822</c:v>
                </c:pt>
                <c:pt idx="2209">
                  <c:v>389</c:v>
                </c:pt>
                <c:pt idx="2210">
                  <c:v>757</c:v>
                </c:pt>
                <c:pt idx="2211">
                  <c:v>581</c:v>
                </c:pt>
                <c:pt idx="2212">
                  <c:v>432</c:v>
                </c:pt>
                <c:pt idx="2213">
                  <c:v>175</c:v>
                </c:pt>
                <c:pt idx="2214">
                  <c:v>291</c:v>
                </c:pt>
                <c:pt idx="2215">
                  <c:v>388</c:v>
                </c:pt>
                <c:pt idx="2216">
                  <c:v>174</c:v>
                </c:pt>
                <c:pt idx="2217">
                  <c:v>306</c:v>
                </c:pt>
                <c:pt idx="2218">
                  <c:v>185</c:v>
                </c:pt>
                <c:pt idx="2219">
                  <c:v>126</c:v>
                </c:pt>
                <c:pt idx="2220">
                  <c:v>114</c:v>
                </c:pt>
                <c:pt idx="2221">
                  <c:v>294</c:v>
                </c:pt>
                <c:pt idx="2222">
                  <c:v>126</c:v>
                </c:pt>
                <c:pt idx="2223">
                  <c:v>264</c:v>
                </c:pt>
                <c:pt idx="2224">
                  <c:v>240</c:v>
                </c:pt>
                <c:pt idx="2225">
                  <c:v>236</c:v>
                </c:pt>
                <c:pt idx="2226">
                  <c:v>156</c:v>
                </c:pt>
                <c:pt idx="2227">
                  <c:v>340</c:v>
                </c:pt>
                <c:pt idx="2228">
                  <c:v>354</c:v>
                </c:pt>
                <c:pt idx="2229">
                  <c:v>517</c:v>
                </c:pt>
                <c:pt idx="2230">
                  <c:v>393</c:v>
                </c:pt>
                <c:pt idx="2231">
                  <c:v>507</c:v>
                </c:pt>
                <c:pt idx="2232">
                  <c:v>593</c:v>
                </c:pt>
                <c:pt idx="2233">
                  <c:v>418</c:v>
                </c:pt>
                <c:pt idx="2234">
                  <c:v>263</c:v>
                </c:pt>
                <c:pt idx="2235">
                  <c:v>387</c:v>
                </c:pt>
                <c:pt idx="2236">
                  <c:v>191</c:v>
                </c:pt>
                <c:pt idx="2237">
                  <c:v>415</c:v>
                </c:pt>
                <c:pt idx="2238">
                  <c:v>401</c:v>
                </c:pt>
                <c:pt idx="2239">
                  <c:v>345</c:v>
                </c:pt>
                <c:pt idx="2240">
                  <c:v>726</c:v>
                </c:pt>
                <c:pt idx="2241">
                  <c:v>459</c:v>
                </c:pt>
                <c:pt idx="2242">
                  <c:v>384</c:v>
                </c:pt>
                <c:pt idx="2243">
                  <c:v>494</c:v>
                </c:pt>
                <c:pt idx="2244">
                  <c:v>354</c:v>
                </c:pt>
                <c:pt idx="2245">
                  <c:v>321</c:v>
                </c:pt>
                <c:pt idx="2246">
                  <c:v>378</c:v>
                </c:pt>
                <c:pt idx="2247">
                  <c:v>479</c:v>
                </c:pt>
                <c:pt idx="2248">
                  <c:v>368</c:v>
                </c:pt>
                <c:pt idx="2249">
                  <c:v>394</c:v>
                </c:pt>
                <c:pt idx="2250">
                  <c:v>337</c:v>
                </c:pt>
                <c:pt idx="2251">
                  <c:v>472</c:v>
                </c:pt>
                <c:pt idx="2252">
                  <c:v>302</c:v>
                </c:pt>
                <c:pt idx="2253">
                  <c:v>282</c:v>
                </c:pt>
                <c:pt idx="2254">
                  <c:v>536</c:v>
                </c:pt>
                <c:pt idx="2255">
                  <c:v>400</c:v>
                </c:pt>
                <c:pt idx="2256">
                  <c:v>223</c:v>
                </c:pt>
                <c:pt idx="2257">
                  <c:v>365</c:v>
                </c:pt>
                <c:pt idx="2258">
                  <c:v>445</c:v>
                </c:pt>
                <c:pt idx="2259">
                  <c:v>455</c:v>
                </c:pt>
                <c:pt idx="2260">
                  <c:v>406</c:v>
                </c:pt>
                <c:pt idx="2261">
                  <c:v>294</c:v>
                </c:pt>
                <c:pt idx="2262">
                  <c:v>467</c:v>
                </c:pt>
                <c:pt idx="2263">
                  <c:v>376</c:v>
                </c:pt>
                <c:pt idx="2264">
                  <c:v>225</c:v>
                </c:pt>
                <c:pt idx="2265">
                  <c:v>299</c:v>
                </c:pt>
                <c:pt idx="2266">
                  <c:v>392</c:v>
                </c:pt>
                <c:pt idx="2267">
                  <c:v>148</c:v>
                </c:pt>
                <c:pt idx="2268">
                  <c:v>416</c:v>
                </c:pt>
                <c:pt idx="2269">
                  <c:v>286</c:v>
                </c:pt>
                <c:pt idx="2270">
                  <c:v>186</c:v>
                </c:pt>
                <c:pt idx="2271">
                  <c:v>205</c:v>
                </c:pt>
                <c:pt idx="2272">
                  <c:v>251</c:v>
                </c:pt>
                <c:pt idx="2273">
                  <c:v>288</c:v>
                </c:pt>
                <c:pt idx="2274">
                  <c:v>226</c:v>
                </c:pt>
                <c:pt idx="2275">
                  <c:v>182</c:v>
                </c:pt>
                <c:pt idx="2276">
                  <c:v>233</c:v>
                </c:pt>
                <c:pt idx="2277">
                  <c:v>300</c:v>
                </c:pt>
                <c:pt idx="2278">
                  <c:v>355</c:v>
                </c:pt>
                <c:pt idx="2279">
                  <c:v>175</c:v>
                </c:pt>
                <c:pt idx="2280">
                  <c:v>458</c:v>
                </c:pt>
                <c:pt idx="2281">
                  <c:v>626</c:v>
                </c:pt>
                <c:pt idx="2282">
                  <c:v>269</c:v>
                </c:pt>
                <c:pt idx="2283">
                  <c:v>306</c:v>
                </c:pt>
                <c:pt idx="2284">
                  <c:v>289</c:v>
                </c:pt>
                <c:pt idx="2285">
                  <c:v>401</c:v>
                </c:pt>
                <c:pt idx="2286">
                  <c:v>298</c:v>
                </c:pt>
                <c:pt idx="2287">
                  <c:v>298</c:v>
                </c:pt>
                <c:pt idx="2288">
                  <c:v>326</c:v>
                </c:pt>
                <c:pt idx="2289">
                  <c:v>334</c:v>
                </c:pt>
                <c:pt idx="2290">
                  <c:v>384</c:v>
                </c:pt>
                <c:pt idx="2291">
                  <c:v>585</c:v>
                </c:pt>
                <c:pt idx="2292">
                  <c:v>263</c:v>
                </c:pt>
                <c:pt idx="2293">
                  <c:v>182</c:v>
                </c:pt>
                <c:pt idx="2294">
                  <c:v>330</c:v>
                </c:pt>
                <c:pt idx="2295">
                  <c:v>513</c:v>
                </c:pt>
                <c:pt idx="2296">
                  <c:v>156</c:v>
                </c:pt>
                <c:pt idx="2297">
                  <c:v>284</c:v>
                </c:pt>
                <c:pt idx="2298">
                  <c:v>655</c:v>
                </c:pt>
                <c:pt idx="2299">
                  <c:v>292</c:v>
                </c:pt>
                <c:pt idx="2300">
                  <c:v>305</c:v>
                </c:pt>
                <c:pt idx="2301">
                  <c:v>262</c:v>
                </c:pt>
                <c:pt idx="2302">
                  <c:v>416</c:v>
                </c:pt>
                <c:pt idx="2303">
                  <c:v>324</c:v>
                </c:pt>
                <c:pt idx="2304">
                  <c:v>279</c:v>
                </c:pt>
                <c:pt idx="2305">
                  <c:v>179</c:v>
                </c:pt>
                <c:pt idx="2306">
                  <c:v>149</c:v>
                </c:pt>
                <c:pt idx="2307">
                  <c:v>114</c:v>
                </c:pt>
                <c:pt idx="2308">
                  <c:v>304</c:v>
                </c:pt>
                <c:pt idx="2309">
                  <c:v>258</c:v>
                </c:pt>
                <c:pt idx="2310">
                  <c:v>218</c:v>
                </c:pt>
                <c:pt idx="2311">
                  <c:v>231</c:v>
                </c:pt>
                <c:pt idx="2312">
                  <c:v>318</c:v>
                </c:pt>
                <c:pt idx="2313">
                  <c:v>353</c:v>
                </c:pt>
                <c:pt idx="2314">
                  <c:v>225</c:v>
                </c:pt>
                <c:pt idx="2315">
                  <c:v>234</c:v>
                </c:pt>
                <c:pt idx="2316">
                  <c:v>232</c:v>
                </c:pt>
                <c:pt idx="2317">
                  <c:v>214</c:v>
                </c:pt>
                <c:pt idx="2318">
                  <c:v>306</c:v>
                </c:pt>
                <c:pt idx="2319">
                  <c:v>122</c:v>
                </c:pt>
                <c:pt idx="2320">
                  <c:v>348</c:v>
                </c:pt>
                <c:pt idx="2321">
                  <c:v>370</c:v>
                </c:pt>
                <c:pt idx="2322">
                  <c:v>389</c:v>
                </c:pt>
                <c:pt idx="2323">
                  <c:v>116</c:v>
                </c:pt>
                <c:pt idx="2324">
                  <c:v>398</c:v>
                </c:pt>
                <c:pt idx="2325">
                  <c:v>239</c:v>
                </c:pt>
                <c:pt idx="2326">
                  <c:v>196</c:v>
                </c:pt>
                <c:pt idx="2327">
                  <c:v>226</c:v>
                </c:pt>
                <c:pt idx="2328">
                  <c:v>232</c:v>
                </c:pt>
                <c:pt idx="2329">
                  <c:v>209</c:v>
                </c:pt>
                <c:pt idx="2330">
                  <c:v>238</c:v>
                </c:pt>
                <c:pt idx="2331">
                  <c:v>322</c:v>
                </c:pt>
                <c:pt idx="2332">
                  <c:v>325</c:v>
                </c:pt>
                <c:pt idx="2333">
                  <c:v>275</c:v>
                </c:pt>
                <c:pt idx="2334">
                  <c:v>558</c:v>
                </c:pt>
                <c:pt idx="2335">
                  <c:v>280</c:v>
                </c:pt>
                <c:pt idx="2336">
                  <c:v>304</c:v>
                </c:pt>
                <c:pt idx="2337">
                  <c:v>409</c:v>
                </c:pt>
                <c:pt idx="2338">
                  <c:v>275</c:v>
                </c:pt>
                <c:pt idx="2339">
                  <c:v>329</c:v>
                </c:pt>
                <c:pt idx="2340">
                  <c:v>202</c:v>
                </c:pt>
                <c:pt idx="2341">
                  <c:v>348</c:v>
                </c:pt>
                <c:pt idx="2342">
                  <c:v>746</c:v>
                </c:pt>
                <c:pt idx="2343">
                  <c:v>416</c:v>
                </c:pt>
                <c:pt idx="2344">
                  <c:v>552</c:v>
                </c:pt>
                <c:pt idx="2345">
                  <c:v>330</c:v>
                </c:pt>
                <c:pt idx="2346">
                  <c:v>619</c:v>
                </c:pt>
                <c:pt idx="2347">
                  <c:v>274</c:v>
                </c:pt>
                <c:pt idx="2348">
                  <c:v>237</c:v>
                </c:pt>
                <c:pt idx="2349">
                  <c:v>324</c:v>
                </c:pt>
                <c:pt idx="2350">
                  <c:v>211</c:v>
                </c:pt>
                <c:pt idx="2351">
                  <c:v>655</c:v>
                </c:pt>
                <c:pt idx="2352">
                  <c:v>607</c:v>
                </c:pt>
                <c:pt idx="2353">
                  <c:v>197</c:v>
                </c:pt>
                <c:pt idx="2354">
                  <c:v>367</c:v>
                </c:pt>
                <c:pt idx="2355">
                  <c:v>406</c:v>
                </c:pt>
                <c:pt idx="2356">
                  <c:v>403</c:v>
                </c:pt>
                <c:pt idx="2357">
                  <c:v>301</c:v>
                </c:pt>
                <c:pt idx="2358">
                  <c:v>273</c:v>
                </c:pt>
                <c:pt idx="2359">
                  <c:v>693</c:v>
                </c:pt>
                <c:pt idx="2360">
                  <c:v>326</c:v>
                </c:pt>
                <c:pt idx="2361">
                  <c:v>390</c:v>
                </c:pt>
                <c:pt idx="2362">
                  <c:v>372</c:v>
                </c:pt>
                <c:pt idx="2363">
                  <c:v>302</c:v>
                </c:pt>
                <c:pt idx="2364">
                  <c:v>323</c:v>
                </c:pt>
                <c:pt idx="2365">
                  <c:v>353</c:v>
                </c:pt>
                <c:pt idx="2366">
                  <c:v>150</c:v>
                </c:pt>
                <c:pt idx="2367">
                  <c:v>634</c:v>
                </c:pt>
                <c:pt idx="2368">
                  <c:v>424</c:v>
                </c:pt>
                <c:pt idx="2369">
                  <c:v>515</c:v>
                </c:pt>
                <c:pt idx="2370">
                  <c:v>505</c:v>
                </c:pt>
                <c:pt idx="2371">
                  <c:v>429</c:v>
                </c:pt>
                <c:pt idx="2372">
                  <c:v>387</c:v>
                </c:pt>
                <c:pt idx="2373">
                  <c:v>501</c:v>
                </c:pt>
                <c:pt idx="2374">
                  <c:v>343</c:v>
                </c:pt>
                <c:pt idx="2375">
                  <c:v>428</c:v>
                </c:pt>
                <c:pt idx="2376">
                  <c:v>306</c:v>
                </c:pt>
                <c:pt idx="2377">
                  <c:v>384</c:v>
                </c:pt>
                <c:pt idx="2378">
                  <c:v>204</c:v>
                </c:pt>
                <c:pt idx="2379">
                  <c:v>441</c:v>
                </c:pt>
                <c:pt idx="2380">
                  <c:v>307</c:v>
                </c:pt>
                <c:pt idx="2381">
                  <c:v>332</c:v>
                </c:pt>
                <c:pt idx="2382">
                  <c:v>174</c:v>
                </c:pt>
                <c:pt idx="2383">
                  <c:v>329</c:v>
                </c:pt>
                <c:pt idx="2384">
                  <c:v>206</c:v>
                </c:pt>
                <c:pt idx="2385">
                  <c:v>118</c:v>
                </c:pt>
                <c:pt idx="2386">
                  <c:v>291</c:v>
                </c:pt>
                <c:pt idx="2387">
                  <c:v>252</c:v>
                </c:pt>
                <c:pt idx="2388">
                  <c:v>254</c:v>
                </c:pt>
                <c:pt idx="2389">
                  <c:v>285</c:v>
                </c:pt>
                <c:pt idx="2390">
                  <c:v>186</c:v>
                </c:pt>
                <c:pt idx="2391">
                  <c:v>285</c:v>
                </c:pt>
                <c:pt idx="2392">
                  <c:v>200</c:v>
                </c:pt>
                <c:pt idx="2393">
                  <c:v>149</c:v>
                </c:pt>
                <c:pt idx="2394">
                  <c:v>148</c:v>
                </c:pt>
                <c:pt idx="2395">
                  <c:v>238</c:v>
                </c:pt>
                <c:pt idx="2396">
                  <c:v>610</c:v>
                </c:pt>
                <c:pt idx="2397">
                  <c:v>284</c:v>
                </c:pt>
                <c:pt idx="2398">
                  <c:v>303</c:v>
                </c:pt>
                <c:pt idx="2399">
                  <c:v>314</c:v>
                </c:pt>
                <c:pt idx="2400">
                  <c:v>769</c:v>
                </c:pt>
                <c:pt idx="2401">
                  <c:v>354</c:v>
                </c:pt>
                <c:pt idx="2402">
                  <c:v>430</c:v>
                </c:pt>
                <c:pt idx="2403">
                  <c:v>473</c:v>
                </c:pt>
                <c:pt idx="2404">
                  <c:v>267</c:v>
                </c:pt>
                <c:pt idx="2405">
                  <c:v>353</c:v>
                </c:pt>
                <c:pt idx="2406">
                  <c:v>432</c:v>
                </c:pt>
                <c:pt idx="2407">
                  <c:v>418</c:v>
                </c:pt>
                <c:pt idx="2408">
                  <c:v>146</c:v>
                </c:pt>
                <c:pt idx="2409">
                  <c:v>333</c:v>
                </c:pt>
                <c:pt idx="2410">
                  <c:v>267</c:v>
                </c:pt>
                <c:pt idx="2411">
                  <c:v>483</c:v>
                </c:pt>
                <c:pt idx="2412">
                  <c:v>392</c:v>
                </c:pt>
                <c:pt idx="2413">
                  <c:v>472</c:v>
                </c:pt>
                <c:pt idx="2414">
                  <c:v>397</c:v>
                </c:pt>
                <c:pt idx="2415">
                  <c:v>150</c:v>
                </c:pt>
                <c:pt idx="2416">
                  <c:v>223</c:v>
                </c:pt>
                <c:pt idx="2417">
                  <c:v>209</c:v>
                </c:pt>
                <c:pt idx="2418">
                  <c:v>239</c:v>
                </c:pt>
                <c:pt idx="2419">
                  <c:v>257</c:v>
                </c:pt>
                <c:pt idx="2420">
                  <c:v>186</c:v>
                </c:pt>
                <c:pt idx="2421">
                  <c:v>113</c:v>
                </c:pt>
                <c:pt idx="2422">
                  <c:v>138</c:v>
                </c:pt>
                <c:pt idx="2423">
                  <c:v>503</c:v>
                </c:pt>
                <c:pt idx="2424">
                  <c:v>232</c:v>
                </c:pt>
                <c:pt idx="2425">
                  <c:v>245</c:v>
                </c:pt>
                <c:pt idx="2426">
                  <c:v>87</c:v>
                </c:pt>
                <c:pt idx="2427">
                  <c:v>289</c:v>
                </c:pt>
                <c:pt idx="2428">
                  <c:v>296</c:v>
                </c:pt>
                <c:pt idx="2429">
                  <c:v>187</c:v>
                </c:pt>
                <c:pt idx="2430">
                  <c:v>583</c:v>
                </c:pt>
                <c:pt idx="2431">
                  <c:v>305</c:v>
                </c:pt>
                <c:pt idx="2432">
                  <c:v>320</c:v>
                </c:pt>
                <c:pt idx="2433">
                  <c:v>264</c:v>
                </c:pt>
                <c:pt idx="2434">
                  <c:v>186</c:v>
                </c:pt>
                <c:pt idx="2435">
                  <c:v>474</c:v>
                </c:pt>
                <c:pt idx="2436">
                  <c:v>287</c:v>
                </c:pt>
                <c:pt idx="2437">
                  <c:v>186</c:v>
                </c:pt>
                <c:pt idx="2438">
                  <c:v>249</c:v>
                </c:pt>
                <c:pt idx="2439">
                  <c:v>366</c:v>
                </c:pt>
                <c:pt idx="2440">
                  <c:v>388</c:v>
                </c:pt>
                <c:pt idx="2441">
                  <c:v>477</c:v>
                </c:pt>
                <c:pt idx="2442">
                  <c:v>292</c:v>
                </c:pt>
                <c:pt idx="2443">
                  <c:v>435</c:v>
                </c:pt>
                <c:pt idx="2444">
                  <c:v>365</c:v>
                </c:pt>
                <c:pt idx="2445">
                  <c:v>193</c:v>
                </c:pt>
                <c:pt idx="2446">
                  <c:v>233</c:v>
                </c:pt>
                <c:pt idx="2447">
                  <c:v>393</c:v>
                </c:pt>
                <c:pt idx="2448">
                  <c:v>368</c:v>
                </c:pt>
                <c:pt idx="2449">
                  <c:v>268</c:v>
                </c:pt>
                <c:pt idx="2450">
                  <c:v>448</c:v>
                </c:pt>
                <c:pt idx="2451">
                  <c:v>215</c:v>
                </c:pt>
                <c:pt idx="2452">
                  <c:v>79</c:v>
                </c:pt>
                <c:pt idx="2453">
                  <c:v>204</c:v>
                </c:pt>
                <c:pt idx="2454">
                  <c:v>350</c:v>
                </c:pt>
                <c:pt idx="2455">
                  <c:v>168</c:v>
                </c:pt>
                <c:pt idx="2456">
                  <c:v>259</c:v>
                </c:pt>
                <c:pt idx="2457">
                  <c:v>231</c:v>
                </c:pt>
                <c:pt idx="2458">
                  <c:v>177</c:v>
                </c:pt>
                <c:pt idx="2459">
                  <c:v>2625</c:v>
                </c:pt>
                <c:pt idx="2460">
                  <c:v>2625</c:v>
                </c:pt>
                <c:pt idx="2461">
                  <c:v>3150</c:v>
                </c:pt>
                <c:pt idx="2462">
                  <c:v>2625</c:v>
                </c:pt>
                <c:pt idx="2463">
                  <c:v>2250</c:v>
                </c:pt>
                <c:pt idx="2464">
                  <c:v>2100</c:v>
                </c:pt>
                <c:pt idx="2465">
                  <c:v>2888</c:v>
                </c:pt>
                <c:pt idx="2466">
                  <c:v>3300</c:v>
                </c:pt>
                <c:pt idx="2467">
                  <c:v>4500</c:v>
                </c:pt>
                <c:pt idx="2468">
                  <c:v>2025</c:v>
                </c:pt>
                <c:pt idx="2469">
                  <c:v>1575</c:v>
                </c:pt>
                <c:pt idx="2470">
                  <c:v>2025</c:v>
                </c:pt>
                <c:pt idx="2471">
                  <c:v>2025</c:v>
                </c:pt>
                <c:pt idx="2472">
                  <c:v>1838</c:v>
                </c:pt>
                <c:pt idx="2473">
                  <c:v>2250</c:v>
                </c:pt>
                <c:pt idx="2474">
                  <c:v>2025</c:v>
                </c:pt>
                <c:pt idx="2475">
                  <c:v>1125</c:v>
                </c:pt>
                <c:pt idx="2476">
                  <c:v>2100</c:v>
                </c:pt>
                <c:pt idx="2477">
                  <c:v>1575</c:v>
                </c:pt>
                <c:pt idx="2478">
                  <c:v>3000</c:v>
                </c:pt>
                <c:pt idx="2479">
                  <c:v>2625</c:v>
                </c:pt>
                <c:pt idx="2480">
                  <c:v>4125</c:v>
                </c:pt>
                <c:pt idx="2481">
                  <c:v>1838</c:v>
                </c:pt>
                <c:pt idx="2482">
                  <c:v>1800</c:v>
                </c:pt>
                <c:pt idx="2483">
                  <c:v>2363</c:v>
                </c:pt>
                <c:pt idx="2484">
                  <c:v>2625</c:v>
                </c:pt>
                <c:pt idx="2485">
                  <c:v>1575</c:v>
                </c:pt>
                <c:pt idx="2486">
                  <c:v>3375</c:v>
                </c:pt>
                <c:pt idx="2487">
                  <c:v>1575</c:v>
                </c:pt>
                <c:pt idx="2488">
                  <c:v>2400</c:v>
                </c:pt>
                <c:pt idx="2489">
                  <c:v>2625</c:v>
                </c:pt>
                <c:pt idx="2490">
                  <c:v>1875</c:v>
                </c:pt>
                <c:pt idx="2491">
                  <c:v>2100</c:v>
                </c:pt>
                <c:pt idx="2492">
                  <c:v>1875</c:v>
                </c:pt>
                <c:pt idx="2493">
                  <c:v>2100</c:v>
                </c:pt>
                <c:pt idx="2494">
                  <c:v>1800</c:v>
                </c:pt>
                <c:pt idx="2495">
                  <c:v>2063</c:v>
                </c:pt>
                <c:pt idx="2496">
                  <c:v>2063</c:v>
                </c:pt>
                <c:pt idx="2497">
                  <c:v>2700</c:v>
                </c:pt>
                <c:pt idx="2498">
                  <c:v>1875</c:v>
                </c:pt>
                <c:pt idx="2499">
                  <c:v>2250</c:v>
                </c:pt>
                <c:pt idx="2500">
                  <c:v>1125</c:v>
                </c:pt>
                <c:pt idx="2501">
                  <c:v>1238</c:v>
                </c:pt>
                <c:pt idx="2502">
                  <c:v>2700</c:v>
                </c:pt>
                <c:pt idx="2503">
                  <c:v>2700</c:v>
                </c:pt>
                <c:pt idx="2504">
                  <c:v>4050</c:v>
                </c:pt>
                <c:pt idx="2505">
                  <c:v>2025</c:v>
                </c:pt>
                <c:pt idx="2506">
                  <c:v>2475</c:v>
                </c:pt>
                <c:pt idx="2507">
                  <c:v>2888</c:v>
                </c:pt>
                <c:pt idx="2508">
                  <c:v>2100</c:v>
                </c:pt>
                <c:pt idx="2509">
                  <c:v>2888</c:v>
                </c:pt>
                <c:pt idx="2510">
                  <c:v>2625</c:v>
                </c:pt>
                <c:pt idx="2511">
                  <c:v>2700</c:v>
                </c:pt>
                <c:pt idx="2512">
                  <c:v>2888</c:v>
                </c:pt>
                <c:pt idx="2513">
                  <c:v>1200</c:v>
                </c:pt>
                <c:pt idx="2514">
                  <c:v>1050</c:v>
                </c:pt>
                <c:pt idx="2515">
                  <c:v>1838</c:v>
                </c:pt>
                <c:pt idx="2516">
                  <c:v>2100</c:v>
                </c:pt>
                <c:pt idx="2517">
                  <c:v>1800</c:v>
                </c:pt>
                <c:pt idx="2518">
                  <c:v>1350</c:v>
                </c:pt>
                <c:pt idx="2519">
                  <c:v>1575</c:v>
                </c:pt>
                <c:pt idx="2520">
                  <c:v>2363</c:v>
                </c:pt>
                <c:pt idx="2521">
                  <c:v>2025</c:v>
                </c:pt>
                <c:pt idx="2522">
                  <c:v>3150</c:v>
                </c:pt>
                <c:pt idx="2523">
                  <c:v>1350</c:v>
                </c:pt>
                <c:pt idx="2524">
                  <c:v>900</c:v>
                </c:pt>
                <c:pt idx="2525">
                  <c:v>1350</c:v>
                </c:pt>
                <c:pt idx="2526">
                  <c:v>2100</c:v>
                </c:pt>
                <c:pt idx="2527">
                  <c:v>1800</c:v>
                </c:pt>
                <c:pt idx="2528">
                  <c:v>3150</c:v>
                </c:pt>
                <c:pt idx="2529">
                  <c:v>3000</c:v>
                </c:pt>
                <c:pt idx="2530">
                  <c:v>1575</c:v>
                </c:pt>
                <c:pt idx="2531">
                  <c:v>3000</c:v>
                </c:pt>
                <c:pt idx="2532">
                  <c:v>2250</c:v>
                </c:pt>
                <c:pt idx="2533">
                  <c:v>3375</c:v>
                </c:pt>
                <c:pt idx="2534">
                  <c:v>1125</c:v>
                </c:pt>
                <c:pt idx="2535">
                  <c:v>2625</c:v>
                </c:pt>
                <c:pt idx="2536">
                  <c:v>1575</c:v>
                </c:pt>
                <c:pt idx="2537">
                  <c:v>3000</c:v>
                </c:pt>
                <c:pt idx="2538">
                  <c:v>1575</c:v>
                </c:pt>
                <c:pt idx="2539">
                  <c:v>3000</c:v>
                </c:pt>
                <c:pt idx="2540">
                  <c:v>1050</c:v>
                </c:pt>
                <c:pt idx="2541">
                  <c:v>450</c:v>
                </c:pt>
                <c:pt idx="2542">
                  <c:v>1575</c:v>
                </c:pt>
                <c:pt idx="2543">
                  <c:v>1125</c:v>
                </c:pt>
                <c:pt idx="2544">
                  <c:v>1575</c:v>
                </c:pt>
                <c:pt idx="2545">
                  <c:v>1313</c:v>
                </c:pt>
                <c:pt idx="2546">
                  <c:v>1575</c:v>
                </c:pt>
                <c:pt idx="2547">
                  <c:v>1838</c:v>
                </c:pt>
                <c:pt idx="2548">
                  <c:v>1838</c:v>
                </c:pt>
                <c:pt idx="2549">
                  <c:v>2025</c:v>
                </c:pt>
                <c:pt idx="2550">
                  <c:v>1800</c:v>
                </c:pt>
                <c:pt idx="2551">
                  <c:v>1838</c:v>
                </c:pt>
                <c:pt idx="2552">
                  <c:v>2100</c:v>
                </c:pt>
                <c:pt idx="2553">
                  <c:v>2100</c:v>
                </c:pt>
                <c:pt idx="2554">
                  <c:v>2250</c:v>
                </c:pt>
                <c:pt idx="2555">
                  <c:v>2100</c:v>
                </c:pt>
                <c:pt idx="2556">
                  <c:v>2100</c:v>
                </c:pt>
                <c:pt idx="2557">
                  <c:v>2625</c:v>
                </c:pt>
                <c:pt idx="2558">
                  <c:v>2100</c:v>
                </c:pt>
                <c:pt idx="2559">
                  <c:v>2100</c:v>
                </c:pt>
                <c:pt idx="2560">
                  <c:v>2250</c:v>
                </c:pt>
                <c:pt idx="2561">
                  <c:v>2400</c:v>
                </c:pt>
                <c:pt idx="2562">
                  <c:v>2250</c:v>
                </c:pt>
                <c:pt idx="2563">
                  <c:v>3000</c:v>
                </c:pt>
                <c:pt idx="2564">
                  <c:v>1575</c:v>
                </c:pt>
                <c:pt idx="2565">
                  <c:v>2250</c:v>
                </c:pt>
                <c:pt idx="2566">
                  <c:v>2475</c:v>
                </c:pt>
                <c:pt idx="2567">
                  <c:v>1838</c:v>
                </c:pt>
                <c:pt idx="2568">
                  <c:v>2400</c:v>
                </c:pt>
                <c:pt idx="2569">
                  <c:v>2400</c:v>
                </c:pt>
                <c:pt idx="2570">
                  <c:v>1875</c:v>
                </c:pt>
                <c:pt idx="2571">
                  <c:v>1800</c:v>
                </c:pt>
                <c:pt idx="2572">
                  <c:v>1875</c:v>
                </c:pt>
                <c:pt idx="2573">
                  <c:v>1800</c:v>
                </c:pt>
                <c:pt idx="2574">
                  <c:v>1125</c:v>
                </c:pt>
                <c:pt idx="2575">
                  <c:v>2063</c:v>
                </c:pt>
                <c:pt idx="2576">
                  <c:v>1688</c:v>
                </c:pt>
                <c:pt idx="2577">
                  <c:v>2100</c:v>
                </c:pt>
                <c:pt idx="2578">
                  <c:v>2100</c:v>
                </c:pt>
                <c:pt idx="2579">
                  <c:v>2888</c:v>
                </c:pt>
                <c:pt idx="2580">
                  <c:v>2025</c:v>
                </c:pt>
                <c:pt idx="2581">
                  <c:v>1875</c:v>
                </c:pt>
                <c:pt idx="2582">
                  <c:v>258</c:v>
                </c:pt>
                <c:pt idx="2583">
                  <c:v>296</c:v>
                </c:pt>
                <c:pt idx="2584">
                  <c:v>470</c:v>
                </c:pt>
                <c:pt idx="2585">
                  <c:v>393</c:v>
                </c:pt>
                <c:pt idx="2586">
                  <c:v>326</c:v>
                </c:pt>
                <c:pt idx="2587">
                  <c:v>300</c:v>
                </c:pt>
                <c:pt idx="2588">
                  <c:v>614</c:v>
                </c:pt>
                <c:pt idx="2589">
                  <c:v>429</c:v>
                </c:pt>
                <c:pt idx="2590">
                  <c:v>305</c:v>
                </c:pt>
                <c:pt idx="2591">
                  <c:v>439</c:v>
                </c:pt>
                <c:pt idx="2592">
                  <c:v>333</c:v>
                </c:pt>
                <c:pt idx="2593">
                  <c:v>297</c:v>
                </c:pt>
                <c:pt idx="2594">
                  <c:v>288</c:v>
                </c:pt>
                <c:pt idx="2595">
                  <c:v>427</c:v>
                </c:pt>
                <c:pt idx="2596">
                  <c:v>427</c:v>
                </c:pt>
                <c:pt idx="2597">
                  <c:v>413</c:v>
                </c:pt>
                <c:pt idx="2598">
                  <c:v>274</c:v>
                </c:pt>
                <c:pt idx="2599">
                  <c:v>456</c:v>
                </c:pt>
                <c:pt idx="2600">
                  <c:v>342</c:v>
                </c:pt>
                <c:pt idx="2601">
                  <c:v>246</c:v>
                </c:pt>
                <c:pt idx="2602">
                  <c:v>416</c:v>
                </c:pt>
                <c:pt idx="2603">
                  <c:v>275</c:v>
                </c:pt>
                <c:pt idx="2604">
                  <c:v>284</c:v>
                </c:pt>
                <c:pt idx="2605">
                  <c:v>305</c:v>
                </c:pt>
                <c:pt idx="2606">
                  <c:v>529</c:v>
                </c:pt>
                <c:pt idx="2607">
                  <c:v>148</c:v>
                </c:pt>
                <c:pt idx="2608">
                  <c:v>388</c:v>
                </c:pt>
                <c:pt idx="2609">
                  <c:v>578</c:v>
                </c:pt>
                <c:pt idx="2610">
                  <c:v>260</c:v>
                </c:pt>
                <c:pt idx="2611">
                  <c:v>342</c:v>
                </c:pt>
                <c:pt idx="2612">
                  <c:v>371</c:v>
                </c:pt>
                <c:pt idx="2613">
                  <c:v>611</c:v>
                </c:pt>
                <c:pt idx="2614">
                  <c:v>470</c:v>
                </c:pt>
                <c:pt idx="2615">
                  <c:v>344</c:v>
                </c:pt>
                <c:pt idx="2616">
                  <c:v>478</c:v>
                </c:pt>
                <c:pt idx="2617">
                  <c:v>352</c:v>
                </c:pt>
                <c:pt idx="2618">
                  <c:v>373</c:v>
                </c:pt>
                <c:pt idx="2619">
                  <c:v>196</c:v>
                </c:pt>
                <c:pt idx="2620">
                  <c:v>308</c:v>
                </c:pt>
                <c:pt idx="2621">
                  <c:v>338</c:v>
                </c:pt>
                <c:pt idx="2622">
                  <c:v>210</c:v>
                </c:pt>
                <c:pt idx="2623">
                  <c:v>260</c:v>
                </c:pt>
                <c:pt idx="2624">
                  <c:v>248</c:v>
                </c:pt>
                <c:pt idx="2625">
                  <c:v>437</c:v>
                </c:pt>
                <c:pt idx="2626">
                  <c:v>405</c:v>
                </c:pt>
                <c:pt idx="2627">
                  <c:v>425</c:v>
                </c:pt>
                <c:pt idx="2628">
                  <c:v>510</c:v>
                </c:pt>
                <c:pt idx="2629">
                  <c:v>203</c:v>
                </c:pt>
                <c:pt idx="2630">
                  <c:v>536</c:v>
                </c:pt>
                <c:pt idx="2631">
                  <c:v>397</c:v>
                </c:pt>
                <c:pt idx="2632">
                  <c:v>162</c:v>
                </c:pt>
                <c:pt idx="2633">
                  <c:v>495</c:v>
                </c:pt>
                <c:pt idx="2634">
                  <c:v>380</c:v>
                </c:pt>
                <c:pt idx="2635">
                  <c:v>444</c:v>
                </c:pt>
                <c:pt idx="2636">
                  <c:v>335</c:v>
                </c:pt>
                <c:pt idx="2637">
                  <c:v>270</c:v>
                </c:pt>
                <c:pt idx="2638">
                  <c:v>451</c:v>
                </c:pt>
                <c:pt idx="2639">
                  <c:v>328</c:v>
                </c:pt>
                <c:pt idx="2640">
                  <c:v>394</c:v>
                </c:pt>
                <c:pt idx="2641">
                  <c:v>222</c:v>
                </c:pt>
                <c:pt idx="2642">
                  <c:v>343</c:v>
                </c:pt>
                <c:pt idx="2643">
                  <c:v>416</c:v>
                </c:pt>
                <c:pt idx="2644">
                  <c:v>176</c:v>
                </c:pt>
                <c:pt idx="2645">
                  <c:v>209</c:v>
                </c:pt>
                <c:pt idx="2646">
                  <c:v>177</c:v>
                </c:pt>
                <c:pt idx="2647">
                  <c:v>271</c:v>
                </c:pt>
                <c:pt idx="2648">
                  <c:v>148</c:v>
                </c:pt>
                <c:pt idx="2649">
                  <c:v>265</c:v>
                </c:pt>
                <c:pt idx="2650">
                  <c:v>294</c:v>
                </c:pt>
                <c:pt idx="2651">
                  <c:v>170</c:v>
                </c:pt>
                <c:pt idx="2652">
                  <c:v>255</c:v>
                </c:pt>
                <c:pt idx="2653">
                  <c:v>240</c:v>
                </c:pt>
                <c:pt idx="2654">
                  <c:v>372</c:v>
                </c:pt>
                <c:pt idx="2655">
                  <c:v>501</c:v>
                </c:pt>
                <c:pt idx="2656">
                  <c:v>346</c:v>
                </c:pt>
                <c:pt idx="2657">
                  <c:v>555</c:v>
                </c:pt>
                <c:pt idx="2658">
                  <c:v>224</c:v>
                </c:pt>
                <c:pt idx="2659">
                  <c:v>358</c:v>
                </c:pt>
                <c:pt idx="2660">
                  <c:v>333</c:v>
                </c:pt>
                <c:pt idx="2661">
                  <c:v>339</c:v>
                </c:pt>
                <c:pt idx="2662">
                  <c:v>372</c:v>
                </c:pt>
                <c:pt idx="2663">
                  <c:v>181</c:v>
                </c:pt>
                <c:pt idx="2664">
                  <c:v>188</c:v>
                </c:pt>
                <c:pt idx="2665">
                  <c:v>272</c:v>
                </c:pt>
                <c:pt idx="2666">
                  <c:v>562</c:v>
                </c:pt>
                <c:pt idx="2667">
                  <c:v>441</c:v>
                </c:pt>
                <c:pt idx="2668">
                  <c:v>137</c:v>
                </c:pt>
                <c:pt idx="2669">
                  <c:v>216</c:v>
                </c:pt>
                <c:pt idx="2670">
                  <c:v>476</c:v>
                </c:pt>
                <c:pt idx="2671">
                  <c:v>402</c:v>
                </c:pt>
                <c:pt idx="2672">
                  <c:v>395</c:v>
                </c:pt>
                <c:pt idx="2673">
                  <c:v>294</c:v>
                </c:pt>
                <c:pt idx="2674">
                  <c:v>168</c:v>
                </c:pt>
                <c:pt idx="2675">
                  <c:v>282</c:v>
                </c:pt>
                <c:pt idx="2676">
                  <c:v>403</c:v>
                </c:pt>
                <c:pt idx="2677">
                  <c:v>266</c:v>
                </c:pt>
                <c:pt idx="2678">
                  <c:v>393</c:v>
                </c:pt>
                <c:pt idx="2679">
                  <c:v>291</c:v>
                </c:pt>
                <c:pt idx="2680">
                  <c:v>345</c:v>
                </c:pt>
                <c:pt idx="2681">
                  <c:v>146</c:v>
                </c:pt>
                <c:pt idx="2682">
                  <c:v>221</c:v>
                </c:pt>
                <c:pt idx="2683">
                  <c:v>119</c:v>
                </c:pt>
                <c:pt idx="2684">
                  <c:v>265</c:v>
                </c:pt>
                <c:pt idx="2685">
                  <c:v>224</c:v>
                </c:pt>
                <c:pt idx="2686">
                  <c:v>219</c:v>
                </c:pt>
                <c:pt idx="2687">
                  <c:v>148</c:v>
                </c:pt>
                <c:pt idx="2688">
                  <c:v>187</c:v>
                </c:pt>
                <c:pt idx="2689">
                  <c:v>238</c:v>
                </c:pt>
                <c:pt idx="2690">
                  <c:v>232</c:v>
                </c:pt>
                <c:pt idx="2691">
                  <c:v>244</c:v>
                </c:pt>
                <c:pt idx="2692">
                  <c:v>254</c:v>
                </c:pt>
                <c:pt idx="2693">
                  <c:v>164</c:v>
                </c:pt>
                <c:pt idx="2694">
                  <c:v>282</c:v>
                </c:pt>
                <c:pt idx="2695">
                  <c:v>218</c:v>
                </c:pt>
                <c:pt idx="2696">
                  <c:v>145</c:v>
                </c:pt>
                <c:pt idx="2697">
                  <c:v>238</c:v>
                </c:pt>
                <c:pt idx="2698">
                  <c:v>282</c:v>
                </c:pt>
                <c:pt idx="2699">
                  <c:v>266</c:v>
                </c:pt>
                <c:pt idx="2700">
                  <c:v>327</c:v>
                </c:pt>
                <c:pt idx="2701">
                  <c:v>144</c:v>
                </c:pt>
                <c:pt idx="2702">
                  <c:v>138</c:v>
                </c:pt>
                <c:pt idx="2703">
                  <c:v>333</c:v>
                </c:pt>
                <c:pt idx="2704">
                  <c:v>308</c:v>
                </c:pt>
                <c:pt idx="2705">
                  <c:v>378</c:v>
                </c:pt>
                <c:pt idx="2706">
                  <c:v>259</c:v>
                </c:pt>
                <c:pt idx="2707">
                  <c:v>267</c:v>
                </c:pt>
                <c:pt idx="2708">
                  <c:v>449</c:v>
                </c:pt>
                <c:pt idx="2709">
                  <c:v>253</c:v>
                </c:pt>
                <c:pt idx="2710">
                  <c:v>307</c:v>
                </c:pt>
                <c:pt idx="2711">
                  <c:v>338</c:v>
                </c:pt>
                <c:pt idx="2712">
                  <c:v>274</c:v>
                </c:pt>
                <c:pt idx="2713">
                  <c:v>319</c:v>
                </c:pt>
                <c:pt idx="2714">
                  <c:v>442</c:v>
                </c:pt>
                <c:pt idx="2715">
                  <c:v>284</c:v>
                </c:pt>
                <c:pt idx="2716">
                  <c:v>238</c:v>
                </c:pt>
                <c:pt idx="2717">
                  <c:v>274</c:v>
                </c:pt>
                <c:pt idx="2718">
                  <c:v>330</c:v>
                </c:pt>
                <c:pt idx="2719">
                  <c:v>325</c:v>
                </c:pt>
                <c:pt idx="2720">
                  <c:v>352</c:v>
                </c:pt>
                <c:pt idx="2721">
                  <c:v>238</c:v>
                </c:pt>
                <c:pt idx="2722">
                  <c:v>405</c:v>
                </c:pt>
                <c:pt idx="2723">
                  <c:v>352</c:v>
                </c:pt>
                <c:pt idx="2724">
                  <c:v>463</c:v>
                </c:pt>
                <c:pt idx="2725">
                  <c:v>367</c:v>
                </c:pt>
                <c:pt idx="2726">
                  <c:v>278</c:v>
                </c:pt>
                <c:pt idx="2727">
                  <c:v>311</c:v>
                </c:pt>
                <c:pt idx="2728">
                  <c:v>331</c:v>
                </c:pt>
                <c:pt idx="2729">
                  <c:v>333</c:v>
                </c:pt>
                <c:pt idx="2730">
                  <c:v>240</c:v>
                </c:pt>
                <c:pt idx="2731">
                  <c:v>238</c:v>
                </c:pt>
                <c:pt idx="2732">
                  <c:v>275</c:v>
                </c:pt>
                <c:pt idx="2733">
                  <c:v>310</c:v>
                </c:pt>
                <c:pt idx="2734">
                  <c:v>230</c:v>
                </c:pt>
                <c:pt idx="2735">
                  <c:v>207</c:v>
                </c:pt>
                <c:pt idx="2736">
                  <c:v>366</c:v>
                </c:pt>
                <c:pt idx="2737">
                  <c:v>169</c:v>
                </c:pt>
                <c:pt idx="2738">
                  <c:v>259</c:v>
                </c:pt>
                <c:pt idx="2739">
                  <c:v>229</c:v>
                </c:pt>
                <c:pt idx="2740">
                  <c:v>207</c:v>
                </c:pt>
                <c:pt idx="2741">
                  <c:v>241</c:v>
                </c:pt>
                <c:pt idx="2742">
                  <c:v>222</c:v>
                </c:pt>
                <c:pt idx="2743">
                  <c:v>171</c:v>
                </c:pt>
                <c:pt idx="2744">
                  <c:v>198</c:v>
                </c:pt>
                <c:pt idx="2745">
                  <c:v>307</c:v>
                </c:pt>
                <c:pt idx="2746">
                  <c:v>350</c:v>
                </c:pt>
                <c:pt idx="2747">
                  <c:v>1740</c:v>
                </c:pt>
                <c:pt idx="2748">
                  <c:v>566</c:v>
                </c:pt>
                <c:pt idx="2749">
                  <c:v>469</c:v>
                </c:pt>
                <c:pt idx="2750">
                  <c:v>191</c:v>
                </c:pt>
                <c:pt idx="2751">
                  <c:v>281</c:v>
                </c:pt>
                <c:pt idx="2752">
                  <c:v>530</c:v>
                </c:pt>
                <c:pt idx="2753">
                  <c:v>583</c:v>
                </c:pt>
                <c:pt idx="2754">
                  <c:v>339</c:v>
                </c:pt>
                <c:pt idx="2755">
                  <c:v>299</c:v>
                </c:pt>
                <c:pt idx="2756">
                  <c:v>315</c:v>
                </c:pt>
                <c:pt idx="2757">
                  <c:v>391</c:v>
                </c:pt>
                <c:pt idx="2758">
                  <c:v>471</c:v>
                </c:pt>
                <c:pt idx="2759">
                  <c:v>370</c:v>
                </c:pt>
                <c:pt idx="2760">
                  <c:v>220</c:v>
                </c:pt>
                <c:pt idx="2761">
                  <c:v>320</c:v>
                </c:pt>
                <c:pt idx="2762">
                  <c:v>220</c:v>
                </c:pt>
                <c:pt idx="2763">
                  <c:v>279</c:v>
                </c:pt>
                <c:pt idx="2764">
                  <c:v>187</c:v>
                </c:pt>
                <c:pt idx="2765">
                  <c:v>277</c:v>
                </c:pt>
                <c:pt idx="2766">
                  <c:v>352</c:v>
                </c:pt>
                <c:pt idx="2767">
                  <c:v>207</c:v>
                </c:pt>
                <c:pt idx="2768">
                  <c:v>335</c:v>
                </c:pt>
                <c:pt idx="2769">
                  <c:v>199</c:v>
                </c:pt>
                <c:pt idx="2770">
                  <c:v>313</c:v>
                </c:pt>
                <c:pt idx="2771">
                  <c:v>343</c:v>
                </c:pt>
                <c:pt idx="2772">
                  <c:v>252</c:v>
                </c:pt>
                <c:pt idx="2773">
                  <c:v>361</c:v>
                </c:pt>
                <c:pt idx="2774">
                  <c:v>355</c:v>
                </c:pt>
                <c:pt idx="2775">
                  <c:v>367</c:v>
                </c:pt>
                <c:pt idx="2776">
                  <c:v>223</c:v>
                </c:pt>
                <c:pt idx="2777">
                  <c:v>163</c:v>
                </c:pt>
                <c:pt idx="2778">
                  <c:v>193</c:v>
                </c:pt>
                <c:pt idx="2779">
                  <c:v>179</c:v>
                </c:pt>
                <c:pt idx="2780">
                  <c:v>399</c:v>
                </c:pt>
                <c:pt idx="2781">
                  <c:v>347</c:v>
                </c:pt>
                <c:pt idx="2782">
                  <c:v>235</c:v>
                </c:pt>
                <c:pt idx="2783">
                  <c:v>157</c:v>
                </c:pt>
                <c:pt idx="2784">
                  <c:v>307</c:v>
                </c:pt>
                <c:pt idx="2785">
                  <c:v>112</c:v>
                </c:pt>
                <c:pt idx="2786">
                  <c:v>221</c:v>
                </c:pt>
                <c:pt idx="2787">
                  <c:v>334</c:v>
                </c:pt>
                <c:pt idx="2788">
                  <c:v>175</c:v>
                </c:pt>
                <c:pt idx="2789">
                  <c:v>215</c:v>
                </c:pt>
                <c:pt idx="2790">
                  <c:v>200</c:v>
                </c:pt>
                <c:pt idx="2791">
                  <c:v>182</c:v>
                </c:pt>
                <c:pt idx="2792">
                  <c:v>220</c:v>
                </c:pt>
                <c:pt idx="2793">
                  <c:v>203</c:v>
                </c:pt>
                <c:pt idx="2794">
                  <c:v>226</c:v>
                </c:pt>
                <c:pt idx="2795">
                  <c:v>226</c:v>
                </c:pt>
                <c:pt idx="2796">
                  <c:v>102</c:v>
                </c:pt>
                <c:pt idx="2797">
                  <c:v>97</c:v>
                </c:pt>
                <c:pt idx="2798">
                  <c:v>225</c:v>
                </c:pt>
                <c:pt idx="2799">
                  <c:v>305</c:v>
                </c:pt>
                <c:pt idx="2800">
                  <c:v>409</c:v>
                </c:pt>
                <c:pt idx="2801">
                  <c:v>247</c:v>
                </c:pt>
                <c:pt idx="2802">
                  <c:v>372</c:v>
                </c:pt>
                <c:pt idx="2803">
                  <c:v>307</c:v>
                </c:pt>
                <c:pt idx="2804">
                  <c:v>425</c:v>
                </c:pt>
                <c:pt idx="2805">
                  <c:v>388</c:v>
                </c:pt>
                <c:pt idx="2806">
                  <c:v>454</c:v>
                </c:pt>
                <c:pt idx="2807">
                  <c:v>396</c:v>
                </c:pt>
                <c:pt idx="2808">
                  <c:v>337</c:v>
                </c:pt>
                <c:pt idx="2809">
                  <c:v>323</c:v>
                </c:pt>
                <c:pt idx="2810">
                  <c:v>289</c:v>
                </c:pt>
                <c:pt idx="2811">
                  <c:v>271</c:v>
                </c:pt>
                <c:pt idx="2812">
                  <c:v>254</c:v>
                </c:pt>
                <c:pt idx="2813">
                  <c:v>247</c:v>
                </c:pt>
                <c:pt idx="2814">
                  <c:v>163</c:v>
                </c:pt>
                <c:pt idx="2815">
                  <c:v>158</c:v>
                </c:pt>
                <c:pt idx="2816">
                  <c:v>624</c:v>
                </c:pt>
                <c:pt idx="2817">
                  <c:v>266</c:v>
                </c:pt>
                <c:pt idx="2818">
                  <c:v>281</c:v>
                </c:pt>
                <c:pt idx="2819">
                  <c:v>212</c:v>
                </c:pt>
                <c:pt idx="2820">
                  <c:v>272</c:v>
                </c:pt>
                <c:pt idx="2821">
                  <c:v>222</c:v>
                </c:pt>
                <c:pt idx="2822">
                  <c:v>147</c:v>
                </c:pt>
                <c:pt idx="2823">
                  <c:v>202</c:v>
                </c:pt>
                <c:pt idx="2824">
                  <c:v>351</c:v>
                </c:pt>
                <c:pt idx="2825">
                  <c:v>532</c:v>
                </c:pt>
                <c:pt idx="2826">
                  <c:v>423</c:v>
                </c:pt>
                <c:pt idx="2827">
                  <c:v>462</c:v>
                </c:pt>
                <c:pt idx="2828">
                  <c:v>454</c:v>
                </c:pt>
                <c:pt idx="2829">
                  <c:v>546</c:v>
                </c:pt>
                <c:pt idx="2830">
                  <c:v>371</c:v>
                </c:pt>
                <c:pt idx="2831">
                  <c:v>290</c:v>
                </c:pt>
                <c:pt idx="2832">
                  <c:v>314</c:v>
                </c:pt>
                <c:pt idx="2833">
                  <c:v>386</c:v>
                </c:pt>
                <c:pt idx="2834">
                  <c:v>676</c:v>
                </c:pt>
                <c:pt idx="2835">
                  <c:v>357</c:v>
                </c:pt>
                <c:pt idx="2836">
                  <c:v>170</c:v>
                </c:pt>
                <c:pt idx="2837">
                  <c:v>543</c:v>
                </c:pt>
                <c:pt idx="2838">
                  <c:v>462</c:v>
                </c:pt>
                <c:pt idx="2839">
                  <c:v>328</c:v>
                </c:pt>
                <c:pt idx="2840">
                  <c:v>203</c:v>
                </c:pt>
                <c:pt idx="2841">
                  <c:v>245</c:v>
                </c:pt>
                <c:pt idx="2842">
                  <c:v>299</c:v>
                </c:pt>
                <c:pt idx="2843">
                  <c:v>255</c:v>
                </c:pt>
                <c:pt idx="2844">
                  <c:v>326</c:v>
                </c:pt>
                <c:pt idx="2845">
                  <c:v>394</c:v>
                </c:pt>
                <c:pt idx="2846">
                  <c:v>409</c:v>
                </c:pt>
                <c:pt idx="2847">
                  <c:v>250</c:v>
                </c:pt>
                <c:pt idx="2848">
                  <c:v>94</c:v>
                </c:pt>
                <c:pt idx="2849">
                  <c:v>431</c:v>
                </c:pt>
                <c:pt idx="2850">
                  <c:v>292</c:v>
                </c:pt>
                <c:pt idx="2851">
                  <c:v>405</c:v>
                </c:pt>
                <c:pt idx="2852">
                  <c:v>207</c:v>
                </c:pt>
                <c:pt idx="2853">
                  <c:v>370</c:v>
                </c:pt>
                <c:pt idx="2854">
                  <c:v>309</c:v>
                </c:pt>
                <c:pt idx="2855">
                  <c:v>364</c:v>
                </c:pt>
                <c:pt idx="2856">
                  <c:v>236</c:v>
                </c:pt>
                <c:pt idx="2857">
                  <c:v>253</c:v>
                </c:pt>
                <c:pt idx="2858">
                  <c:v>284</c:v>
                </c:pt>
                <c:pt idx="2859">
                  <c:v>485</c:v>
                </c:pt>
                <c:pt idx="2860">
                  <c:v>322</c:v>
                </c:pt>
                <c:pt idx="2861">
                  <c:v>372</c:v>
                </c:pt>
                <c:pt idx="2862">
                  <c:v>172</c:v>
                </c:pt>
                <c:pt idx="2863">
                  <c:v>232</c:v>
                </c:pt>
                <c:pt idx="2864">
                  <c:v>193</c:v>
                </c:pt>
                <c:pt idx="2865">
                  <c:v>197</c:v>
                </c:pt>
                <c:pt idx="2866">
                  <c:v>384</c:v>
                </c:pt>
                <c:pt idx="2867">
                  <c:v>316</c:v>
                </c:pt>
                <c:pt idx="2868">
                  <c:v>135</c:v>
                </c:pt>
                <c:pt idx="2869">
                  <c:v>462</c:v>
                </c:pt>
                <c:pt idx="2870">
                  <c:v>224</c:v>
                </c:pt>
                <c:pt idx="2871">
                  <c:v>225</c:v>
                </c:pt>
                <c:pt idx="2872">
                  <c:v>184</c:v>
                </c:pt>
                <c:pt idx="2873">
                  <c:v>160</c:v>
                </c:pt>
                <c:pt idx="2874">
                  <c:v>370</c:v>
                </c:pt>
                <c:pt idx="2875">
                  <c:v>216</c:v>
                </c:pt>
                <c:pt idx="2876">
                  <c:v>246</c:v>
                </c:pt>
                <c:pt idx="2877">
                  <c:v>203</c:v>
                </c:pt>
                <c:pt idx="2878">
                  <c:v>276</c:v>
                </c:pt>
                <c:pt idx="2879">
                  <c:v>240</c:v>
                </c:pt>
                <c:pt idx="2880">
                  <c:v>361</c:v>
                </c:pt>
                <c:pt idx="2881">
                  <c:v>230</c:v>
                </c:pt>
                <c:pt idx="2882">
                  <c:v>362</c:v>
                </c:pt>
                <c:pt idx="2883">
                  <c:v>632</c:v>
                </c:pt>
                <c:pt idx="2884">
                  <c:v>501</c:v>
                </c:pt>
                <c:pt idx="2885">
                  <c:v>355</c:v>
                </c:pt>
                <c:pt idx="2886">
                  <c:v>217</c:v>
                </c:pt>
                <c:pt idx="2887">
                  <c:v>388</c:v>
                </c:pt>
                <c:pt idx="2888">
                  <c:v>327</c:v>
                </c:pt>
                <c:pt idx="2889">
                  <c:v>354</c:v>
                </c:pt>
                <c:pt idx="2890">
                  <c:v>394</c:v>
                </c:pt>
                <c:pt idx="2891">
                  <c:v>545</c:v>
                </c:pt>
                <c:pt idx="2892">
                  <c:v>362</c:v>
                </c:pt>
                <c:pt idx="2893">
                  <c:v>379</c:v>
                </c:pt>
                <c:pt idx="2894">
                  <c:v>326</c:v>
                </c:pt>
                <c:pt idx="2895">
                  <c:v>354</c:v>
                </c:pt>
                <c:pt idx="2896">
                  <c:v>347</c:v>
                </c:pt>
                <c:pt idx="2897">
                  <c:v>206</c:v>
                </c:pt>
                <c:pt idx="2898">
                  <c:v>376</c:v>
                </c:pt>
                <c:pt idx="2899">
                  <c:v>473</c:v>
                </c:pt>
                <c:pt idx="2900">
                  <c:v>256</c:v>
                </c:pt>
                <c:pt idx="2901">
                  <c:v>185</c:v>
                </c:pt>
                <c:pt idx="2902">
                  <c:v>341</c:v>
                </c:pt>
                <c:pt idx="2903">
                  <c:v>468</c:v>
                </c:pt>
                <c:pt idx="2904">
                  <c:v>348</c:v>
                </c:pt>
                <c:pt idx="2905">
                  <c:v>391</c:v>
                </c:pt>
                <c:pt idx="2906">
                  <c:v>375</c:v>
                </c:pt>
                <c:pt idx="2907">
                  <c:v>110</c:v>
                </c:pt>
                <c:pt idx="2908">
                  <c:v>427</c:v>
                </c:pt>
                <c:pt idx="2909">
                  <c:v>251</c:v>
                </c:pt>
                <c:pt idx="2910">
                  <c:v>756</c:v>
                </c:pt>
                <c:pt idx="2911">
                  <c:v>350</c:v>
                </c:pt>
                <c:pt idx="2912">
                  <c:v>261</c:v>
                </c:pt>
                <c:pt idx="2913">
                  <c:v>597</c:v>
                </c:pt>
                <c:pt idx="2914">
                  <c:v>325</c:v>
                </c:pt>
                <c:pt idx="2915">
                  <c:v>246</c:v>
                </c:pt>
                <c:pt idx="2916">
                  <c:v>250</c:v>
                </c:pt>
                <c:pt idx="2917">
                  <c:v>270</c:v>
                </c:pt>
                <c:pt idx="2918">
                  <c:v>245</c:v>
                </c:pt>
                <c:pt idx="2919">
                  <c:v>367</c:v>
                </c:pt>
                <c:pt idx="2920">
                  <c:v>393</c:v>
                </c:pt>
                <c:pt idx="2921">
                  <c:v>181</c:v>
                </c:pt>
                <c:pt idx="2922">
                  <c:v>350</c:v>
                </c:pt>
                <c:pt idx="2923">
                  <c:v>151</c:v>
                </c:pt>
                <c:pt idx="2924">
                  <c:v>421</c:v>
                </c:pt>
                <c:pt idx="2925">
                  <c:v>355</c:v>
                </c:pt>
                <c:pt idx="2926">
                  <c:v>412</c:v>
                </c:pt>
                <c:pt idx="2927">
                  <c:v>374</c:v>
                </c:pt>
                <c:pt idx="2928">
                  <c:v>166</c:v>
                </c:pt>
                <c:pt idx="2929">
                  <c:v>233</c:v>
                </c:pt>
                <c:pt idx="2930">
                  <c:v>207</c:v>
                </c:pt>
                <c:pt idx="2931">
                  <c:v>319</c:v>
                </c:pt>
                <c:pt idx="2932">
                  <c:v>314</c:v>
                </c:pt>
                <c:pt idx="2933">
                  <c:v>171</c:v>
                </c:pt>
                <c:pt idx="2934">
                  <c:v>279</c:v>
                </c:pt>
                <c:pt idx="2935">
                  <c:v>237</c:v>
                </c:pt>
                <c:pt idx="2936">
                  <c:v>187</c:v>
                </c:pt>
                <c:pt idx="2937">
                  <c:v>100</c:v>
                </c:pt>
                <c:pt idx="2938">
                  <c:v>242</c:v>
                </c:pt>
                <c:pt idx="2939">
                  <c:v>270</c:v>
                </c:pt>
                <c:pt idx="2940">
                  <c:v>159</c:v>
                </c:pt>
                <c:pt idx="2941">
                  <c:v>259</c:v>
                </c:pt>
                <c:pt idx="2942">
                  <c:v>126</c:v>
                </c:pt>
                <c:pt idx="2943">
                  <c:v>277</c:v>
                </c:pt>
                <c:pt idx="2944">
                  <c:v>166</c:v>
                </c:pt>
                <c:pt idx="2945">
                  <c:v>332</c:v>
                </c:pt>
                <c:pt idx="2946">
                  <c:v>294</c:v>
                </c:pt>
                <c:pt idx="2947">
                  <c:v>147</c:v>
                </c:pt>
                <c:pt idx="2948">
                  <c:v>202</c:v>
                </c:pt>
                <c:pt idx="2949">
                  <c:v>386</c:v>
                </c:pt>
                <c:pt idx="2950">
                  <c:v>189</c:v>
                </c:pt>
                <c:pt idx="2951">
                  <c:v>87</c:v>
                </c:pt>
                <c:pt idx="2952">
                  <c:v>168</c:v>
                </c:pt>
                <c:pt idx="2953">
                  <c:v>149</c:v>
                </c:pt>
                <c:pt idx="2954">
                  <c:v>189</c:v>
                </c:pt>
                <c:pt idx="2955">
                  <c:v>431</c:v>
                </c:pt>
                <c:pt idx="2956">
                  <c:v>190</c:v>
                </c:pt>
                <c:pt idx="2957">
                  <c:v>246</c:v>
                </c:pt>
                <c:pt idx="2958">
                  <c:v>241</c:v>
                </c:pt>
                <c:pt idx="2959">
                  <c:v>181</c:v>
                </c:pt>
                <c:pt idx="2960">
                  <c:v>102</c:v>
                </c:pt>
                <c:pt idx="2961">
                  <c:v>153</c:v>
                </c:pt>
                <c:pt idx="2962">
                  <c:v>137</c:v>
                </c:pt>
                <c:pt idx="2963">
                  <c:v>259</c:v>
                </c:pt>
                <c:pt idx="2964">
                  <c:v>178</c:v>
                </c:pt>
                <c:pt idx="2965">
                  <c:v>188</c:v>
                </c:pt>
                <c:pt idx="2966">
                  <c:v>125</c:v>
                </c:pt>
                <c:pt idx="2967">
                  <c:v>278</c:v>
                </c:pt>
                <c:pt idx="2968">
                  <c:v>238</c:v>
                </c:pt>
                <c:pt idx="2969">
                  <c:v>161</c:v>
                </c:pt>
                <c:pt idx="2970">
                  <c:v>68</c:v>
                </c:pt>
                <c:pt idx="2971">
                  <c:v>197</c:v>
                </c:pt>
                <c:pt idx="2972">
                  <c:v>129</c:v>
                </c:pt>
                <c:pt idx="2973">
                  <c:v>218</c:v>
                </c:pt>
                <c:pt idx="2974">
                  <c:v>129</c:v>
                </c:pt>
                <c:pt idx="2975">
                  <c:v>378</c:v>
                </c:pt>
                <c:pt idx="2976">
                  <c:v>251</c:v>
                </c:pt>
                <c:pt idx="2977">
                  <c:v>263</c:v>
                </c:pt>
                <c:pt idx="2978">
                  <c:v>379</c:v>
                </c:pt>
                <c:pt idx="2979">
                  <c:v>371</c:v>
                </c:pt>
                <c:pt idx="2980">
                  <c:v>638</c:v>
                </c:pt>
                <c:pt idx="2981">
                  <c:v>379</c:v>
                </c:pt>
                <c:pt idx="2982">
                  <c:v>214</c:v>
                </c:pt>
                <c:pt idx="2983">
                  <c:v>327</c:v>
                </c:pt>
                <c:pt idx="2984">
                  <c:v>376</c:v>
                </c:pt>
                <c:pt idx="2985">
                  <c:v>393</c:v>
                </c:pt>
                <c:pt idx="2986">
                  <c:v>451</c:v>
                </c:pt>
                <c:pt idx="2987">
                  <c:v>231</c:v>
                </c:pt>
                <c:pt idx="2988">
                  <c:v>213</c:v>
                </c:pt>
                <c:pt idx="2989">
                  <c:v>291</c:v>
                </c:pt>
                <c:pt idx="2990">
                  <c:v>309</c:v>
                </c:pt>
                <c:pt idx="2991">
                  <c:v>411</c:v>
                </c:pt>
                <c:pt idx="2992">
                  <c:v>253</c:v>
                </c:pt>
                <c:pt idx="2993">
                  <c:v>359</c:v>
                </c:pt>
                <c:pt idx="2994">
                  <c:v>284</c:v>
                </c:pt>
                <c:pt idx="2995">
                  <c:v>198</c:v>
                </c:pt>
                <c:pt idx="2996">
                  <c:v>285</c:v>
                </c:pt>
                <c:pt idx="2997">
                  <c:v>310</c:v>
                </c:pt>
                <c:pt idx="2998">
                  <c:v>305</c:v>
                </c:pt>
                <c:pt idx="2999">
                  <c:v>249</c:v>
                </c:pt>
                <c:pt idx="3000">
                  <c:v>277</c:v>
                </c:pt>
                <c:pt idx="3001">
                  <c:v>318</c:v>
                </c:pt>
                <c:pt idx="3002">
                  <c:v>212</c:v>
                </c:pt>
                <c:pt idx="3003">
                  <c:v>159</c:v>
                </c:pt>
                <c:pt idx="3004">
                  <c:v>521</c:v>
                </c:pt>
                <c:pt idx="3005">
                  <c:v>156</c:v>
                </c:pt>
                <c:pt idx="3006">
                  <c:v>236</c:v>
                </c:pt>
                <c:pt idx="3007">
                  <c:v>366</c:v>
                </c:pt>
                <c:pt idx="3008">
                  <c:v>317</c:v>
                </c:pt>
                <c:pt idx="3009">
                  <c:v>307</c:v>
                </c:pt>
                <c:pt idx="3010">
                  <c:v>267</c:v>
                </c:pt>
                <c:pt idx="3011">
                  <c:v>358</c:v>
                </c:pt>
                <c:pt idx="3012">
                  <c:v>366</c:v>
                </c:pt>
                <c:pt idx="3013">
                  <c:v>260</c:v>
                </c:pt>
                <c:pt idx="3014">
                  <c:v>175</c:v>
                </c:pt>
                <c:pt idx="3015">
                  <c:v>317</c:v>
                </c:pt>
                <c:pt idx="3016">
                  <c:v>188</c:v>
                </c:pt>
                <c:pt idx="3017">
                  <c:v>514</c:v>
                </c:pt>
                <c:pt idx="3018">
                  <c:v>278</c:v>
                </c:pt>
                <c:pt idx="3019">
                  <c:v>257</c:v>
                </c:pt>
                <c:pt idx="3020">
                  <c:v>261</c:v>
                </c:pt>
                <c:pt idx="3021">
                  <c:v>298</c:v>
                </c:pt>
                <c:pt idx="3022">
                  <c:v>328</c:v>
                </c:pt>
                <c:pt idx="3023">
                  <c:v>234</c:v>
                </c:pt>
                <c:pt idx="3024">
                  <c:v>221</c:v>
                </c:pt>
                <c:pt idx="3025">
                  <c:v>292</c:v>
                </c:pt>
                <c:pt idx="3026">
                  <c:v>428</c:v>
                </c:pt>
                <c:pt idx="3027">
                  <c:v>427</c:v>
                </c:pt>
                <c:pt idx="3028">
                  <c:v>349</c:v>
                </c:pt>
                <c:pt idx="3029">
                  <c:v>339</c:v>
                </c:pt>
                <c:pt idx="3030">
                  <c:v>438</c:v>
                </c:pt>
                <c:pt idx="3031">
                  <c:v>303</c:v>
                </c:pt>
                <c:pt idx="3032">
                  <c:v>207</c:v>
                </c:pt>
                <c:pt idx="3033">
                  <c:v>376</c:v>
                </c:pt>
                <c:pt idx="3034">
                  <c:v>247</c:v>
                </c:pt>
                <c:pt idx="3035">
                  <c:v>252</c:v>
                </c:pt>
                <c:pt idx="3036">
                  <c:v>276</c:v>
                </c:pt>
                <c:pt idx="3037">
                  <c:v>239</c:v>
                </c:pt>
                <c:pt idx="3038">
                  <c:v>499</c:v>
                </c:pt>
                <c:pt idx="3039">
                  <c:v>271</c:v>
                </c:pt>
                <c:pt idx="3040">
                  <c:v>412</c:v>
                </c:pt>
                <c:pt idx="3041">
                  <c:v>253</c:v>
                </c:pt>
                <c:pt idx="3042">
                  <c:v>343</c:v>
                </c:pt>
                <c:pt idx="3043">
                  <c:v>356</c:v>
                </c:pt>
                <c:pt idx="3044">
                  <c:v>303</c:v>
                </c:pt>
                <c:pt idx="3045">
                  <c:v>349</c:v>
                </c:pt>
                <c:pt idx="3046">
                  <c:v>436</c:v>
                </c:pt>
                <c:pt idx="3047">
                  <c:v>215</c:v>
                </c:pt>
                <c:pt idx="3048">
                  <c:v>184</c:v>
                </c:pt>
                <c:pt idx="3049">
                  <c:v>222</c:v>
                </c:pt>
                <c:pt idx="3050">
                  <c:v>315</c:v>
                </c:pt>
                <c:pt idx="3051">
                  <c:v>437</c:v>
                </c:pt>
                <c:pt idx="3052">
                  <c:v>430</c:v>
                </c:pt>
                <c:pt idx="3053">
                  <c:v>497</c:v>
                </c:pt>
                <c:pt idx="3054">
                  <c:v>103</c:v>
                </c:pt>
                <c:pt idx="3055">
                  <c:v>171</c:v>
                </c:pt>
                <c:pt idx="3056">
                  <c:v>360</c:v>
                </c:pt>
                <c:pt idx="3057">
                  <c:v>310</c:v>
                </c:pt>
                <c:pt idx="3058">
                  <c:v>156</c:v>
                </c:pt>
                <c:pt idx="3059">
                  <c:v>276</c:v>
                </c:pt>
                <c:pt idx="3060">
                  <c:v>335</c:v>
                </c:pt>
                <c:pt idx="3061">
                  <c:v>120</c:v>
                </c:pt>
                <c:pt idx="3062">
                  <c:v>141</c:v>
                </c:pt>
                <c:pt idx="3063">
                  <c:v>74</c:v>
                </c:pt>
                <c:pt idx="3064">
                  <c:v>126</c:v>
                </c:pt>
                <c:pt idx="3065">
                  <c:v>303</c:v>
                </c:pt>
                <c:pt idx="3066">
                  <c:v>211</c:v>
                </c:pt>
                <c:pt idx="3067">
                  <c:v>299</c:v>
                </c:pt>
                <c:pt idx="3068">
                  <c:v>125</c:v>
                </c:pt>
                <c:pt idx="3069">
                  <c:v>226</c:v>
                </c:pt>
                <c:pt idx="3070">
                  <c:v>195</c:v>
                </c:pt>
                <c:pt idx="3071">
                  <c:v>230</c:v>
                </c:pt>
                <c:pt idx="3072">
                  <c:v>220</c:v>
                </c:pt>
                <c:pt idx="3073">
                  <c:v>263</c:v>
                </c:pt>
                <c:pt idx="3074">
                  <c:v>223</c:v>
                </c:pt>
                <c:pt idx="3075">
                  <c:v>220</c:v>
                </c:pt>
                <c:pt idx="3076">
                  <c:v>138</c:v>
                </c:pt>
                <c:pt idx="3077">
                  <c:v>70</c:v>
                </c:pt>
                <c:pt idx="3078">
                  <c:v>125</c:v>
                </c:pt>
                <c:pt idx="3079">
                  <c:v>152</c:v>
                </c:pt>
                <c:pt idx="3080">
                  <c:v>63</c:v>
                </c:pt>
                <c:pt idx="3081">
                  <c:v>217</c:v>
                </c:pt>
                <c:pt idx="3082">
                  <c:v>257</c:v>
                </c:pt>
                <c:pt idx="3083">
                  <c:v>342</c:v>
                </c:pt>
                <c:pt idx="3084">
                  <c:v>317</c:v>
                </c:pt>
                <c:pt idx="3085">
                  <c:v>272</c:v>
                </c:pt>
                <c:pt idx="3086">
                  <c:v>351</c:v>
                </c:pt>
                <c:pt idx="3087">
                  <c:v>562</c:v>
                </c:pt>
                <c:pt idx="3088">
                  <c:v>502</c:v>
                </c:pt>
                <c:pt idx="3089">
                  <c:v>459</c:v>
                </c:pt>
                <c:pt idx="3090">
                  <c:v>217</c:v>
                </c:pt>
                <c:pt idx="3091">
                  <c:v>315</c:v>
                </c:pt>
                <c:pt idx="3092">
                  <c:v>194</c:v>
                </c:pt>
                <c:pt idx="3093">
                  <c:v>246</c:v>
                </c:pt>
                <c:pt idx="3094">
                  <c:v>141</c:v>
                </c:pt>
                <c:pt idx="3095">
                  <c:v>312</c:v>
                </c:pt>
                <c:pt idx="3096">
                  <c:v>238</c:v>
                </c:pt>
                <c:pt idx="3097">
                  <c:v>350</c:v>
                </c:pt>
                <c:pt idx="3098">
                  <c:v>300</c:v>
                </c:pt>
                <c:pt idx="3099">
                  <c:v>205</c:v>
                </c:pt>
                <c:pt idx="3100">
                  <c:v>249</c:v>
                </c:pt>
                <c:pt idx="3101">
                  <c:v>291</c:v>
                </c:pt>
                <c:pt idx="3102">
                  <c:v>251</c:v>
                </c:pt>
                <c:pt idx="3103">
                  <c:v>278</c:v>
                </c:pt>
                <c:pt idx="3104">
                  <c:v>291</c:v>
                </c:pt>
                <c:pt idx="3105">
                  <c:v>153</c:v>
                </c:pt>
                <c:pt idx="3106">
                  <c:v>301</c:v>
                </c:pt>
                <c:pt idx="3107">
                  <c:v>266</c:v>
                </c:pt>
                <c:pt idx="3108">
                  <c:v>266</c:v>
                </c:pt>
                <c:pt idx="3109">
                  <c:v>290</c:v>
                </c:pt>
                <c:pt idx="3110">
                  <c:v>328</c:v>
                </c:pt>
                <c:pt idx="3111">
                  <c:v>269</c:v>
                </c:pt>
                <c:pt idx="3112">
                  <c:v>266</c:v>
                </c:pt>
                <c:pt idx="3113">
                  <c:v>302</c:v>
                </c:pt>
                <c:pt idx="3114">
                  <c:v>291</c:v>
                </c:pt>
                <c:pt idx="3115">
                  <c:v>331</c:v>
                </c:pt>
                <c:pt idx="3116">
                  <c:v>398</c:v>
                </c:pt>
                <c:pt idx="3117">
                  <c:v>270</c:v>
                </c:pt>
                <c:pt idx="3118">
                  <c:v>346</c:v>
                </c:pt>
                <c:pt idx="3119">
                  <c:v>255</c:v>
                </c:pt>
                <c:pt idx="3120">
                  <c:v>365</c:v>
                </c:pt>
                <c:pt idx="3121">
                  <c:v>343</c:v>
                </c:pt>
                <c:pt idx="3122">
                  <c:v>401</c:v>
                </c:pt>
                <c:pt idx="3123">
                  <c:v>381</c:v>
                </c:pt>
                <c:pt idx="3124">
                  <c:v>365</c:v>
                </c:pt>
                <c:pt idx="3125">
                  <c:v>301</c:v>
                </c:pt>
                <c:pt idx="3126">
                  <c:v>423</c:v>
                </c:pt>
                <c:pt idx="3127">
                  <c:v>304</c:v>
                </c:pt>
                <c:pt idx="3128">
                  <c:v>146</c:v>
                </c:pt>
                <c:pt idx="3129">
                  <c:v>326</c:v>
                </c:pt>
                <c:pt idx="3130">
                  <c:v>183</c:v>
                </c:pt>
                <c:pt idx="3131">
                  <c:v>103</c:v>
                </c:pt>
                <c:pt idx="3132">
                  <c:v>163</c:v>
                </c:pt>
                <c:pt idx="3133">
                  <c:v>255</c:v>
                </c:pt>
                <c:pt idx="3134">
                  <c:v>160</c:v>
                </c:pt>
                <c:pt idx="3135">
                  <c:v>186</c:v>
                </c:pt>
                <c:pt idx="3136">
                  <c:v>241</c:v>
                </c:pt>
                <c:pt idx="3137">
                  <c:v>97</c:v>
                </c:pt>
                <c:pt idx="3138">
                  <c:v>238</c:v>
                </c:pt>
                <c:pt idx="3139">
                  <c:v>144</c:v>
                </c:pt>
                <c:pt idx="3140">
                  <c:v>322</c:v>
                </c:pt>
                <c:pt idx="3141">
                  <c:v>180</c:v>
                </c:pt>
                <c:pt idx="3142">
                  <c:v>247</c:v>
                </c:pt>
                <c:pt idx="3143">
                  <c:v>420</c:v>
                </c:pt>
                <c:pt idx="3144">
                  <c:v>183</c:v>
                </c:pt>
                <c:pt idx="3145">
                  <c:v>319</c:v>
                </c:pt>
                <c:pt idx="3146">
                  <c:v>235</c:v>
                </c:pt>
                <c:pt idx="3147">
                  <c:v>334</c:v>
                </c:pt>
                <c:pt idx="3148">
                  <c:v>423</c:v>
                </c:pt>
                <c:pt idx="3149">
                  <c:v>414</c:v>
                </c:pt>
                <c:pt idx="3150">
                  <c:v>283</c:v>
                </c:pt>
                <c:pt idx="3151">
                  <c:v>335</c:v>
                </c:pt>
                <c:pt idx="3152">
                  <c:v>272</c:v>
                </c:pt>
                <c:pt idx="3153">
                  <c:v>385</c:v>
                </c:pt>
                <c:pt idx="3154">
                  <c:v>345</c:v>
                </c:pt>
                <c:pt idx="3155">
                  <c:v>477</c:v>
                </c:pt>
                <c:pt idx="3156">
                  <c:v>374</c:v>
                </c:pt>
                <c:pt idx="3157">
                  <c:v>207</c:v>
                </c:pt>
                <c:pt idx="3158">
                  <c:v>332</c:v>
                </c:pt>
                <c:pt idx="3159">
                  <c:v>251</c:v>
                </c:pt>
                <c:pt idx="3160">
                  <c:v>488</c:v>
                </c:pt>
                <c:pt idx="3161">
                  <c:v>234</c:v>
                </c:pt>
                <c:pt idx="3162">
                  <c:v>144</c:v>
                </c:pt>
                <c:pt idx="3163">
                  <c:v>479</c:v>
                </c:pt>
                <c:pt idx="3164">
                  <c:v>233</c:v>
                </c:pt>
                <c:pt idx="3165">
                  <c:v>318</c:v>
                </c:pt>
                <c:pt idx="3166">
                  <c:v>326</c:v>
                </c:pt>
                <c:pt idx="3167">
                  <c:v>319</c:v>
                </c:pt>
                <c:pt idx="3168">
                  <c:v>215</c:v>
                </c:pt>
                <c:pt idx="3169">
                  <c:v>282</c:v>
                </c:pt>
                <c:pt idx="3170">
                  <c:v>387</c:v>
                </c:pt>
                <c:pt idx="3171">
                  <c:v>165</c:v>
                </c:pt>
                <c:pt idx="3172">
                  <c:v>239</c:v>
                </c:pt>
                <c:pt idx="3173">
                  <c:v>181</c:v>
                </c:pt>
                <c:pt idx="3174">
                  <c:v>237</c:v>
                </c:pt>
                <c:pt idx="3175">
                  <c:v>452</c:v>
                </c:pt>
                <c:pt idx="3176">
                  <c:v>226</c:v>
                </c:pt>
                <c:pt idx="3177">
                  <c:v>495</c:v>
                </c:pt>
                <c:pt idx="3178">
                  <c:v>304</c:v>
                </c:pt>
                <c:pt idx="3179">
                  <c:v>199</c:v>
                </c:pt>
                <c:pt idx="3180">
                  <c:v>179</c:v>
                </c:pt>
                <c:pt idx="3181">
                  <c:v>216</c:v>
                </c:pt>
                <c:pt idx="3182">
                  <c:v>220</c:v>
                </c:pt>
                <c:pt idx="3183">
                  <c:v>170</c:v>
                </c:pt>
                <c:pt idx="3184">
                  <c:v>219</c:v>
                </c:pt>
                <c:pt idx="3185">
                  <c:v>303</c:v>
                </c:pt>
                <c:pt idx="3186">
                  <c:v>95</c:v>
                </c:pt>
                <c:pt idx="3187">
                  <c:v>74</c:v>
                </c:pt>
                <c:pt idx="3188">
                  <c:v>117</c:v>
                </c:pt>
                <c:pt idx="3189">
                  <c:v>135</c:v>
                </c:pt>
                <c:pt idx="3190">
                  <c:v>74</c:v>
                </c:pt>
                <c:pt idx="3191">
                  <c:v>126</c:v>
                </c:pt>
                <c:pt idx="3192">
                  <c:v>193</c:v>
                </c:pt>
                <c:pt idx="3193">
                  <c:v>206</c:v>
                </c:pt>
                <c:pt idx="3194">
                  <c:v>182</c:v>
                </c:pt>
                <c:pt idx="3195">
                  <c:v>185</c:v>
                </c:pt>
                <c:pt idx="3196">
                  <c:v>214</c:v>
                </c:pt>
                <c:pt idx="3197">
                  <c:v>187</c:v>
                </c:pt>
                <c:pt idx="3198">
                  <c:v>176</c:v>
                </c:pt>
                <c:pt idx="3199">
                  <c:v>180</c:v>
                </c:pt>
                <c:pt idx="3200">
                  <c:v>110</c:v>
                </c:pt>
                <c:pt idx="3201">
                  <c:v>312</c:v>
                </c:pt>
                <c:pt idx="3202">
                  <c:v>172</c:v>
                </c:pt>
                <c:pt idx="3203">
                  <c:v>74</c:v>
                </c:pt>
                <c:pt idx="3204">
                  <c:v>119</c:v>
                </c:pt>
                <c:pt idx="3205">
                  <c:v>264</c:v>
                </c:pt>
                <c:pt idx="3206">
                  <c:v>155</c:v>
                </c:pt>
                <c:pt idx="3207">
                  <c:v>173</c:v>
                </c:pt>
                <c:pt idx="3208">
                  <c:v>174</c:v>
                </c:pt>
                <c:pt idx="3209">
                  <c:v>276</c:v>
                </c:pt>
                <c:pt idx="3210">
                  <c:v>383</c:v>
                </c:pt>
                <c:pt idx="3211">
                  <c:v>289</c:v>
                </c:pt>
                <c:pt idx="3212">
                  <c:v>358</c:v>
                </c:pt>
                <c:pt idx="3213">
                  <c:v>170</c:v>
                </c:pt>
                <c:pt idx="3214">
                  <c:v>339</c:v>
                </c:pt>
                <c:pt idx="3215">
                  <c:v>440</c:v>
                </c:pt>
                <c:pt idx="3216">
                  <c:v>614</c:v>
                </c:pt>
                <c:pt idx="3217">
                  <c:v>252</c:v>
                </c:pt>
                <c:pt idx="3218">
                  <c:v>240</c:v>
                </c:pt>
                <c:pt idx="3219">
                  <c:v>195</c:v>
                </c:pt>
                <c:pt idx="3220">
                  <c:v>400</c:v>
                </c:pt>
                <c:pt idx="3221">
                  <c:v>342</c:v>
                </c:pt>
                <c:pt idx="3222">
                  <c:v>228</c:v>
                </c:pt>
                <c:pt idx="3223">
                  <c:v>421</c:v>
                </c:pt>
                <c:pt idx="3224">
                  <c:v>325</c:v>
                </c:pt>
                <c:pt idx="3225">
                  <c:v>402</c:v>
                </c:pt>
                <c:pt idx="3226">
                  <c:v>321</c:v>
                </c:pt>
                <c:pt idx="3227">
                  <c:v>209</c:v>
                </c:pt>
                <c:pt idx="3228">
                  <c:v>213</c:v>
                </c:pt>
                <c:pt idx="3229">
                  <c:v>255</c:v>
                </c:pt>
                <c:pt idx="3230">
                  <c:v>224</c:v>
                </c:pt>
                <c:pt idx="3231">
                  <c:v>227</c:v>
                </c:pt>
                <c:pt idx="3232">
                  <c:v>195</c:v>
                </c:pt>
                <c:pt idx="3233">
                  <c:v>209</c:v>
                </c:pt>
                <c:pt idx="3234">
                  <c:v>307</c:v>
                </c:pt>
                <c:pt idx="3235">
                  <c:v>623</c:v>
                </c:pt>
                <c:pt idx="3236">
                  <c:v>245</c:v>
                </c:pt>
                <c:pt idx="3237">
                  <c:v>333</c:v>
                </c:pt>
                <c:pt idx="3238">
                  <c:v>274</c:v>
                </c:pt>
                <c:pt idx="3239">
                  <c:v>353</c:v>
                </c:pt>
                <c:pt idx="3240">
                  <c:v>330</c:v>
                </c:pt>
                <c:pt idx="3241">
                  <c:v>194</c:v>
                </c:pt>
                <c:pt idx="3242">
                  <c:v>309</c:v>
                </c:pt>
                <c:pt idx="3243">
                  <c:v>281</c:v>
                </c:pt>
                <c:pt idx="3244">
                  <c:v>275</c:v>
                </c:pt>
                <c:pt idx="3245">
                  <c:v>218</c:v>
                </c:pt>
                <c:pt idx="3246">
                  <c:v>147</c:v>
                </c:pt>
                <c:pt idx="3247">
                  <c:v>308</c:v>
                </c:pt>
                <c:pt idx="3248">
                  <c:v>270</c:v>
                </c:pt>
                <c:pt idx="3249">
                  <c:v>313</c:v>
                </c:pt>
                <c:pt idx="3250">
                  <c:v>334</c:v>
                </c:pt>
                <c:pt idx="3251">
                  <c:v>236</c:v>
                </c:pt>
                <c:pt idx="3252">
                  <c:v>375</c:v>
                </c:pt>
                <c:pt idx="3253">
                  <c:v>353</c:v>
                </c:pt>
                <c:pt idx="3254">
                  <c:v>360</c:v>
                </c:pt>
                <c:pt idx="3255">
                  <c:v>236</c:v>
                </c:pt>
                <c:pt idx="3256">
                  <c:v>296</c:v>
                </c:pt>
                <c:pt idx="3257">
                  <c:v>155</c:v>
                </c:pt>
                <c:pt idx="3258">
                  <c:v>176</c:v>
                </c:pt>
                <c:pt idx="3259">
                  <c:v>179</c:v>
                </c:pt>
                <c:pt idx="3260">
                  <c:v>231</c:v>
                </c:pt>
                <c:pt idx="3261">
                  <c:v>262</c:v>
                </c:pt>
                <c:pt idx="3262">
                  <c:v>106</c:v>
                </c:pt>
                <c:pt idx="3263">
                  <c:v>56</c:v>
                </c:pt>
                <c:pt idx="3264">
                  <c:v>186</c:v>
                </c:pt>
                <c:pt idx="3265">
                  <c:v>259</c:v>
                </c:pt>
                <c:pt idx="3266">
                  <c:v>218</c:v>
                </c:pt>
                <c:pt idx="3267">
                  <c:v>231</c:v>
                </c:pt>
                <c:pt idx="3268">
                  <c:v>546</c:v>
                </c:pt>
                <c:pt idx="3269">
                  <c:v>294</c:v>
                </c:pt>
                <c:pt idx="3270">
                  <c:v>376</c:v>
                </c:pt>
                <c:pt idx="3271">
                  <c:v>286</c:v>
                </c:pt>
                <c:pt idx="3272">
                  <c:v>158</c:v>
                </c:pt>
                <c:pt idx="3273">
                  <c:v>392</c:v>
                </c:pt>
                <c:pt idx="3274">
                  <c:v>276</c:v>
                </c:pt>
                <c:pt idx="3275">
                  <c:v>380</c:v>
                </c:pt>
                <c:pt idx="3276">
                  <c:v>244</c:v>
                </c:pt>
                <c:pt idx="3277">
                  <c:v>202</c:v>
                </c:pt>
                <c:pt idx="3278">
                  <c:v>236</c:v>
                </c:pt>
                <c:pt idx="3279">
                  <c:v>281</c:v>
                </c:pt>
                <c:pt idx="3280">
                  <c:v>376</c:v>
                </c:pt>
                <c:pt idx="3281">
                  <c:v>258</c:v>
                </c:pt>
                <c:pt idx="3282">
                  <c:v>293</c:v>
                </c:pt>
                <c:pt idx="3283">
                  <c:v>254</c:v>
                </c:pt>
                <c:pt idx="3284">
                  <c:v>341</c:v>
                </c:pt>
                <c:pt idx="3285">
                  <c:v>294</c:v>
                </c:pt>
                <c:pt idx="3286">
                  <c:v>217</c:v>
                </c:pt>
                <c:pt idx="3287">
                  <c:v>219</c:v>
                </c:pt>
                <c:pt idx="3288">
                  <c:v>157</c:v>
                </c:pt>
                <c:pt idx="3289">
                  <c:v>220</c:v>
                </c:pt>
                <c:pt idx="3290">
                  <c:v>123</c:v>
                </c:pt>
                <c:pt idx="3291">
                  <c:v>346</c:v>
                </c:pt>
                <c:pt idx="3292">
                  <c:v>231</c:v>
                </c:pt>
                <c:pt idx="3293">
                  <c:v>306</c:v>
                </c:pt>
                <c:pt idx="3294">
                  <c:v>213</c:v>
                </c:pt>
                <c:pt idx="3295">
                  <c:v>280</c:v>
                </c:pt>
                <c:pt idx="3296">
                  <c:v>307</c:v>
                </c:pt>
                <c:pt idx="3297">
                  <c:v>304</c:v>
                </c:pt>
                <c:pt idx="3298">
                  <c:v>262</c:v>
                </c:pt>
                <c:pt idx="3299">
                  <c:v>171</c:v>
                </c:pt>
                <c:pt idx="3300">
                  <c:v>300</c:v>
                </c:pt>
                <c:pt idx="3301">
                  <c:v>188</c:v>
                </c:pt>
                <c:pt idx="3302">
                  <c:v>238</c:v>
                </c:pt>
                <c:pt idx="3303">
                  <c:v>441</c:v>
                </c:pt>
                <c:pt idx="3304">
                  <c:v>269</c:v>
                </c:pt>
                <c:pt idx="3305">
                  <c:v>502</c:v>
                </c:pt>
                <c:pt idx="3306">
                  <c:v>178</c:v>
                </c:pt>
                <c:pt idx="3307">
                  <c:v>286</c:v>
                </c:pt>
                <c:pt idx="3308">
                  <c:v>248</c:v>
                </c:pt>
                <c:pt idx="3309">
                  <c:v>194</c:v>
                </c:pt>
                <c:pt idx="3310">
                  <c:v>300</c:v>
                </c:pt>
                <c:pt idx="3311">
                  <c:v>326</c:v>
                </c:pt>
                <c:pt idx="3312">
                  <c:v>282</c:v>
                </c:pt>
                <c:pt idx="3313">
                  <c:v>219</c:v>
                </c:pt>
                <c:pt idx="3314">
                  <c:v>95</c:v>
                </c:pt>
                <c:pt idx="3315">
                  <c:v>260</c:v>
                </c:pt>
                <c:pt idx="3316">
                  <c:v>190</c:v>
                </c:pt>
                <c:pt idx="3317">
                  <c:v>215</c:v>
                </c:pt>
                <c:pt idx="3318">
                  <c:v>320</c:v>
                </c:pt>
                <c:pt idx="3319">
                  <c:v>277</c:v>
                </c:pt>
                <c:pt idx="3320">
                  <c:v>323</c:v>
                </c:pt>
                <c:pt idx="3321">
                  <c:v>296</c:v>
                </c:pt>
                <c:pt idx="3322">
                  <c:v>272</c:v>
                </c:pt>
                <c:pt idx="3323">
                  <c:v>154</c:v>
                </c:pt>
                <c:pt idx="3324">
                  <c:v>270</c:v>
                </c:pt>
                <c:pt idx="3325">
                  <c:v>259</c:v>
                </c:pt>
                <c:pt idx="3326">
                  <c:v>183</c:v>
                </c:pt>
                <c:pt idx="3327">
                  <c:v>360</c:v>
                </c:pt>
                <c:pt idx="3328">
                  <c:v>140</c:v>
                </c:pt>
                <c:pt idx="3329">
                  <c:v>176</c:v>
                </c:pt>
                <c:pt idx="3330">
                  <c:v>143</c:v>
                </c:pt>
                <c:pt idx="3331">
                  <c:v>187</c:v>
                </c:pt>
                <c:pt idx="3332">
                  <c:v>400</c:v>
                </c:pt>
                <c:pt idx="3333">
                  <c:v>118</c:v>
                </c:pt>
                <c:pt idx="3334">
                  <c:v>233</c:v>
                </c:pt>
                <c:pt idx="3335">
                  <c:v>62</c:v>
                </c:pt>
                <c:pt idx="3336">
                  <c:v>96</c:v>
                </c:pt>
                <c:pt idx="3337">
                  <c:v>243</c:v>
                </c:pt>
                <c:pt idx="3338">
                  <c:v>182</c:v>
                </c:pt>
                <c:pt idx="3339">
                  <c:v>225</c:v>
                </c:pt>
                <c:pt idx="3340">
                  <c:v>190</c:v>
                </c:pt>
                <c:pt idx="3341">
                  <c:v>125</c:v>
                </c:pt>
                <c:pt idx="3342">
                  <c:v>154</c:v>
                </c:pt>
                <c:pt idx="3343">
                  <c:v>173</c:v>
                </c:pt>
                <c:pt idx="3344">
                  <c:v>168</c:v>
                </c:pt>
                <c:pt idx="3345">
                  <c:v>189</c:v>
                </c:pt>
                <c:pt idx="3346">
                  <c:v>232</c:v>
                </c:pt>
                <c:pt idx="3347">
                  <c:v>225</c:v>
                </c:pt>
                <c:pt idx="3348">
                  <c:v>186</c:v>
                </c:pt>
                <c:pt idx="3349">
                  <c:v>100</c:v>
                </c:pt>
                <c:pt idx="3350">
                  <c:v>231</c:v>
                </c:pt>
                <c:pt idx="3351">
                  <c:v>147</c:v>
                </c:pt>
                <c:pt idx="3352">
                  <c:v>330</c:v>
                </c:pt>
                <c:pt idx="3353">
                  <c:v>281</c:v>
                </c:pt>
                <c:pt idx="3354">
                  <c:v>220</c:v>
                </c:pt>
                <c:pt idx="3355">
                  <c:v>195</c:v>
                </c:pt>
                <c:pt idx="3356">
                  <c:v>187</c:v>
                </c:pt>
                <c:pt idx="3357">
                  <c:v>210</c:v>
                </c:pt>
                <c:pt idx="3358">
                  <c:v>215</c:v>
                </c:pt>
                <c:pt idx="3359">
                  <c:v>343</c:v>
                </c:pt>
                <c:pt idx="3360">
                  <c:v>170</c:v>
                </c:pt>
                <c:pt idx="3361">
                  <c:v>263</c:v>
                </c:pt>
                <c:pt idx="3362">
                  <c:v>217</c:v>
                </c:pt>
                <c:pt idx="3363">
                  <c:v>243</c:v>
                </c:pt>
                <c:pt idx="3364">
                  <c:v>212</c:v>
                </c:pt>
                <c:pt idx="3365">
                  <c:v>459</c:v>
                </c:pt>
                <c:pt idx="3366">
                  <c:v>279</c:v>
                </c:pt>
                <c:pt idx="3367">
                  <c:v>355</c:v>
                </c:pt>
                <c:pt idx="3368">
                  <c:v>359</c:v>
                </c:pt>
                <c:pt idx="3369">
                  <c:v>266</c:v>
                </c:pt>
                <c:pt idx="3370">
                  <c:v>284</c:v>
                </c:pt>
                <c:pt idx="3371">
                  <c:v>218</c:v>
                </c:pt>
                <c:pt idx="3372">
                  <c:v>265</c:v>
                </c:pt>
                <c:pt idx="3373">
                  <c:v>409</c:v>
                </c:pt>
                <c:pt idx="3374">
                  <c:v>361</c:v>
                </c:pt>
                <c:pt idx="3375">
                  <c:v>332</c:v>
                </c:pt>
                <c:pt idx="3376">
                  <c:v>335</c:v>
                </c:pt>
                <c:pt idx="3377">
                  <c:v>215</c:v>
                </c:pt>
                <c:pt idx="3378">
                  <c:v>363</c:v>
                </c:pt>
                <c:pt idx="3379">
                  <c:v>153</c:v>
                </c:pt>
                <c:pt idx="3380">
                  <c:v>284</c:v>
                </c:pt>
                <c:pt idx="3381">
                  <c:v>367</c:v>
                </c:pt>
                <c:pt idx="3382">
                  <c:v>276</c:v>
                </c:pt>
                <c:pt idx="3383">
                  <c:v>308</c:v>
                </c:pt>
                <c:pt idx="3384">
                  <c:v>236</c:v>
                </c:pt>
                <c:pt idx="3385">
                  <c:v>374</c:v>
                </c:pt>
                <c:pt idx="3386">
                  <c:v>159</c:v>
                </c:pt>
                <c:pt idx="3387">
                  <c:v>206</c:v>
                </c:pt>
                <c:pt idx="3388">
                  <c:v>484</c:v>
                </c:pt>
                <c:pt idx="3389">
                  <c:v>2000</c:v>
                </c:pt>
                <c:pt idx="3390">
                  <c:v>2625</c:v>
                </c:pt>
                <c:pt idx="3391">
                  <c:v>2625</c:v>
                </c:pt>
                <c:pt idx="3392">
                  <c:v>2500</c:v>
                </c:pt>
                <c:pt idx="3393">
                  <c:v>2625</c:v>
                </c:pt>
                <c:pt idx="3394">
                  <c:v>2406</c:v>
                </c:pt>
                <c:pt idx="3395">
                  <c:v>1969</c:v>
                </c:pt>
                <c:pt idx="3396">
                  <c:v>2406</c:v>
                </c:pt>
                <c:pt idx="3397">
                  <c:v>2438</c:v>
                </c:pt>
                <c:pt idx="3398">
                  <c:v>2063</c:v>
                </c:pt>
                <c:pt idx="3399">
                  <c:v>2188</c:v>
                </c:pt>
                <c:pt idx="3400">
                  <c:v>1500</c:v>
                </c:pt>
                <c:pt idx="3401">
                  <c:v>1500</c:v>
                </c:pt>
                <c:pt idx="3402">
                  <c:v>1094</c:v>
                </c:pt>
                <c:pt idx="3403">
                  <c:v>1313</c:v>
                </c:pt>
                <c:pt idx="3404">
                  <c:v>2063</c:v>
                </c:pt>
                <c:pt idx="3405">
                  <c:v>1969</c:v>
                </c:pt>
                <c:pt idx="3406">
                  <c:v>1531</c:v>
                </c:pt>
                <c:pt idx="3407">
                  <c:v>1969</c:v>
                </c:pt>
                <c:pt idx="3408">
                  <c:v>1750</c:v>
                </c:pt>
                <c:pt idx="3409">
                  <c:v>1500</c:v>
                </c:pt>
                <c:pt idx="3410">
                  <c:v>1500</c:v>
                </c:pt>
                <c:pt idx="3411">
                  <c:v>1688</c:v>
                </c:pt>
                <c:pt idx="3412">
                  <c:v>1688</c:v>
                </c:pt>
                <c:pt idx="3413">
                  <c:v>1719</c:v>
                </c:pt>
                <c:pt idx="3414">
                  <c:v>2750</c:v>
                </c:pt>
                <c:pt idx="3415">
                  <c:v>1563</c:v>
                </c:pt>
                <c:pt idx="3416">
                  <c:v>1125</c:v>
                </c:pt>
                <c:pt idx="3417">
                  <c:v>2250</c:v>
                </c:pt>
                <c:pt idx="3418">
                  <c:v>2500</c:v>
                </c:pt>
                <c:pt idx="3419">
                  <c:v>2250</c:v>
                </c:pt>
                <c:pt idx="3420">
                  <c:v>2500</c:v>
                </c:pt>
                <c:pt idx="3421">
                  <c:v>2063</c:v>
                </c:pt>
                <c:pt idx="3422">
                  <c:v>1750</c:v>
                </c:pt>
                <c:pt idx="3423">
                  <c:v>2188</c:v>
                </c:pt>
                <c:pt idx="3424">
                  <c:v>2000</c:v>
                </c:pt>
                <c:pt idx="3425">
                  <c:v>1000</c:v>
                </c:pt>
                <c:pt idx="3426">
                  <c:v>875</c:v>
                </c:pt>
                <c:pt idx="3427">
                  <c:v>1313</c:v>
                </c:pt>
                <c:pt idx="3428">
                  <c:v>2188</c:v>
                </c:pt>
                <c:pt idx="3429">
                  <c:v>2406</c:v>
                </c:pt>
                <c:pt idx="3430">
                  <c:v>1688</c:v>
                </c:pt>
                <c:pt idx="3431">
                  <c:v>2406</c:v>
                </c:pt>
                <c:pt idx="3432">
                  <c:v>1125</c:v>
                </c:pt>
                <c:pt idx="3433">
                  <c:v>1750</c:v>
                </c:pt>
                <c:pt idx="3434">
                  <c:v>2188</c:v>
                </c:pt>
                <c:pt idx="3435">
                  <c:v>1500</c:v>
                </c:pt>
                <c:pt idx="3436">
                  <c:v>2188</c:v>
                </c:pt>
                <c:pt idx="3437">
                  <c:v>3750</c:v>
                </c:pt>
                <c:pt idx="3438">
                  <c:v>1313</c:v>
                </c:pt>
                <c:pt idx="3439">
                  <c:v>1313</c:v>
                </c:pt>
                <c:pt idx="3440">
                  <c:v>2813</c:v>
                </c:pt>
                <c:pt idx="3441">
                  <c:v>1875</c:v>
                </c:pt>
                <c:pt idx="3442">
                  <c:v>938</c:v>
                </c:pt>
                <c:pt idx="3443">
                  <c:v>2188</c:v>
                </c:pt>
                <c:pt idx="3444">
                  <c:v>1313</c:v>
                </c:pt>
                <c:pt idx="3445">
                  <c:v>1313</c:v>
                </c:pt>
                <c:pt idx="3446">
                  <c:v>2813</c:v>
                </c:pt>
                <c:pt idx="3447">
                  <c:v>1313</c:v>
                </c:pt>
                <c:pt idx="3448">
                  <c:v>875</c:v>
                </c:pt>
                <c:pt idx="3449">
                  <c:v>875</c:v>
                </c:pt>
                <c:pt idx="3450">
                  <c:v>1688</c:v>
                </c:pt>
                <c:pt idx="3451">
                  <c:v>1531</c:v>
                </c:pt>
                <c:pt idx="3452">
                  <c:v>1688</c:v>
                </c:pt>
                <c:pt idx="3453">
                  <c:v>1531</c:v>
                </c:pt>
                <c:pt idx="3454">
                  <c:v>1094</c:v>
                </c:pt>
                <c:pt idx="3455">
                  <c:v>1875</c:v>
                </c:pt>
                <c:pt idx="3456">
                  <c:v>1875</c:v>
                </c:pt>
                <c:pt idx="3457">
                  <c:v>1750</c:v>
                </c:pt>
                <c:pt idx="3458">
                  <c:v>2250</c:v>
                </c:pt>
                <c:pt idx="3459">
                  <c:v>1750</c:v>
                </c:pt>
                <c:pt idx="3460">
                  <c:v>1500</c:v>
                </c:pt>
                <c:pt idx="3461">
                  <c:v>1688</c:v>
                </c:pt>
                <c:pt idx="3462">
                  <c:v>2500</c:v>
                </c:pt>
                <c:pt idx="3463">
                  <c:v>2250</c:v>
                </c:pt>
                <c:pt idx="3464">
                  <c:v>1313</c:v>
                </c:pt>
                <c:pt idx="3465">
                  <c:v>1313</c:v>
                </c:pt>
                <c:pt idx="3466">
                  <c:v>1875</c:v>
                </c:pt>
                <c:pt idx="3467">
                  <c:v>1688</c:v>
                </c:pt>
                <c:pt idx="3468">
                  <c:v>1531</c:v>
                </c:pt>
                <c:pt idx="3469">
                  <c:v>1688</c:v>
                </c:pt>
                <c:pt idx="3470">
                  <c:v>1531</c:v>
                </c:pt>
                <c:pt idx="3471">
                  <c:v>1250</c:v>
                </c:pt>
                <c:pt idx="3472">
                  <c:v>1875</c:v>
                </c:pt>
                <c:pt idx="3473">
                  <c:v>2000</c:v>
                </c:pt>
                <c:pt idx="3474">
                  <c:v>1094</c:v>
                </c:pt>
                <c:pt idx="3475">
                  <c:v>1563</c:v>
                </c:pt>
                <c:pt idx="3476">
                  <c:v>1406</c:v>
                </c:pt>
                <c:pt idx="3477">
                  <c:v>1719</c:v>
                </c:pt>
                <c:pt idx="3478">
                  <c:v>1719</c:v>
                </c:pt>
                <c:pt idx="3479">
                  <c:v>1750</c:v>
                </c:pt>
                <c:pt idx="3480">
                  <c:v>214</c:v>
                </c:pt>
                <c:pt idx="3481">
                  <c:v>205</c:v>
                </c:pt>
                <c:pt idx="3482">
                  <c:v>388</c:v>
                </c:pt>
                <c:pt idx="3483">
                  <c:v>413</c:v>
                </c:pt>
                <c:pt idx="3484">
                  <c:v>354</c:v>
                </c:pt>
                <c:pt idx="3485">
                  <c:v>178</c:v>
                </c:pt>
                <c:pt idx="3486">
                  <c:v>309</c:v>
                </c:pt>
                <c:pt idx="3487">
                  <c:v>375</c:v>
                </c:pt>
                <c:pt idx="3488">
                  <c:v>268</c:v>
                </c:pt>
                <c:pt idx="3489">
                  <c:v>258</c:v>
                </c:pt>
                <c:pt idx="3490">
                  <c:v>242</c:v>
                </c:pt>
                <c:pt idx="3491">
                  <c:v>265</c:v>
                </c:pt>
                <c:pt idx="3492">
                  <c:v>320</c:v>
                </c:pt>
                <c:pt idx="3493">
                  <c:v>293</c:v>
                </c:pt>
                <c:pt idx="3494">
                  <c:v>300</c:v>
                </c:pt>
                <c:pt idx="3495">
                  <c:v>180</c:v>
                </c:pt>
                <c:pt idx="3496">
                  <c:v>217</c:v>
                </c:pt>
                <c:pt idx="3497">
                  <c:v>203</c:v>
                </c:pt>
                <c:pt idx="3498">
                  <c:v>158</c:v>
                </c:pt>
                <c:pt idx="3499">
                  <c:v>208</c:v>
                </c:pt>
                <c:pt idx="3500">
                  <c:v>212</c:v>
                </c:pt>
                <c:pt idx="3501">
                  <c:v>294</c:v>
                </c:pt>
                <c:pt idx="3502">
                  <c:v>242</c:v>
                </c:pt>
                <c:pt idx="3503">
                  <c:v>351</c:v>
                </c:pt>
                <c:pt idx="3504">
                  <c:v>397</c:v>
                </c:pt>
                <c:pt idx="3505">
                  <c:v>284</c:v>
                </c:pt>
                <c:pt idx="3506">
                  <c:v>573</c:v>
                </c:pt>
                <c:pt idx="3507">
                  <c:v>373</c:v>
                </c:pt>
                <c:pt idx="3508">
                  <c:v>248</c:v>
                </c:pt>
                <c:pt idx="3509">
                  <c:v>310</c:v>
                </c:pt>
                <c:pt idx="3510">
                  <c:v>365</c:v>
                </c:pt>
                <c:pt idx="3511">
                  <c:v>191</c:v>
                </c:pt>
                <c:pt idx="3512">
                  <c:v>238</c:v>
                </c:pt>
                <c:pt idx="3513">
                  <c:v>258</c:v>
                </c:pt>
                <c:pt idx="3514">
                  <c:v>358</c:v>
                </c:pt>
                <c:pt idx="3515">
                  <c:v>286</c:v>
                </c:pt>
                <c:pt idx="3516">
                  <c:v>291</c:v>
                </c:pt>
                <c:pt idx="3517">
                  <c:v>310</c:v>
                </c:pt>
                <c:pt idx="3518">
                  <c:v>124</c:v>
                </c:pt>
                <c:pt idx="3519">
                  <c:v>342</c:v>
                </c:pt>
                <c:pt idx="3520">
                  <c:v>291</c:v>
                </c:pt>
                <c:pt idx="3521">
                  <c:v>387</c:v>
                </c:pt>
                <c:pt idx="3522">
                  <c:v>332</c:v>
                </c:pt>
                <c:pt idx="3523">
                  <c:v>282</c:v>
                </c:pt>
                <c:pt idx="3524">
                  <c:v>167</c:v>
                </c:pt>
                <c:pt idx="3525">
                  <c:v>131</c:v>
                </c:pt>
                <c:pt idx="3526">
                  <c:v>123</c:v>
                </c:pt>
                <c:pt idx="3527">
                  <c:v>212</c:v>
                </c:pt>
                <c:pt idx="3528">
                  <c:v>315</c:v>
                </c:pt>
                <c:pt idx="3529">
                  <c:v>262</c:v>
                </c:pt>
                <c:pt idx="3530">
                  <c:v>403</c:v>
                </c:pt>
                <c:pt idx="3531">
                  <c:v>348</c:v>
                </c:pt>
                <c:pt idx="3532">
                  <c:v>322</c:v>
                </c:pt>
                <c:pt idx="3533">
                  <c:v>237</c:v>
                </c:pt>
                <c:pt idx="3534">
                  <c:v>112</c:v>
                </c:pt>
                <c:pt idx="3535">
                  <c:v>279</c:v>
                </c:pt>
                <c:pt idx="3536">
                  <c:v>309</c:v>
                </c:pt>
                <c:pt idx="3537">
                  <c:v>357</c:v>
                </c:pt>
                <c:pt idx="3538">
                  <c:v>167</c:v>
                </c:pt>
                <c:pt idx="3539">
                  <c:v>126</c:v>
                </c:pt>
                <c:pt idx="3540">
                  <c:v>187</c:v>
                </c:pt>
                <c:pt idx="3541">
                  <c:v>174</c:v>
                </c:pt>
                <c:pt idx="3542">
                  <c:v>209</c:v>
                </c:pt>
                <c:pt idx="3543">
                  <c:v>169</c:v>
                </c:pt>
                <c:pt idx="3544">
                  <c:v>82</c:v>
                </c:pt>
                <c:pt idx="3545">
                  <c:v>78</c:v>
                </c:pt>
                <c:pt idx="3546">
                  <c:v>137</c:v>
                </c:pt>
                <c:pt idx="3547">
                  <c:v>169</c:v>
                </c:pt>
                <c:pt idx="3548">
                  <c:v>165</c:v>
                </c:pt>
                <c:pt idx="3549">
                  <c:v>133</c:v>
                </c:pt>
                <c:pt idx="3550">
                  <c:v>164</c:v>
                </c:pt>
                <c:pt idx="3551">
                  <c:v>146</c:v>
                </c:pt>
                <c:pt idx="3552">
                  <c:v>191</c:v>
                </c:pt>
                <c:pt idx="3553">
                  <c:v>151</c:v>
                </c:pt>
                <c:pt idx="3554">
                  <c:v>160</c:v>
                </c:pt>
                <c:pt idx="3555">
                  <c:v>207</c:v>
                </c:pt>
                <c:pt idx="3556">
                  <c:v>154</c:v>
                </c:pt>
                <c:pt idx="3557">
                  <c:v>184</c:v>
                </c:pt>
                <c:pt idx="3558">
                  <c:v>204</c:v>
                </c:pt>
                <c:pt idx="3559">
                  <c:v>61</c:v>
                </c:pt>
                <c:pt idx="3560">
                  <c:v>156</c:v>
                </c:pt>
                <c:pt idx="3561">
                  <c:v>158</c:v>
                </c:pt>
                <c:pt idx="3562">
                  <c:v>228</c:v>
                </c:pt>
                <c:pt idx="3563">
                  <c:v>85</c:v>
                </c:pt>
                <c:pt idx="3564">
                  <c:v>100</c:v>
                </c:pt>
                <c:pt idx="3565">
                  <c:v>221</c:v>
                </c:pt>
                <c:pt idx="3566">
                  <c:v>207</c:v>
                </c:pt>
                <c:pt idx="3567">
                  <c:v>179</c:v>
                </c:pt>
                <c:pt idx="3568">
                  <c:v>172</c:v>
                </c:pt>
                <c:pt idx="3569">
                  <c:v>154</c:v>
                </c:pt>
                <c:pt idx="3570">
                  <c:v>234</c:v>
                </c:pt>
                <c:pt idx="3571">
                  <c:v>175</c:v>
                </c:pt>
                <c:pt idx="3572">
                  <c:v>232</c:v>
                </c:pt>
                <c:pt idx="3573">
                  <c:v>259</c:v>
                </c:pt>
                <c:pt idx="3574">
                  <c:v>363</c:v>
                </c:pt>
                <c:pt idx="3575">
                  <c:v>401</c:v>
                </c:pt>
                <c:pt idx="3576">
                  <c:v>279</c:v>
                </c:pt>
                <c:pt idx="3577">
                  <c:v>246</c:v>
                </c:pt>
                <c:pt idx="3578">
                  <c:v>207</c:v>
                </c:pt>
                <c:pt idx="3579">
                  <c:v>227</c:v>
                </c:pt>
                <c:pt idx="3580">
                  <c:v>189</c:v>
                </c:pt>
                <c:pt idx="3581">
                  <c:v>205</c:v>
                </c:pt>
                <c:pt idx="3582">
                  <c:v>168</c:v>
                </c:pt>
                <c:pt idx="3583">
                  <c:v>105</c:v>
                </c:pt>
                <c:pt idx="3584">
                  <c:v>225</c:v>
                </c:pt>
                <c:pt idx="3585">
                  <c:v>313</c:v>
                </c:pt>
                <c:pt idx="3586">
                  <c:v>254</c:v>
                </c:pt>
                <c:pt idx="3587">
                  <c:v>283</c:v>
                </c:pt>
                <c:pt idx="3588">
                  <c:v>320</c:v>
                </c:pt>
                <c:pt idx="3589">
                  <c:v>185</c:v>
                </c:pt>
                <c:pt idx="3590">
                  <c:v>257</c:v>
                </c:pt>
                <c:pt idx="3591">
                  <c:v>307</c:v>
                </c:pt>
                <c:pt idx="3592">
                  <c:v>183</c:v>
                </c:pt>
                <c:pt idx="3593">
                  <c:v>117</c:v>
                </c:pt>
                <c:pt idx="3594">
                  <c:v>393</c:v>
                </c:pt>
                <c:pt idx="3595">
                  <c:v>418</c:v>
                </c:pt>
                <c:pt idx="3596">
                  <c:v>257</c:v>
                </c:pt>
                <c:pt idx="3597">
                  <c:v>400</c:v>
                </c:pt>
                <c:pt idx="3598">
                  <c:v>338</c:v>
                </c:pt>
                <c:pt idx="3599">
                  <c:v>351</c:v>
                </c:pt>
                <c:pt idx="3600">
                  <c:v>217</c:v>
                </c:pt>
                <c:pt idx="3601">
                  <c:v>179</c:v>
                </c:pt>
                <c:pt idx="3602">
                  <c:v>125</c:v>
                </c:pt>
                <c:pt idx="3603">
                  <c:v>131</c:v>
                </c:pt>
                <c:pt idx="3604">
                  <c:v>143</c:v>
                </c:pt>
                <c:pt idx="3605">
                  <c:v>150</c:v>
                </c:pt>
                <c:pt idx="3606">
                  <c:v>127</c:v>
                </c:pt>
                <c:pt idx="3607">
                  <c:v>187</c:v>
                </c:pt>
                <c:pt idx="3608">
                  <c:v>177</c:v>
                </c:pt>
                <c:pt idx="3609">
                  <c:v>120</c:v>
                </c:pt>
                <c:pt idx="3610">
                  <c:v>191</c:v>
                </c:pt>
                <c:pt idx="3611">
                  <c:v>150</c:v>
                </c:pt>
                <c:pt idx="3612">
                  <c:v>122</c:v>
                </c:pt>
                <c:pt idx="3613">
                  <c:v>64</c:v>
                </c:pt>
                <c:pt idx="3614">
                  <c:v>120</c:v>
                </c:pt>
                <c:pt idx="3615">
                  <c:v>207</c:v>
                </c:pt>
                <c:pt idx="3616">
                  <c:v>228</c:v>
                </c:pt>
                <c:pt idx="3617">
                  <c:v>305</c:v>
                </c:pt>
                <c:pt idx="3618">
                  <c:v>354</c:v>
                </c:pt>
                <c:pt idx="3619">
                  <c:v>199</c:v>
                </c:pt>
                <c:pt idx="3620">
                  <c:v>224</c:v>
                </c:pt>
                <c:pt idx="3621">
                  <c:v>299</c:v>
                </c:pt>
                <c:pt idx="3622">
                  <c:v>288</c:v>
                </c:pt>
                <c:pt idx="3623">
                  <c:v>187</c:v>
                </c:pt>
                <c:pt idx="3624">
                  <c:v>250</c:v>
                </c:pt>
                <c:pt idx="3625">
                  <c:v>217</c:v>
                </c:pt>
                <c:pt idx="3626">
                  <c:v>310</c:v>
                </c:pt>
                <c:pt idx="3627">
                  <c:v>273</c:v>
                </c:pt>
                <c:pt idx="3628">
                  <c:v>126</c:v>
                </c:pt>
                <c:pt idx="3629">
                  <c:v>253</c:v>
                </c:pt>
                <c:pt idx="3630">
                  <c:v>286</c:v>
                </c:pt>
                <c:pt idx="3631">
                  <c:v>240</c:v>
                </c:pt>
                <c:pt idx="3632">
                  <c:v>402</c:v>
                </c:pt>
                <c:pt idx="3633">
                  <c:v>230</c:v>
                </c:pt>
                <c:pt idx="3634">
                  <c:v>187</c:v>
                </c:pt>
                <c:pt idx="3635">
                  <c:v>253</c:v>
                </c:pt>
                <c:pt idx="3636">
                  <c:v>146</c:v>
                </c:pt>
                <c:pt idx="3637">
                  <c:v>132</c:v>
                </c:pt>
                <c:pt idx="3638">
                  <c:v>90</c:v>
                </c:pt>
                <c:pt idx="3639">
                  <c:v>456</c:v>
                </c:pt>
                <c:pt idx="3640">
                  <c:v>348</c:v>
                </c:pt>
                <c:pt idx="3641">
                  <c:v>299</c:v>
                </c:pt>
                <c:pt idx="3642">
                  <c:v>395</c:v>
                </c:pt>
                <c:pt idx="3643">
                  <c:v>412</c:v>
                </c:pt>
                <c:pt idx="3644">
                  <c:v>240</c:v>
                </c:pt>
                <c:pt idx="3645">
                  <c:v>388</c:v>
                </c:pt>
                <c:pt idx="3646">
                  <c:v>490</c:v>
                </c:pt>
                <c:pt idx="3647">
                  <c:v>613</c:v>
                </c:pt>
                <c:pt idx="3648">
                  <c:v>346</c:v>
                </c:pt>
                <c:pt idx="3649">
                  <c:v>278</c:v>
                </c:pt>
                <c:pt idx="3650">
                  <c:v>203</c:v>
                </c:pt>
                <c:pt idx="3651">
                  <c:v>317</c:v>
                </c:pt>
                <c:pt idx="3652">
                  <c:v>464</c:v>
                </c:pt>
                <c:pt idx="3653">
                  <c:v>288</c:v>
                </c:pt>
                <c:pt idx="3654">
                  <c:v>229</c:v>
                </c:pt>
                <c:pt idx="3655">
                  <c:v>318</c:v>
                </c:pt>
                <c:pt idx="3656">
                  <c:v>330</c:v>
                </c:pt>
                <c:pt idx="3657">
                  <c:v>325</c:v>
                </c:pt>
                <c:pt idx="3658">
                  <c:v>270</c:v>
                </c:pt>
                <c:pt idx="3659">
                  <c:v>232</c:v>
                </c:pt>
                <c:pt idx="3660">
                  <c:v>212</c:v>
                </c:pt>
                <c:pt idx="3661">
                  <c:v>177</c:v>
                </c:pt>
                <c:pt idx="3662">
                  <c:v>180</c:v>
                </c:pt>
                <c:pt idx="3663">
                  <c:v>343</c:v>
                </c:pt>
                <c:pt idx="3664">
                  <c:v>184</c:v>
                </c:pt>
                <c:pt idx="3665">
                  <c:v>256</c:v>
                </c:pt>
                <c:pt idx="3666">
                  <c:v>226</c:v>
                </c:pt>
                <c:pt idx="3667">
                  <c:v>282</c:v>
                </c:pt>
                <c:pt idx="3668">
                  <c:v>307</c:v>
                </c:pt>
                <c:pt idx="3669">
                  <c:v>300</c:v>
                </c:pt>
                <c:pt idx="3670">
                  <c:v>279</c:v>
                </c:pt>
                <c:pt idx="3671">
                  <c:v>330</c:v>
                </c:pt>
                <c:pt idx="3672">
                  <c:v>84</c:v>
                </c:pt>
                <c:pt idx="3673">
                  <c:v>349</c:v>
                </c:pt>
                <c:pt idx="3674">
                  <c:v>354</c:v>
                </c:pt>
                <c:pt idx="3675">
                  <c:v>294</c:v>
                </c:pt>
                <c:pt idx="3676">
                  <c:v>372</c:v>
                </c:pt>
                <c:pt idx="3677">
                  <c:v>259</c:v>
                </c:pt>
                <c:pt idx="3678">
                  <c:v>368</c:v>
                </c:pt>
                <c:pt idx="3679">
                  <c:v>300</c:v>
                </c:pt>
                <c:pt idx="3680">
                  <c:v>308</c:v>
                </c:pt>
                <c:pt idx="3681">
                  <c:v>374</c:v>
                </c:pt>
                <c:pt idx="3682">
                  <c:v>254</c:v>
                </c:pt>
                <c:pt idx="3683">
                  <c:v>181</c:v>
                </c:pt>
                <c:pt idx="3684">
                  <c:v>140</c:v>
                </c:pt>
                <c:pt idx="3685">
                  <c:v>201</c:v>
                </c:pt>
                <c:pt idx="3686">
                  <c:v>206</c:v>
                </c:pt>
                <c:pt idx="3687">
                  <c:v>168</c:v>
                </c:pt>
                <c:pt idx="3688">
                  <c:v>141</c:v>
                </c:pt>
                <c:pt idx="3689">
                  <c:v>141</c:v>
                </c:pt>
                <c:pt idx="3690">
                  <c:v>201</c:v>
                </c:pt>
                <c:pt idx="3691">
                  <c:v>211</c:v>
                </c:pt>
                <c:pt idx="3692">
                  <c:v>202</c:v>
                </c:pt>
                <c:pt idx="3693">
                  <c:v>160</c:v>
                </c:pt>
                <c:pt idx="3694">
                  <c:v>143</c:v>
                </c:pt>
                <c:pt idx="3695">
                  <c:v>217</c:v>
                </c:pt>
                <c:pt idx="3696">
                  <c:v>163</c:v>
                </c:pt>
                <c:pt idx="3697">
                  <c:v>138</c:v>
                </c:pt>
                <c:pt idx="3698">
                  <c:v>193</c:v>
                </c:pt>
                <c:pt idx="3699">
                  <c:v>201</c:v>
                </c:pt>
                <c:pt idx="3700">
                  <c:v>86</c:v>
                </c:pt>
                <c:pt idx="3701">
                  <c:v>107</c:v>
                </c:pt>
                <c:pt idx="3702">
                  <c:v>127</c:v>
                </c:pt>
                <c:pt idx="3703">
                  <c:v>181</c:v>
                </c:pt>
                <c:pt idx="3704">
                  <c:v>192</c:v>
                </c:pt>
                <c:pt idx="3705">
                  <c:v>231</c:v>
                </c:pt>
                <c:pt idx="3706">
                  <c:v>197</c:v>
                </c:pt>
                <c:pt idx="3707">
                  <c:v>206</c:v>
                </c:pt>
                <c:pt idx="3708">
                  <c:v>259</c:v>
                </c:pt>
                <c:pt idx="3709">
                  <c:v>264</c:v>
                </c:pt>
                <c:pt idx="3710">
                  <c:v>300</c:v>
                </c:pt>
                <c:pt idx="3711">
                  <c:v>385</c:v>
                </c:pt>
                <c:pt idx="3712">
                  <c:v>174</c:v>
                </c:pt>
                <c:pt idx="3713">
                  <c:v>335</c:v>
                </c:pt>
                <c:pt idx="3714">
                  <c:v>259</c:v>
                </c:pt>
                <c:pt idx="3715">
                  <c:v>330</c:v>
                </c:pt>
                <c:pt idx="3716">
                  <c:v>221</c:v>
                </c:pt>
                <c:pt idx="3717">
                  <c:v>288</c:v>
                </c:pt>
                <c:pt idx="3718">
                  <c:v>189</c:v>
                </c:pt>
                <c:pt idx="3719">
                  <c:v>255</c:v>
                </c:pt>
                <c:pt idx="3720">
                  <c:v>190</c:v>
                </c:pt>
                <c:pt idx="3721">
                  <c:v>206</c:v>
                </c:pt>
                <c:pt idx="3722">
                  <c:v>98</c:v>
                </c:pt>
                <c:pt idx="3723">
                  <c:v>389</c:v>
                </c:pt>
                <c:pt idx="3724">
                  <c:v>316</c:v>
                </c:pt>
                <c:pt idx="3725">
                  <c:v>185</c:v>
                </c:pt>
                <c:pt idx="3726">
                  <c:v>224</c:v>
                </c:pt>
                <c:pt idx="3727">
                  <c:v>182</c:v>
                </c:pt>
                <c:pt idx="3728">
                  <c:v>372</c:v>
                </c:pt>
                <c:pt idx="3729">
                  <c:v>445</c:v>
                </c:pt>
                <c:pt idx="3730">
                  <c:v>133</c:v>
                </c:pt>
                <c:pt idx="3731">
                  <c:v>166</c:v>
                </c:pt>
                <c:pt idx="3732">
                  <c:v>247</c:v>
                </c:pt>
                <c:pt idx="3733">
                  <c:v>343</c:v>
                </c:pt>
                <c:pt idx="3734">
                  <c:v>283</c:v>
                </c:pt>
                <c:pt idx="3735">
                  <c:v>268</c:v>
                </c:pt>
                <c:pt idx="3736">
                  <c:v>212</c:v>
                </c:pt>
                <c:pt idx="3737">
                  <c:v>321</c:v>
                </c:pt>
                <c:pt idx="3738">
                  <c:v>186</c:v>
                </c:pt>
                <c:pt idx="3739">
                  <c:v>311</c:v>
                </c:pt>
                <c:pt idx="3740">
                  <c:v>292</c:v>
                </c:pt>
                <c:pt idx="3741">
                  <c:v>220</c:v>
                </c:pt>
                <c:pt idx="3742">
                  <c:v>252</c:v>
                </c:pt>
                <c:pt idx="3743">
                  <c:v>290</c:v>
                </c:pt>
                <c:pt idx="3744">
                  <c:v>198</c:v>
                </c:pt>
                <c:pt idx="3745">
                  <c:v>404</c:v>
                </c:pt>
                <c:pt idx="3746">
                  <c:v>169</c:v>
                </c:pt>
                <c:pt idx="3747">
                  <c:v>296</c:v>
                </c:pt>
                <c:pt idx="3748">
                  <c:v>133</c:v>
                </c:pt>
                <c:pt idx="3749">
                  <c:v>195</c:v>
                </c:pt>
                <c:pt idx="3750">
                  <c:v>181</c:v>
                </c:pt>
                <c:pt idx="3751">
                  <c:v>135</c:v>
                </c:pt>
                <c:pt idx="3752">
                  <c:v>181</c:v>
                </c:pt>
                <c:pt idx="3753">
                  <c:v>213</c:v>
                </c:pt>
                <c:pt idx="3754">
                  <c:v>110</c:v>
                </c:pt>
                <c:pt idx="3755">
                  <c:v>141</c:v>
                </c:pt>
                <c:pt idx="3756">
                  <c:v>129</c:v>
                </c:pt>
                <c:pt idx="3757">
                  <c:v>75</c:v>
                </c:pt>
                <c:pt idx="3758">
                  <c:v>230</c:v>
                </c:pt>
                <c:pt idx="3759">
                  <c:v>207</c:v>
                </c:pt>
                <c:pt idx="3760">
                  <c:v>280</c:v>
                </c:pt>
                <c:pt idx="3761">
                  <c:v>301</c:v>
                </c:pt>
                <c:pt idx="3762">
                  <c:v>190</c:v>
                </c:pt>
                <c:pt idx="3763">
                  <c:v>259</c:v>
                </c:pt>
                <c:pt idx="3764">
                  <c:v>315</c:v>
                </c:pt>
                <c:pt idx="3765">
                  <c:v>333</c:v>
                </c:pt>
                <c:pt idx="3766">
                  <c:v>173</c:v>
                </c:pt>
                <c:pt idx="3767">
                  <c:v>347</c:v>
                </c:pt>
                <c:pt idx="3768">
                  <c:v>275</c:v>
                </c:pt>
                <c:pt idx="3769">
                  <c:v>287</c:v>
                </c:pt>
                <c:pt idx="3770">
                  <c:v>183</c:v>
                </c:pt>
                <c:pt idx="3771">
                  <c:v>222</c:v>
                </c:pt>
                <c:pt idx="3772">
                  <c:v>201</c:v>
                </c:pt>
                <c:pt idx="3773">
                  <c:v>153</c:v>
                </c:pt>
                <c:pt idx="3774">
                  <c:v>614</c:v>
                </c:pt>
                <c:pt idx="3775">
                  <c:v>262</c:v>
                </c:pt>
                <c:pt idx="3776">
                  <c:v>303</c:v>
                </c:pt>
                <c:pt idx="3777">
                  <c:v>164</c:v>
                </c:pt>
                <c:pt idx="3778">
                  <c:v>252</c:v>
                </c:pt>
                <c:pt idx="3779">
                  <c:v>95</c:v>
                </c:pt>
                <c:pt idx="3780">
                  <c:v>335</c:v>
                </c:pt>
                <c:pt idx="3781">
                  <c:v>84</c:v>
                </c:pt>
                <c:pt idx="3782">
                  <c:v>453</c:v>
                </c:pt>
                <c:pt idx="3783">
                  <c:v>263</c:v>
                </c:pt>
                <c:pt idx="3784">
                  <c:v>333</c:v>
                </c:pt>
                <c:pt idx="3785">
                  <c:v>268</c:v>
                </c:pt>
                <c:pt idx="3786">
                  <c:v>200</c:v>
                </c:pt>
                <c:pt idx="3787">
                  <c:v>377</c:v>
                </c:pt>
                <c:pt idx="3788">
                  <c:v>422</c:v>
                </c:pt>
                <c:pt idx="3789">
                  <c:v>424</c:v>
                </c:pt>
                <c:pt idx="3790">
                  <c:v>212</c:v>
                </c:pt>
                <c:pt idx="3791">
                  <c:v>162</c:v>
                </c:pt>
                <c:pt idx="3792">
                  <c:v>417</c:v>
                </c:pt>
                <c:pt idx="3793">
                  <c:v>116</c:v>
                </c:pt>
                <c:pt idx="3794">
                  <c:v>290</c:v>
                </c:pt>
                <c:pt idx="3795">
                  <c:v>334</c:v>
                </c:pt>
                <c:pt idx="3796">
                  <c:v>226</c:v>
                </c:pt>
                <c:pt idx="3797">
                  <c:v>262</c:v>
                </c:pt>
                <c:pt idx="3798">
                  <c:v>262</c:v>
                </c:pt>
                <c:pt idx="3799">
                  <c:v>271</c:v>
                </c:pt>
                <c:pt idx="3800">
                  <c:v>198</c:v>
                </c:pt>
                <c:pt idx="3801">
                  <c:v>168</c:v>
                </c:pt>
                <c:pt idx="3802">
                  <c:v>220</c:v>
                </c:pt>
                <c:pt idx="3803">
                  <c:v>243</c:v>
                </c:pt>
                <c:pt idx="3804">
                  <c:v>357</c:v>
                </c:pt>
                <c:pt idx="3805">
                  <c:v>249</c:v>
                </c:pt>
                <c:pt idx="3806">
                  <c:v>402</c:v>
                </c:pt>
                <c:pt idx="3807">
                  <c:v>281</c:v>
                </c:pt>
                <c:pt idx="3808">
                  <c:v>319</c:v>
                </c:pt>
                <c:pt idx="3809">
                  <c:v>308</c:v>
                </c:pt>
                <c:pt idx="3810">
                  <c:v>371</c:v>
                </c:pt>
                <c:pt idx="3811">
                  <c:v>197</c:v>
                </c:pt>
                <c:pt idx="3812">
                  <c:v>186</c:v>
                </c:pt>
                <c:pt idx="3813">
                  <c:v>224</c:v>
                </c:pt>
                <c:pt idx="3814">
                  <c:v>166</c:v>
                </c:pt>
                <c:pt idx="3815">
                  <c:v>257</c:v>
                </c:pt>
                <c:pt idx="3816">
                  <c:v>267</c:v>
                </c:pt>
                <c:pt idx="3817">
                  <c:v>252</c:v>
                </c:pt>
                <c:pt idx="3818">
                  <c:v>307</c:v>
                </c:pt>
                <c:pt idx="3819">
                  <c:v>290</c:v>
                </c:pt>
                <c:pt idx="3820">
                  <c:v>363</c:v>
                </c:pt>
                <c:pt idx="3821">
                  <c:v>425</c:v>
                </c:pt>
                <c:pt idx="3822">
                  <c:v>209</c:v>
                </c:pt>
                <c:pt idx="3823">
                  <c:v>155</c:v>
                </c:pt>
                <c:pt idx="3824">
                  <c:v>163</c:v>
                </c:pt>
                <c:pt idx="3825">
                  <c:v>104</c:v>
                </c:pt>
                <c:pt idx="3826">
                  <c:v>195</c:v>
                </c:pt>
                <c:pt idx="3827">
                  <c:v>120</c:v>
                </c:pt>
                <c:pt idx="3828">
                  <c:v>132</c:v>
                </c:pt>
                <c:pt idx="3829">
                  <c:v>114</c:v>
                </c:pt>
                <c:pt idx="3830">
                  <c:v>215</c:v>
                </c:pt>
                <c:pt idx="3831">
                  <c:v>97</c:v>
                </c:pt>
                <c:pt idx="3832">
                  <c:v>194</c:v>
                </c:pt>
                <c:pt idx="3833">
                  <c:v>175</c:v>
                </c:pt>
                <c:pt idx="3834">
                  <c:v>161</c:v>
                </c:pt>
                <c:pt idx="3835">
                  <c:v>182</c:v>
                </c:pt>
                <c:pt idx="3836">
                  <c:v>93</c:v>
                </c:pt>
                <c:pt idx="3837">
                  <c:v>128</c:v>
                </c:pt>
                <c:pt idx="3838">
                  <c:v>136</c:v>
                </c:pt>
                <c:pt idx="3839">
                  <c:v>167</c:v>
                </c:pt>
                <c:pt idx="3840">
                  <c:v>54</c:v>
                </c:pt>
                <c:pt idx="3841">
                  <c:v>172</c:v>
                </c:pt>
                <c:pt idx="3842">
                  <c:v>205</c:v>
                </c:pt>
                <c:pt idx="3843">
                  <c:v>56</c:v>
                </c:pt>
                <c:pt idx="3844">
                  <c:v>235</c:v>
                </c:pt>
                <c:pt idx="3845">
                  <c:v>165</c:v>
                </c:pt>
                <c:pt idx="3846">
                  <c:v>154</c:v>
                </c:pt>
                <c:pt idx="3847">
                  <c:v>209</c:v>
                </c:pt>
                <c:pt idx="3848">
                  <c:v>199</c:v>
                </c:pt>
                <c:pt idx="3849">
                  <c:v>354</c:v>
                </c:pt>
                <c:pt idx="3850">
                  <c:v>206</c:v>
                </c:pt>
                <c:pt idx="3851">
                  <c:v>524</c:v>
                </c:pt>
                <c:pt idx="3852">
                  <c:v>240</c:v>
                </c:pt>
                <c:pt idx="3853">
                  <c:v>276</c:v>
                </c:pt>
                <c:pt idx="3854">
                  <c:v>391</c:v>
                </c:pt>
                <c:pt idx="3855">
                  <c:v>193</c:v>
                </c:pt>
                <c:pt idx="3856">
                  <c:v>188</c:v>
                </c:pt>
                <c:pt idx="3857">
                  <c:v>292</c:v>
                </c:pt>
                <c:pt idx="3858">
                  <c:v>72</c:v>
                </c:pt>
                <c:pt idx="3859">
                  <c:v>107</c:v>
                </c:pt>
                <c:pt idx="3860">
                  <c:v>132</c:v>
                </c:pt>
                <c:pt idx="3861">
                  <c:v>228</c:v>
                </c:pt>
                <c:pt idx="3862">
                  <c:v>309</c:v>
                </c:pt>
                <c:pt idx="3863">
                  <c:v>297</c:v>
                </c:pt>
                <c:pt idx="3864">
                  <c:v>292</c:v>
                </c:pt>
                <c:pt idx="3865">
                  <c:v>311</c:v>
                </c:pt>
                <c:pt idx="3866">
                  <c:v>210</c:v>
                </c:pt>
                <c:pt idx="3867">
                  <c:v>118</c:v>
                </c:pt>
                <c:pt idx="3868">
                  <c:v>353</c:v>
                </c:pt>
                <c:pt idx="3869">
                  <c:v>335</c:v>
                </c:pt>
                <c:pt idx="3870">
                  <c:v>255</c:v>
                </c:pt>
                <c:pt idx="3871">
                  <c:v>180</c:v>
                </c:pt>
                <c:pt idx="3872">
                  <c:v>328</c:v>
                </c:pt>
                <c:pt idx="3873">
                  <c:v>344</c:v>
                </c:pt>
                <c:pt idx="3874">
                  <c:v>373</c:v>
                </c:pt>
                <c:pt idx="3875">
                  <c:v>145</c:v>
                </c:pt>
                <c:pt idx="3876">
                  <c:v>168</c:v>
                </c:pt>
                <c:pt idx="3877">
                  <c:v>173</c:v>
                </c:pt>
                <c:pt idx="3878">
                  <c:v>75</c:v>
                </c:pt>
                <c:pt idx="3879">
                  <c:v>220</c:v>
                </c:pt>
                <c:pt idx="3880">
                  <c:v>151</c:v>
                </c:pt>
                <c:pt idx="3881">
                  <c:v>154</c:v>
                </c:pt>
                <c:pt idx="3882">
                  <c:v>167</c:v>
                </c:pt>
                <c:pt idx="3883">
                  <c:v>161</c:v>
                </c:pt>
                <c:pt idx="3884">
                  <c:v>231</c:v>
                </c:pt>
                <c:pt idx="3885">
                  <c:v>135</c:v>
                </c:pt>
                <c:pt idx="3886">
                  <c:v>131</c:v>
                </c:pt>
                <c:pt idx="3887">
                  <c:v>169</c:v>
                </c:pt>
                <c:pt idx="3888">
                  <c:v>198</c:v>
                </c:pt>
                <c:pt idx="3889">
                  <c:v>206</c:v>
                </c:pt>
                <c:pt idx="3890">
                  <c:v>203</c:v>
                </c:pt>
                <c:pt idx="3891">
                  <c:v>167</c:v>
                </c:pt>
                <c:pt idx="3892">
                  <c:v>353</c:v>
                </c:pt>
                <c:pt idx="3893">
                  <c:v>485</c:v>
                </c:pt>
                <c:pt idx="3894">
                  <c:v>251</c:v>
                </c:pt>
                <c:pt idx="3895">
                  <c:v>345</c:v>
                </c:pt>
                <c:pt idx="3896">
                  <c:v>339</c:v>
                </c:pt>
                <c:pt idx="3897">
                  <c:v>245</c:v>
                </c:pt>
                <c:pt idx="3898">
                  <c:v>228</c:v>
                </c:pt>
                <c:pt idx="3899">
                  <c:v>233</c:v>
                </c:pt>
                <c:pt idx="3900">
                  <c:v>216</c:v>
                </c:pt>
                <c:pt idx="3901">
                  <c:v>426</c:v>
                </c:pt>
                <c:pt idx="3902">
                  <c:v>305</c:v>
                </c:pt>
                <c:pt idx="3903">
                  <c:v>134</c:v>
                </c:pt>
                <c:pt idx="3904">
                  <c:v>354</c:v>
                </c:pt>
                <c:pt idx="3905">
                  <c:v>361</c:v>
                </c:pt>
                <c:pt idx="3906">
                  <c:v>167</c:v>
                </c:pt>
                <c:pt idx="3907">
                  <c:v>281</c:v>
                </c:pt>
                <c:pt idx="3908">
                  <c:v>236</c:v>
                </c:pt>
                <c:pt idx="3909">
                  <c:v>140</c:v>
                </c:pt>
                <c:pt idx="3910">
                  <c:v>260</c:v>
                </c:pt>
                <c:pt idx="3911">
                  <c:v>270</c:v>
                </c:pt>
                <c:pt idx="3912">
                  <c:v>282</c:v>
                </c:pt>
                <c:pt idx="3913">
                  <c:v>97</c:v>
                </c:pt>
                <c:pt idx="3914">
                  <c:v>127</c:v>
                </c:pt>
                <c:pt idx="3915">
                  <c:v>174</c:v>
                </c:pt>
                <c:pt idx="3916">
                  <c:v>161</c:v>
                </c:pt>
                <c:pt idx="3917">
                  <c:v>109</c:v>
                </c:pt>
                <c:pt idx="3918">
                  <c:v>316</c:v>
                </c:pt>
                <c:pt idx="3919">
                  <c:v>154</c:v>
                </c:pt>
                <c:pt idx="3920">
                  <c:v>155</c:v>
                </c:pt>
                <c:pt idx="3921">
                  <c:v>180</c:v>
                </c:pt>
                <c:pt idx="3922">
                  <c:v>232</c:v>
                </c:pt>
                <c:pt idx="3923">
                  <c:v>323</c:v>
                </c:pt>
                <c:pt idx="3924">
                  <c:v>299</c:v>
                </c:pt>
                <c:pt idx="3925">
                  <c:v>218</c:v>
                </c:pt>
                <c:pt idx="3926">
                  <c:v>323</c:v>
                </c:pt>
                <c:pt idx="3927">
                  <c:v>271</c:v>
                </c:pt>
                <c:pt idx="3928">
                  <c:v>311</c:v>
                </c:pt>
                <c:pt idx="3929">
                  <c:v>205</c:v>
                </c:pt>
                <c:pt idx="3930">
                  <c:v>138</c:v>
                </c:pt>
                <c:pt idx="3931">
                  <c:v>215</c:v>
                </c:pt>
                <c:pt idx="3932">
                  <c:v>266</c:v>
                </c:pt>
                <c:pt idx="3933">
                  <c:v>271</c:v>
                </c:pt>
                <c:pt idx="3934">
                  <c:v>281</c:v>
                </c:pt>
                <c:pt idx="3935">
                  <c:v>294</c:v>
                </c:pt>
                <c:pt idx="3936">
                  <c:v>198</c:v>
                </c:pt>
                <c:pt idx="3937">
                  <c:v>155</c:v>
                </c:pt>
                <c:pt idx="3938">
                  <c:v>137</c:v>
                </c:pt>
                <c:pt idx="3939">
                  <c:v>204</c:v>
                </c:pt>
                <c:pt idx="3940">
                  <c:v>317</c:v>
                </c:pt>
                <c:pt idx="3941">
                  <c:v>305</c:v>
                </c:pt>
                <c:pt idx="3942">
                  <c:v>367</c:v>
                </c:pt>
                <c:pt idx="3943">
                  <c:v>301</c:v>
                </c:pt>
                <c:pt idx="3944">
                  <c:v>292</c:v>
                </c:pt>
                <c:pt idx="3945">
                  <c:v>79</c:v>
                </c:pt>
                <c:pt idx="3946">
                  <c:v>223</c:v>
                </c:pt>
                <c:pt idx="3947">
                  <c:v>146</c:v>
                </c:pt>
                <c:pt idx="3948">
                  <c:v>322</c:v>
                </c:pt>
                <c:pt idx="3949">
                  <c:v>155</c:v>
                </c:pt>
                <c:pt idx="3950">
                  <c:v>184</c:v>
                </c:pt>
                <c:pt idx="3951">
                  <c:v>151</c:v>
                </c:pt>
                <c:pt idx="3952">
                  <c:v>167</c:v>
                </c:pt>
                <c:pt idx="3953">
                  <c:v>202</c:v>
                </c:pt>
                <c:pt idx="3954">
                  <c:v>171</c:v>
                </c:pt>
                <c:pt idx="3955">
                  <c:v>134</c:v>
                </c:pt>
                <c:pt idx="3956">
                  <c:v>154</c:v>
                </c:pt>
                <c:pt idx="3957">
                  <c:v>333</c:v>
                </c:pt>
                <c:pt idx="3958">
                  <c:v>286</c:v>
                </c:pt>
                <c:pt idx="3959">
                  <c:v>464</c:v>
                </c:pt>
                <c:pt idx="3960">
                  <c:v>183</c:v>
                </c:pt>
                <c:pt idx="3961">
                  <c:v>300</c:v>
                </c:pt>
                <c:pt idx="3962">
                  <c:v>183</c:v>
                </c:pt>
                <c:pt idx="3963">
                  <c:v>238</c:v>
                </c:pt>
                <c:pt idx="3964">
                  <c:v>167</c:v>
                </c:pt>
                <c:pt idx="3965">
                  <c:v>230</c:v>
                </c:pt>
                <c:pt idx="3966">
                  <c:v>308</c:v>
                </c:pt>
                <c:pt idx="3967">
                  <c:v>316</c:v>
                </c:pt>
                <c:pt idx="3968">
                  <c:v>253</c:v>
                </c:pt>
                <c:pt idx="3969">
                  <c:v>174</c:v>
                </c:pt>
                <c:pt idx="3970">
                  <c:v>296</c:v>
                </c:pt>
                <c:pt idx="3971">
                  <c:v>101</c:v>
                </c:pt>
                <c:pt idx="3972">
                  <c:v>161</c:v>
                </c:pt>
                <c:pt idx="3973">
                  <c:v>132</c:v>
                </c:pt>
                <c:pt idx="3974">
                  <c:v>154</c:v>
                </c:pt>
                <c:pt idx="3975">
                  <c:v>213</c:v>
                </c:pt>
                <c:pt idx="3976">
                  <c:v>260</c:v>
                </c:pt>
                <c:pt idx="3977">
                  <c:v>280</c:v>
                </c:pt>
                <c:pt idx="3978">
                  <c:v>206</c:v>
                </c:pt>
                <c:pt idx="3979">
                  <c:v>285</c:v>
                </c:pt>
                <c:pt idx="3980">
                  <c:v>303</c:v>
                </c:pt>
                <c:pt idx="3981">
                  <c:v>285</c:v>
                </c:pt>
                <c:pt idx="3982">
                  <c:v>228</c:v>
                </c:pt>
                <c:pt idx="3983">
                  <c:v>166</c:v>
                </c:pt>
                <c:pt idx="3984">
                  <c:v>351</c:v>
                </c:pt>
                <c:pt idx="3985">
                  <c:v>350</c:v>
                </c:pt>
                <c:pt idx="3986">
                  <c:v>197</c:v>
                </c:pt>
                <c:pt idx="3987">
                  <c:v>202</c:v>
                </c:pt>
                <c:pt idx="3988">
                  <c:v>297</c:v>
                </c:pt>
                <c:pt idx="3989">
                  <c:v>285</c:v>
                </c:pt>
                <c:pt idx="3990">
                  <c:v>345</c:v>
                </c:pt>
                <c:pt idx="3991">
                  <c:v>320</c:v>
                </c:pt>
                <c:pt idx="3992">
                  <c:v>197</c:v>
                </c:pt>
                <c:pt idx="3993">
                  <c:v>174</c:v>
                </c:pt>
                <c:pt idx="3994">
                  <c:v>210</c:v>
                </c:pt>
                <c:pt idx="3995">
                  <c:v>137</c:v>
                </c:pt>
                <c:pt idx="3996">
                  <c:v>165</c:v>
                </c:pt>
                <c:pt idx="3997">
                  <c:v>130</c:v>
                </c:pt>
                <c:pt idx="3998">
                  <c:v>176</c:v>
                </c:pt>
                <c:pt idx="3999">
                  <c:v>74</c:v>
                </c:pt>
                <c:pt idx="4000">
                  <c:v>40</c:v>
                </c:pt>
                <c:pt idx="4001">
                  <c:v>103</c:v>
                </c:pt>
                <c:pt idx="4002">
                  <c:v>72</c:v>
                </c:pt>
                <c:pt idx="4003">
                  <c:v>66</c:v>
                </c:pt>
                <c:pt idx="4004">
                  <c:v>118</c:v>
                </c:pt>
                <c:pt idx="4005">
                  <c:v>109</c:v>
                </c:pt>
                <c:pt idx="4006">
                  <c:v>273</c:v>
                </c:pt>
                <c:pt idx="4007">
                  <c:v>342</c:v>
                </c:pt>
                <c:pt idx="4008">
                  <c:v>328</c:v>
                </c:pt>
                <c:pt idx="4009">
                  <c:v>127</c:v>
                </c:pt>
                <c:pt idx="4010">
                  <c:v>320</c:v>
                </c:pt>
                <c:pt idx="4011">
                  <c:v>269</c:v>
                </c:pt>
                <c:pt idx="4012">
                  <c:v>242</c:v>
                </c:pt>
                <c:pt idx="4013">
                  <c:v>314</c:v>
                </c:pt>
                <c:pt idx="4014">
                  <c:v>308</c:v>
                </c:pt>
                <c:pt idx="4015">
                  <c:v>190</c:v>
                </c:pt>
                <c:pt idx="4016">
                  <c:v>218</c:v>
                </c:pt>
                <c:pt idx="4017">
                  <c:v>359</c:v>
                </c:pt>
                <c:pt idx="4018">
                  <c:v>446</c:v>
                </c:pt>
                <c:pt idx="4019">
                  <c:v>224</c:v>
                </c:pt>
                <c:pt idx="4020">
                  <c:v>408</c:v>
                </c:pt>
                <c:pt idx="4021">
                  <c:v>140</c:v>
                </c:pt>
                <c:pt idx="4022">
                  <c:v>226</c:v>
                </c:pt>
                <c:pt idx="4023">
                  <c:v>209</c:v>
                </c:pt>
                <c:pt idx="4024">
                  <c:v>328</c:v>
                </c:pt>
                <c:pt idx="4025">
                  <c:v>240</c:v>
                </c:pt>
                <c:pt idx="4026">
                  <c:v>152</c:v>
                </c:pt>
                <c:pt idx="4027">
                  <c:v>168</c:v>
                </c:pt>
                <c:pt idx="4028">
                  <c:v>269</c:v>
                </c:pt>
                <c:pt idx="4029">
                  <c:v>255</c:v>
                </c:pt>
                <c:pt idx="4030">
                  <c:v>333</c:v>
                </c:pt>
                <c:pt idx="4031">
                  <c:v>189</c:v>
                </c:pt>
                <c:pt idx="4032">
                  <c:v>174</c:v>
                </c:pt>
                <c:pt idx="4033">
                  <c:v>225</c:v>
                </c:pt>
                <c:pt idx="4034">
                  <c:v>82</c:v>
                </c:pt>
                <c:pt idx="4035">
                  <c:v>36</c:v>
                </c:pt>
                <c:pt idx="4036">
                  <c:v>87</c:v>
                </c:pt>
                <c:pt idx="4037">
                  <c:v>163</c:v>
                </c:pt>
                <c:pt idx="4038">
                  <c:v>127</c:v>
                </c:pt>
                <c:pt idx="4039">
                  <c:v>186</c:v>
                </c:pt>
                <c:pt idx="4040">
                  <c:v>94</c:v>
                </c:pt>
                <c:pt idx="4041">
                  <c:v>139</c:v>
                </c:pt>
                <c:pt idx="4042">
                  <c:v>78</c:v>
                </c:pt>
                <c:pt idx="4043">
                  <c:v>105</c:v>
                </c:pt>
                <c:pt idx="4044">
                  <c:v>149</c:v>
                </c:pt>
                <c:pt idx="4045">
                  <c:v>109</c:v>
                </c:pt>
                <c:pt idx="4046">
                  <c:v>131</c:v>
                </c:pt>
                <c:pt idx="4047">
                  <c:v>243</c:v>
                </c:pt>
                <c:pt idx="4048">
                  <c:v>238</c:v>
                </c:pt>
                <c:pt idx="4049">
                  <c:v>186</c:v>
                </c:pt>
                <c:pt idx="4050">
                  <c:v>265</c:v>
                </c:pt>
                <c:pt idx="4051">
                  <c:v>147</c:v>
                </c:pt>
                <c:pt idx="4052">
                  <c:v>137</c:v>
                </c:pt>
                <c:pt idx="4053">
                  <c:v>155</c:v>
                </c:pt>
                <c:pt idx="4054">
                  <c:v>471</c:v>
                </c:pt>
                <c:pt idx="4055">
                  <c:v>150</c:v>
                </c:pt>
                <c:pt idx="4056">
                  <c:v>160</c:v>
                </c:pt>
                <c:pt idx="4057">
                  <c:v>188</c:v>
                </c:pt>
                <c:pt idx="4058">
                  <c:v>125</c:v>
                </c:pt>
                <c:pt idx="4059">
                  <c:v>278</c:v>
                </c:pt>
                <c:pt idx="4060">
                  <c:v>123</c:v>
                </c:pt>
                <c:pt idx="4061">
                  <c:v>294</c:v>
                </c:pt>
                <c:pt idx="4062">
                  <c:v>241</c:v>
                </c:pt>
                <c:pt idx="4063">
                  <c:v>134</c:v>
                </c:pt>
                <c:pt idx="4064">
                  <c:v>149</c:v>
                </c:pt>
                <c:pt idx="4065">
                  <c:v>140</c:v>
                </c:pt>
                <c:pt idx="4066">
                  <c:v>79</c:v>
                </c:pt>
                <c:pt idx="4067">
                  <c:v>98</c:v>
                </c:pt>
                <c:pt idx="4068">
                  <c:v>97</c:v>
                </c:pt>
                <c:pt idx="4069">
                  <c:v>157</c:v>
                </c:pt>
                <c:pt idx="4070">
                  <c:v>149</c:v>
                </c:pt>
                <c:pt idx="4071">
                  <c:v>117</c:v>
                </c:pt>
                <c:pt idx="4072">
                  <c:v>156</c:v>
                </c:pt>
                <c:pt idx="4073">
                  <c:v>216</c:v>
                </c:pt>
                <c:pt idx="4074">
                  <c:v>192</c:v>
                </c:pt>
                <c:pt idx="4075">
                  <c:v>155</c:v>
                </c:pt>
                <c:pt idx="4076">
                  <c:v>98</c:v>
                </c:pt>
                <c:pt idx="4077">
                  <c:v>133</c:v>
                </c:pt>
                <c:pt idx="4078">
                  <c:v>169</c:v>
                </c:pt>
                <c:pt idx="4079">
                  <c:v>286</c:v>
                </c:pt>
                <c:pt idx="4080">
                  <c:v>248</c:v>
                </c:pt>
                <c:pt idx="4081">
                  <c:v>246</c:v>
                </c:pt>
                <c:pt idx="4082">
                  <c:v>271</c:v>
                </c:pt>
                <c:pt idx="4083">
                  <c:v>242</c:v>
                </c:pt>
                <c:pt idx="4084">
                  <c:v>244</c:v>
                </c:pt>
                <c:pt idx="4085">
                  <c:v>214</c:v>
                </c:pt>
                <c:pt idx="4086">
                  <c:v>294</c:v>
                </c:pt>
                <c:pt idx="4087">
                  <c:v>327</c:v>
                </c:pt>
                <c:pt idx="4088">
                  <c:v>105</c:v>
                </c:pt>
                <c:pt idx="4089">
                  <c:v>165</c:v>
                </c:pt>
                <c:pt idx="4090">
                  <c:v>99</c:v>
                </c:pt>
                <c:pt idx="4091">
                  <c:v>181</c:v>
                </c:pt>
                <c:pt idx="4092">
                  <c:v>492</c:v>
                </c:pt>
                <c:pt idx="4093">
                  <c:v>254</c:v>
                </c:pt>
                <c:pt idx="4094">
                  <c:v>292</c:v>
                </c:pt>
                <c:pt idx="4095">
                  <c:v>194</c:v>
                </c:pt>
                <c:pt idx="4096">
                  <c:v>150</c:v>
                </c:pt>
                <c:pt idx="4097">
                  <c:v>291</c:v>
                </c:pt>
                <c:pt idx="4098">
                  <c:v>306</c:v>
                </c:pt>
                <c:pt idx="4099">
                  <c:v>285</c:v>
                </c:pt>
                <c:pt idx="4100">
                  <c:v>281</c:v>
                </c:pt>
                <c:pt idx="4101">
                  <c:v>100</c:v>
                </c:pt>
                <c:pt idx="4102">
                  <c:v>277</c:v>
                </c:pt>
                <c:pt idx="4103">
                  <c:v>142</c:v>
                </c:pt>
                <c:pt idx="4104">
                  <c:v>116</c:v>
                </c:pt>
                <c:pt idx="4105">
                  <c:v>44</c:v>
                </c:pt>
                <c:pt idx="4106">
                  <c:v>63</c:v>
                </c:pt>
                <c:pt idx="4107">
                  <c:v>177</c:v>
                </c:pt>
                <c:pt idx="4108">
                  <c:v>107</c:v>
                </c:pt>
                <c:pt idx="4109">
                  <c:v>146</c:v>
                </c:pt>
                <c:pt idx="4110">
                  <c:v>55</c:v>
                </c:pt>
                <c:pt idx="4111">
                  <c:v>124</c:v>
                </c:pt>
                <c:pt idx="4112">
                  <c:v>177</c:v>
                </c:pt>
                <c:pt idx="4113">
                  <c:v>135</c:v>
                </c:pt>
                <c:pt idx="4114">
                  <c:v>189</c:v>
                </c:pt>
                <c:pt idx="4115">
                  <c:v>176</c:v>
                </c:pt>
                <c:pt idx="4116">
                  <c:v>146</c:v>
                </c:pt>
                <c:pt idx="4117">
                  <c:v>332</c:v>
                </c:pt>
                <c:pt idx="4118">
                  <c:v>268</c:v>
                </c:pt>
                <c:pt idx="4119">
                  <c:v>214</c:v>
                </c:pt>
                <c:pt idx="4120">
                  <c:v>229</c:v>
                </c:pt>
                <c:pt idx="4121">
                  <c:v>191</c:v>
                </c:pt>
                <c:pt idx="4122">
                  <c:v>213</c:v>
                </c:pt>
                <c:pt idx="4123">
                  <c:v>235</c:v>
                </c:pt>
                <c:pt idx="4124">
                  <c:v>386</c:v>
                </c:pt>
                <c:pt idx="4125">
                  <c:v>213</c:v>
                </c:pt>
                <c:pt idx="4126">
                  <c:v>267</c:v>
                </c:pt>
                <c:pt idx="4127">
                  <c:v>169</c:v>
                </c:pt>
                <c:pt idx="4128">
                  <c:v>209</c:v>
                </c:pt>
                <c:pt idx="4129">
                  <c:v>346</c:v>
                </c:pt>
                <c:pt idx="4130">
                  <c:v>286</c:v>
                </c:pt>
                <c:pt idx="4131">
                  <c:v>200</c:v>
                </c:pt>
                <c:pt idx="4132">
                  <c:v>192</c:v>
                </c:pt>
                <c:pt idx="4133">
                  <c:v>257</c:v>
                </c:pt>
                <c:pt idx="4134">
                  <c:v>258</c:v>
                </c:pt>
                <c:pt idx="4135">
                  <c:v>107</c:v>
                </c:pt>
                <c:pt idx="4136">
                  <c:v>152</c:v>
                </c:pt>
                <c:pt idx="4137">
                  <c:v>137</c:v>
                </c:pt>
                <c:pt idx="4138">
                  <c:v>166</c:v>
                </c:pt>
                <c:pt idx="4139">
                  <c:v>91</c:v>
                </c:pt>
                <c:pt idx="4140">
                  <c:v>175</c:v>
                </c:pt>
                <c:pt idx="4141">
                  <c:v>331</c:v>
                </c:pt>
                <c:pt idx="4142">
                  <c:v>375</c:v>
                </c:pt>
                <c:pt idx="4143">
                  <c:v>319</c:v>
                </c:pt>
                <c:pt idx="4144">
                  <c:v>337</c:v>
                </c:pt>
                <c:pt idx="4145">
                  <c:v>238</c:v>
                </c:pt>
                <c:pt idx="4146">
                  <c:v>290</c:v>
                </c:pt>
                <c:pt idx="4147">
                  <c:v>205</c:v>
                </c:pt>
                <c:pt idx="4148">
                  <c:v>493</c:v>
                </c:pt>
                <c:pt idx="4149">
                  <c:v>221</c:v>
                </c:pt>
                <c:pt idx="4150">
                  <c:v>336</c:v>
                </c:pt>
                <c:pt idx="4151">
                  <c:v>240</c:v>
                </c:pt>
                <c:pt idx="4152">
                  <c:v>211</c:v>
                </c:pt>
                <c:pt idx="4153">
                  <c:v>236</c:v>
                </c:pt>
                <c:pt idx="4154">
                  <c:v>262</c:v>
                </c:pt>
                <c:pt idx="4155">
                  <c:v>312</c:v>
                </c:pt>
                <c:pt idx="4156">
                  <c:v>174</c:v>
                </c:pt>
                <c:pt idx="4157">
                  <c:v>170</c:v>
                </c:pt>
                <c:pt idx="4158">
                  <c:v>179</c:v>
                </c:pt>
                <c:pt idx="4159">
                  <c:v>284</c:v>
                </c:pt>
                <c:pt idx="4160">
                  <c:v>140</c:v>
                </c:pt>
                <c:pt idx="4161">
                  <c:v>201</c:v>
                </c:pt>
                <c:pt idx="4162">
                  <c:v>197</c:v>
                </c:pt>
                <c:pt idx="4163">
                  <c:v>242</c:v>
                </c:pt>
                <c:pt idx="4164">
                  <c:v>262</c:v>
                </c:pt>
                <c:pt idx="4165">
                  <c:v>222</c:v>
                </c:pt>
                <c:pt idx="4166">
                  <c:v>278</c:v>
                </c:pt>
                <c:pt idx="4167">
                  <c:v>289</c:v>
                </c:pt>
                <c:pt idx="4168">
                  <c:v>189</c:v>
                </c:pt>
                <c:pt idx="4169">
                  <c:v>201</c:v>
                </c:pt>
                <c:pt idx="4170">
                  <c:v>188</c:v>
                </c:pt>
                <c:pt idx="4171">
                  <c:v>249</c:v>
                </c:pt>
                <c:pt idx="4172">
                  <c:v>213</c:v>
                </c:pt>
                <c:pt idx="4173">
                  <c:v>237</c:v>
                </c:pt>
                <c:pt idx="4174">
                  <c:v>264</c:v>
                </c:pt>
                <c:pt idx="4175">
                  <c:v>265</c:v>
                </c:pt>
                <c:pt idx="4176">
                  <c:v>207</c:v>
                </c:pt>
                <c:pt idx="4177">
                  <c:v>121</c:v>
                </c:pt>
                <c:pt idx="4178">
                  <c:v>113</c:v>
                </c:pt>
                <c:pt idx="4179">
                  <c:v>378</c:v>
                </c:pt>
                <c:pt idx="4180">
                  <c:v>237</c:v>
                </c:pt>
                <c:pt idx="4181">
                  <c:v>136</c:v>
                </c:pt>
                <c:pt idx="4182">
                  <c:v>221</c:v>
                </c:pt>
                <c:pt idx="4183">
                  <c:v>213</c:v>
                </c:pt>
                <c:pt idx="4184">
                  <c:v>289</c:v>
                </c:pt>
                <c:pt idx="4185">
                  <c:v>247</c:v>
                </c:pt>
                <c:pt idx="4186">
                  <c:v>289</c:v>
                </c:pt>
                <c:pt idx="4187">
                  <c:v>221</c:v>
                </c:pt>
                <c:pt idx="4188">
                  <c:v>223</c:v>
                </c:pt>
                <c:pt idx="4189">
                  <c:v>232</c:v>
                </c:pt>
                <c:pt idx="4190">
                  <c:v>246</c:v>
                </c:pt>
                <c:pt idx="4191">
                  <c:v>334</c:v>
                </c:pt>
                <c:pt idx="4192">
                  <c:v>191</c:v>
                </c:pt>
                <c:pt idx="4193">
                  <c:v>227</c:v>
                </c:pt>
                <c:pt idx="4194">
                  <c:v>321</c:v>
                </c:pt>
                <c:pt idx="4195">
                  <c:v>80</c:v>
                </c:pt>
                <c:pt idx="4196">
                  <c:v>305</c:v>
                </c:pt>
                <c:pt idx="4197">
                  <c:v>113</c:v>
                </c:pt>
                <c:pt idx="4198">
                  <c:v>145</c:v>
                </c:pt>
                <c:pt idx="4199">
                  <c:v>172</c:v>
                </c:pt>
                <c:pt idx="4200">
                  <c:v>207</c:v>
                </c:pt>
                <c:pt idx="4201">
                  <c:v>92</c:v>
                </c:pt>
                <c:pt idx="4202">
                  <c:v>31</c:v>
                </c:pt>
                <c:pt idx="4203">
                  <c:v>127</c:v>
                </c:pt>
                <c:pt idx="4204">
                  <c:v>160</c:v>
                </c:pt>
                <c:pt idx="4205">
                  <c:v>110</c:v>
                </c:pt>
                <c:pt idx="4206">
                  <c:v>241</c:v>
                </c:pt>
                <c:pt idx="4207">
                  <c:v>164</c:v>
                </c:pt>
                <c:pt idx="4208">
                  <c:v>155</c:v>
                </c:pt>
                <c:pt idx="4209">
                  <c:v>64</c:v>
                </c:pt>
                <c:pt idx="4210">
                  <c:v>179</c:v>
                </c:pt>
                <c:pt idx="4211">
                  <c:v>143</c:v>
                </c:pt>
                <c:pt idx="4212">
                  <c:v>176</c:v>
                </c:pt>
                <c:pt idx="4213">
                  <c:v>140</c:v>
                </c:pt>
                <c:pt idx="4214">
                  <c:v>126</c:v>
                </c:pt>
                <c:pt idx="4215">
                  <c:v>189</c:v>
                </c:pt>
                <c:pt idx="4216">
                  <c:v>114</c:v>
                </c:pt>
                <c:pt idx="4217">
                  <c:v>138</c:v>
                </c:pt>
                <c:pt idx="4218">
                  <c:v>355</c:v>
                </c:pt>
                <c:pt idx="4219">
                  <c:v>287</c:v>
                </c:pt>
                <c:pt idx="4220">
                  <c:v>268</c:v>
                </c:pt>
                <c:pt idx="4221">
                  <c:v>265</c:v>
                </c:pt>
                <c:pt idx="4222">
                  <c:v>293</c:v>
                </c:pt>
                <c:pt idx="4223">
                  <c:v>243</c:v>
                </c:pt>
                <c:pt idx="4224">
                  <c:v>392</c:v>
                </c:pt>
                <c:pt idx="4225">
                  <c:v>430</c:v>
                </c:pt>
                <c:pt idx="4226">
                  <c:v>206</c:v>
                </c:pt>
                <c:pt idx="4227">
                  <c:v>239</c:v>
                </c:pt>
                <c:pt idx="4228">
                  <c:v>162</c:v>
                </c:pt>
                <c:pt idx="4229">
                  <c:v>192</c:v>
                </c:pt>
                <c:pt idx="4230">
                  <c:v>213</c:v>
                </c:pt>
                <c:pt idx="4231">
                  <c:v>203</c:v>
                </c:pt>
                <c:pt idx="4232">
                  <c:v>160</c:v>
                </c:pt>
                <c:pt idx="4233">
                  <c:v>258</c:v>
                </c:pt>
                <c:pt idx="4234">
                  <c:v>270</c:v>
                </c:pt>
                <c:pt idx="4235">
                  <c:v>183</c:v>
                </c:pt>
                <c:pt idx="4236">
                  <c:v>309</c:v>
                </c:pt>
                <c:pt idx="4237">
                  <c:v>324</c:v>
                </c:pt>
                <c:pt idx="4238">
                  <c:v>295</c:v>
                </c:pt>
                <c:pt idx="4239">
                  <c:v>96</c:v>
                </c:pt>
                <c:pt idx="4240">
                  <c:v>52</c:v>
                </c:pt>
                <c:pt idx="4241">
                  <c:v>152</c:v>
                </c:pt>
                <c:pt idx="4242">
                  <c:v>152</c:v>
                </c:pt>
                <c:pt idx="4243">
                  <c:v>142</c:v>
                </c:pt>
                <c:pt idx="4244">
                  <c:v>210</c:v>
                </c:pt>
                <c:pt idx="4245">
                  <c:v>131</c:v>
                </c:pt>
                <c:pt idx="4246">
                  <c:v>204</c:v>
                </c:pt>
                <c:pt idx="4247">
                  <c:v>137</c:v>
                </c:pt>
                <c:pt idx="4248">
                  <c:v>240</c:v>
                </c:pt>
                <c:pt idx="4249">
                  <c:v>260</c:v>
                </c:pt>
                <c:pt idx="4250">
                  <c:v>233</c:v>
                </c:pt>
                <c:pt idx="4251">
                  <c:v>195</c:v>
                </c:pt>
                <c:pt idx="4252">
                  <c:v>198</c:v>
                </c:pt>
                <c:pt idx="4253">
                  <c:v>247</c:v>
                </c:pt>
                <c:pt idx="4254">
                  <c:v>174</c:v>
                </c:pt>
                <c:pt idx="4255">
                  <c:v>265</c:v>
                </c:pt>
                <c:pt idx="4256">
                  <c:v>225</c:v>
                </c:pt>
                <c:pt idx="4257">
                  <c:v>174</c:v>
                </c:pt>
                <c:pt idx="4258">
                  <c:v>143</c:v>
                </c:pt>
                <c:pt idx="4259">
                  <c:v>182</c:v>
                </c:pt>
                <c:pt idx="4260">
                  <c:v>255</c:v>
                </c:pt>
                <c:pt idx="4261">
                  <c:v>255</c:v>
                </c:pt>
                <c:pt idx="4262">
                  <c:v>288</c:v>
                </c:pt>
                <c:pt idx="4263">
                  <c:v>122</c:v>
                </c:pt>
                <c:pt idx="4264">
                  <c:v>125</c:v>
                </c:pt>
                <c:pt idx="4265">
                  <c:v>117</c:v>
                </c:pt>
                <c:pt idx="4266">
                  <c:v>197</c:v>
                </c:pt>
                <c:pt idx="4267">
                  <c:v>240</c:v>
                </c:pt>
                <c:pt idx="4268">
                  <c:v>271</c:v>
                </c:pt>
                <c:pt idx="4269">
                  <c:v>235</c:v>
                </c:pt>
                <c:pt idx="4270">
                  <c:v>276</c:v>
                </c:pt>
                <c:pt idx="4271">
                  <c:v>231</c:v>
                </c:pt>
                <c:pt idx="4272">
                  <c:v>226</c:v>
                </c:pt>
                <c:pt idx="4273">
                  <c:v>271</c:v>
                </c:pt>
                <c:pt idx="4274">
                  <c:v>251</c:v>
                </c:pt>
                <c:pt idx="4275">
                  <c:v>188</c:v>
                </c:pt>
                <c:pt idx="4276">
                  <c:v>129</c:v>
                </c:pt>
                <c:pt idx="4277">
                  <c:v>178</c:v>
                </c:pt>
                <c:pt idx="4278">
                  <c:v>127</c:v>
                </c:pt>
                <c:pt idx="4279">
                  <c:v>167</c:v>
                </c:pt>
                <c:pt idx="4280">
                  <c:v>62</c:v>
                </c:pt>
                <c:pt idx="4281">
                  <c:v>82</c:v>
                </c:pt>
                <c:pt idx="4282">
                  <c:v>83</c:v>
                </c:pt>
                <c:pt idx="4283">
                  <c:v>133</c:v>
                </c:pt>
                <c:pt idx="4284">
                  <c:v>140</c:v>
                </c:pt>
                <c:pt idx="4285">
                  <c:v>143</c:v>
                </c:pt>
                <c:pt idx="4286">
                  <c:v>155</c:v>
                </c:pt>
                <c:pt idx="4287">
                  <c:v>174</c:v>
                </c:pt>
                <c:pt idx="4288">
                  <c:v>251</c:v>
                </c:pt>
                <c:pt idx="4289">
                  <c:v>195</c:v>
                </c:pt>
                <c:pt idx="4290">
                  <c:v>217</c:v>
                </c:pt>
                <c:pt idx="4291">
                  <c:v>213</c:v>
                </c:pt>
                <c:pt idx="4292">
                  <c:v>174</c:v>
                </c:pt>
                <c:pt idx="4293">
                  <c:v>314</c:v>
                </c:pt>
                <c:pt idx="4294">
                  <c:v>225</c:v>
                </c:pt>
                <c:pt idx="4295">
                  <c:v>327</c:v>
                </c:pt>
                <c:pt idx="4296">
                  <c:v>155</c:v>
                </c:pt>
                <c:pt idx="4297">
                  <c:v>114</c:v>
                </c:pt>
                <c:pt idx="4298">
                  <c:v>145</c:v>
                </c:pt>
                <c:pt idx="4299">
                  <c:v>144</c:v>
                </c:pt>
                <c:pt idx="4300">
                  <c:v>102</c:v>
                </c:pt>
                <c:pt idx="4301">
                  <c:v>283</c:v>
                </c:pt>
                <c:pt idx="4302">
                  <c:v>289</c:v>
                </c:pt>
                <c:pt idx="4303">
                  <c:v>218</c:v>
                </c:pt>
                <c:pt idx="4304">
                  <c:v>265</c:v>
                </c:pt>
                <c:pt idx="4305">
                  <c:v>246</c:v>
                </c:pt>
                <c:pt idx="4306">
                  <c:v>146</c:v>
                </c:pt>
                <c:pt idx="4307">
                  <c:v>199</c:v>
                </c:pt>
                <c:pt idx="4308">
                  <c:v>273</c:v>
                </c:pt>
                <c:pt idx="4309">
                  <c:v>123</c:v>
                </c:pt>
                <c:pt idx="4310">
                  <c:v>78</c:v>
                </c:pt>
                <c:pt idx="4311">
                  <c:v>170</c:v>
                </c:pt>
                <c:pt idx="4312">
                  <c:v>121</c:v>
                </c:pt>
                <c:pt idx="4313">
                  <c:v>278</c:v>
                </c:pt>
                <c:pt idx="4314">
                  <c:v>278</c:v>
                </c:pt>
                <c:pt idx="4315">
                  <c:v>199</c:v>
                </c:pt>
                <c:pt idx="4316">
                  <c:v>322</c:v>
                </c:pt>
                <c:pt idx="4317">
                  <c:v>263</c:v>
                </c:pt>
                <c:pt idx="4318">
                  <c:v>218</c:v>
                </c:pt>
                <c:pt idx="4319">
                  <c:v>116</c:v>
                </c:pt>
                <c:pt idx="4320">
                  <c:v>143</c:v>
                </c:pt>
                <c:pt idx="4321">
                  <c:v>115</c:v>
                </c:pt>
                <c:pt idx="4322">
                  <c:v>104</c:v>
                </c:pt>
                <c:pt idx="4323">
                  <c:v>109</c:v>
                </c:pt>
                <c:pt idx="4324">
                  <c:v>187</c:v>
                </c:pt>
                <c:pt idx="4325">
                  <c:v>102</c:v>
                </c:pt>
                <c:pt idx="4326">
                  <c:v>141</c:v>
                </c:pt>
                <c:pt idx="4327">
                  <c:v>123</c:v>
                </c:pt>
                <c:pt idx="4328">
                  <c:v>144</c:v>
                </c:pt>
                <c:pt idx="4329">
                  <c:v>2100</c:v>
                </c:pt>
                <c:pt idx="4330">
                  <c:v>2000</c:v>
                </c:pt>
                <c:pt idx="4331">
                  <c:v>1925</c:v>
                </c:pt>
                <c:pt idx="4332">
                  <c:v>1750</c:v>
                </c:pt>
                <c:pt idx="4333">
                  <c:v>1800</c:v>
                </c:pt>
                <c:pt idx="4334">
                  <c:v>1050</c:v>
                </c:pt>
                <c:pt idx="4335">
                  <c:v>1200</c:v>
                </c:pt>
                <c:pt idx="4336">
                  <c:v>900</c:v>
                </c:pt>
                <c:pt idx="4337">
                  <c:v>1050</c:v>
                </c:pt>
                <c:pt idx="4338">
                  <c:v>1400</c:v>
                </c:pt>
                <c:pt idx="4339">
                  <c:v>1225</c:v>
                </c:pt>
                <c:pt idx="4340">
                  <c:v>1400</c:v>
                </c:pt>
                <c:pt idx="4341">
                  <c:v>700</c:v>
                </c:pt>
                <c:pt idx="4342">
                  <c:v>1750</c:v>
                </c:pt>
                <c:pt idx="4343">
                  <c:v>1050</c:v>
                </c:pt>
                <c:pt idx="4344">
                  <c:v>1250</c:v>
                </c:pt>
                <c:pt idx="4345">
                  <c:v>1650</c:v>
                </c:pt>
                <c:pt idx="4346">
                  <c:v>1625</c:v>
                </c:pt>
                <c:pt idx="4347">
                  <c:v>2200</c:v>
                </c:pt>
                <c:pt idx="4348">
                  <c:v>2200</c:v>
                </c:pt>
                <c:pt idx="4349">
                  <c:v>1600</c:v>
                </c:pt>
                <c:pt idx="4350">
                  <c:v>1800</c:v>
                </c:pt>
                <c:pt idx="4351">
                  <c:v>700</c:v>
                </c:pt>
                <c:pt idx="4352">
                  <c:v>1050</c:v>
                </c:pt>
                <c:pt idx="4353">
                  <c:v>2100</c:v>
                </c:pt>
                <c:pt idx="4354">
                  <c:v>1350</c:v>
                </c:pt>
                <c:pt idx="4355">
                  <c:v>900</c:v>
                </c:pt>
                <c:pt idx="4356">
                  <c:v>2100</c:v>
                </c:pt>
                <c:pt idx="4357">
                  <c:v>1200</c:v>
                </c:pt>
                <c:pt idx="4358">
                  <c:v>750</c:v>
                </c:pt>
                <c:pt idx="4359">
                  <c:v>450</c:v>
                </c:pt>
                <c:pt idx="4360">
                  <c:v>450</c:v>
                </c:pt>
                <c:pt idx="4361">
                  <c:v>750</c:v>
                </c:pt>
                <c:pt idx="4362">
                  <c:v>3000</c:v>
                </c:pt>
                <c:pt idx="4363">
                  <c:v>1400</c:v>
                </c:pt>
                <c:pt idx="4364">
                  <c:v>1400</c:v>
                </c:pt>
                <c:pt idx="4365">
                  <c:v>1500</c:v>
                </c:pt>
                <c:pt idx="4366">
                  <c:v>1750</c:v>
                </c:pt>
                <c:pt idx="4367">
                  <c:v>1200</c:v>
                </c:pt>
                <c:pt idx="4368">
                  <c:v>1200</c:v>
                </c:pt>
                <c:pt idx="4369">
                  <c:v>1350</c:v>
                </c:pt>
                <c:pt idx="4370">
                  <c:v>1050</c:v>
                </c:pt>
                <c:pt idx="4371">
                  <c:v>1600</c:v>
                </c:pt>
                <c:pt idx="4372">
                  <c:v>1500</c:v>
                </c:pt>
                <c:pt idx="4373">
                  <c:v>2000</c:v>
                </c:pt>
                <c:pt idx="4374">
                  <c:v>875</c:v>
                </c:pt>
                <c:pt idx="4375">
                  <c:v>1250</c:v>
                </c:pt>
                <c:pt idx="4376">
                  <c:v>1375</c:v>
                </c:pt>
                <c:pt idx="4377">
                  <c:v>1625</c:v>
                </c:pt>
                <c:pt idx="4378">
                  <c:v>162</c:v>
                </c:pt>
                <c:pt idx="4379">
                  <c:v>259</c:v>
                </c:pt>
                <c:pt idx="4380">
                  <c:v>283</c:v>
                </c:pt>
                <c:pt idx="4381">
                  <c:v>365</c:v>
                </c:pt>
                <c:pt idx="4382">
                  <c:v>371</c:v>
                </c:pt>
                <c:pt idx="4383">
                  <c:v>275</c:v>
                </c:pt>
                <c:pt idx="4384">
                  <c:v>220</c:v>
                </c:pt>
                <c:pt idx="4385">
                  <c:v>207</c:v>
                </c:pt>
                <c:pt idx="4386">
                  <c:v>132</c:v>
                </c:pt>
                <c:pt idx="4387">
                  <c:v>186</c:v>
                </c:pt>
                <c:pt idx="4388">
                  <c:v>95</c:v>
                </c:pt>
                <c:pt idx="4389">
                  <c:v>168</c:v>
                </c:pt>
                <c:pt idx="4390">
                  <c:v>227</c:v>
                </c:pt>
                <c:pt idx="4391">
                  <c:v>244</c:v>
                </c:pt>
                <c:pt idx="4392">
                  <c:v>210</c:v>
                </c:pt>
                <c:pt idx="4393">
                  <c:v>259</c:v>
                </c:pt>
                <c:pt idx="4394">
                  <c:v>113</c:v>
                </c:pt>
                <c:pt idx="4395">
                  <c:v>105</c:v>
                </c:pt>
                <c:pt idx="4396">
                  <c:v>326</c:v>
                </c:pt>
                <c:pt idx="4397">
                  <c:v>240</c:v>
                </c:pt>
                <c:pt idx="4398">
                  <c:v>303</c:v>
                </c:pt>
                <c:pt idx="4399">
                  <c:v>174</c:v>
                </c:pt>
                <c:pt idx="4400">
                  <c:v>204</c:v>
                </c:pt>
                <c:pt idx="4401">
                  <c:v>157</c:v>
                </c:pt>
                <c:pt idx="4402">
                  <c:v>116</c:v>
                </c:pt>
                <c:pt idx="4403">
                  <c:v>73</c:v>
                </c:pt>
                <c:pt idx="4404">
                  <c:v>146</c:v>
                </c:pt>
                <c:pt idx="4405">
                  <c:v>213</c:v>
                </c:pt>
                <c:pt idx="4406">
                  <c:v>135</c:v>
                </c:pt>
                <c:pt idx="4407">
                  <c:v>192</c:v>
                </c:pt>
                <c:pt idx="4408">
                  <c:v>94</c:v>
                </c:pt>
                <c:pt idx="4409">
                  <c:v>263</c:v>
                </c:pt>
                <c:pt idx="4410">
                  <c:v>176</c:v>
                </c:pt>
                <c:pt idx="4411">
                  <c:v>347</c:v>
                </c:pt>
                <c:pt idx="4412">
                  <c:v>250</c:v>
                </c:pt>
                <c:pt idx="4413">
                  <c:v>291</c:v>
                </c:pt>
                <c:pt idx="4414">
                  <c:v>189</c:v>
                </c:pt>
                <c:pt idx="4415">
                  <c:v>224</c:v>
                </c:pt>
                <c:pt idx="4416">
                  <c:v>397</c:v>
                </c:pt>
                <c:pt idx="4417">
                  <c:v>261</c:v>
                </c:pt>
                <c:pt idx="4418">
                  <c:v>194</c:v>
                </c:pt>
                <c:pt idx="4419">
                  <c:v>298</c:v>
                </c:pt>
                <c:pt idx="4420">
                  <c:v>113</c:v>
                </c:pt>
                <c:pt idx="4421">
                  <c:v>132</c:v>
                </c:pt>
                <c:pt idx="4422">
                  <c:v>188</c:v>
                </c:pt>
                <c:pt idx="4423">
                  <c:v>220</c:v>
                </c:pt>
                <c:pt idx="4424">
                  <c:v>226</c:v>
                </c:pt>
                <c:pt idx="4425">
                  <c:v>179</c:v>
                </c:pt>
                <c:pt idx="4426">
                  <c:v>225</c:v>
                </c:pt>
                <c:pt idx="4427">
                  <c:v>197</c:v>
                </c:pt>
                <c:pt idx="4428">
                  <c:v>187</c:v>
                </c:pt>
                <c:pt idx="4429">
                  <c:v>152</c:v>
                </c:pt>
                <c:pt idx="4430">
                  <c:v>63</c:v>
                </c:pt>
                <c:pt idx="4431">
                  <c:v>123</c:v>
                </c:pt>
                <c:pt idx="4432">
                  <c:v>127</c:v>
                </c:pt>
                <c:pt idx="4433">
                  <c:v>226</c:v>
                </c:pt>
                <c:pt idx="4434">
                  <c:v>193</c:v>
                </c:pt>
                <c:pt idx="4435">
                  <c:v>186</c:v>
                </c:pt>
                <c:pt idx="4436">
                  <c:v>289</c:v>
                </c:pt>
                <c:pt idx="4437">
                  <c:v>131</c:v>
                </c:pt>
                <c:pt idx="4438">
                  <c:v>122</c:v>
                </c:pt>
                <c:pt idx="4439">
                  <c:v>245</c:v>
                </c:pt>
                <c:pt idx="4440">
                  <c:v>332</c:v>
                </c:pt>
                <c:pt idx="4441">
                  <c:v>127</c:v>
                </c:pt>
                <c:pt idx="4442">
                  <c:v>157</c:v>
                </c:pt>
                <c:pt idx="4443">
                  <c:v>150</c:v>
                </c:pt>
                <c:pt idx="4444">
                  <c:v>88</c:v>
                </c:pt>
                <c:pt idx="4445">
                  <c:v>189</c:v>
                </c:pt>
                <c:pt idx="4446">
                  <c:v>254</c:v>
                </c:pt>
                <c:pt idx="4447">
                  <c:v>81</c:v>
                </c:pt>
                <c:pt idx="4448">
                  <c:v>90</c:v>
                </c:pt>
                <c:pt idx="4449">
                  <c:v>214</c:v>
                </c:pt>
                <c:pt idx="4450">
                  <c:v>266</c:v>
                </c:pt>
                <c:pt idx="4451">
                  <c:v>168</c:v>
                </c:pt>
                <c:pt idx="4452">
                  <c:v>86</c:v>
                </c:pt>
                <c:pt idx="4453">
                  <c:v>286</c:v>
                </c:pt>
                <c:pt idx="4454">
                  <c:v>286</c:v>
                </c:pt>
                <c:pt idx="4455">
                  <c:v>275</c:v>
                </c:pt>
                <c:pt idx="4456">
                  <c:v>178</c:v>
                </c:pt>
                <c:pt idx="4457">
                  <c:v>255</c:v>
                </c:pt>
                <c:pt idx="4458">
                  <c:v>203</c:v>
                </c:pt>
                <c:pt idx="4459">
                  <c:v>345</c:v>
                </c:pt>
                <c:pt idx="4460">
                  <c:v>280</c:v>
                </c:pt>
                <c:pt idx="4461">
                  <c:v>206</c:v>
                </c:pt>
                <c:pt idx="4462">
                  <c:v>282</c:v>
                </c:pt>
                <c:pt idx="4463">
                  <c:v>195</c:v>
                </c:pt>
                <c:pt idx="4464">
                  <c:v>220</c:v>
                </c:pt>
                <c:pt idx="4465">
                  <c:v>216</c:v>
                </c:pt>
                <c:pt idx="4466">
                  <c:v>216</c:v>
                </c:pt>
                <c:pt idx="4467">
                  <c:v>207</c:v>
                </c:pt>
                <c:pt idx="4468">
                  <c:v>210</c:v>
                </c:pt>
                <c:pt idx="4469">
                  <c:v>307</c:v>
                </c:pt>
                <c:pt idx="4470">
                  <c:v>316</c:v>
                </c:pt>
                <c:pt idx="4471">
                  <c:v>171</c:v>
                </c:pt>
                <c:pt idx="4472">
                  <c:v>141</c:v>
                </c:pt>
                <c:pt idx="4473">
                  <c:v>96</c:v>
                </c:pt>
                <c:pt idx="4474">
                  <c:v>161</c:v>
                </c:pt>
                <c:pt idx="4475">
                  <c:v>86</c:v>
                </c:pt>
                <c:pt idx="4476">
                  <c:v>118</c:v>
                </c:pt>
                <c:pt idx="4477">
                  <c:v>55</c:v>
                </c:pt>
                <c:pt idx="4478">
                  <c:v>216</c:v>
                </c:pt>
                <c:pt idx="4479">
                  <c:v>158</c:v>
                </c:pt>
                <c:pt idx="4480">
                  <c:v>226</c:v>
                </c:pt>
                <c:pt idx="4481">
                  <c:v>263</c:v>
                </c:pt>
                <c:pt idx="4482">
                  <c:v>103</c:v>
                </c:pt>
                <c:pt idx="4483">
                  <c:v>85</c:v>
                </c:pt>
                <c:pt idx="4484">
                  <c:v>282</c:v>
                </c:pt>
                <c:pt idx="4485">
                  <c:v>124</c:v>
                </c:pt>
                <c:pt idx="4486">
                  <c:v>178</c:v>
                </c:pt>
                <c:pt idx="4487">
                  <c:v>132</c:v>
                </c:pt>
                <c:pt idx="4488">
                  <c:v>139</c:v>
                </c:pt>
                <c:pt idx="4489">
                  <c:v>173</c:v>
                </c:pt>
                <c:pt idx="4490">
                  <c:v>66</c:v>
                </c:pt>
                <c:pt idx="4491">
                  <c:v>50</c:v>
                </c:pt>
                <c:pt idx="4492">
                  <c:v>40</c:v>
                </c:pt>
                <c:pt idx="4493">
                  <c:v>120</c:v>
                </c:pt>
                <c:pt idx="4494">
                  <c:v>111</c:v>
                </c:pt>
                <c:pt idx="4495">
                  <c:v>128</c:v>
                </c:pt>
                <c:pt idx="4496">
                  <c:v>171</c:v>
                </c:pt>
                <c:pt idx="4497">
                  <c:v>128</c:v>
                </c:pt>
                <c:pt idx="4498">
                  <c:v>131</c:v>
                </c:pt>
                <c:pt idx="4499">
                  <c:v>145</c:v>
                </c:pt>
                <c:pt idx="4500">
                  <c:v>157</c:v>
                </c:pt>
                <c:pt idx="4501">
                  <c:v>101</c:v>
                </c:pt>
                <c:pt idx="4502">
                  <c:v>130</c:v>
                </c:pt>
                <c:pt idx="4503">
                  <c:v>193</c:v>
                </c:pt>
                <c:pt idx="4504">
                  <c:v>998</c:v>
                </c:pt>
                <c:pt idx="4505">
                  <c:v>261</c:v>
                </c:pt>
                <c:pt idx="4506">
                  <c:v>252</c:v>
                </c:pt>
                <c:pt idx="4507">
                  <c:v>143</c:v>
                </c:pt>
                <c:pt idx="4508">
                  <c:v>148</c:v>
                </c:pt>
                <c:pt idx="4509">
                  <c:v>391</c:v>
                </c:pt>
                <c:pt idx="4510">
                  <c:v>201</c:v>
                </c:pt>
                <c:pt idx="4511">
                  <c:v>101</c:v>
                </c:pt>
                <c:pt idx="4512">
                  <c:v>170</c:v>
                </c:pt>
                <c:pt idx="4513">
                  <c:v>238</c:v>
                </c:pt>
                <c:pt idx="4514">
                  <c:v>175</c:v>
                </c:pt>
                <c:pt idx="4515">
                  <c:v>263</c:v>
                </c:pt>
                <c:pt idx="4516">
                  <c:v>251</c:v>
                </c:pt>
                <c:pt idx="4517">
                  <c:v>219</c:v>
                </c:pt>
                <c:pt idx="4518">
                  <c:v>214</c:v>
                </c:pt>
                <c:pt idx="4519">
                  <c:v>164</c:v>
                </c:pt>
                <c:pt idx="4520">
                  <c:v>205</c:v>
                </c:pt>
                <c:pt idx="4521">
                  <c:v>155</c:v>
                </c:pt>
                <c:pt idx="4522">
                  <c:v>253</c:v>
                </c:pt>
                <c:pt idx="4523">
                  <c:v>272</c:v>
                </c:pt>
                <c:pt idx="4524">
                  <c:v>272</c:v>
                </c:pt>
                <c:pt idx="4525">
                  <c:v>166</c:v>
                </c:pt>
                <c:pt idx="4526">
                  <c:v>290</c:v>
                </c:pt>
                <c:pt idx="4527">
                  <c:v>299</c:v>
                </c:pt>
                <c:pt idx="4528">
                  <c:v>256</c:v>
                </c:pt>
                <c:pt idx="4529">
                  <c:v>267</c:v>
                </c:pt>
                <c:pt idx="4530">
                  <c:v>177</c:v>
                </c:pt>
                <c:pt idx="4531">
                  <c:v>306</c:v>
                </c:pt>
                <c:pt idx="4532">
                  <c:v>122</c:v>
                </c:pt>
                <c:pt idx="4533">
                  <c:v>173</c:v>
                </c:pt>
                <c:pt idx="4534">
                  <c:v>160</c:v>
                </c:pt>
                <c:pt idx="4535">
                  <c:v>194</c:v>
                </c:pt>
                <c:pt idx="4536">
                  <c:v>227</c:v>
                </c:pt>
                <c:pt idx="4537">
                  <c:v>183</c:v>
                </c:pt>
                <c:pt idx="4538">
                  <c:v>149</c:v>
                </c:pt>
                <c:pt idx="4539">
                  <c:v>310</c:v>
                </c:pt>
                <c:pt idx="4540">
                  <c:v>210</c:v>
                </c:pt>
                <c:pt idx="4541">
                  <c:v>129</c:v>
                </c:pt>
                <c:pt idx="4542">
                  <c:v>170</c:v>
                </c:pt>
                <c:pt idx="4543">
                  <c:v>106</c:v>
                </c:pt>
                <c:pt idx="4544">
                  <c:v>227</c:v>
                </c:pt>
                <c:pt idx="4545">
                  <c:v>244</c:v>
                </c:pt>
                <c:pt idx="4546">
                  <c:v>235</c:v>
                </c:pt>
                <c:pt idx="4547">
                  <c:v>203</c:v>
                </c:pt>
                <c:pt idx="4548">
                  <c:v>108</c:v>
                </c:pt>
                <c:pt idx="4549">
                  <c:v>66</c:v>
                </c:pt>
                <c:pt idx="4550">
                  <c:v>145</c:v>
                </c:pt>
                <c:pt idx="4551">
                  <c:v>223</c:v>
                </c:pt>
                <c:pt idx="4552">
                  <c:v>269</c:v>
                </c:pt>
                <c:pt idx="4553">
                  <c:v>178</c:v>
                </c:pt>
                <c:pt idx="4554">
                  <c:v>144</c:v>
                </c:pt>
                <c:pt idx="4555">
                  <c:v>134</c:v>
                </c:pt>
                <c:pt idx="4556">
                  <c:v>249</c:v>
                </c:pt>
                <c:pt idx="4557">
                  <c:v>264</c:v>
                </c:pt>
                <c:pt idx="4558">
                  <c:v>240</c:v>
                </c:pt>
                <c:pt idx="4559">
                  <c:v>264</c:v>
                </c:pt>
                <c:pt idx="4560">
                  <c:v>159</c:v>
                </c:pt>
                <c:pt idx="4561">
                  <c:v>225</c:v>
                </c:pt>
                <c:pt idx="4562">
                  <c:v>197</c:v>
                </c:pt>
                <c:pt idx="4563">
                  <c:v>226</c:v>
                </c:pt>
                <c:pt idx="4564">
                  <c:v>249</c:v>
                </c:pt>
                <c:pt idx="4565">
                  <c:v>186</c:v>
                </c:pt>
                <c:pt idx="4566">
                  <c:v>237</c:v>
                </c:pt>
                <c:pt idx="4567">
                  <c:v>239</c:v>
                </c:pt>
                <c:pt idx="4568">
                  <c:v>349</c:v>
                </c:pt>
                <c:pt idx="4569">
                  <c:v>243</c:v>
                </c:pt>
                <c:pt idx="4570">
                  <c:v>88</c:v>
                </c:pt>
                <c:pt idx="4571">
                  <c:v>87</c:v>
                </c:pt>
                <c:pt idx="4572">
                  <c:v>125</c:v>
                </c:pt>
                <c:pt idx="4573">
                  <c:v>117</c:v>
                </c:pt>
                <c:pt idx="4574">
                  <c:v>77</c:v>
                </c:pt>
                <c:pt idx="4575">
                  <c:v>56</c:v>
                </c:pt>
                <c:pt idx="4576">
                  <c:v>121</c:v>
                </c:pt>
                <c:pt idx="4577">
                  <c:v>115</c:v>
                </c:pt>
                <c:pt idx="4578">
                  <c:v>154</c:v>
                </c:pt>
                <c:pt idx="4579">
                  <c:v>63</c:v>
                </c:pt>
                <c:pt idx="4580">
                  <c:v>103</c:v>
                </c:pt>
                <c:pt idx="4581">
                  <c:v>115</c:v>
                </c:pt>
                <c:pt idx="4582">
                  <c:v>161</c:v>
                </c:pt>
                <c:pt idx="4583">
                  <c:v>182</c:v>
                </c:pt>
                <c:pt idx="4584">
                  <c:v>102</c:v>
                </c:pt>
                <c:pt idx="4585">
                  <c:v>197</c:v>
                </c:pt>
                <c:pt idx="4586">
                  <c:v>214</c:v>
                </c:pt>
                <c:pt idx="4587">
                  <c:v>85</c:v>
                </c:pt>
                <c:pt idx="4588">
                  <c:v>77</c:v>
                </c:pt>
                <c:pt idx="4589">
                  <c:v>156</c:v>
                </c:pt>
                <c:pt idx="4590">
                  <c:v>62</c:v>
                </c:pt>
                <c:pt idx="4591">
                  <c:v>167</c:v>
                </c:pt>
                <c:pt idx="4592">
                  <c:v>134</c:v>
                </c:pt>
                <c:pt idx="4593">
                  <c:v>143</c:v>
                </c:pt>
                <c:pt idx="4594">
                  <c:v>102</c:v>
                </c:pt>
                <c:pt idx="4595">
                  <c:v>132</c:v>
                </c:pt>
                <c:pt idx="4596">
                  <c:v>175</c:v>
                </c:pt>
                <c:pt idx="4597">
                  <c:v>147</c:v>
                </c:pt>
                <c:pt idx="4598">
                  <c:v>65</c:v>
                </c:pt>
                <c:pt idx="4599">
                  <c:v>193</c:v>
                </c:pt>
                <c:pt idx="4600">
                  <c:v>160</c:v>
                </c:pt>
                <c:pt idx="4601">
                  <c:v>134</c:v>
                </c:pt>
                <c:pt idx="4602">
                  <c:v>462</c:v>
                </c:pt>
                <c:pt idx="4603">
                  <c:v>197</c:v>
                </c:pt>
                <c:pt idx="4604">
                  <c:v>212</c:v>
                </c:pt>
                <c:pt idx="4605">
                  <c:v>281</c:v>
                </c:pt>
                <c:pt idx="4606">
                  <c:v>213</c:v>
                </c:pt>
                <c:pt idx="4607">
                  <c:v>265</c:v>
                </c:pt>
                <c:pt idx="4608">
                  <c:v>216</c:v>
                </c:pt>
                <c:pt idx="4609">
                  <c:v>240</c:v>
                </c:pt>
                <c:pt idx="4610">
                  <c:v>152</c:v>
                </c:pt>
                <c:pt idx="4611">
                  <c:v>207</c:v>
                </c:pt>
                <c:pt idx="4612">
                  <c:v>194</c:v>
                </c:pt>
                <c:pt idx="4613">
                  <c:v>222</c:v>
                </c:pt>
                <c:pt idx="4614">
                  <c:v>121</c:v>
                </c:pt>
                <c:pt idx="4615">
                  <c:v>160</c:v>
                </c:pt>
                <c:pt idx="4616">
                  <c:v>227</c:v>
                </c:pt>
                <c:pt idx="4617">
                  <c:v>127</c:v>
                </c:pt>
                <c:pt idx="4618">
                  <c:v>113</c:v>
                </c:pt>
                <c:pt idx="4619">
                  <c:v>105</c:v>
                </c:pt>
                <c:pt idx="4620">
                  <c:v>120</c:v>
                </c:pt>
                <c:pt idx="4621">
                  <c:v>109</c:v>
                </c:pt>
                <c:pt idx="4622">
                  <c:v>41</c:v>
                </c:pt>
                <c:pt idx="4623">
                  <c:v>174</c:v>
                </c:pt>
                <c:pt idx="4624">
                  <c:v>170</c:v>
                </c:pt>
                <c:pt idx="4625">
                  <c:v>205</c:v>
                </c:pt>
                <c:pt idx="4626">
                  <c:v>140</c:v>
                </c:pt>
                <c:pt idx="4627">
                  <c:v>223</c:v>
                </c:pt>
                <c:pt idx="4628">
                  <c:v>192</c:v>
                </c:pt>
                <c:pt idx="4629">
                  <c:v>213</c:v>
                </c:pt>
                <c:pt idx="4630">
                  <c:v>224</c:v>
                </c:pt>
                <c:pt idx="4631">
                  <c:v>231</c:v>
                </c:pt>
                <c:pt idx="4632">
                  <c:v>175</c:v>
                </c:pt>
                <c:pt idx="4633">
                  <c:v>114</c:v>
                </c:pt>
                <c:pt idx="4634">
                  <c:v>170</c:v>
                </c:pt>
                <c:pt idx="4635">
                  <c:v>295</c:v>
                </c:pt>
                <c:pt idx="4636">
                  <c:v>68</c:v>
                </c:pt>
                <c:pt idx="4637">
                  <c:v>132</c:v>
                </c:pt>
                <c:pt idx="4638">
                  <c:v>145</c:v>
                </c:pt>
                <c:pt idx="4639">
                  <c:v>103</c:v>
                </c:pt>
                <c:pt idx="4640">
                  <c:v>234</c:v>
                </c:pt>
                <c:pt idx="4641">
                  <c:v>156</c:v>
                </c:pt>
                <c:pt idx="4642">
                  <c:v>251</c:v>
                </c:pt>
                <c:pt idx="4643">
                  <c:v>201</c:v>
                </c:pt>
                <c:pt idx="4644">
                  <c:v>251</c:v>
                </c:pt>
                <c:pt idx="4645">
                  <c:v>260</c:v>
                </c:pt>
                <c:pt idx="4646">
                  <c:v>260</c:v>
                </c:pt>
                <c:pt idx="4647">
                  <c:v>300</c:v>
                </c:pt>
                <c:pt idx="4648">
                  <c:v>93</c:v>
                </c:pt>
                <c:pt idx="4649">
                  <c:v>140</c:v>
                </c:pt>
                <c:pt idx="4650">
                  <c:v>190</c:v>
                </c:pt>
                <c:pt idx="4651">
                  <c:v>140</c:v>
                </c:pt>
                <c:pt idx="4652">
                  <c:v>222</c:v>
                </c:pt>
                <c:pt idx="4653">
                  <c:v>285</c:v>
                </c:pt>
                <c:pt idx="4654">
                  <c:v>223</c:v>
                </c:pt>
                <c:pt idx="4655">
                  <c:v>180</c:v>
                </c:pt>
                <c:pt idx="4656">
                  <c:v>238</c:v>
                </c:pt>
                <c:pt idx="4657">
                  <c:v>131</c:v>
                </c:pt>
                <c:pt idx="4658">
                  <c:v>217</c:v>
                </c:pt>
                <c:pt idx="4659">
                  <c:v>199</c:v>
                </c:pt>
                <c:pt idx="4660">
                  <c:v>116</c:v>
                </c:pt>
                <c:pt idx="4661">
                  <c:v>124</c:v>
                </c:pt>
                <c:pt idx="4662">
                  <c:v>111</c:v>
                </c:pt>
                <c:pt idx="4663">
                  <c:v>79</c:v>
                </c:pt>
                <c:pt idx="4664">
                  <c:v>98</c:v>
                </c:pt>
                <c:pt idx="4665">
                  <c:v>71</c:v>
                </c:pt>
                <c:pt idx="4666">
                  <c:v>86</c:v>
                </c:pt>
                <c:pt idx="4667">
                  <c:v>46</c:v>
                </c:pt>
                <c:pt idx="4668">
                  <c:v>105</c:v>
                </c:pt>
                <c:pt idx="4669">
                  <c:v>120</c:v>
                </c:pt>
                <c:pt idx="4670">
                  <c:v>172</c:v>
                </c:pt>
                <c:pt idx="4671">
                  <c:v>177</c:v>
                </c:pt>
                <c:pt idx="4672">
                  <c:v>127</c:v>
                </c:pt>
                <c:pt idx="4673">
                  <c:v>248</c:v>
                </c:pt>
                <c:pt idx="4674">
                  <c:v>257</c:v>
                </c:pt>
                <c:pt idx="4675">
                  <c:v>197</c:v>
                </c:pt>
                <c:pt idx="4676">
                  <c:v>208</c:v>
                </c:pt>
                <c:pt idx="4677">
                  <c:v>234</c:v>
                </c:pt>
                <c:pt idx="4678">
                  <c:v>207</c:v>
                </c:pt>
                <c:pt idx="4679">
                  <c:v>172</c:v>
                </c:pt>
                <c:pt idx="4680">
                  <c:v>212</c:v>
                </c:pt>
                <c:pt idx="4681">
                  <c:v>278</c:v>
                </c:pt>
                <c:pt idx="4682">
                  <c:v>239</c:v>
                </c:pt>
                <c:pt idx="4683">
                  <c:v>221</c:v>
                </c:pt>
                <c:pt idx="4684">
                  <c:v>190</c:v>
                </c:pt>
                <c:pt idx="4685">
                  <c:v>207</c:v>
                </c:pt>
                <c:pt idx="4686">
                  <c:v>106</c:v>
                </c:pt>
                <c:pt idx="4687">
                  <c:v>163</c:v>
                </c:pt>
                <c:pt idx="4688">
                  <c:v>121</c:v>
                </c:pt>
                <c:pt idx="4689">
                  <c:v>239</c:v>
                </c:pt>
                <c:pt idx="4690">
                  <c:v>151</c:v>
                </c:pt>
                <c:pt idx="4691">
                  <c:v>216</c:v>
                </c:pt>
                <c:pt idx="4692">
                  <c:v>119</c:v>
                </c:pt>
                <c:pt idx="4693">
                  <c:v>208</c:v>
                </c:pt>
                <c:pt idx="4694">
                  <c:v>205</c:v>
                </c:pt>
                <c:pt idx="4695">
                  <c:v>211</c:v>
                </c:pt>
                <c:pt idx="4696">
                  <c:v>101</c:v>
                </c:pt>
                <c:pt idx="4697">
                  <c:v>181</c:v>
                </c:pt>
                <c:pt idx="4698">
                  <c:v>206</c:v>
                </c:pt>
                <c:pt idx="4699">
                  <c:v>202</c:v>
                </c:pt>
                <c:pt idx="4700">
                  <c:v>190</c:v>
                </c:pt>
                <c:pt idx="4701">
                  <c:v>203</c:v>
                </c:pt>
                <c:pt idx="4702">
                  <c:v>154</c:v>
                </c:pt>
                <c:pt idx="4703">
                  <c:v>139</c:v>
                </c:pt>
                <c:pt idx="4704">
                  <c:v>125</c:v>
                </c:pt>
                <c:pt idx="4705">
                  <c:v>148</c:v>
                </c:pt>
                <c:pt idx="4706">
                  <c:v>129</c:v>
                </c:pt>
                <c:pt idx="4707">
                  <c:v>152</c:v>
                </c:pt>
                <c:pt idx="4708">
                  <c:v>101</c:v>
                </c:pt>
                <c:pt idx="4709">
                  <c:v>110</c:v>
                </c:pt>
                <c:pt idx="4710">
                  <c:v>48</c:v>
                </c:pt>
                <c:pt idx="4711">
                  <c:v>126</c:v>
                </c:pt>
                <c:pt idx="4712">
                  <c:v>150</c:v>
                </c:pt>
                <c:pt idx="4713">
                  <c:v>108</c:v>
                </c:pt>
                <c:pt idx="4714">
                  <c:v>147</c:v>
                </c:pt>
                <c:pt idx="4715">
                  <c:v>102</c:v>
                </c:pt>
                <c:pt idx="4716">
                  <c:v>157</c:v>
                </c:pt>
                <c:pt idx="4717">
                  <c:v>39</c:v>
                </c:pt>
                <c:pt idx="4718">
                  <c:v>136</c:v>
                </c:pt>
                <c:pt idx="4719">
                  <c:v>143</c:v>
                </c:pt>
                <c:pt idx="4720">
                  <c:v>224</c:v>
                </c:pt>
                <c:pt idx="4721">
                  <c:v>150</c:v>
                </c:pt>
                <c:pt idx="4722">
                  <c:v>225</c:v>
                </c:pt>
                <c:pt idx="4723">
                  <c:v>360</c:v>
                </c:pt>
                <c:pt idx="4724">
                  <c:v>244</c:v>
                </c:pt>
                <c:pt idx="4725">
                  <c:v>220</c:v>
                </c:pt>
                <c:pt idx="4726">
                  <c:v>231</c:v>
                </c:pt>
                <c:pt idx="4727">
                  <c:v>177</c:v>
                </c:pt>
                <c:pt idx="4728">
                  <c:v>144</c:v>
                </c:pt>
                <c:pt idx="4729">
                  <c:v>156</c:v>
                </c:pt>
                <c:pt idx="4730">
                  <c:v>206</c:v>
                </c:pt>
                <c:pt idx="4731">
                  <c:v>219</c:v>
                </c:pt>
                <c:pt idx="4732">
                  <c:v>336</c:v>
                </c:pt>
                <c:pt idx="4733">
                  <c:v>223</c:v>
                </c:pt>
                <c:pt idx="4734">
                  <c:v>154</c:v>
                </c:pt>
                <c:pt idx="4735">
                  <c:v>220</c:v>
                </c:pt>
                <c:pt idx="4736">
                  <c:v>150</c:v>
                </c:pt>
                <c:pt idx="4737">
                  <c:v>141</c:v>
                </c:pt>
                <c:pt idx="4738">
                  <c:v>214</c:v>
                </c:pt>
                <c:pt idx="4739">
                  <c:v>91</c:v>
                </c:pt>
                <c:pt idx="4740">
                  <c:v>105</c:v>
                </c:pt>
                <c:pt idx="4741">
                  <c:v>156</c:v>
                </c:pt>
                <c:pt idx="4742">
                  <c:v>185</c:v>
                </c:pt>
                <c:pt idx="4743">
                  <c:v>82</c:v>
                </c:pt>
                <c:pt idx="4744">
                  <c:v>45</c:v>
                </c:pt>
                <c:pt idx="4745">
                  <c:v>84</c:v>
                </c:pt>
                <c:pt idx="4746">
                  <c:v>143</c:v>
                </c:pt>
                <c:pt idx="4747">
                  <c:v>214</c:v>
                </c:pt>
                <c:pt idx="4748">
                  <c:v>229</c:v>
                </c:pt>
                <c:pt idx="4749">
                  <c:v>120</c:v>
                </c:pt>
                <c:pt idx="4750">
                  <c:v>165</c:v>
                </c:pt>
                <c:pt idx="4751">
                  <c:v>197</c:v>
                </c:pt>
                <c:pt idx="4752">
                  <c:v>224</c:v>
                </c:pt>
                <c:pt idx="4753">
                  <c:v>194</c:v>
                </c:pt>
                <c:pt idx="4754">
                  <c:v>48</c:v>
                </c:pt>
                <c:pt idx="4755">
                  <c:v>64</c:v>
                </c:pt>
                <c:pt idx="4756">
                  <c:v>64</c:v>
                </c:pt>
                <c:pt idx="4757">
                  <c:v>131</c:v>
                </c:pt>
                <c:pt idx="4758">
                  <c:v>165</c:v>
                </c:pt>
                <c:pt idx="4759">
                  <c:v>169</c:v>
                </c:pt>
                <c:pt idx="4760">
                  <c:v>77</c:v>
                </c:pt>
                <c:pt idx="4761">
                  <c:v>59</c:v>
                </c:pt>
                <c:pt idx="4762">
                  <c:v>296</c:v>
                </c:pt>
                <c:pt idx="4763">
                  <c:v>233</c:v>
                </c:pt>
                <c:pt idx="4764">
                  <c:v>286</c:v>
                </c:pt>
                <c:pt idx="4765">
                  <c:v>270</c:v>
                </c:pt>
                <c:pt idx="4766">
                  <c:v>281</c:v>
                </c:pt>
                <c:pt idx="4767">
                  <c:v>198</c:v>
                </c:pt>
                <c:pt idx="4768">
                  <c:v>229</c:v>
                </c:pt>
                <c:pt idx="4769">
                  <c:v>198</c:v>
                </c:pt>
                <c:pt idx="4770">
                  <c:v>170</c:v>
                </c:pt>
                <c:pt idx="4771">
                  <c:v>194</c:v>
                </c:pt>
                <c:pt idx="4772">
                  <c:v>205</c:v>
                </c:pt>
                <c:pt idx="4773">
                  <c:v>240</c:v>
                </c:pt>
                <c:pt idx="4774">
                  <c:v>97</c:v>
                </c:pt>
                <c:pt idx="4775">
                  <c:v>113</c:v>
                </c:pt>
                <c:pt idx="4776">
                  <c:v>70</c:v>
                </c:pt>
                <c:pt idx="4777">
                  <c:v>108</c:v>
                </c:pt>
                <c:pt idx="4778">
                  <c:v>82</c:v>
                </c:pt>
                <c:pt idx="4779">
                  <c:v>141</c:v>
                </c:pt>
                <c:pt idx="4780">
                  <c:v>173</c:v>
                </c:pt>
                <c:pt idx="4781">
                  <c:v>82</c:v>
                </c:pt>
                <c:pt idx="4782">
                  <c:v>99</c:v>
                </c:pt>
                <c:pt idx="4783">
                  <c:v>98</c:v>
                </c:pt>
                <c:pt idx="4784">
                  <c:v>143</c:v>
                </c:pt>
                <c:pt idx="4785">
                  <c:v>127</c:v>
                </c:pt>
                <c:pt idx="4786">
                  <c:v>84</c:v>
                </c:pt>
                <c:pt idx="4787">
                  <c:v>73</c:v>
                </c:pt>
                <c:pt idx="4788">
                  <c:v>100</c:v>
                </c:pt>
                <c:pt idx="4789">
                  <c:v>101</c:v>
                </c:pt>
                <c:pt idx="4790">
                  <c:v>139</c:v>
                </c:pt>
                <c:pt idx="4791">
                  <c:v>165</c:v>
                </c:pt>
                <c:pt idx="4792">
                  <c:v>84</c:v>
                </c:pt>
                <c:pt idx="4793">
                  <c:v>84</c:v>
                </c:pt>
                <c:pt idx="4794">
                  <c:v>114</c:v>
                </c:pt>
                <c:pt idx="4795">
                  <c:v>146</c:v>
                </c:pt>
                <c:pt idx="4796">
                  <c:v>118</c:v>
                </c:pt>
                <c:pt idx="4797">
                  <c:v>187</c:v>
                </c:pt>
                <c:pt idx="4798">
                  <c:v>175</c:v>
                </c:pt>
                <c:pt idx="4799">
                  <c:v>153</c:v>
                </c:pt>
                <c:pt idx="4800">
                  <c:v>171</c:v>
                </c:pt>
                <c:pt idx="4801">
                  <c:v>409</c:v>
                </c:pt>
                <c:pt idx="4802">
                  <c:v>249</c:v>
                </c:pt>
                <c:pt idx="4803">
                  <c:v>133</c:v>
                </c:pt>
                <c:pt idx="4804">
                  <c:v>116</c:v>
                </c:pt>
                <c:pt idx="4805">
                  <c:v>83</c:v>
                </c:pt>
                <c:pt idx="4806">
                  <c:v>81</c:v>
                </c:pt>
                <c:pt idx="4807">
                  <c:v>179</c:v>
                </c:pt>
                <c:pt idx="4808">
                  <c:v>189</c:v>
                </c:pt>
                <c:pt idx="4809">
                  <c:v>216</c:v>
                </c:pt>
                <c:pt idx="4810">
                  <c:v>209</c:v>
                </c:pt>
                <c:pt idx="4811">
                  <c:v>153</c:v>
                </c:pt>
                <c:pt idx="4812">
                  <c:v>165</c:v>
                </c:pt>
                <c:pt idx="4813">
                  <c:v>209</c:v>
                </c:pt>
                <c:pt idx="4814">
                  <c:v>188</c:v>
                </c:pt>
                <c:pt idx="4815">
                  <c:v>179</c:v>
                </c:pt>
                <c:pt idx="4816">
                  <c:v>172</c:v>
                </c:pt>
                <c:pt idx="4817">
                  <c:v>94</c:v>
                </c:pt>
                <c:pt idx="4818">
                  <c:v>193</c:v>
                </c:pt>
                <c:pt idx="4819">
                  <c:v>196</c:v>
                </c:pt>
                <c:pt idx="4820">
                  <c:v>120</c:v>
                </c:pt>
                <c:pt idx="4821">
                  <c:v>164</c:v>
                </c:pt>
                <c:pt idx="4822">
                  <c:v>254</c:v>
                </c:pt>
                <c:pt idx="4823">
                  <c:v>172</c:v>
                </c:pt>
                <c:pt idx="4824">
                  <c:v>167</c:v>
                </c:pt>
                <c:pt idx="4825">
                  <c:v>164</c:v>
                </c:pt>
                <c:pt idx="4826">
                  <c:v>194</c:v>
                </c:pt>
                <c:pt idx="4827">
                  <c:v>244</c:v>
                </c:pt>
                <c:pt idx="4828">
                  <c:v>106</c:v>
                </c:pt>
                <c:pt idx="4829">
                  <c:v>254</c:v>
                </c:pt>
                <c:pt idx="4830">
                  <c:v>228</c:v>
                </c:pt>
                <c:pt idx="4831">
                  <c:v>116</c:v>
                </c:pt>
                <c:pt idx="4832">
                  <c:v>207</c:v>
                </c:pt>
                <c:pt idx="4833">
                  <c:v>228</c:v>
                </c:pt>
                <c:pt idx="4834">
                  <c:v>258</c:v>
                </c:pt>
                <c:pt idx="4835">
                  <c:v>243</c:v>
                </c:pt>
                <c:pt idx="4836">
                  <c:v>234</c:v>
                </c:pt>
                <c:pt idx="4837">
                  <c:v>211</c:v>
                </c:pt>
                <c:pt idx="4838">
                  <c:v>180</c:v>
                </c:pt>
                <c:pt idx="4839">
                  <c:v>237</c:v>
                </c:pt>
                <c:pt idx="4840">
                  <c:v>126</c:v>
                </c:pt>
                <c:pt idx="4841">
                  <c:v>184</c:v>
                </c:pt>
                <c:pt idx="4842">
                  <c:v>224</c:v>
                </c:pt>
                <c:pt idx="4843">
                  <c:v>191</c:v>
                </c:pt>
                <c:pt idx="4844">
                  <c:v>113</c:v>
                </c:pt>
                <c:pt idx="4845">
                  <c:v>181</c:v>
                </c:pt>
                <c:pt idx="4846">
                  <c:v>179</c:v>
                </c:pt>
                <c:pt idx="4847">
                  <c:v>168</c:v>
                </c:pt>
                <c:pt idx="4848">
                  <c:v>185</c:v>
                </c:pt>
                <c:pt idx="4849">
                  <c:v>74</c:v>
                </c:pt>
                <c:pt idx="4850">
                  <c:v>230</c:v>
                </c:pt>
                <c:pt idx="4851">
                  <c:v>194</c:v>
                </c:pt>
                <c:pt idx="4852">
                  <c:v>180</c:v>
                </c:pt>
                <c:pt idx="4853">
                  <c:v>207</c:v>
                </c:pt>
                <c:pt idx="4854">
                  <c:v>146</c:v>
                </c:pt>
                <c:pt idx="4855">
                  <c:v>281</c:v>
                </c:pt>
                <c:pt idx="4856">
                  <c:v>197</c:v>
                </c:pt>
                <c:pt idx="4857">
                  <c:v>255</c:v>
                </c:pt>
                <c:pt idx="4858">
                  <c:v>198</c:v>
                </c:pt>
                <c:pt idx="4859">
                  <c:v>218</c:v>
                </c:pt>
                <c:pt idx="4860">
                  <c:v>136</c:v>
                </c:pt>
                <c:pt idx="4861">
                  <c:v>164</c:v>
                </c:pt>
                <c:pt idx="4862">
                  <c:v>105</c:v>
                </c:pt>
                <c:pt idx="4863">
                  <c:v>96</c:v>
                </c:pt>
                <c:pt idx="4864">
                  <c:v>153</c:v>
                </c:pt>
                <c:pt idx="4865">
                  <c:v>107</c:v>
                </c:pt>
                <c:pt idx="4866">
                  <c:v>66</c:v>
                </c:pt>
                <c:pt idx="4867">
                  <c:v>98</c:v>
                </c:pt>
                <c:pt idx="4868">
                  <c:v>57</c:v>
                </c:pt>
                <c:pt idx="4869">
                  <c:v>82</c:v>
                </c:pt>
                <c:pt idx="4870">
                  <c:v>204</c:v>
                </c:pt>
                <c:pt idx="4871">
                  <c:v>96</c:v>
                </c:pt>
                <c:pt idx="4872">
                  <c:v>104</c:v>
                </c:pt>
                <c:pt idx="4873">
                  <c:v>110</c:v>
                </c:pt>
                <c:pt idx="4874">
                  <c:v>76</c:v>
                </c:pt>
                <c:pt idx="4875">
                  <c:v>85</c:v>
                </c:pt>
                <c:pt idx="4876">
                  <c:v>74</c:v>
                </c:pt>
                <c:pt idx="4877">
                  <c:v>143</c:v>
                </c:pt>
                <c:pt idx="4878">
                  <c:v>135</c:v>
                </c:pt>
                <c:pt idx="4879">
                  <c:v>136</c:v>
                </c:pt>
                <c:pt idx="4880">
                  <c:v>169</c:v>
                </c:pt>
                <c:pt idx="4881">
                  <c:v>197</c:v>
                </c:pt>
                <c:pt idx="4882">
                  <c:v>106</c:v>
                </c:pt>
                <c:pt idx="4883">
                  <c:v>168</c:v>
                </c:pt>
                <c:pt idx="4884">
                  <c:v>185</c:v>
                </c:pt>
                <c:pt idx="4885">
                  <c:v>179</c:v>
                </c:pt>
                <c:pt idx="4886">
                  <c:v>181</c:v>
                </c:pt>
                <c:pt idx="4887">
                  <c:v>178</c:v>
                </c:pt>
                <c:pt idx="4888">
                  <c:v>181</c:v>
                </c:pt>
                <c:pt idx="4889">
                  <c:v>220</c:v>
                </c:pt>
                <c:pt idx="4890">
                  <c:v>197</c:v>
                </c:pt>
                <c:pt idx="4891">
                  <c:v>223</c:v>
                </c:pt>
                <c:pt idx="4892">
                  <c:v>231</c:v>
                </c:pt>
                <c:pt idx="4893">
                  <c:v>159</c:v>
                </c:pt>
                <c:pt idx="4894">
                  <c:v>170</c:v>
                </c:pt>
                <c:pt idx="4895">
                  <c:v>134</c:v>
                </c:pt>
                <c:pt idx="4896">
                  <c:v>206</c:v>
                </c:pt>
                <c:pt idx="4897">
                  <c:v>195</c:v>
                </c:pt>
                <c:pt idx="4898">
                  <c:v>197</c:v>
                </c:pt>
                <c:pt idx="4899">
                  <c:v>200</c:v>
                </c:pt>
                <c:pt idx="4900">
                  <c:v>263</c:v>
                </c:pt>
                <c:pt idx="4901">
                  <c:v>227</c:v>
                </c:pt>
                <c:pt idx="4902">
                  <c:v>147</c:v>
                </c:pt>
                <c:pt idx="4903">
                  <c:v>223</c:v>
                </c:pt>
                <c:pt idx="4904">
                  <c:v>203</c:v>
                </c:pt>
                <c:pt idx="4905">
                  <c:v>276</c:v>
                </c:pt>
                <c:pt idx="4906">
                  <c:v>197</c:v>
                </c:pt>
                <c:pt idx="4907">
                  <c:v>125</c:v>
                </c:pt>
                <c:pt idx="4908">
                  <c:v>243</c:v>
                </c:pt>
                <c:pt idx="4909">
                  <c:v>126</c:v>
                </c:pt>
                <c:pt idx="4910">
                  <c:v>242</c:v>
                </c:pt>
                <c:pt idx="4911">
                  <c:v>200</c:v>
                </c:pt>
                <c:pt idx="4912">
                  <c:v>154</c:v>
                </c:pt>
                <c:pt idx="4913">
                  <c:v>73</c:v>
                </c:pt>
                <c:pt idx="4914">
                  <c:v>62</c:v>
                </c:pt>
                <c:pt idx="4915">
                  <c:v>120</c:v>
                </c:pt>
                <c:pt idx="4916">
                  <c:v>220</c:v>
                </c:pt>
                <c:pt idx="4917">
                  <c:v>195</c:v>
                </c:pt>
                <c:pt idx="4918">
                  <c:v>191</c:v>
                </c:pt>
                <c:pt idx="4919">
                  <c:v>216</c:v>
                </c:pt>
                <c:pt idx="4920">
                  <c:v>170</c:v>
                </c:pt>
                <c:pt idx="4921">
                  <c:v>220</c:v>
                </c:pt>
                <c:pt idx="4922">
                  <c:v>105</c:v>
                </c:pt>
                <c:pt idx="4923">
                  <c:v>215</c:v>
                </c:pt>
                <c:pt idx="4924">
                  <c:v>215</c:v>
                </c:pt>
                <c:pt idx="4925">
                  <c:v>99</c:v>
                </c:pt>
                <c:pt idx="4926">
                  <c:v>164</c:v>
                </c:pt>
                <c:pt idx="4927">
                  <c:v>211</c:v>
                </c:pt>
                <c:pt idx="4928">
                  <c:v>141</c:v>
                </c:pt>
                <c:pt idx="4929">
                  <c:v>170</c:v>
                </c:pt>
                <c:pt idx="4930">
                  <c:v>199</c:v>
                </c:pt>
                <c:pt idx="4931">
                  <c:v>205</c:v>
                </c:pt>
                <c:pt idx="4932">
                  <c:v>220</c:v>
                </c:pt>
                <c:pt idx="4933">
                  <c:v>142</c:v>
                </c:pt>
                <c:pt idx="4934">
                  <c:v>149</c:v>
                </c:pt>
                <c:pt idx="4935">
                  <c:v>200</c:v>
                </c:pt>
                <c:pt idx="4936">
                  <c:v>143</c:v>
                </c:pt>
                <c:pt idx="4937">
                  <c:v>141</c:v>
                </c:pt>
                <c:pt idx="4938">
                  <c:v>80</c:v>
                </c:pt>
                <c:pt idx="4939">
                  <c:v>99</c:v>
                </c:pt>
                <c:pt idx="4940">
                  <c:v>136</c:v>
                </c:pt>
                <c:pt idx="4941">
                  <c:v>163</c:v>
                </c:pt>
                <c:pt idx="4942">
                  <c:v>55</c:v>
                </c:pt>
                <c:pt idx="4943">
                  <c:v>26</c:v>
                </c:pt>
                <c:pt idx="4944">
                  <c:v>42</c:v>
                </c:pt>
                <c:pt idx="4945">
                  <c:v>128</c:v>
                </c:pt>
                <c:pt idx="4946">
                  <c:v>90</c:v>
                </c:pt>
                <c:pt idx="4947">
                  <c:v>107</c:v>
                </c:pt>
                <c:pt idx="4948">
                  <c:v>157</c:v>
                </c:pt>
                <c:pt idx="4949">
                  <c:v>120</c:v>
                </c:pt>
                <c:pt idx="4950">
                  <c:v>168</c:v>
                </c:pt>
                <c:pt idx="4951">
                  <c:v>73</c:v>
                </c:pt>
                <c:pt idx="4952">
                  <c:v>101</c:v>
                </c:pt>
                <c:pt idx="4953">
                  <c:v>133</c:v>
                </c:pt>
                <c:pt idx="4954">
                  <c:v>65</c:v>
                </c:pt>
                <c:pt idx="4955">
                  <c:v>157</c:v>
                </c:pt>
                <c:pt idx="4956">
                  <c:v>327</c:v>
                </c:pt>
                <c:pt idx="4957">
                  <c:v>139</c:v>
                </c:pt>
                <c:pt idx="4958">
                  <c:v>221</c:v>
                </c:pt>
                <c:pt idx="4959">
                  <c:v>354</c:v>
                </c:pt>
                <c:pt idx="4960">
                  <c:v>311</c:v>
                </c:pt>
                <c:pt idx="4961">
                  <c:v>240</c:v>
                </c:pt>
                <c:pt idx="4962">
                  <c:v>196</c:v>
                </c:pt>
                <c:pt idx="4963">
                  <c:v>135</c:v>
                </c:pt>
                <c:pt idx="4964">
                  <c:v>155</c:v>
                </c:pt>
                <c:pt idx="4965">
                  <c:v>220</c:v>
                </c:pt>
                <c:pt idx="4966">
                  <c:v>173</c:v>
                </c:pt>
                <c:pt idx="4967">
                  <c:v>132</c:v>
                </c:pt>
                <c:pt idx="4968">
                  <c:v>129</c:v>
                </c:pt>
                <c:pt idx="4969">
                  <c:v>167</c:v>
                </c:pt>
                <c:pt idx="4970">
                  <c:v>171</c:v>
                </c:pt>
                <c:pt idx="4971">
                  <c:v>162</c:v>
                </c:pt>
                <c:pt idx="4972">
                  <c:v>119</c:v>
                </c:pt>
                <c:pt idx="4973">
                  <c:v>148</c:v>
                </c:pt>
                <c:pt idx="4974">
                  <c:v>95</c:v>
                </c:pt>
                <c:pt idx="4975">
                  <c:v>171</c:v>
                </c:pt>
                <c:pt idx="4976">
                  <c:v>268</c:v>
                </c:pt>
                <c:pt idx="4977">
                  <c:v>115</c:v>
                </c:pt>
                <c:pt idx="4978">
                  <c:v>138</c:v>
                </c:pt>
                <c:pt idx="4979">
                  <c:v>259</c:v>
                </c:pt>
                <c:pt idx="4980">
                  <c:v>160</c:v>
                </c:pt>
                <c:pt idx="4981">
                  <c:v>124</c:v>
                </c:pt>
                <c:pt idx="4982">
                  <c:v>127</c:v>
                </c:pt>
                <c:pt idx="4983">
                  <c:v>144</c:v>
                </c:pt>
                <c:pt idx="4984">
                  <c:v>185</c:v>
                </c:pt>
                <c:pt idx="4985">
                  <c:v>154</c:v>
                </c:pt>
                <c:pt idx="4986">
                  <c:v>149</c:v>
                </c:pt>
                <c:pt idx="4987">
                  <c:v>173</c:v>
                </c:pt>
                <c:pt idx="4988">
                  <c:v>156</c:v>
                </c:pt>
                <c:pt idx="4989">
                  <c:v>150</c:v>
                </c:pt>
                <c:pt idx="4990">
                  <c:v>157</c:v>
                </c:pt>
                <c:pt idx="4991">
                  <c:v>189</c:v>
                </c:pt>
                <c:pt idx="4992">
                  <c:v>223</c:v>
                </c:pt>
                <c:pt idx="4993">
                  <c:v>166</c:v>
                </c:pt>
                <c:pt idx="4994">
                  <c:v>171</c:v>
                </c:pt>
                <c:pt idx="4995">
                  <c:v>235</c:v>
                </c:pt>
                <c:pt idx="4996">
                  <c:v>305</c:v>
                </c:pt>
                <c:pt idx="4997">
                  <c:v>258</c:v>
                </c:pt>
                <c:pt idx="4998">
                  <c:v>204</c:v>
                </c:pt>
              </c:numCache>
            </c:numRef>
          </c:yVal>
          <c:smooth val="0"/>
          <c:extLst>
            <c:ext xmlns:c16="http://schemas.microsoft.com/office/drawing/2014/chart" uri="{C3380CC4-5D6E-409C-BE32-E72D297353CC}">
              <c16:uniqueId val="{00000000-89EC-4CB7-ACD5-4C99BC7890B3}"/>
            </c:ext>
          </c:extLst>
        </c:ser>
        <c:dLbls>
          <c:showLegendKey val="0"/>
          <c:showVal val="0"/>
          <c:showCatName val="0"/>
          <c:showSerName val="0"/>
          <c:showPercent val="0"/>
          <c:showBubbleSize val="0"/>
        </c:dLbls>
        <c:axId val="543130752"/>
        <c:axId val="543128832"/>
      </c:scatterChart>
      <c:valAx>
        <c:axId val="5431307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Total Sales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128832"/>
        <c:crosses val="autoZero"/>
        <c:crossBetween val="midCat"/>
      </c:valAx>
      <c:valAx>
        <c:axId val="54312883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Operating Profit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1307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rich>
          <a:bodyPr spcFirstLastPara="1" vertOverflow="ellipsis" horzOverflow="overflow" wrap="square" lIns="0" tIns="0" rIns="0" bIns="0" anchor="ctr" anchorCtr="1"/>
          <a:lstStyle/>
          <a:p>
            <a:pPr algn="ctr" rtl="0">
              <a:defRPr b="1"/>
            </a:pPr>
            <a:r>
              <a:rPr lang="en-US" b="1"/>
              <a:t>Histogram of Total Sales</a:t>
            </a:r>
            <a:endParaRPr lang="en-US" sz="1400" b="1"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94F64ADA-93AC-42DD-A3F0-18BD9A16A224}">
          <cx:tx>
            <cx:txData>
              <cx:f>_xlchart.v1.1</cx:f>
              <cx:v>Total Sales</cx:v>
            </cx:txData>
          </cx:tx>
          <cx:dataId val="0"/>
          <cx:layoutPr>
            <cx:binning intervalClosed="r"/>
          </cx:layoutPr>
        </cx:series>
      </cx:plotAreaRegion>
      <cx:axis id="0">
        <cx:catScaling gapWidth="0"/>
        <cx:tickLabels/>
        <cx:numFmt formatCode="$#,##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solidFill>
      <a:schemeClr val="bg1">
        <a:lumMod val="9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Histogram of Operating Profit</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ptos Narrow" panose="02110004020202020204"/>
            </a:rPr>
            <a:t>Histogram of Operating Profit</a:t>
          </a:r>
        </a:p>
      </cx:txPr>
    </cx:title>
    <cx:plotArea>
      <cx:plotAreaRegion>
        <cx:series layoutId="clusteredColumn" uniqueId="{F8F9780F-07A4-4898-B863-A9F06B554137}">
          <cx:dataId val="0"/>
          <cx:layoutPr>
            <cx:binning intervalClosed="r">
              <cx:binSize val="300"/>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solidFill>
      <a:schemeClr val="bg1">
        <a:lumMod val="95000"/>
      </a:schemeClr>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algn="ctr" rtl="0">
              <a:defRPr b="1"/>
            </a:pPr>
            <a:r>
              <a:rPr lang="en-US" b="1"/>
              <a:t>Box Plot of Total Sales</a:t>
            </a:r>
            <a:endParaRPr lang="en-US" sz="1400" b="1" i="0" u="none" strike="noStrike" baseline="0">
              <a:solidFill>
                <a:sysClr val="windowText" lastClr="000000">
                  <a:lumMod val="65000"/>
                  <a:lumOff val="35000"/>
                </a:sysClr>
              </a:solidFill>
              <a:latin typeface="Aptos Narrow" panose="02110004020202020204"/>
            </a:endParaRPr>
          </a:p>
        </cx:rich>
      </cx:tx>
    </cx:title>
    <cx:plotArea>
      <cx:plotAreaRegion>
        <cx:series layoutId="boxWhisker" uniqueId="{F46070E8-5C85-4B7E-A5D7-D916DC2914D3}">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numFmt formatCode="$#,##0" sourceLinked="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axis>
    </cx:plotArea>
  </cx:chart>
  <cx:spPr>
    <a:solidFill>
      <a:schemeClr val="bg1">
        <a:lumMod val="95000"/>
      </a:schemeClr>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rich>
          <a:bodyPr spcFirstLastPara="1" vertOverflow="ellipsis" horzOverflow="overflow" wrap="square" lIns="0" tIns="0" rIns="0" bIns="0" anchor="ctr" anchorCtr="1"/>
          <a:lstStyle/>
          <a:p>
            <a:pPr algn="ctr" rtl="0">
              <a:defRPr b="1"/>
            </a:pPr>
            <a:r>
              <a:rPr lang="en-US" b="1"/>
              <a:t>Box Plot of Operating Profit</a:t>
            </a:r>
            <a:endParaRPr lang="en-US" sz="1400" b="1" i="0" u="none" strike="noStrike" baseline="0">
              <a:solidFill>
                <a:sysClr val="windowText" lastClr="000000">
                  <a:lumMod val="65000"/>
                  <a:lumOff val="35000"/>
                </a:sysClr>
              </a:solidFill>
              <a:latin typeface="Aptos Narrow" panose="02110004020202020204"/>
            </a:endParaRPr>
          </a:p>
        </cx:rich>
      </cx:tx>
    </cx:title>
    <cx:plotArea>
      <cx:plotAreaRegion>
        <cx:series layoutId="boxWhisker" uniqueId="{B3450536-57B2-4427-98D2-6081228592E0}">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18</xdr:col>
      <xdr:colOff>596371</xdr:colOff>
      <xdr:row>1</xdr:row>
      <xdr:rowOff>171714</xdr:rowOff>
    </xdr:from>
    <xdr:to>
      <xdr:col>27</xdr:col>
      <xdr:colOff>24871</xdr:colOff>
      <xdr:row>15</xdr:row>
      <xdr:rowOff>76464</xdr:rowOff>
    </xdr:to>
    <xdr:sp macro="" textlink="">
      <xdr:nvSpPr>
        <xdr:cNvPr id="6" name="TextBox 1">
          <a:extLst>
            <a:ext uri="{FF2B5EF4-FFF2-40B4-BE49-F238E27FC236}">
              <a16:creationId xmlns:a16="http://schemas.microsoft.com/office/drawing/2014/main" id="{EB98160D-A215-E214-B38B-9F82C62B5005}"/>
            </a:ext>
          </a:extLst>
        </xdr:cNvPr>
        <xdr:cNvSpPr txBox="1"/>
      </xdr:nvSpPr>
      <xdr:spPr>
        <a:xfrm>
          <a:off x="16988896" y="352689"/>
          <a:ext cx="4914900" cy="24384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i="0" u="none" strike="noStrike">
              <a:solidFill>
                <a:srgbClr val="000000"/>
              </a:solidFill>
              <a:latin typeface="Aptos Narrow" panose="020B0004020202020204" pitchFamily="34" charset="0"/>
            </a:rPr>
            <a:t>Regional Distribution:</a:t>
          </a:r>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The West is the leading sales region with a commanding 28.2% of all transactions, followed by the South (22.6%) and Northeast (20.0%). Notably, these top three regions collectively generate over 70% of total sales, highlighting a significant geographic concentration of market activity and pinpointing the core revenue-generating areas for the business.</a:t>
          </a:r>
          <a:endParaRPr lang="en-US" sz="1100" b="1" i="0" u="none" strike="noStrike">
            <a:solidFill>
              <a:srgbClr val="000000"/>
            </a:solidFill>
            <a:latin typeface="Aptos Narrow" panose="020B0004020202020204" pitchFamily="34" charset="0"/>
          </a:endParaRPr>
        </a:p>
        <a:p>
          <a:pPr marL="0" indent="0" algn="l"/>
          <a:endParaRPr lang="en-US" sz="1100" b="1" i="0" u="none" strike="noStrike">
            <a:solidFill>
              <a:srgbClr val="000000"/>
            </a:solidFill>
            <a:latin typeface="Aptos Narrow" panose="020B0004020202020204" pitchFamily="34" charset="0"/>
          </a:endParaRPr>
        </a:p>
        <a:p>
          <a:pPr marL="0" indent="0" algn="l"/>
          <a:r>
            <a:rPr lang="en-US" sz="1100" b="1" i="0" u="none" strike="noStrike">
              <a:solidFill>
                <a:srgbClr val="000000"/>
              </a:solidFill>
              <a:latin typeface="Aptos Narrow" panose="020B0004020202020204" pitchFamily="34" charset="0"/>
            </a:rPr>
            <a:t>Sales Method Distribution:</a:t>
          </a:r>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Online sales dominate overwhelmingly, comprising 57.4% of all transactions, which is more than both other channels combined. Outlet sales form a substantial secondary segment at 34.7%, while traditional In-store purchases represent a minimal 7.9% share, underscoring a clear channel preference and the critical importance of digital and value-based retail strategies.</a:t>
          </a:r>
        </a:p>
      </xdr:txBody>
    </xdr:sp>
    <xdr:clientData/>
  </xdr:twoCellAnchor>
  <xdr:twoCellAnchor>
    <xdr:from>
      <xdr:col>13</xdr:col>
      <xdr:colOff>377903</xdr:colOff>
      <xdr:row>4969</xdr:row>
      <xdr:rowOff>30047</xdr:rowOff>
    </xdr:from>
    <xdr:to>
      <xdr:col>17</xdr:col>
      <xdr:colOff>659781</xdr:colOff>
      <xdr:row>4983</xdr:row>
      <xdr:rowOff>171296</xdr:rowOff>
    </xdr:to>
    <xdr:graphicFrame macro="">
      <xdr:nvGraphicFramePr>
        <xdr:cNvPr id="4" name="Chart 2">
          <a:extLst>
            <a:ext uri="{FF2B5EF4-FFF2-40B4-BE49-F238E27FC236}">
              <a16:creationId xmlns:a16="http://schemas.microsoft.com/office/drawing/2014/main" id="{C72DF112-566F-B1A9-A666-F9E0CD79DE96}"/>
            </a:ext>
            <a:ext uri="{147F2762-F138-4A5C-976F-8EAC2B608ADB}">
              <a16:predDERef xmlns:a16="http://schemas.microsoft.com/office/drawing/2014/main" pred="{EB98160D-A215-E214-B38B-9F82C62B5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12700</xdr:colOff>
      <xdr:row>0</xdr:row>
      <xdr:rowOff>25400</xdr:rowOff>
    </xdr:from>
    <xdr:ext cx="11456377" cy="4947138"/>
    <xdr:sp macro="" textlink="">
      <xdr:nvSpPr>
        <xdr:cNvPr id="2" name="TextBox 1">
          <a:extLst>
            <a:ext uri="{FF2B5EF4-FFF2-40B4-BE49-F238E27FC236}">
              <a16:creationId xmlns:a16="http://schemas.microsoft.com/office/drawing/2014/main" id="{661E50E9-1049-8A03-0F45-3114D1D4FE1E}"/>
            </a:ext>
          </a:extLst>
        </xdr:cNvPr>
        <xdr:cNvSpPr txBox="1"/>
      </xdr:nvSpPr>
      <xdr:spPr>
        <a:xfrm>
          <a:off x="12700" y="25400"/>
          <a:ext cx="11456377" cy="49471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rtl="0"/>
          <a:r>
            <a:rPr lang="en-US" sz="1200" b="1" i="0" u="none" strike="noStrike">
              <a:solidFill>
                <a:schemeClr val="tx1"/>
              </a:solidFill>
              <a:effectLst/>
              <a:latin typeface="+mn-lt"/>
              <a:ea typeface="+mn-ea"/>
              <a:cs typeface="+mn-cs"/>
            </a:rPr>
            <a:t>1.Data</a:t>
          </a:r>
          <a:r>
            <a:rPr lang="en-US" sz="1200" b="1" i="0" u="none" strike="noStrike" baseline="0">
              <a:solidFill>
                <a:schemeClr val="tx1"/>
              </a:solidFill>
              <a:effectLst/>
              <a:latin typeface="+mn-lt"/>
              <a:ea typeface="+mn-ea"/>
              <a:cs typeface="+mn-cs"/>
            </a:rPr>
            <a:t>set and Task Description</a:t>
          </a:r>
          <a:endParaRPr lang="en-US" sz="1200" b="1">
            <a:effectLst/>
          </a:endParaRPr>
        </a:p>
        <a:p>
          <a:pPr rtl="0"/>
          <a:r>
            <a:rPr lang="en-US" sz="1200" b="1" i="0" u="none" strike="noStrike">
              <a:solidFill>
                <a:schemeClr val="tx1"/>
              </a:solidFill>
              <a:effectLst/>
              <a:latin typeface="+mn-lt"/>
              <a:ea typeface="+mn-ea"/>
              <a:cs typeface="+mn-cs"/>
            </a:rPr>
            <a:t>Dataset Overview: </a:t>
          </a:r>
          <a:endParaRPr lang="en-US" sz="1200" b="1">
            <a:effectLst/>
          </a:endParaRPr>
        </a:p>
        <a:p>
          <a:pPr rtl="0"/>
          <a:r>
            <a:rPr lang="en-US" sz="1200" b="0" i="0" u="none" strike="noStrike">
              <a:solidFill>
                <a:schemeClr val="tx1"/>
              </a:solidFill>
              <a:effectLst/>
              <a:latin typeface="+mn-lt"/>
              <a:ea typeface="+mn-ea"/>
              <a:cs typeface="+mn-cs"/>
            </a:rPr>
            <a:t>This dataset provides a detailed look at Adidas sales performance across different regions in the United States. The information is broken down by individual sale, listing important details such as the product sold, the number of units sold, the total sales value, the operating profit, the price per unit, and the sales method used for each transaction.</a:t>
          </a:r>
          <a:endParaRPr lang="en-US" sz="1200" b="0">
            <a:effectLst/>
          </a:endParaRPr>
        </a:p>
        <a:p>
          <a:endParaRPr lang="en-US" sz="1200" b="0">
            <a:effectLst/>
          </a:endParaRPr>
        </a:p>
        <a:p>
          <a:pPr rtl="0"/>
          <a:r>
            <a:rPr lang="en-US" sz="1200" b="1" i="0" u="none" strike="noStrike">
              <a:solidFill>
                <a:schemeClr val="tx1"/>
              </a:solidFill>
              <a:effectLst/>
              <a:latin typeface="+mn-lt"/>
              <a:ea typeface="+mn-ea"/>
              <a:cs typeface="+mn-cs"/>
            </a:rPr>
            <a:t>Business problems: </a:t>
          </a:r>
          <a:endParaRPr lang="en-US" sz="1200" b="1">
            <a:effectLst/>
          </a:endParaRPr>
        </a:p>
        <a:p>
          <a:pPr rtl="0"/>
          <a:r>
            <a:rPr lang="en-US" sz="1200" b="0" i="0" u="none" strike="noStrike">
              <a:solidFill>
                <a:schemeClr val="tx1"/>
              </a:solidFill>
              <a:effectLst/>
              <a:latin typeface="+mn-lt"/>
              <a:ea typeface="+mn-ea"/>
              <a:cs typeface="+mn-cs"/>
            </a:rPr>
            <a:t>The goal of analyzing this dataset is to better understand sales performance. Essentially, it's about figuring out which products and sales strategies are the most profitable, how sales differ from one city or region to another, and which channels-like Online, In-store, or Outlet stores-perform the best. This kind of analysis is crucial for making informed decisions on pricing, what inventory to carry, and where to focus marketing efforts.</a:t>
          </a:r>
          <a:br>
            <a:rPr lang="en-US" sz="1200" b="0">
              <a:effectLst/>
            </a:rPr>
          </a:br>
          <a:endParaRPr lang="en-US" sz="1200" b="0">
            <a:effectLst/>
          </a:endParaRPr>
        </a:p>
        <a:p>
          <a:pPr rtl="0"/>
          <a:r>
            <a:rPr lang="en-US" sz="1200" b="1" i="0" u="none" strike="noStrike">
              <a:solidFill>
                <a:schemeClr val="tx1"/>
              </a:solidFill>
              <a:effectLst/>
              <a:latin typeface="+mn-lt"/>
              <a:ea typeface="+mn-ea"/>
              <a:cs typeface="+mn-cs"/>
            </a:rPr>
            <a:t>Data Structure: </a:t>
          </a:r>
          <a:endParaRPr lang="en-US" sz="1200" b="1">
            <a:effectLst/>
          </a:endParaRPr>
        </a:p>
        <a:p>
          <a:pPr rtl="0"/>
          <a:r>
            <a:rPr lang="en-US" sz="1200" b="0" i="0" u="none" strike="noStrike">
              <a:solidFill>
                <a:schemeClr val="tx1"/>
              </a:solidFill>
              <a:effectLst/>
              <a:latin typeface="+mn-lt"/>
              <a:ea typeface="+mn-ea"/>
              <a:cs typeface="+mn-cs"/>
            </a:rPr>
            <a:t>Number of Instances(rows): 5000 rows</a:t>
          </a:r>
          <a:endParaRPr lang="en-US" sz="1200" b="0">
            <a:effectLst/>
          </a:endParaRPr>
        </a:p>
        <a:p>
          <a:pPr rtl="0"/>
          <a:r>
            <a:rPr lang="en-US" sz="1200" b="0" i="0" u="none" strike="noStrike">
              <a:solidFill>
                <a:schemeClr val="tx1"/>
              </a:solidFill>
              <a:effectLst/>
              <a:latin typeface="+mn-lt"/>
              <a:ea typeface="+mn-ea"/>
              <a:cs typeface="+mn-cs"/>
            </a:rPr>
            <a:t>Number of Variables(columns): 9 columns</a:t>
          </a:r>
          <a:endParaRPr lang="en-US" sz="1200" b="0">
            <a:effectLst/>
          </a:endParaRPr>
        </a:p>
        <a:p>
          <a:pPr rtl="0"/>
          <a:r>
            <a:rPr lang="en-US" sz="1200" b="0" i="0" u="none" strike="noStrike">
              <a:solidFill>
                <a:schemeClr val="tx1"/>
              </a:solidFill>
              <a:effectLst/>
              <a:latin typeface="+mn-lt"/>
              <a:ea typeface="+mn-ea"/>
              <a:cs typeface="+mn-cs"/>
            </a:rPr>
            <a:t>Categorical Variables(5): Retailer, Region, State, City, Product, Sales Method</a:t>
          </a:r>
          <a:endParaRPr lang="en-US" sz="1200" b="0">
            <a:effectLst/>
          </a:endParaRPr>
        </a:p>
        <a:p>
          <a:pPr rtl="0"/>
          <a:r>
            <a:rPr lang="en-US" sz="1200" b="0" i="0" u="none" strike="noStrike">
              <a:solidFill>
                <a:schemeClr val="tx1"/>
              </a:solidFill>
              <a:effectLst/>
              <a:latin typeface="+mn-lt"/>
              <a:ea typeface="+mn-ea"/>
              <a:cs typeface="+mn-cs"/>
            </a:rPr>
            <a:t>Numerical Variables(4): Price per unit, Units sold, Total Sales, Operating Profit</a:t>
          </a:r>
          <a:endParaRPr lang="en-US" sz="1200" b="0">
            <a:effectLst/>
          </a:endParaRPr>
        </a:p>
        <a:p>
          <a:endParaRPr lang="en-US" sz="1200" b="0">
            <a:effectLst/>
          </a:endParaRPr>
        </a:p>
        <a:p>
          <a:pPr rtl="0"/>
          <a:r>
            <a:rPr lang="en-US" sz="1200" b="1" i="0" u="none" strike="noStrike">
              <a:solidFill>
                <a:schemeClr val="tx1"/>
              </a:solidFill>
              <a:effectLst/>
              <a:latin typeface="+mn-lt"/>
              <a:ea typeface="+mn-ea"/>
              <a:cs typeface="+mn-cs"/>
            </a:rPr>
            <a:t>Reason for choosing: </a:t>
          </a:r>
          <a:endParaRPr lang="en-US" sz="1200" b="1">
            <a:effectLst/>
          </a:endParaRPr>
        </a:p>
        <a:p>
          <a:pPr rtl="0"/>
          <a:r>
            <a:rPr lang="en-US" sz="1200" b="0" i="0" u="none" strike="noStrike">
              <a:solidFill>
                <a:schemeClr val="tx1"/>
              </a:solidFill>
              <a:effectLst/>
              <a:latin typeface="+mn-lt"/>
              <a:ea typeface="+mn-ea"/>
              <a:cs typeface="+mn-cs"/>
            </a:rPr>
            <a:t> selected this dataset because it presents a tangible business challenge where data analysis directly informs sales and marketing strategy. It lets us investigate how key factors like geography, product type, and sales technique influence overall profitability.</a:t>
          </a:r>
          <a:endParaRPr lang="en-US" sz="1200" b="0">
            <a:effectLst/>
          </a:endParaRPr>
        </a:p>
        <a:p>
          <a:endParaRPr lang="en-US" sz="1200" b="0">
            <a:effectLst/>
          </a:endParaRPr>
        </a:p>
        <a:p>
          <a:pPr rtl="0"/>
          <a:r>
            <a:rPr lang="en-US" sz="1200" b="0" i="0" u="none" strike="noStrike">
              <a:solidFill>
                <a:schemeClr val="tx1"/>
              </a:solidFill>
              <a:effectLst/>
              <a:latin typeface="+mn-lt"/>
              <a:ea typeface="+mn-ea"/>
              <a:cs typeface="+mn-cs"/>
            </a:rPr>
            <a:t>Furthermore, the data itself is well-structured, with a clear mix of numerical and categorical fields. This quality makes it perfectly suited for applying fundamental data science techniques—from descriptive statistics and exploratory analysis to predictive modeling with linear regression. Ultimately, this project is designed to extract actionable insights that could help optimize Adidas's operations and shape more effective sales strategies.</a:t>
          </a:r>
          <a:endParaRPr lang="en-US" sz="1200" b="0">
            <a:effectLst/>
          </a:endParaRPr>
        </a:p>
        <a:p>
          <a:endParaRPr lang="en-US" sz="12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152400</xdr:colOff>
      <xdr:row>12</xdr:row>
      <xdr:rowOff>19050</xdr:rowOff>
    </xdr:from>
    <xdr:to>
      <xdr:col>5</xdr:col>
      <xdr:colOff>695325</xdr:colOff>
      <xdr:row>23</xdr:row>
      <xdr:rowOff>9525</xdr:rowOff>
    </xdr:to>
    <xdr:sp macro="" textlink="">
      <xdr:nvSpPr>
        <xdr:cNvPr id="3" name="TextBox 1">
          <a:extLst>
            <a:ext uri="{FF2B5EF4-FFF2-40B4-BE49-F238E27FC236}">
              <a16:creationId xmlns:a16="http://schemas.microsoft.com/office/drawing/2014/main" id="{08A2DD7B-F358-8841-75D1-20AD985990AA}"/>
            </a:ext>
          </a:extLst>
        </xdr:cNvPr>
        <xdr:cNvSpPr txBox="1"/>
      </xdr:nvSpPr>
      <xdr:spPr>
        <a:xfrm>
          <a:off x="152400" y="2305050"/>
          <a:ext cx="5238750" cy="20859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This breakdown of average operating profit shows a clear pattern: when sales go up, profits rise right along with them across every region. The numbers tell a straightforward story—average profit climbs from just $328 for the smallest sales (under $2,057) to $3,098 for the largest ($8,058–$10,057).</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Looking at the regions, the Midwest stands out as the most consistently profitable, especially at the high end where its average profit hits $3,152. The South also performs very well in the top sales bracket, even peaking at $3,353, while the Northeast and Southeast show solid, growing profits. The West, though it shows steady growth, has the lowest overall numbers, suggesting it's an area that could use more focus. Ultimately, this makes a strong case that pushing for higher sales is one of the most reliable ways to boost a region's bottom line.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8467</xdr:colOff>
      <xdr:row>7</xdr:row>
      <xdr:rowOff>17300</xdr:rowOff>
    </xdr:from>
    <xdr:to>
      <xdr:col>9</xdr:col>
      <xdr:colOff>601134</xdr:colOff>
      <xdr:row>24</xdr:row>
      <xdr:rowOff>169333</xdr:rowOff>
    </xdr:to>
    <xdr:sp macro="" textlink="">
      <xdr:nvSpPr>
        <xdr:cNvPr id="8" name="TextBox 1">
          <a:extLst>
            <a:ext uri="{FF2B5EF4-FFF2-40B4-BE49-F238E27FC236}">
              <a16:creationId xmlns:a16="http://schemas.microsoft.com/office/drawing/2014/main" id="{9D5361DF-6B25-55A3-8332-19459799D55C}"/>
            </a:ext>
          </a:extLst>
        </xdr:cNvPr>
        <xdr:cNvSpPr txBox="1"/>
      </xdr:nvSpPr>
      <xdr:spPr>
        <a:xfrm>
          <a:off x="8467" y="1321167"/>
          <a:ext cx="7239000" cy="33185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lt"/>
              <a:cs typeface="+mn-lt"/>
            </a:rPr>
            <a:t>The numerical summary reveals meaningful differences in sales performance, profitability, and product pricing across the dataset.</a:t>
          </a:r>
        </a:p>
        <a:p>
          <a:pPr marL="0" indent="0"/>
          <a:endParaRPr lang="en-US" sz="1100" b="1">
            <a:solidFill>
              <a:schemeClr val="dk1"/>
            </a:solidFill>
            <a:latin typeface="+mn-lt"/>
            <a:ea typeface="+mn-lt"/>
            <a:cs typeface="+mn-lt"/>
          </a:endParaRPr>
        </a:p>
        <a:p>
          <a:pPr marL="0" indent="0"/>
          <a:r>
            <a:rPr lang="en-US" sz="1100" b="1">
              <a:solidFill>
                <a:schemeClr val="dk1"/>
              </a:solidFill>
              <a:latin typeface="+mn-lt"/>
              <a:ea typeface="+mn-lt"/>
              <a:cs typeface="+mn-lt"/>
            </a:rPr>
            <a:t>Total Sales</a:t>
          </a:r>
          <a:r>
            <a:rPr lang="en-US" sz="1100">
              <a:solidFill>
                <a:schemeClr val="dk1"/>
              </a:solidFill>
              <a:latin typeface="+mn-lt"/>
              <a:ea typeface="+mn-lt"/>
              <a:cs typeface="+mn-lt"/>
            </a:rPr>
            <a:t> range from </a:t>
          </a:r>
          <a:r>
            <a:rPr lang="en-US" sz="1100" b="1">
              <a:solidFill>
                <a:schemeClr val="dk1"/>
              </a:solidFill>
              <a:latin typeface="+mn-lt"/>
              <a:ea typeface="+mn-lt"/>
              <a:cs typeface="+mn-lt"/>
            </a:rPr>
            <a:t>$58 to $9,000</a:t>
          </a:r>
          <a:r>
            <a:rPr lang="en-US" sz="1100">
              <a:solidFill>
                <a:schemeClr val="dk1"/>
              </a:solidFill>
              <a:latin typeface="+mn-lt"/>
              <a:ea typeface="+mn-lt"/>
              <a:cs typeface="+mn-lt"/>
            </a:rPr>
            <a:t>, with an average of about </a:t>
          </a:r>
          <a:r>
            <a:rPr lang="en-US" sz="1100" b="1">
              <a:solidFill>
                <a:schemeClr val="dk1"/>
              </a:solidFill>
              <a:latin typeface="+mn-lt"/>
              <a:ea typeface="+mn-lt"/>
              <a:cs typeface="+mn-lt"/>
            </a:rPr>
            <a:t>$1,531</a:t>
          </a:r>
          <a:r>
            <a:rPr lang="en-US" sz="1100">
              <a:solidFill>
                <a:schemeClr val="dk1"/>
              </a:solidFill>
              <a:latin typeface="+mn-lt"/>
              <a:ea typeface="+mn-lt"/>
              <a:cs typeface="+mn-lt"/>
            </a:rPr>
            <a:t>. The quartiles (Q1 = $470, Q2 = $704, Q3 = $1,136.5) show that three-quarters of transactions fall below $1,136.5, indicating that most sales are relatively small while a few high-value transactions lift the overall mean.</a:t>
          </a:r>
          <a:endParaRPr lang="en-US" sz="1100" b="1">
            <a:solidFill>
              <a:schemeClr val="dk1"/>
            </a:solidFill>
            <a:latin typeface="+mn-lt"/>
            <a:ea typeface="+mn-lt"/>
            <a:cs typeface="+mn-lt"/>
          </a:endParaRPr>
        </a:p>
        <a:p>
          <a:pPr marL="0" indent="0"/>
          <a:r>
            <a:rPr lang="en-US" sz="1100" b="1">
              <a:solidFill>
                <a:schemeClr val="dk1"/>
              </a:solidFill>
              <a:latin typeface="+mn-lt"/>
              <a:ea typeface="+mn-lt"/>
              <a:cs typeface="+mn-lt"/>
            </a:rPr>
            <a:t>Operating Profit</a:t>
          </a:r>
          <a:r>
            <a:rPr lang="en-US" sz="1100">
              <a:solidFill>
                <a:schemeClr val="dk1"/>
              </a:solidFill>
              <a:latin typeface="+mn-lt"/>
              <a:ea typeface="+mn-lt"/>
              <a:cs typeface="+mn-lt"/>
            </a:rPr>
            <a:t> spans </a:t>
          </a:r>
          <a:r>
            <a:rPr lang="en-US" sz="1100" b="1">
              <a:solidFill>
                <a:schemeClr val="dk1"/>
              </a:solidFill>
              <a:latin typeface="+mn-lt"/>
              <a:ea typeface="+mn-lt"/>
              <a:cs typeface="+mn-lt"/>
            </a:rPr>
            <a:t>$26 to $5,400</a:t>
          </a:r>
          <a:r>
            <a:rPr lang="en-US" sz="1100">
              <a:solidFill>
                <a:schemeClr val="dk1"/>
              </a:solidFill>
              <a:latin typeface="+mn-lt"/>
              <a:ea typeface="+mn-lt"/>
              <a:cs typeface="+mn-lt"/>
            </a:rPr>
            <a:t>, with an average of </a:t>
          </a:r>
          <a:r>
            <a:rPr lang="en-US" sz="1100" b="1">
              <a:solidFill>
                <a:schemeClr val="dk1"/>
              </a:solidFill>
              <a:latin typeface="+mn-lt"/>
              <a:ea typeface="+mn-lt"/>
              <a:cs typeface="+mn-lt"/>
            </a:rPr>
            <a:t>$609</a:t>
          </a:r>
          <a:r>
            <a:rPr lang="en-US" sz="1100">
              <a:solidFill>
                <a:schemeClr val="dk1"/>
              </a:solidFill>
              <a:latin typeface="+mn-lt"/>
              <a:ea typeface="+mn-lt"/>
              <a:cs typeface="+mn-lt"/>
            </a:rPr>
            <a:t>. The broad gap between Q1 ($212) and Q3 ($534) reflects wide profit variability, meaning only a small portion of transactions deliver exceptionally high profits.</a:t>
          </a:r>
          <a:endParaRPr lang="en-US" sz="1100" b="1">
            <a:solidFill>
              <a:schemeClr val="dk1"/>
            </a:solidFill>
            <a:latin typeface="+mn-lt"/>
            <a:ea typeface="+mn-lt"/>
            <a:cs typeface="+mn-lt"/>
          </a:endParaRPr>
        </a:p>
        <a:p>
          <a:pPr marL="0" indent="0"/>
          <a:r>
            <a:rPr lang="en-US" sz="1100" b="1">
              <a:solidFill>
                <a:schemeClr val="dk1"/>
              </a:solidFill>
              <a:latin typeface="+mn-lt"/>
              <a:ea typeface="+mn-lt"/>
              <a:cs typeface="+mn-lt"/>
            </a:rPr>
            <a:t>Units Sold</a:t>
          </a:r>
          <a:r>
            <a:rPr lang="en-US" sz="1100">
              <a:solidFill>
                <a:schemeClr val="dk1"/>
              </a:solidFill>
              <a:latin typeface="+mn-lt"/>
              <a:ea typeface="+mn-lt"/>
              <a:cs typeface="+mn-lt"/>
            </a:rPr>
            <a:t> vary from </a:t>
          </a:r>
          <a:r>
            <a:rPr lang="en-US" sz="1100" b="1">
              <a:solidFill>
                <a:schemeClr val="dk1"/>
              </a:solidFill>
              <a:latin typeface="+mn-lt"/>
              <a:ea typeface="+mn-lt"/>
              <a:cs typeface="+mn-lt"/>
            </a:rPr>
            <a:t>81 to 700</a:t>
          </a:r>
          <a:r>
            <a:rPr lang="en-US" sz="1100">
              <a:solidFill>
                <a:schemeClr val="dk1"/>
              </a:solidFill>
              <a:latin typeface="+mn-lt"/>
              <a:ea typeface="+mn-lt"/>
              <a:cs typeface="+mn-lt"/>
            </a:rPr>
            <a:t>, averaging </a:t>
          </a:r>
          <a:r>
            <a:rPr lang="en-US" sz="1100" b="1">
              <a:solidFill>
                <a:schemeClr val="dk1"/>
              </a:solidFill>
              <a:latin typeface="+mn-lt"/>
              <a:ea typeface="+mn-lt"/>
              <a:cs typeface="+mn-lt"/>
            </a:rPr>
            <a:t>165 units</a:t>
          </a:r>
          <a:r>
            <a:rPr lang="en-US" sz="1100">
              <a:solidFill>
                <a:schemeClr val="dk1"/>
              </a:solidFill>
              <a:latin typeface="+mn-lt"/>
              <a:ea typeface="+mn-lt"/>
              <a:cs typeface="+mn-lt"/>
            </a:rPr>
            <a:t>, suggesting that while most orders involve moderate quantities, certain bulk sales substantially exceed the median (Q2 = 150).</a:t>
          </a:r>
          <a:endParaRPr lang="en-US" sz="1100" b="1">
            <a:solidFill>
              <a:schemeClr val="dk1"/>
            </a:solidFill>
            <a:latin typeface="+mn-lt"/>
            <a:ea typeface="+mn-lt"/>
            <a:cs typeface="+mn-lt"/>
          </a:endParaRPr>
        </a:p>
        <a:p>
          <a:pPr marL="0" indent="0"/>
          <a:r>
            <a:rPr lang="en-US" sz="1100" b="1">
              <a:solidFill>
                <a:schemeClr val="dk1"/>
              </a:solidFill>
              <a:latin typeface="+mn-lt"/>
              <a:ea typeface="+mn-lt"/>
              <a:cs typeface="+mn-lt"/>
            </a:rPr>
            <a:t>Price per Unit</a:t>
          </a:r>
          <a:r>
            <a:rPr lang="en-US" sz="1100">
              <a:solidFill>
                <a:schemeClr val="dk1"/>
              </a:solidFill>
              <a:latin typeface="+mn-lt"/>
              <a:ea typeface="+mn-lt"/>
              <a:cs typeface="+mn-lt"/>
            </a:rPr>
            <a:t> ranges between </a:t>
          </a:r>
          <a:r>
            <a:rPr lang="en-US" sz="1100" b="1">
              <a:solidFill>
                <a:schemeClr val="dk1"/>
              </a:solidFill>
              <a:latin typeface="+mn-lt"/>
              <a:ea typeface="+mn-lt"/>
              <a:cs typeface="+mn-lt"/>
            </a:rPr>
            <a:t>$7 and $103</a:t>
          </a:r>
          <a:r>
            <a:rPr lang="en-US" sz="1100">
              <a:solidFill>
                <a:schemeClr val="dk1"/>
              </a:solidFill>
              <a:latin typeface="+mn-lt"/>
              <a:ea typeface="+mn-lt"/>
              <a:cs typeface="+mn-lt"/>
            </a:rPr>
            <a:t>, with an average of </a:t>
          </a:r>
          <a:r>
            <a:rPr lang="en-US" sz="1100" b="1">
              <a:solidFill>
                <a:schemeClr val="dk1"/>
              </a:solidFill>
              <a:latin typeface="+mn-lt"/>
              <a:ea typeface="+mn-lt"/>
              <a:cs typeface="+mn-lt"/>
            </a:rPr>
            <a:t>$42.75</a:t>
          </a:r>
          <a:r>
            <a:rPr lang="en-US" sz="1100">
              <a:solidFill>
                <a:schemeClr val="dk1"/>
              </a:solidFill>
              <a:latin typeface="+mn-lt"/>
              <a:ea typeface="+mn-lt"/>
              <a:cs typeface="+mn-lt"/>
            </a:rPr>
            <a:t>. The interquartile range (Q3 – Q1 = $19) indicates moderate variation, implying consistent pricing across most products.</a:t>
          </a:r>
        </a:p>
        <a:p>
          <a:pPr marL="0" indent="0"/>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Overall, the quartile analysis demonstrates that both sales and profit distributions are </a:t>
          </a:r>
          <a:r>
            <a:rPr lang="en-US" sz="1100" b="1">
              <a:solidFill>
                <a:schemeClr val="dk1"/>
              </a:solidFill>
              <a:latin typeface="+mn-lt"/>
              <a:ea typeface="+mn-lt"/>
              <a:cs typeface="+mn-lt"/>
            </a:rPr>
            <a:t>positively skewed</a:t>
          </a:r>
          <a:r>
            <a:rPr lang="en-US" sz="1100">
              <a:solidFill>
                <a:schemeClr val="dk1"/>
              </a:solidFill>
              <a:latin typeface="+mn-lt"/>
              <a:ea typeface="+mn-lt"/>
              <a:cs typeface="+mn-lt"/>
            </a:rPr>
            <a:t>, dominated by many low-to-mid-value transactions and a few large outliers that drive overall revenue and profitability.</a:t>
          </a:r>
          <a:endParaRPr lang="en-US" sz="1100" b="0" i="0" u="none" strike="noStrike">
            <a:solidFill>
              <a:schemeClr val="dk1"/>
            </a:solidFill>
            <a:latin typeface="Aptos Narrow" panose="020B0004020202020204" pitchFamily="34" charset="0"/>
          </a:endParaRPr>
        </a:p>
        <a:p>
          <a:pPr marL="0" indent="0"/>
          <a:endParaRPr lang="en-US" sz="1100">
            <a:solidFill>
              <a:schemeClr val="dk1"/>
            </a:solidFill>
            <a:latin typeface="+mn-lt"/>
            <a:ea typeface="+mn-lt"/>
            <a:cs typeface="+mn-lt"/>
          </a:endParaRPr>
        </a:p>
      </xdr:txBody>
    </xdr:sp>
    <xdr:clientData/>
  </xdr:twoCellAnchor>
  <xdr:twoCellAnchor>
    <xdr:from>
      <xdr:col>11</xdr:col>
      <xdr:colOff>8467</xdr:colOff>
      <xdr:row>1</xdr:row>
      <xdr:rowOff>8699</xdr:rowOff>
    </xdr:from>
    <xdr:to>
      <xdr:col>18</xdr:col>
      <xdr:colOff>313267</xdr:colOff>
      <xdr:row>16</xdr:row>
      <xdr:rowOff>17164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541CEEE-EE7E-4BB1-816C-897B7EC8F952}"/>
                </a:ext>
                <a:ext uri="{147F2762-F138-4A5C-976F-8EAC2B608ADB}">
                  <a16:predDERef xmlns:a16="http://schemas.microsoft.com/office/drawing/2014/main" pred="{9D5361DF-6B25-55A3-8332-19459799D5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812617" y="192849"/>
              <a:ext cx="4572000" cy="277071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17832</xdr:colOff>
      <xdr:row>0</xdr:row>
      <xdr:rowOff>158969</xdr:rowOff>
    </xdr:from>
    <xdr:to>
      <xdr:col>27</xdr:col>
      <xdr:colOff>533978</xdr:colOff>
      <xdr:row>16</xdr:row>
      <xdr:rowOff>101022</xdr:rowOff>
    </xdr:to>
    <mc:AlternateContent xmlns:mc="http://schemas.openxmlformats.org/markup-compatibility/2006">
      <mc:Choice xmlns:cx1="http://schemas.microsoft.com/office/drawing/2015/9/8/chartex" Requires="cx1">
        <xdr:graphicFrame macro="">
          <xdr:nvGraphicFramePr>
            <xdr:cNvPr id="7" name="Chart 3">
              <a:extLst>
                <a:ext uri="{FF2B5EF4-FFF2-40B4-BE49-F238E27FC236}">
                  <a16:creationId xmlns:a16="http://schemas.microsoft.com/office/drawing/2014/main" id="{25CFF05D-0D81-41D7-B5E1-3EE3ACC8D08F}"/>
                </a:ext>
                <a:ext uri="{147F2762-F138-4A5C-976F-8EAC2B608ADB}">
                  <a16:predDERef xmlns:a16="http://schemas.microsoft.com/office/drawing/2014/main" pred="{1541CEEE-EE7E-4BB1-816C-897B7EC8F9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308382" y="158969"/>
              <a:ext cx="4783346" cy="288845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11</xdr:col>
      <xdr:colOff>0</xdr:colOff>
      <xdr:row>17</xdr:row>
      <xdr:rowOff>57726</xdr:rowOff>
    </xdr:from>
    <xdr:ext cx="4834659" cy="1125693"/>
    <xdr:sp macro="" textlink="">
      <xdr:nvSpPr>
        <xdr:cNvPr id="9" name="TextBox 4">
          <a:extLst>
            <a:ext uri="{FF2B5EF4-FFF2-40B4-BE49-F238E27FC236}">
              <a16:creationId xmlns:a16="http://schemas.microsoft.com/office/drawing/2014/main" id="{BB8CCB26-9AAB-194A-6D9E-DF3E13E3FA35}"/>
            </a:ext>
            <a:ext uri="{147F2762-F138-4A5C-976F-8EAC2B608ADB}">
              <a16:predDERef xmlns:a16="http://schemas.microsoft.com/office/drawing/2014/main" pred="{25CFF05D-0D81-41D7-B5E1-3EE3ACC8D08F}"/>
            </a:ext>
          </a:extLst>
        </xdr:cNvPr>
        <xdr:cNvSpPr txBox="1"/>
      </xdr:nvSpPr>
      <xdr:spPr>
        <a:xfrm>
          <a:off x="7836477" y="3247158"/>
          <a:ext cx="4834659"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100">
              <a:solidFill>
                <a:schemeClr val="tx1"/>
              </a:solidFill>
              <a:latin typeface="+mn-lt"/>
              <a:ea typeface="+mn-lt"/>
              <a:cs typeface="+mn-lt"/>
            </a:rPr>
            <a:t>Most </a:t>
          </a:r>
          <a:r>
            <a:rPr lang="en-US" sz="1100" b="1">
              <a:solidFill>
                <a:schemeClr val="tx1"/>
              </a:solidFill>
              <a:latin typeface="+mn-lt"/>
              <a:ea typeface="+mn-lt"/>
              <a:cs typeface="+mn-lt"/>
            </a:rPr>
            <a:t>Total Sales</a:t>
          </a:r>
          <a:r>
            <a:rPr lang="en-US" sz="1100">
              <a:solidFill>
                <a:schemeClr val="tx1"/>
              </a:solidFill>
              <a:latin typeface="+mn-lt"/>
              <a:ea typeface="+mn-lt"/>
              <a:cs typeface="+mn-lt"/>
            </a:rPr>
            <a:t> values are between </a:t>
          </a:r>
          <a:r>
            <a:rPr lang="en-US" sz="1100" b="1">
              <a:solidFill>
                <a:schemeClr val="tx1"/>
              </a:solidFill>
              <a:latin typeface="+mn-lt"/>
              <a:ea typeface="+mn-lt"/>
              <a:cs typeface="+mn-lt"/>
            </a:rPr>
            <a:t>$58 and $2,000</a:t>
          </a:r>
          <a:r>
            <a:rPr lang="en-US" sz="1100">
              <a:solidFill>
                <a:schemeClr val="tx1"/>
              </a:solidFill>
              <a:latin typeface="+mn-lt"/>
              <a:ea typeface="+mn-lt"/>
              <a:cs typeface="+mn-lt"/>
            </a:rPr>
            <a:t>, showing that small and moderate sales are the most common.</a:t>
          </a:r>
          <a:br>
            <a:rPr lang="en-US" sz="1100">
              <a:solidFill>
                <a:schemeClr val="tx1"/>
              </a:solidFill>
              <a:latin typeface="+mn-lt"/>
              <a:ea typeface="+mn-lt"/>
              <a:cs typeface="+mn-lt"/>
            </a:rPr>
          </a:br>
          <a:r>
            <a:rPr lang="en-US" sz="1100">
              <a:solidFill>
                <a:schemeClr val="tx1"/>
              </a:solidFill>
              <a:latin typeface="+mn-lt"/>
              <a:ea typeface="+mn-lt"/>
              <a:cs typeface="+mn-lt"/>
            </a:rPr>
            <a:t>A few large transactions (up to </a:t>
          </a:r>
          <a:r>
            <a:rPr lang="en-US" sz="1100" b="1">
              <a:solidFill>
                <a:schemeClr val="tx1"/>
              </a:solidFill>
              <a:latin typeface="+mn-lt"/>
              <a:ea typeface="+mn-lt"/>
              <a:cs typeface="+mn-lt"/>
            </a:rPr>
            <a:t>$9,000</a:t>
          </a:r>
          <a:r>
            <a:rPr lang="en-US" sz="1100">
              <a:solidFill>
                <a:schemeClr val="tx1"/>
              </a:solidFill>
              <a:latin typeface="+mn-lt"/>
              <a:ea typeface="+mn-lt"/>
              <a:cs typeface="+mn-lt"/>
            </a:rPr>
            <a:t>) happen rarely, which </a:t>
          </a:r>
          <a:r>
            <a:rPr lang="en-US" sz="1100" b="1">
              <a:solidFill>
                <a:schemeClr val="tx1"/>
              </a:solidFill>
              <a:latin typeface="+mn-lt"/>
              <a:ea typeface="+mn-lt"/>
              <a:cs typeface="+mn-lt"/>
            </a:rPr>
            <a:t>pulls the distribution to the right</a:t>
          </a:r>
          <a:r>
            <a:rPr lang="en-US" sz="1100">
              <a:solidFill>
                <a:schemeClr val="tx1"/>
              </a:solidFill>
              <a:latin typeface="+mn-lt"/>
              <a:ea typeface="+mn-lt"/>
              <a:cs typeface="+mn-lt"/>
            </a:rPr>
            <a:t>.</a:t>
          </a:r>
          <a:br>
            <a:rPr lang="en-US" sz="1100">
              <a:solidFill>
                <a:schemeClr val="tx1"/>
              </a:solidFill>
              <a:latin typeface="+mn-lt"/>
              <a:ea typeface="+mn-lt"/>
              <a:cs typeface="+mn-lt"/>
            </a:rPr>
          </a:br>
          <a:r>
            <a:rPr lang="en-US" sz="1100">
              <a:solidFill>
                <a:schemeClr val="tx1"/>
              </a:solidFill>
              <a:latin typeface="+mn-lt"/>
              <a:ea typeface="+mn-lt"/>
              <a:cs typeface="+mn-lt"/>
            </a:rPr>
            <a:t>This means the </a:t>
          </a:r>
          <a:r>
            <a:rPr lang="en-US" sz="1100" b="1">
              <a:solidFill>
                <a:schemeClr val="tx1"/>
              </a:solidFill>
              <a:latin typeface="+mn-lt"/>
              <a:ea typeface="+mn-lt"/>
              <a:cs typeface="+mn-lt"/>
            </a:rPr>
            <a:t>histogram is right-skewed</a:t>
          </a:r>
          <a:r>
            <a:rPr lang="en-US" sz="1100">
              <a:solidFill>
                <a:schemeClr val="tx1"/>
              </a:solidFill>
              <a:latin typeface="+mn-lt"/>
              <a:ea typeface="+mn-lt"/>
              <a:cs typeface="+mn-lt"/>
            </a:rPr>
            <a:t>, and the overall average is raised by a few very high sales.</a:t>
          </a:r>
        </a:p>
      </xdr:txBody>
    </xdr:sp>
    <xdr:clientData/>
  </xdr:oneCellAnchor>
  <xdr:oneCellAnchor>
    <xdr:from>
      <xdr:col>20</xdr:col>
      <xdr:colOff>115455</xdr:colOff>
      <xdr:row>17</xdr:row>
      <xdr:rowOff>43295</xdr:rowOff>
    </xdr:from>
    <xdr:ext cx="4726419" cy="1125693"/>
    <xdr:sp macro="" textlink="">
      <xdr:nvSpPr>
        <xdr:cNvPr id="6" name="TextBox 5">
          <a:extLst>
            <a:ext uri="{FF2B5EF4-FFF2-40B4-BE49-F238E27FC236}">
              <a16:creationId xmlns:a16="http://schemas.microsoft.com/office/drawing/2014/main" id="{208AC634-8633-E251-0176-1517AEE611EA}"/>
            </a:ext>
            <a:ext uri="{147F2762-F138-4A5C-976F-8EAC2B608ADB}">
              <a16:predDERef xmlns:a16="http://schemas.microsoft.com/office/drawing/2014/main" pred="{BB8CCB26-9AAB-194A-6D9E-DF3E13E3FA35}"/>
            </a:ext>
          </a:extLst>
        </xdr:cNvPr>
        <xdr:cNvSpPr txBox="1"/>
      </xdr:nvSpPr>
      <xdr:spPr>
        <a:xfrm>
          <a:off x="13407160" y="3232727"/>
          <a:ext cx="4726419"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100">
              <a:solidFill>
                <a:schemeClr val="tx1"/>
              </a:solidFill>
              <a:latin typeface="+mn-lt"/>
              <a:ea typeface="+mn-lt"/>
              <a:cs typeface="+mn-lt"/>
            </a:rPr>
            <a:t>Most </a:t>
          </a:r>
          <a:r>
            <a:rPr lang="en-US" sz="1100" b="1">
              <a:solidFill>
                <a:schemeClr val="tx1"/>
              </a:solidFill>
              <a:latin typeface="+mn-lt"/>
              <a:ea typeface="+mn-lt"/>
              <a:cs typeface="+mn-lt"/>
            </a:rPr>
            <a:t>Operating Profit</a:t>
          </a:r>
          <a:r>
            <a:rPr lang="en-US" sz="1100">
              <a:solidFill>
                <a:schemeClr val="tx1"/>
              </a:solidFill>
              <a:latin typeface="+mn-lt"/>
              <a:ea typeface="+mn-lt"/>
              <a:cs typeface="+mn-lt"/>
            </a:rPr>
            <a:t> values are below </a:t>
          </a:r>
          <a:r>
            <a:rPr lang="en-US" sz="1100" b="1">
              <a:solidFill>
                <a:schemeClr val="tx1"/>
              </a:solidFill>
              <a:latin typeface="+mn-lt"/>
              <a:ea typeface="+mn-lt"/>
              <a:cs typeface="+mn-lt"/>
            </a:rPr>
            <a:t>$600</a:t>
          </a:r>
          <a:r>
            <a:rPr lang="en-US" sz="1100">
              <a:solidFill>
                <a:schemeClr val="tx1"/>
              </a:solidFill>
              <a:latin typeface="+mn-lt"/>
              <a:ea typeface="+mn-lt"/>
              <a:cs typeface="+mn-lt"/>
            </a:rPr>
            <a:t>, indicating that most transactions generate modest profits.</a:t>
          </a:r>
          <a:br>
            <a:rPr lang="en-US" sz="1100">
              <a:solidFill>
                <a:schemeClr val="tx1"/>
              </a:solidFill>
              <a:latin typeface="+mn-lt"/>
              <a:ea typeface="+mn-lt"/>
              <a:cs typeface="+mn-lt"/>
            </a:rPr>
          </a:br>
          <a:r>
            <a:rPr lang="en-US" sz="1100">
              <a:solidFill>
                <a:schemeClr val="tx1"/>
              </a:solidFill>
              <a:latin typeface="+mn-lt"/>
              <a:ea typeface="+mn-lt"/>
              <a:cs typeface="+mn-lt"/>
            </a:rPr>
            <a:t>Only a few transactions earn very high profits (above </a:t>
          </a:r>
          <a:r>
            <a:rPr lang="en-US" sz="1100" b="1">
              <a:solidFill>
                <a:schemeClr val="tx1"/>
              </a:solidFill>
              <a:latin typeface="+mn-lt"/>
              <a:ea typeface="+mn-lt"/>
              <a:cs typeface="+mn-lt"/>
            </a:rPr>
            <a:t>$3,000</a:t>
          </a:r>
          <a:r>
            <a:rPr lang="en-US" sz="1100">
              <a:solidFill>
                <a:schemeClr val="tx1"/>
              </a:solidFill>
              <a:latin typeface="+mn-lt"/>
              <a:ea typeface="+mn-lt"/>
              <a:cs typeface="+mn-lt"/>
            </a:rPr>
            <a:t>), which </a:t>
          </a:r>
          <a:r>
            <a:rPr lang="en-US" sz="1100" b="1">
              <a:solidFill>
                <a:schemeClr val="tx1"/>
              </a:solidFill>
              <a:latin typeface="+mn-lt"/>
              <a:ea typeface="+mn-lt"/>
              <a:cs typeface="+mn-lt"/>
            </a:rPr>
            <a:t>extend the right tail</a:t>
          </a:r>
          <a:r>
            <a:rPr lang="en-US" sz="1100">
              <a:solidFill>
                <a:schemeClr val="tx1"/>
              </a:solidFill>
              <a:latin typeface="+mn-lt"/>
              <a:ea typeface="+mn-lt"/>
              <a:cs typeface="+mn-lt"/>
            </a:rPr>
            <a:t> of the chart.</a:t>
          </a:r>
          <a:br>
            <a:rPr lang="en-US" sz="1100">
              <a:solidFill>
                <a:schemeClr val="tx1"/>
              </a:solidFill>
              <a:latin typeface="+mn-lt"/>
              <a:ea typeface="+mn-lt"/>
              <a:cs typeface="+mn-lt"/>
            </a:rPr>
          </a:br>
          <a:r>
            <a:rPr lang="en-US" sz="1100">
              <a:solidFill>
                <a:schemeClr val="tx1"/>
              </a:solidFill>
              <a:latin typeface="+mn-lt"/>
              <a:ea typeface="+mn-lt"/>
              <a:cs typeface="+mn-lt"/>
            </a:rPr>
            <a:t>This shows a </a:t>
          </a:r>
          <a:r>
            <a:rPr lang="en-US" sz="1100" b="1">
              <a:solidFill>
                <a:schemeClr val="tx1"/>
              </a:solidFill>
              <a:latin typeface="+mn-lt"/>
              <a:ea typeface="+mn-lt"/>
              <a:cs typeface="+mn-lt"/>
            </a:rPr>
            <a:t>right-skewed distribution</a:t>
          </a:r>
          <a:r>
            <a:rPr lang="en-US" sz="1100">
              <a:solidFill>
                <a:schemeClr val="tx1"/>
              </a:solidFill>
              <a:latin typeface="+mn-lt"/>
              <a:ea typeface="+mn-lt"/>
              <a:cs typeface="+mn-lt"/>
            </a:rPr>
            <a:t>, where typical profits are small-to-medium, but a few outliers make the mean higher.</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87018</xdr:colOff>
      <xdr:row>0</xdr:row>
      <xdr:rowOff>79963</xdr:rowOff>
    </xdr:from>
    <xdr:to>
      <xdr:col>7</xdr:col>
      <xdr:colOff>393700</xdr:colOff>
      <xdr:row>15</xdr:row>
      <xdr:rowOff>60913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2E11F6A-8473-4BB0-BBB8-2EA2D10EF4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7018" y="79963"/>
              <a:ext cx="4573882"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551418</xdr:colOff>
      <xdr:row>0</xdr:row>
      <xdr:rowOff>21510</xdr:rowOff>
    </xdr:from>
    <xdr:to>
      <xdr:col>16</xdr:col>
      <xdr:colOff>400538</xdr:colOff>
      <xdr:row>15</xdr:row>
      <xdr:rowOff>87923</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5E159B1-FF39-4694-B396-CBFB571413C5}"/>
                </a:ext>
                <a:ext uri="{147F2762-F138-4A5C-976F-8EAC2B608ADB}">
                  <a16:predDERef xmlns:a16="http://schemas.microsoft.com/office/drawing/2014/main" pred="{22E11F6A-8473-4BB0-BBB8-2EA2D10EF4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428218" y="21510"/>
              <a:ext cx="4725920" cy="28286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591207</xdr:colOff>
      <xdr:row>25</xdr:row>
      <xdr:rowOff>58390</xdr:rowOff>
    </xdr:from>
    <xdr:ext cx="4299023" cy="1470146"/>
    <xdr:sp macro="" textlink="">
      <xdr:nvSpPr>
        <xdr:cNvPr id="4" name="TextBox 3">
          <a:extLst>
            <a:ext uri="{FF2B5EF4-FFF2-40B4-BE49-F238E27FC236}">
              <a16:creationId xmlns:a16="http://schemas.microsoft.com/office/drawing/2014/main" id="{1EAC703C-C350-1DB4-F0DF-452ADAF3EA73}"/>
            </a:ext>
            <a:ext uri="{147F2762-F138-4A5C-976F-8EAC2B608ADB}">
              <a16:predDERef xmlns:a16="http://schemas.microsoft.com/office/drawing/2014/main" pred="{15E159B1-FF39-4694-B396-CBFB571413C5}"/>
            </a:ext>
          </a:extLst>
        </xdr:cNvPr>
        <xdr:cNvSpPr txBox="1"/>
      </xdr:nvSpPr>
      <xdr:spPr>
        <a:xfrm>
          <a:off x="591207" y="4620172"/>
          <a:ext cx="4299023"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100">
              <a:solidFill>
                <a:schemeClr val="tx1"/>
              </a:solidFill>
              <a:latin typeface="+mn-lt"/>
              <a:ea typeface="+mn-lt"/>
              <a:cs typeface="+mn-lt"/>
            </a:rPr>
            <a:t>The box plot of </a:t>
          </a:r>
          <a:r>
            <a:rPr lang="en-US" sz="1100" i="1">
              <a:solidFill>
                <a:schemeClr val="tx1"/>
              </a:solidFill>
              <a:latin typeface="+mn-lt"/>
              <a:ea typeface="+mn-lt"/>
              <a:cs typeface="+mn-lt"/>
            </a:rPr>
            <a:t>Total Sales</a:t>
          </a:r>
          <a:r>
            <a:rPr lang="en-US" sz="1100">
              <a:solidFill>
                <a:schemeClr val="tx1"/>
              </a:solidFill>
              <a:latin typeface="+mn-lt"/>
              <a:ea typeface="+mn-lt"/>
              <a:cs typeface="+mn-lt"/>
            </a:rPr>
            <a:t> shows </a:t>
          </a:r>
          <a:r>
            <a:rPr lang="en-US" sz="1100" b="1">
              <a:solidFill>
                <a:schemeClr val="tx1"/>
              </a:solidFill>
              <a:latin typeface="+mn-lt"/>
              <a:ea typeface="+mn-lt"/>
              <a:cs typeface="+mn-lt"/>
            </a:rPr>
            <a:t>high variability</a:t>
          </a:r>
          <a:r>
            <a:rPr lang="en-US" sz="1100">
              <a:solidFill>
                <a:schemeClr val="tx1"/>
              </a:solidFill>
              <a:latin typeface="+mn-lt"/>
              <a:ea typeface="+mn-lt"/>
              <a:cs typeface="+mn-lt"/>
            </a:rPr>
            <a:t>, as the data range spans from </a:t>
          </a:r>
          <a:r>
            <a:rPr lang="en-US" sz="1100" b="1">
              <a:solidFill>
                <a:schemeClr val="tx1"/>
              </a:solidFill>
              <a:latin typeface="+mn-lt"/>
              <a:ea typeface="+mn-lt"/>
              <a:cs typeface="+mn-lt"/>
            </a:rPr>
            <a:t>$58 to $9,000</a:t>
          </a:r>
          <a:r>
            <a:rPr lang="en-US" sz="1100">
              <a:solidFill>
                <a:schemeClr val="tx1"/>
              </a:solidFill>
              <a:latin typeface="+mn-lt"/>
              <a:ea typeface="+mn-lt"/>
              <a:cs typeface="+mn-lt"/>
            </a:rPr>
            <a:t>. The middle 50% of sales (IQR = $666.5) fall between </a:t>
          </a:r>
          <a:r>
            <a:rPr lang="en-US" sz="1100" b="1">
              <a:solidFill>
                <a:schemeClr val="tx1"/>
              </a:solidFill>
              <a:latin typeface="+mn-lt"/>
              <a:ea typeface="+mn-lt"/>
              <a:cs typeface="+mn-lt"/>
            </a:rPr>
            <a:t>$470 and $1,136.5</a:t>
          </a:r>
          <a:r>
            <a:rPr lang="en-US" sz="1100">
              <a:solidFill>
                <a:schemeClr val="tx1"/>
              </a:solidFill>
              <a:latin typeface="+mn-lt"/>
              <a:ea typeface="+mn-lt"/>
              <a:cs typeface="+mn-lt"/>
            </a:rPr>
            <a:t>, while the upper whisker extends to about </a:t>
          </a:r>
          <a:r>
            <a:rPr lang="en-US" sz="1100" b="1">
              <a:solidFill>
                <a:schemeClr val="tx1"/>
              </a:solidFill>
              <a:latin typeface="+mn-lt"/>
              <a:ea typeface="+mn-lt"/>
              <a:cs typeface="+mn-lt"/>
            </a:rPr>
            <a:t>$2,136</a:t>
          </a:r>
          <a:r>
            <a:rPr lang="en-US" sz="1100">
              <a:solidFill>
                <a:schemeClr val="tx1"/>
              </a:solidFill>
              <a:latin typeface="+mn-lt"/>
              <a:ea typeface="+mn-lt"/>
              <a:cs typeface="+mn-lt"/>
            </a:rPr>
            <a:t>. Several </a:t>
          </a:r>
          <a:r>
            <a:rPr lang="en-US" sz="1100" b="1">
              <a:solidFill>
                <a:schemeClr val="tx1"/>
              </a:solidFill>
              <a:latin typeface="+mn-lt"/>
              <a:ea typeface="+mn-lt"/>
              <a:cs typeface="+mn-lt"/>
            </a:rPr>
            <a:t>outliers</a:t>
          </a:r>
          <a:r>
            <a:rPr lang="en-US" sz="1100">
              <a:solidFill>
                <a:schemeClr val="tx1"/>
              </a:solidFill>
              <a:latin typeface="+mn-lt"/>
              <a:ea typeface="+mn-lt"/>
              <a:cs typeface="+mn-lt"/>
            </a:rPr>
            <a:t> appear above this value, representing rare but very large transactions that reach up to </a:t>
          </a:r>
          <a:r>
            <a:rPr lang="en-US" sz="1100" b="1">
              <a:solidFill>
                <a:schemeClr val="tx1"/>
              </a:solidFill>
              <a:latin typeface="+mn-lt"/>
              <a:ea typeface="+mn-lt"/>
              <a:cs typeface="+mn-lt"/>
            </a:rPr>
            <a:t>$9,000</a:t>
          </a:r>
          <a:r>
            <a:rPr lang="en-US" sz="1100">
              <a:solidFill>
                <a:schemeClr val="tx1"/>
              </a:solidFill>
              <a:latin typeface="+mn-lt"/>
              <a:ea typeface="+mn-lt"/>
              <a:cs typeface="+mn-lt"/>
            </a:rPr>
            <a:t>.</a:t>
          </a:r>
          <a:br>
            <a:rPr lang="en-US" sz="1100">
              <a:solidFill>
                <a:schemeClr val="tx1"/>
              </a:solidFill>
              <a:latin typeface="+mn-lt"/>
              <a:ea typeface="+mn-lt"/>
              <a:cs typeface="+mn-lt"/>
            </a:rPr>
          </a:br>
          <a:r>
            <a:rPr lang="en-US" sz="1100">
              <a:solidFill>
                <a:schemeClr val="tx1"/>
              </a:solidFill>
              <a:latin typeface="+mn-lt"/>
              <a:ea typeface="+mn-lt"/>
              <a:cs typeface="+mn-lt"/>
            </a:rPr>
            <a:t>The median line lies closer to the lower quartile, indicating a </a:t>
          </a:r>
          <a:r>
            <a:rPr lang="en-US" sz="1100" b="1">
              <a:solidFill>
                <a:schemeClr val="tx1"/>
              </a:solidFill>
              <a:latin typeface="+mn-lt"/>
              <a:ea typeface="+mn-lt"/>
              <a:cs typeface="+mn-lt"/>
            </a:rPr>
            <a:t>right-skewed distribution</a:t>
          </a:r>
          <a:r>
            <a:rPr lang="en-US" sz="1100">
              <a:solidFill>
                <a:schemeClr val="tx1"/>
              </a:solidFill>
              <a:latin typeface="+mn-lt"/>
              <a:ea typeface="+mn-lt"/>
              <a:cs typeface="+mn-lt"/>
            </a:rPr>
            <a:t> — meaning most sales are small to moderate, while a few high-value sales raise the overall average.</a:t>
          </a:r>
        </a:p>
      </xdr:txBody>
    </xdr:sp>
    <xdr:clientData/>
  </xdr:oneCellAnchor>
  <xdr:oneCellAnchor>
    <xdr:from>
      <xdr:col>9</xdr:col>
      <xdr:colOff>14598</xdr:colOff>
      <xdr:row>25</xdr:row>
      <xdr:rowOff>14595</xdr:rowOff>
    </xdr:from>
    <xdr:ext cx="4868333" cy="1766323"/>
    <xdr:sp macro="" textlink="">
      <xdr:nvSpPr>
        <xdr:cNvPr id="5" name="TextBox 4">
          <a:extLst>
            <a:ext uri="{FF2B5EF4-FFF2-40B4-BE49-F238E27FC236}">
              <a16:creationId xmlns:a16="http://schemas.microsoft.com/office/drawing/2014/main" id="{52E89D81-0FF5-BBE8-FC2A-00092268E9D5}"/>
            </a:ext>
          </a:extLst>
        </xdr:cNvPr>
        <xdr:cNvSpPr txBox="1"/>
      </xdr:nvSpPr>
      <xdr:spPr>
        <a:xfrm>
          <a:off x="5532529" y="4576377"/>
          <a:ext cx="4868333" cy="1766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t>The box plot of </a:t>
          </a:r>
          <a:r>
            <a:rPr lang="en-US" i="1"/>
            <a:t>Operating Profit</a:t>
          </a:r>
          <a:r>
            <a:rPr lang="en-US"/>
            <a:t> indicates </a:t>
          </a:r>
          <a:r>
            <a:rPr lang="en-US" b="1"/>
            <a:t>moderate variability</a:t>
          </a:r>
          <a:r>
            <a:rPr lang="en-US"/>
            <a:t>, with values ranging from </a:t>
          </a:r>
          <a:r>
            <a:rPr lang="en-US" b="1"/>
            <a:t>$26 to $5,400</a:t>
          </a:r>
          <a:r>
            <a:rPr lang="en-US"/>
            <a:t>. The middle 50% of profits (IQR = $322) lie between </a:t>
          </a:r>
          <a:r>
            <a:rPr lang="en-US" b="1"/>
            <a:t>$212 and $534</a:t>
          </a:r>
          <a:r>
            <a:rPr lang="en-US"/>
            <a:t>, while the upper whisker extends to around </a:t>
          </a:r>
          <a:r>
            <a:rPr lang="en-US" b="1"/>
            <a:t>$1,017</a:t>
          </a:r>
          <a:r>
            <a:rPr lang="en-US"/>
            <a:t>. Outliers above this threshold represent a few transactions with </a:t>
          </a:r>
          <a:r>
            <a:rPr lang="en-US" b="1"/>
            <a:t>exceptionally high profits</a:t>
          </a:r>
          <a:r>
            <a:rPr lang="en-US"/>
            <a:t>.</a:t>
          </a:r>
          <a:br>
            <a:rPr lang="en-US"/>
          </a:br>
          <a:r>
            <a:rPr lang="en-US"/>
            <a:t>Like sales, this distribution is also </a:t>
          </a:r>
          <a:r>
            <a:rPr lang="en-US" b="1"/>
            <a:t>right-skewed</a:t>
          </a:r>
          <a:r>
            <a:rPr lang="en-US"/>
            <a:t>, suggesting that most sales yield modest profits, but a small number of highly profitable transactions significantly increase the mean.</a:t>
          </a:r>
        </a:p>
        <a:p>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0</xdr:col>
      <xdr:colOff>165100</xdr:colOff>
      <xdr:row>0</xdr:row>
      <xdr:rowOff>177800</xdr:rowOff>
    </xdr:from>
    <xdr:to>
      <xdr:col>8</xdr:col>
      <xdr:colOff>746</xdr:colOff>
      <xdr:row>14</xdr:row>
      <xdr:rowOff>165494</xdr:rowOff>
    </xdr:to>
    <xdr:graphicFrame macro="">
      <xdr:nvGraphicFramePr>
        <xdr:cNvPr id="45" name="Chart 1">
          <a:extLst>
            <a:ext uri="{FF2B5EF4-FFF2-40B4-BE49-F238E27FC236}">
              <a16:creationId xmlns:a16="http://schemas.microsoft.com/office/drawing/2014/main" id="{E56EC025-3B25-4315-9B52-C75682E10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13316</xdr:colOff>
      <xdr:row>9</xdr:row>
      <xdr:rowOff>16018</xdr:rowOff>
    </xdr:from>
    <xdr:to>
      <xdr:col>18</xdr:col>
      <xdr:colOff>597090</xdr:colOff>
      <xdr:row>17</xdr:row>
      <xdr:rowOff>17639</xdr:rowOff>
    </xdr:to>
    <mc:AlternateContent xmlns:mc="http://schemas.openxmlformats.org/markup-compatibility/2006" xmlns:a14="http://schemas.microsoft.com/office/drawing/2010/main">
      <mc:Choice Requires="a14">
        <xdr:sp macro="" textlink="">
          <xdr:nvSpPr>
            <xdr:cNvPr id="108" name="TextBox 2">
              <a:extLst>
                <a:ext uri="{FF2B5EF4-FFF2-40B4-BE49-F238E27FC236}">
                  <a16:creationId xmlns:a16="http://schemas.microsoft.com/office/drawing/2014/main" id="{F528FB46-6373-31A3-B18A-79CC29F628E8}"/>
                </a:ext>
              </a:extLst>
            </xdr:cNvPr>
            <xdr:cNvSpPr txBox="1"/>
          </xdr:nvSpPr>
          <xdr:spPr>
            <a:xfrm>
              <a:off x="6098733" y="1682893"/>
              <a:ext cx="5610857" cy="14832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Interpretation:</a:t>
              </a:r>
              <a:br>
                <a:rPr lang="en-US"/>
              </a:br>
              <a:r>
                <a:rPr lang="en-US"/>
                <a:t>The scatter plot shows a </a:t>
              </a:r>
              <a:r>
                <a:rPr lang="en-US" b="1"/>
                <a:t>strong positive linear relationship</a:t>
              </a:r>
              <a:r>
                <a:rPr lang="en-US"/>
                <a:t> between Operating Profit and Total Sales (r = 0.974).</a:t>
              </a:r>
              <a:br>
                <a:rPr lang="en-US"/>
              </a:br>
              <a:r>
                <a:rPr lang="en-US"/>
                <a:t>The regression model </a:t>
              </a:r>
              <a14:m>
                <m:oMath xmlns:m="http://schemas.openxmlformats.org/officeDocument/2006/math">
                  <m:r>
                    <a:rPr lang="en-US" sz="1100" i="1">
                      <a:solidFill>
                        <a:schemeClr val="dk1"/>
                      </a:solidFill>
                      <a:latin typeface="Cambria Math" panose="02040503050406030204" pitchFamily="18" charset="0"/>
                      <a:ea typeface="+mn-ea"/>
                      <a:cs typeface="+mn-cs"/>
                    </a:rPr>
                    <m:t>𝑦</m:t>
                  </m:r>
                  <m:r>
                    <a:rPr lang="en-US" sz="1100" i="1">
                      <a:solidFill>
                        <a:schemeClr val="dk1"/>
                      </a:solidFill>
                      <a:latin typeface="Cambria Math" panose="02040503050406030204" pitchFamily="18" charset="0"/>
                      <a:ea typeface="+mn-ea"/>
                      <a:cs typeface="+mn-cs"/>
                    </a:rPr>
                    <m:t> = 0.3447</m:t>
                  </m:r>
                  <m:r>
                    <a:rPr lang="en-US" sz="1100" i="1">
                      <a:solidFill>
                        <a:schemeClr val="dk1"/>
                      </a:solidFill>
                      <a:latin typeface="Cambria Math" panose="02040503050406030204" pitchFamily="18" charset="0"/>
                      <a:ea typeface="+mn-ea"/>
                      <a:cs typeface="+mn-cs"/>
                    </a:rPr>
                    <m:t>𝑥</m:t>
                  </m:r>
                  <m:r>
                    <a:rPr lang="en-US" sz="1100" i="1">
                      <a:solidFill>
                        <a:schemeClr val="dk1"/>
                      </a:solidFill>
                      <a:latin typeface="Cambria Math" panose="02040503050406030204" pitchFamily="18" charset="0"/>
                      <a:ea typeface="+mn-ea"/>
                      <a:cs typeface="+mn-cs"/>
                    </a:rPr>
                    <m:t> + 81.298 </m:t>
                  </m:r>
                </m:oMath>
              </a14:m>
              <a:r>
                <a:rPr lang="en-US"/>
                <a:t>indicates that profit increase by about $0.3447 for every $1 increase in sales.</a:t>
              </a:r>
              <a:br>
                <a:rPr lang="en-US"/>
              </a:br>
              <a:r>
                <a:rPr lang="en-US"/>
                <a:t>The model fits the data very well (</a:t>
              </a:r>
              <a:r>
                <a:rPr lang="en-US" b="1"/>
                <a:t>R² = 0.9493</a:t>
              </a:r>
              <a:r>
                <a:rPr lang="en-US"/>
                <a:t>), meaning Total Sales explains almost 95% of the variation in Profit.</a:t>
              </a:r>
              <a:endParaRPr lang="en-US" sz="1100"/>
            </a:p>
          </xdr:txBody>
        </xdr:sp>
      </mc:Choice>
      <mc:Fallback xmlns="">
        <xdr:sp macro="" textlink="">
          <xdr:nvSpPr>
            <xdr:cNvPr id="4" name="TextBox 2">
              <a:extLst>
                <a:ext uri="{FF2B5EF4-FFF2-40B4-BE49-F238E27FC236}">
                  <a16:creationId xmlns:a16="http://schemas.microsoft.com/office/drawing/2014/main" id="{F528FB46-6373-31A3-B18A-79CC29F628E8}"/>
                </a:ext>
              </a:extLst>
            </xdr:cNvPr>
            <xdr:cNvSpPr txBox="1"/>
          </xdr:nvSpPr>
          <xdr:spPr>
            <a:xfrm>
              <a:off x="6098733" y="1682893"/>
              <a:ext cx="5610857" cy="14832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Interpretation:</a:t>
              </a:r>
              <a:br>
                <a:rPr lang="en-US"/>
              </a:br>
              <a:r>
                <a:rPr lang="en-US"/>
                <a:t>The scatter plot shows a </a:t>
              </a:r>
              <a:r>
                <a:rPr lang="en-US" b="1"/>
                <a:t>strong positive linear relationship</a:t>
              </a:r>
              <a:r>
                <a:rPr lang="en-US"/>
                <a:t> between Operating Profit and Total Sales (r = 0.974).</a:t>
              </a:r>
              <a:br>
                <a:rPr lang="en-US"/>
              </a:br>
              <a:r>
                <a:rPr lang="en-US"/>
                <a:t>The regression model </a:t>
              </a:r>
              <a:r>
                <a:rPr lang="en-US" sz="1100" i="0">
                  <a:solidFill>
                    <a:schemeClr val="dk1"/>
                  </a:solidFill>
                  <a:latin typeface="Cambria Math" panose="02040503050406030204" pitchFamily="18" charset="0"/>
                  <a:ea typeface="+mn-ea"/>
                  <a:cs typeface="+mn-cs"/>
                </a:rPr>
                <a:t>𝑦 = 0.3447𝑥 + 81.298</a:t>
              </a:r>
              <a:r>
                <a:rPr lang="en-US" sz="1100" b="0" i="0">
                  <a:solidFill>
                    <a:schemeClr val="dk1"/>
                  </a:solidFill>
                  <a:latin typeface="Cambria Math" panose="02040503050406030204" pitchFamily="18" charset="0"/>
                  <a:ea typeface="+mn-ea"/>
                  <a:cs typeface="+mn-cs"/>
                </a:rPr>
                <a:t> </a:t>
              </a:r>
              <a:r>
                <a:rPr lang="en-US"/>
                <a:t>indicates that profit increase by about $0.3447 for every $1 increase in sales.</a:t>
              </a:r>
              <a:br>
                <a:rPr lang="en-US"/>
              </a:br>
              <a:r>
                <a:rPr lang="en-US"/>
                <a:t>The model fits the data very well (</a:t>
              </a:r>
              <a:r>
                <a:rPr lang="en-US" b="1"/>
                <a:t>R² = 0.9493</a:t>
              </a:r>
              <a:r>
                <a:rPr lang="en-US"/>
                <a:t>), meaning Total Sales explains almost 95% of the variation in Profit.</a:t>
              </a:r>
              <a:endParaRPr lang="en-US"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2.931262152779" createdVersion="8" refreshedVersion="8" minRefreshableVersion="3" recordCount="4999" xr:uid="{4936E581-1B4F-4FFC-A1D0-0FA7671B6F64}">
  <cacheSource type="worksheet">
    <worksheetSource ref="A1:L5000" sheet="Raw Data&amp; 2.1.1"/>
  </cacheSource>
  <cacheFields count="12">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ount="5">
        <s v="Southeast"/>
        <s v="South"/>
        <s v="Midwest"/>
        <s v="Northeast"/>
        <s v="West"/>
      </sharedItems>
    </cacheField>
    <cacheField name="State" numFmtId="0">
      <sharedItems/>
    </cacheField>
    <cacheField name="City" numFmtId="0">
      <sharedItems/>
    </cacheField>
    <cacheField name="Product" numFmtId="0">
      <sharedItems/>
    </cacheField>
    <cacheField name="Price per Unit" numFmtId="8">
      <sharedItems containsSemiMixedTypes="0" containsString="0" containsNumber="1" containsInteger="1" minValue="7" maxValue="103"/>
    </cacheField>
    <cacheField name="Units Sold" numFmtId="0">
      <sharedItems containsSemiMixedTypes="0" containsString="0" containsNumber="1" containsInteger="1" minValue="81" maxValue="700"/>
    </cacheField>
    <cacheField name="Total Sales" numFmtId="0">
      <sharedItems containsSemiMixedTypes="0" containsString="0" containsNumber="1" containsInteger="1" minValue="58" maxValue="9000" count="1265">
        <n v="2245"/>
        <n v="1679"/>
        <n v="7000"/>
        <n v="8625"/>
        <n v="7125"/>
        <n v="9000"/>
        <n v="6750"/>
        <n v="1910"/>
        <n v="8500"/>
        <n v="6375"/>
        <n v="2016"/>
        <n v="1591"/>
        <n v="1854"/>
        <n v="8000"/>
        <n v="6000"/>
        <n v="1880"/>
        <n v="1560"/>
        <n v="1280"/>
        <n v="1306"/>
        <n v="1166"/>
        <n v="7500"/>
        <n v="5625"/>
        <n v="1538"/>
        <n v="1085"/>
        <n v="1228"/>
        <n v="1610"/>
        <n v="1328"/>
        <n v="1704"/>
        <n v="1628"/>
        <n v="1654"/>
        <n v="8750"/>
        <n v="3500"/>
        <n v="5250"/>
        <n v="1120"/>
        <n v="1260"/>
        <n v="1505"/>
        <n v="1575"/>
        <n v="1330"/>
        <n v="907"/>
        <n v="1596"/>
        <n v="6900"/>
        <n v="1398"/>
        <n v="1394"/>
        <n v="1632"/>
        <n v="1386"/>
        <n v="1579"/>
        <n v="1299"/>
        <n v="1399"/>
        <n v="1066"/>
        <n v="1132"/>
        <n v="1527"/>
        <n v="1162"/>
        <n v="1254"/>
        <n v="1650"/>
        <n v="2021"/>
        <n v="8125"/>
        <n v="6500"/>
        <n v="4875"/>
        <n v="3250"/>
        <n v="1885"/>
        <n v="1296"/>
        <n v="2035"/>
        <n v="1034"/>
        <n v="1163"/>
        <n v="1707"/>
        <n v="1288"/>
        <n v="1063"/>
        <n v="966"/>
        <n v="998"/>
        <n v="1152"/>
        <n v="1408"/>
        <n v="1882"/>
        <n v="1180"/>
        <n v="1372"/>
        <n v="1304"/>
        <n v="1712"/>
        <n v="1229"/>
        <n v="1103"/>
        <n v="882"/>
        <n v="1134"/>
        <n v="756"/>
        <n v="848"/>
        <n v="1225"/>
        <n v="1440"/>
        <n v="1722"/>
        <n v="1934"/>
        <n v="1186"/>
        <n v="1248"/>
        <n v="1959"/>
        <n v="1333"/>
        <n v="1879"/>
        <n v="1316"/>
        <n v="1040"/>
        <n v="1255"/>
        <n v="612"/>
        <n v="704"/>
        <n v="887"/>
        <n v="949"/>
        <n v="1836"/>
        <n v="1102"/>
        <n v="1897"/>
        <n v="1952"/>
        <n v="824"/>
        <n v="1007"/>
        <n v="1190"/>
        <n v="1824"/>
        <n v="1087"/>
        <n v="1359"/>
        <n v="4500"/>
        <n v="1350"/>
        <n v="1530"/>
        <n v="1794"/>
        <n v="1252"/>
        <n v="1788"/>
        <n v="1158"/>
        <n v="1129"/>
        <n v="1069"/>
        <n v="2020"/>
        <n v="1095"/>
        <n v="7375"/>
        <n v="1033"/>
        <n v="944"/>
        <n v="826"/>
        <n v="856"/>
        <n v="1764"/>
        <n v="1264"/>
        <n v="1377"/>
        <n v="1494"/>
        <n v="1392"/>
        <n v="1711"/>
        <n v="1798"/>
        <n v="1972"/>
        <n v="1595"/>
        <n v="1943"/>
        <n v="1243"/>
        <n v="896"/>
        <n v="954"/>
        <n v="1474"/>
        <n v="665"/>
        <n v="1272"/>
        <n v="809"/>
        <n v="1098"/>
        <n v="1358"/>
        <n v="1037"/>
        <n v="1210"/>
        <n v="1464"/>
        <n v="861"/>
        <n v="1148"/>
        <n v="1205"/>
        <n v="1745"/>
        <n v="1539"/>
        <n v="1311"/>
        <n v="912"/>
        <n v="855"/>
        <n v="934"/>
        <n v="1354"/>
        <n v="1012"/>
        <n v="1236"/>
        <n v="955"/>
        <n v="1293"/>
        <n v="843"/>
        <n v="1652"/>
        <n v="1092"/>
        <n v="1176"/>
        <n v="1008"/>
        <n v="1624"/>
        <n v="1200"/>
        <n v="1339"/>
        <n v="1279"/>
        <n v="1557"/>
        <n v="1612"/>
        <n v="1390"/>
        <n v="1307"/>
        <n v="1001"/>
        <n v="945"/>
        <n v="1551"/>
        <n v="994"/>
        <n v="1021"/>
        <n v="773"/>
        <n v="6875"/>
        <n v="8250"/>
        <n v="5500"/>
        <n v="4125"/>
        <n v="2750"/>
        <n v="1447"/>
        <n v="1529"/>
        <n v="1693"/>
        <n v="1583"/>
        <n v="1256"/>
        <n v="1201"/>
        <n v="734"/>
        <n v="979"/>
        <n v="1006"/>
        <n v="1088"/>
        <n v="1278"/>
        <n v="789"/>
        <n v="1360"/>
        <n v="816"/>
        <n v="1822"/>
        <n v="1251"/>
        <n v="894"/>
        <n v="1084"/>
        <n v="840"/>
        <n v="1192"/>
        <n v="1057"/>
        <n v="1458"/>
        <n v="1188"/>
        <n v="1512"/>
        <n v="2322"/>
        <n v="1566"/>
        <n v="1107"/>
        <n v="540"/>
        <n v="702"/>
        <n v="1053"/>
        <n v="918"/>
        <n v="777"/>
        <n v="992"/>
        <n v="1501"/>
        <n v="1099"/>
        <n v="1367"/>
        <n v="1415"/>
        <n v="875"/>
        <n v="713"/>
        <n v="871"/>
        <n v="792"/>
        <n v="1214"/>
        <n v="1478"/>
        <n v="1346"/>
        <n v="634"/>
        <n v="1267"/>
        <n v="1082"/>
        <n v="1030"/>
        <n v="1135"/>
        <n v="1109"/>
        <n v="898"/>
        <n v="977"/>
        <n v="924"/>
        <n v="1736"/>
        <n v="1368"/>
        <n v="947"/>
        <n v="1552"/>
        <n v="710"/>
        <n v="1683"/>
        <n v="684"/>
        <n v="1289"/>
        <n v="1026"/>
        <n v="1946"/>
        <n v="921"/>
        <n v="815"/>
        <n v="1227"/>
        <n v="1383"/>
        <n v="2166"/>
        <n v="1305"/>
        <n v="1222"/>
        <n v="1196"/>
        <n v="1295"/>
        <n v="984"/>
        <n v="1062"/>
        <n v="1709"/>
        <n v="1342"/>
        <n v="1157"/>
        <n v="1075"/>
        <n v="1434"/>
        <n v="1126"/>
        <n v="922"/>
        <n v="768"/>
        <n v="870"/>
        <n v="1101"/>
        <n v="1382"/>
        <n v="717"/>
        <n v="794"/>
        <n v="666"/>
        <n v="1766"/>
        <n v="1587"/>
        <n v="1203"/>
        <n v="1459"/>
        <n v="1050"/>
        <n v="842"/>
        <n v="1122"/>
        <n v="1199"/>
        <n v="1173"/>
        <n v="1046"/>
        <n v="2015"/>
        <n v="1403"/>
        <n v="2193"/>
        <n v="510"/>
        <n v="995"/>
        <n v="1326"/>
        <n v="1734"/>
        <n v="1862"/>
        <n v="1626"/>
        <n v="737"/>
        <n v="1118"/>
        <n v="1041"/>
        <n v="1168"/>
        <n v="1524"/>
        <n v="1194"/>
        <n v="983"/>
        <n v="1184"/>
        <n v="1462"/>
        <n v="1411"/>
        <n v="1588"/>
        <n v="6250"/>
        <n v="5000"/>
        <n v="3750"/>
        <n v="2500"/>
        <n v="900"/>
        <n v="1175"/>
        <n v="1550"/>
        <n v="1150"/>
        <n v="1625"/>
        <n v="1325"/>
        <n v="1562"/>
        <n v="1290"/>
        <n v="1042"/>
        <n v="1438"/>
        <n v="719"/>
        <n v="1265"/>
        <n v="818"/>
        <n v="967"/>
        <n v="769"/>
        <n v="546"/>
        <n v="1835"/>
        <n v="1215"/>
        <n v="694"/>
        <n v="670"/>
        <n v="1984"/>
        <n v="1662"/>
        <n v="1017"/>
        <n v="521"/>
        <n v="1013"/>
        <n v="963"/>
        <n v="1136"/>
        <n v="1235"/>
        <n v="1457"/>
        <n v="988"/>
        <n v="296"/>
        <n v="543"/>
        <n v="865"/>
        <n v="667"/>
        <n v="935"/>
        <n v="1009"/>
        <n v="6125"/>
        <n v="8575"/>
        <n v="1446"/>
        <n v="1029"/>
        <n v="760"/>
        <n v="1005"/>
        <n v="1519"/>
        <n v="1054"/>
        <n v="1635"/>
        <n v="1366"/>
        <n v="1220"/>
        <n v="1409"/>
        <n v="1045"/>
        <n v="1312"/>
        <n v="1133"/>
        <n v="1056"/>
        <n v="1032"/>
        <n v="1224"/>
        <n v="1344"/>
        <n v="1992"/>
        <n v="1656"/>
        <n v="1536"/>
        <n v="744"/>
        <n v="552"/>
        <n v="672"/>
        <n v="480"/>
        <n v="1104"/>
        <n v="960"/>
        <n v="980"/>
        <n v="1840"/>
        <n v="884"/>
        <n v="860"/>
        <n v="1052"/>
        <n v="1071"/>
        <n v="928"/>
        <n v="1000"/>
        <n v="881"/>
        <n v="976"/>
        <n v="643"/>
        <n v="1047"/>
        <n v="1428"/>
        <n v="1714"/>
        <n v="1309"/>
        <n v="1023"/>
        <n v="1510"/>
        <n v="920"/>
        <n v="1204"/>
        <n v="1369"/>
        <n v="1156"/>
        <n v="637"/>
        <n v="732"/>
        <n v="779"/>
        <n v="661"/>
        <n v="1287"/>
        <n v="1100"/>
        <n v="562"/>
        <n v="632"/>
        <n v="1076"/>
        <n v="1142"/>
        <n v="1491"/>
        <n v="1678"/>
        <n v="1212"/>
        <n v="1515"/>
        <n v="1445"/>
        <n v="1025"/>
        <n v="1258"/>
        <n v="1771"/>
        <n v="1165"/>
        <n v="1002"/>
        <n v="839"/>
        <n v="303"/>
        <n v="676"/>
        <n v="629"/>
        <n v="909"/>
        <n v="862"/>
        <n v="536"/>
        <n v="722"/>
        <n v="885"/>
        <n v="905"/>
        <n v="858"/>
        <n v="1183"/>
        <n v="974"/>
        <n v="1206"/>
        <n v="1137"/>
        <n v="557"/>
        <n v="1090"/>
        <n v="1340"/>
        <n v="1294"/>
        <n v="1271"/>
        <n v="1155"/>
        <n v="762"/>
        <n v="1548"/>
        <n v="1247"/>
        <n v="739"/>
        <n v="624"/>
        <n v="1617"/>
        <n v="601"/>
        <n v="901"/>
        <n v="300"/>
        <n v="1432"/>
        <n v="1894"/>
        <n v="1357"/>
        <n v="1058"/>
        <n v="1127"/>
        <n v="782"/>
        <n v="828"/>
        <n v="989"/>
        <n v="437"/>
        <n v="943"/>
        <n v="1277"/>
        <n v="1094"/>
        <n v="1391"/>
        <n v="798"/>
        <n v="958"/>
        <n v="821"/>
        <n v="456"/>
        <n v="616"/>
        <n v="524"/>
        <n v="593"/>
        <n v="7875"/>
        <n v="3375"/>
        <n v="2250"/>
        <n v="765"/>
        <n v="743"/>
        <n v="1035"/>
        <n v="1170"/>
        <n v="1283"/>
        <n v="923"/>
        <n v="1373"/>
        <n v="1980"/>
        <n v="1665"/>
        <n v="1193"/>
        <n v="1485"/>
        <n v="1553"/>
        <n v="1125"/>
        <n v="630"/>
        <n v="968"/>
        <n v="788"/>
        <n v="698"/>
        <n v="675"/>
        <n v="560"/>
        <n v="515"/>
        <n v="627"/>
        <n v="582"/>
        <n v="784"/>
        <n v="851"/>
        <n v="157"/>
        <n v="1187"/>
        <n v="1232"/>
        <n v="829"/>
        <n v="825"/>
        <n v="1160"/>
        <n v="1070"/>
        <n v="937"/>
        <n v="736"/>
        <n v="803"/>
        <n v="781"/>
        <n v="468"/>
        <n v="312"/>
        <n v="1048"/>
        <n v="446"/>
        <n v="424"/>
        <n v="906"/>
        <n v="1282"/>
        <n v="641"/>
        <n v="1105"/>
        <n v="729"/>
        <n v="751"/>
        <n v="442"/>
        <n v="796"/>
        <n v="774"/>
        <n v="1613"/>
        <n v="7700"/>
        <n v="1577"/>
        <n v="1292"/>
        <n v="1402"/>
        <n v="1270"/>
        <n v="767"/>
        <n v="942"/>
        <n v="635"/>
        <n v="504"/>
        <n v="657"/>
        <n v="613"/>
        <n v="832"/>
        <n v="1117"/>
        <n v="1308"/>
        <n v="807"/>
        <n v="501"/>
        <n v="545"/>
        <n v="1570"/>
        <n v="916"/>
        <n v="850"/>
        <n v="610"/>
        <n v="589"/>
        <n v="349"/>
        <n v="1020"/>
        <n v="716"/>
        <n v="929"/>
        <n v="691"/>
        <n v="1555"/>
        <n v="1015"/>
        <n v="864"/>
        <n v="518"/>
        <n v="950"/>
        <n v="1161"/>
        <n v="1011"/>
        <n v="946"/>
        <n v="645"/>
        <n v="495"/>
        <n v="323"/>
        <n v="1140"/>
        <n v="452"/>
        <n v="366"/>
        <n v="903"/>
        <n v="490"/>
        <n v="873"/>
        <n v="1065"/>
        <n v="1363"/>
        <n v="1853"/>
        <n v="554"/>
        <n v="596"/>
        <n v="703"/>
        <n v="639"/>
        <n v="693"/>
        <n v="1113"/>
        <n v="1239"/>
        <n v="1302"/>
        <n v="378"/>
        <n v="1407"/>
        <n v="1659"/>
        <n v="1680"/>
        <n v="1365"/>
        <n v="819"/>
        <n v="567"/>
        <n v="987"/>
        <n v="609"/>
        <n v="714"/>
        <n v="441"/>
        <n v="462"/>
        <n v="651"/>
        <n v="1449"/>
        <n v="294"/>
        <n v="357"/>
        <n v="982"/>
        <n v="836"/>
        <n v="418"/>
        <n v="878"/>
        <n v="523"/>
        <n v="1024"/>
        <n v="941"/>
        <n v="853"/>
        <n v="1019"/>
        <n v="915"/>
        <n v="1269"/>
        <n v="811"/>
        <n v="1331"/>
        <n v="874"/>
        <n v="957"/>
        <n v="686"/>
        <n v="1414"/>
        <n v="1685"/>
        <n v="869"/>
        <n v="1318"/>
        <n v="1112"/>
        <n v="886"/>
        <n v="1586"/>
        <n v="742"/>
        <n v="783"/>
        <n v="330"/>
        <n v="453"/>
        <n v="309"/>
        <n v="371"/>
        <n v="938"/>
        <n v="286"/>
        <n v="755"/>
        <n v="469"/>
        <n v="653"/>
        <n v="388"/>
        <n v="367"/>
        <n v="690"/>
        <n v="771"/>
        <n v="1259"/>
        <n v="650"/>
        <n v="1198"/>
        <n v="386"/>
        <n v="183"/>
        <n v="1380"/>
        <n v="1644"/>
        <n v="731"/>
        <n v="1868"/>
        <n v="365"/>
        <n v="1096"/>
        <n v="426"/>
        <n v="264"/>
        <n v="345"/>
        <n v="812"/>
        <n v="487"/>
        <n v="548"/>
        <n v="711"/>
        <n v="1353"/>
        <n v="990"/>
        <n v="1010"/>
        <n v="1535"/>
        <n v="1111"/>
        <n v="364"/>
        <n v="525"/>
        <n v="747"/>
        <n v="563"/>
        <n v="482"/>
        <n v="1106"/>
        <n v="603"/>
        <n v="683"/>
        <n v="4000"/>
        <n v="3000"/>
        <n v="1060"/>
        <n v="1640"/>
        <n v="680"/>
        <n v="1620"/>
        <n v="740"/>
        <n v="380"/>
        <n v="280"/>
        <n v="360"/>
        <n v="420"/>
        <n v="720"/>
        <n v="880"/>
        <n v="970"/>
        <n v="574"/>
        <n v="752"/>
        <n v="804"/>
        <n v="902"/>
        <n v="549"/>
        <n v="568"/>
        <n v="451"/>
        <n v="1666"/>
        <n v="1039"/>
        <n v="745"/>
        <n v="647"/>
        <n v="1078"/>
        <n v="353"/>
        <n v="706"/>
        <n v="764"/>
        <n v="8775"/>
        <n v="7800"/>
        <n v="800"/>
        <n v="1385"/>
        <n v="1502"/>
        <n v="975"/>
        <n v="1424"/>
        <n v="936"/>
        <n v="1950"/>
        <n v="566"/>
        <n v="1209"/>
        <n v="1131"/>
        <n v="585"/>
        <n v="761"/>
        <n v="605"/>
        <n v="1463"/>
        <n v="917"/>
        <n v="951"/>
        <n v="1145"/>
        <n v="621"/>
        <n v="757"/>
        <n v="1319"/>
        <n v="640"/>
        <n v="718"/>
        <n v="795"/>
        <n v="679"/>
        <n v="776"/>
        <n v="965"/>
        <n v="1004"/>
        <n v="695"/>
        <n v="483"/>
        <n v="926"/>
        <n v="791"/>
        <n v="772"/>
        <n v="499"/>
        <n v="1018"/>
        <n v="806"/>
        <n v="614"/>
        <n v="741"/>
        <n v="608"/>
        <n v="209"/>
        <n v="494"/>
        <n v="817"/>
        <n v="646"/>
        <n v="513"/>
        <n v="1361"/>
        <n v="775"/>
        <n v="1153"/>
        <n v="1115"/>
        <n v="1172"/>
        <n v="1077"/>
        <n v="265"/>
        <n v="359"/>
        <n v="1285"/>
        <n v="1796"/>
        <n v="1323"/>
        <n v="888"/>
        <n v="454"/>
        <n v="964"/>
        <n v="1297"/>
        <n v="1128"/>
        <n v="1466"/>
        <n v="677"/>
        <n v="959"/>
        <n v="1147"/>
        <n v="733"/>
        <n v="940"/>
        <n v="846"/>
        <n v="827"/>
        <n v="263"/>
        <n v="508"/>
        <n v="430"/>
        <n v="1216"/>
        <n v="617"/>
        <n v="561"/>
        <n v="879"/>
        <n v="692"/>
        <n v="763"/>
        <n v="1097"/>
        <n v="1525"/>
        <n v="893"/>
        <n v="648"/>
        <n v="644"/>
        <n v="368"/>
        <n v="497"/>
        <n v="1086"/>
        <n v="626"/>
        <n v="331"/>
        <n v="810"/>
        <n v="699"/>
        <n v="754"/>
        <n v="607"/>
        <n v="837"/>
        <n v="910"/>
        <n v="1074"/>
        <n v="746"/>
        <n v="528"/>
        <n v="328"/>
        <n v="1784"/>
        <n v="1492"/>
        <n v="892"/>
        <n v="1401"/>
        <n v="1747"/>
        <n v="1565"/>
        <n v="346"/>
        <n v="1110"/>
        <n v="619"/>
        <n v="801"/>
        <n v="491"/>
        <n v="564"/>
        <n v="255"/>
        <n v="473"/>
        <n v="1376"/>
        <n v="688"/>
        <n v="597"/>
        <n v="1249"/>
        <n v="579"/>
        <n v="489"/>
        <n v="434"/>
        <n v="615"/>
        <n v="344"/>
        <n v="326"/>
        <n v="738"/>
        <n v="342"/>
        <n v="1476"/>
        <n v="1404"/>
        <n v="1728"/>
        <n v="486"/>
        <n v="1038"/>
        <n v="358"/>
        <n v="913"/>
        <n v="519"/>
        <n v="1146"/>
        <n v="662"/>
        <n v="555"/>
        <n v="445"/>
        <n v="908"/>
        <n v="1091"/>
        <n v="405"/>
        <n v="1179"/>
        <n v="422"/>
        <n v="1197"/>
        <n v="986"/>
        <n v="933"/>
        <n v="845"/>
        <n v="458"/>
        <n v="317"/>
        <n v="299"/>
        <n v="4375"/>
        <n v="1750"/>
        <n v="595"/>
        <n v="770"/>
        <n v="1523"/>
        <n v="578"/>
        <n v="700"/>
        <n v="1079"/>
        <n v="748"/>
        <n v="1061"/>
        <n v="766"/>
        <n v="400"/>
        <n v="727"/>
        <n v="571"/>
        <n v="260"/>
        <n v="1159"/>
        <n v="830"/>
        <n v="484"/>
        <n v="1332"/>
        <n v="1003"/>
        <n v="502"/>
        <n v="813"/>
        <n v="467"/>
        <n v="623"/>
        <n v="398"/>
        <n v="588"/>
        <n v="969"/>
        <n v="709"/>
        <n v="701"/>
        <n v="735"/>
        <n v="599"/>
        <n v="1043"/>
        <n v="867"/>
        <n v="833"/>
        <n v="952"/>
        <n v="408"/>
        <n v="799"/>
        <n v="289"/>
        <n v="374"/>
        <n v="493"/>
        <n v="659"/>
        <n v="642"/>
        <n v="406"/>
        <n v="321"/>
        <n v="997"/>
        <n v="304"/>
        <n v="1639"/>
        <n v="541"/>
        <n v="1014"/>
        <n v="558"/>
        <n v="389"/>
        <n v="625"/>
        <n v="575"/>
        <n v="538"/>
        <n v="790"/>
        <n v="638"/>
        <n v="622"/>
        <n v="857"/>
        <n v="785"/>
        <n v="618"/>
        <n v="985"/>
        <n v="384"/>
        <n v="685"/>
        <n v="401"/>
        <n v="531"/>
        <n v="598"/>
        <n v="780"/>
        <n v="664"/>
        <n v="730"/>
        <n v="432"/>
        <n v="266"/>
        <n v="611"/>
        <n v="726"/>
        <n v="231"/>
        <n v="429"/>
        <n v="512"/>
        <n v="363"/>
        <n v="281"/>
        <n v="594"/>
        <n v="587"/>
        <n v="1027"/>
        <n v="522"/>
        <n v="1174"/>
        <n v="962"/>
        <n v="1646"/>
        <n v="668"/>
        <n v="375"/>
        <n v="897"/>
        <n v="831"/>
        <n v="391"/>
        <n v="440"/>
        <n v="652"/>
        <n v="750"/>
        <n v="956"/>
        <n v="1393"/>
        <n v="373"/>
        <n v="340"/>
        <n v="308"/>
        <n v="535"/>
        <n v="778"/>
        <n v="725"/>
        <n v="708"/>
        <n v="1320"/>
        <n v="805"/>
        <n v="656"/>
        <n v="1072"/>
        <n v="464"/>
        <n v="544"/>
        <n v="448"/>
        <n v="320"/>
        <n v="416"/>
        <n v="427"/>
        <n v="948"/>
        <n v="537"/>
        <n v="1169"/>
        <n v="932"/>
        <n v="284"/>
        <n v="569"/>
        <n v="600"/>
        <n v="553"/>
        <n v="474"/>
        <n v="298"/>
        <n v="749"/>
        <n v="1123"/>
        <n v="421"/>
        <n v="1310"/>
        <n v="655"/>
        <n v="1154"/>
        <n v="961"/>
        <n v="1473"/>
        <n v="899"/>
        <n v="930"/>
        <n v="403"/>
        <n v="310"/>
        <n v="620"/>
        <n v="682"/>
        <n v="372"/>
        <n v="631"/>
        <n v="293"/>
        <n v="724"/>
        <n v="847"/>
        <n v="306"/>
        <n v="413"/>
        <n v="581"/>
        <n v="658"/>
        <n v="337"/>
        <n v="230"/>
        <n v="551"/>
        <n v="654"/>
        <n v="517"/>
        <n v="866"/>
        <n v="669"/>
        <n v="167"/>
        <n v="410"/>
        <n v="347"/>
        <n v="1500"/>
        <n v="705"/>
        <n v="1185"/>
        <n v="660"/>
        <n v="1230"/>
        <n v="570"/>
        <n v="1455"/>
        <n v="435"/>
        <n v="450"/>
        <n v="465"/>
        <n v="1028"/>
        <n v="402"/>
        <n v="343"/>
        <n v="671"/>
        <n v="492"/>
        <n v="820"/>
        <n v="268"/>
        <n v="507"/>
        <n v="417"/>
        <n v="485"/>
        <n v="529"/>
        <n v="559"/>
        <n v="500"/>
        <n v="382"/>
        <n v="338"/>
        <n v="573"/>
        <n v="470"/>
        <n v="5800"/>
        <n v="841"/>
        <n v="1059"/>
        <n v="696"/>
        <n v="580"/>
        <n v="218"/>
        <n v="232"/>
        <n v="479"/>
        <n v="590"/>
        <n v="475"/>
        <n v="288"/>
        <n v="1022"/>
        <n v="533"/>
        <n v="461"/>
        <n v="872"/>
        <n v="472"/>
        <n v="415"/>
        <n v="787"/>
        <n v="200"/>
        <n v="758"/>
        <n v="586"/>
        <n v="715"/>
        <n v="572"/>
        <n v="753"/>
        <n v="383"/>
        <n v="838"/>
        <n v="412"/>
        <n v="511"/>
        <n v="1036"/>
        <n v="532"/>
        <n v="336"/>
        <n v="322"/>
        <n v="602"/>
        <n v="224"/>
        <n v="392"/>
        <n v="350"/>
        <n v="476"/>
        <n v="154"/>
        <n v="883"/>
        <n v="1049"/>
        <n v="455"/>
        <n v="649"/>
        <n v="911"/>
        <n v="712"/>
        <n v="466"/>
        <n v="808"/>
        <n v="397"/>
        <n v="438"/>
        <n v="877"/>
        <n v="258"/>
        <n v="381"/>
        <n v="354"/>
        <n v="707"/>
        <n v="272"/>
        <n v="190"/>
        <n v="721"/>
        <n v="503"/>
        <n v="313"/>
        <n v="150"/>
        <n v="257"/>
        <n v="459"/>
        <n v="999"/>
        <n v="527"/>
        <n v="797"/>
        <n v="351"/>
        <n v="270"/>
        <n v="243"/>
        <n v="904"/>
        <n v="678"/>
        <n v="439"/>
        <n v="436"/>
        <n v="673"/>
        <n v="238"/>
        <n v="172"/>
        <n v="185"/>
        <n v="370"/>
        <n v="449"/>
        <n v="290"/>
        <n v="576"/>
        <n v="498"/>
        <n v="314"/>
        <n v="550"/>
        <n v="393"/>
        <n v="419"/>
        <n v="131"/>
        <n v="179"/>
        <n v="333"/>
        <n v="256"/>
        <n v="282"/>
        <n v="166"/>
        <n v="205"/>
        <n v="844"/>
        <n v="1121"/>
        <n v="592"/>
        <n v="542"/>
        <n v="3125"/>
        <n v="463"/>
        <n v="248"/>
        <n v="223"/>
        <n v="409"/>
        <n v="583"/>
        <n v="174"/>
        <n v="186"/>
        <n v="335"/>
        <n v="136"/>
        <n v="496"/>
        <n v="471"/>
        <n v="394"/>
        <n v="234"/>
        <n v="295"/>
        <n v="689"/>
        <n v="369"/>
        <n v="135"/>
        <n v="390"/>
        <n v="220"/>
        <n v="636"/>
        <n v="516"/>
        <n v="168"/>
        <n v="192"/>
        <n v="228"/>
        <n v="488"/>
        <n v="547"/>
        <n v="262"/>
        <n v="274"/>
        <n v="202"/>
        <n v="316"/>
        <n v="339"/>
        <n v="211"/>
        <n v="164"/>
        <n v="854"/>
        <n v="325"/>
        <n v="534"/>
        <n v="267"/>
        <n v="278"/>
        <n v="128"/>
        <n v="139"/>
        <n v="978"/>
        <n v="161"/>
        <n v="219"/>
        <n v="506"/>
        <n v="633"/>
        <n v="182"/>
        <n v="520"/>
        <n v="407"/>
        <n v="203"/>
        <n v="305"/>
        <n v="215"/>
        <n v="362"/>
        <n v="271"/>
        <n v="269"/>
        <n v="302"/>
        <n v="414"/>
        <n v="728"/>
        <n v="291"/>
        <n v="90"/>
        <n v="311"/>
        <n v="377"/>
        <n v="355"/>
        <n v="222"/>
        <n v="78"/>
        <n v="444"/>
        <n v="244"/>
        <n v="433"/>
        <n v="447"/>
        <n v="251"/>
        <n v="556"/>
        <n v="273"/>
        <n v="207"/>
        <n v="356"/>
        <n v="216"/>
        <n v="514"/>
        <n v="107"/>
        <n v="385"/>
        <n v="396"/>
        <n v="201"/>
        <n v="399"/>
        <n v="242"/>
        <n v="252"/>
        <n v="210"/>
        <n v="74"/>
        <n v="431"/>
        <n v="697"/>
        <n v="395"/>
        <n v="125"/>
        <n v="530"/>
        <n v="245"/>
        <n v="235"/>
        <n v="428"/>
        <n v="133"/>
        <n v="204"/>
        <n v="194"/>
        <n v="141"/>
        <n v="283"/>
        <n v="2000"/>
        <n v="240"/>
        <n v="277"/>
        <n v="158"/>
        <n v="137"/>
        <n v="196"/>
        <n v="147"/>
        <n v="176"/>
        <n v="118"/>
        <n v="539"/>
        <n v="250"/>
        <n v="106"/>
        <n v="307"/>
        <n v="2850"/>
        <n v="348"/>
        <n v="404"/>
        <n v="132"/>
        <n v="301"/>
        <n v="226"/>
        <n v="122"/>
        <n v="177"/>
        <n v="149"/>
        <n v="233"/>
        <n v="246"/>
        <n v="82"/>
        <n v="628"/>
        <n v="173"/>
        <n v="191"/>
        <n v="109"/>
        <n v="477"/>
        <n v="387"/>
        <n v="423"/>
        <n v="261"/>
        <n v="117"/>
        <n v="99"/>
        <n v="324"/>
        <n v="334"/>
        <n v="361"/>
        <n v="88"/>
        <n v="123"/>
        <n v="352"/>
        <n v="165"/>
        <n v="425"/>
        <n v="315"/>
        <n v="162"/>
        <n v="247"/>
        <n v="170"/>
        <n v="213"/>
        <n v="606"/>
        <n v="116"/>
        <n v="241"/>
        <n v="457"/>
        <n v="58"/>
        <n v="100"/>
        <n v="332"/>
        <n v="478"/>
        <n v="275"/>
        <n v="259"/>
        <n v="292"/>
      </sharedItems>
      <fieldGroup base="9">
        <rangePr startNum="58" endNum="9000" groupInterval="2000"/>
        <groupItems count="7">
          <s v="&lt;58"/>
          <s v="58-2057"/>
          <s v="2058-4057"/>
          <s v="4058-6057"/>
          <s v="6058-8057"/>
          <s v="8058-10057"/>
          <s v="&gt;10058"/>
        </groupItems>
      </fieldGroup>
    </cacheField>
    <cacheField name="Operating Profit" numFmtId="6">
      <sharedItems containsSemiMixedTypes="0" containsString="0" containsNumber="1" containsInteger="1" minValue="26" maxValue="5400" count="874">
        <n v="1257"/>
        <n v="806"/>
        <n v="3150"/>
        <n v="3881"/>
        <n v="3206"/>
        <n v="2494"/>
        <n v="2700"/>
        <n v="993"/>
        <n v="2975"/>
        <n v="2231"/>
        <n v="3400"/>
        <n v="2550"/>
        <n v="1129"/>
        <n v="875"/>
        <n v="1038"/>
        <n v="2800"/>
        <n v="3200"/>
        <n v="2400"/>
        <n v="978"/>
        <n v="811"/>
        <n v="666"/>
        <n v="679"/>
        <n v="559"/>
        <n v="4125"/>
        <n v="2625"/>
        <n v="3000"/>
        <n v="2250"/>
        <n v="1969"/>
        <n v="800"/>
        <n v="445"/>
        <n v="663"/>
        <n v="837"/>
        <n v="1250"/>
        <n v="452"/>
        <n v="511"/>
        <n v="1026"/>
        <n v="447"/>
        <n v="3063"/>
        <n v="3500"/>
        <n v="1225"/>
        <n v="1400"/>
        <n v="2100"/>
        <n v="2450"/>
        <n v="1838"/>
        <n v="414"/>
        <n v="365"/>
        <n v="497"/>
        <n v="473"/>
        <n v="758"/>
        <n v="426"/>
        <n v="2415"/>
        <n v="601"/>
        <n v="474"/>
        <n v="490"/>
        <n v="527"/>
        <n v="963"/>
        <n v="351"/>
        <n v="476"/>
        <n v="321"/>
        <n v="546"/>
        <n v="401"/>
        <n v="462"/>
        <n v="1152"/>
        <n v="3250"/>
        <n v="2600"/>
        <n v="2844"/>
        <n v="1706"/>
        <n v="1300"/>
        <n v="2275"/>
        <n v="1950"/>
        <n v="1150"/>
        <n v="518"/>
        <n v="1140"/>
        <n v="393"/>
        <n v="314"/>
        <n v="448"/>
        <n v="478"/>
        <n v="425"/>
        <n v="446"/>
        <n v="483"/>
        <n v="403"/>
        <n v="408"/>
        <n v="531"/>
        <n v="782"/>
        <n v="482"/>
        <n v="1096"/>
        <n v="405"/>
        <n v="397"/>
        <n v="364"/>
        <n v="335"/>
        <n v="442"/>
        <n v="513"/>
        <n v="295"/>
        <n v="431"/>
        <n v="565"/>
        <n v="348"/>
        <n v="430"/>
        <n v="576"/>
        <n v="893"/>
        <n v="1050"/>
        <n v="1238"/>
        <n v="700"/>
        <n v="449"/>
        <n v="1156"/>
        <n v="467"/>
        <n v="669"/>
        <n v="996"/>
        <n v="487"/>
        <n v="461"/>
        <n v="406"/>
        <n v="502"/>
        <n v="257"/>
        <n v="260"/>
        <n v="379"/>
        <n v="690"/>
        <n v="477"/>
        <n v="282"/>
        <n v="496"/>
        <n v="668"/>
        <n v="816"/>
        <n v="761"/>
        <n v="305"/>
        <n v="382"/>
        <n v="1040"/>
        <n v="544"/>
        <n v="4050"/>
        <n v="1575"/>
        <n v="3600"/>
        <n v="1800"/>
        <n v="643"/>
        <n v="874"/>
        <n v="1076"/>
        <n v="713"/>
        <n v="751"/>
        <n v="533"/>
        <n v="429"/>
        <n v="470"/>
        <n v="747"/>
        <n v="383"/>
        <n v="2581"/>
        <n v="434"/>
        <n v="538"/>
        <n v="339"/>
        <n v="342"/>
        <n v="882"/>
        <n v="868"/>
        <n v="598"/>
        <n v="529"/>
        <n v="616"/>
        <n v="665"/>
        <n v="749"/>
        <n v="941"/>
        <n v="1166"/>
        <n v="398"/>
        <n v="331"/>
        <n v="381"/>
        <n v="472"/>
        <n v="279"/>
        <n v="725"/>
        <n v="340"/>
        <n v="343"/>
        <n v="505"/>
        <n v="625"/>
        <n v="435"/>
        <n v="441"/>
        <n v="849"/>
        <n v="362"/>
        <n v="402"/>
        <n v="205"/>
        <n v="698"/>
        <n v="723"/>
        <n v="602"/>
        <n v="787"/>
        <n v="828"/>
        <n v="532"/>
        <n v="744"/>
        <n v="374"/>
        <n v="373"/>
        <n v="608"/>
        <n v="661"/>
        <n v="197"/>
        <n v="459"/>
        <n v="647"/>
        <n v="645"/>
        <n v="921"/>
        <n v="585"/>
        <n v="396"/>
        <n v="614"/>
        <n v="950"/>
        <n v="984"/>
        <n v="792"/>
        <n v="287"/>
        <n v="530"/>
        <n v="417"/>
        <n v="2750"/>
        <n v="2888"/>
        <n v="1925"/>
        <n v="1650"/>
        <n v="2406"/>
        <n v="2200"/>
        <n v="1100"/>
        <n v="1444"/>
        <n v="2475"/>
        <n v="2063"/>
        <n v="3300"/>
        <n v="622"/>
        <n v="764"/>
        <n v="779"/>
        <n v="428"/>
        <n v="691"/>
        <n v="780"/>
        <n v="404"/>
        <n v="329"/>
        <n v="292"/>
        <n v="500"/>
        <n v="729"/>
        <n v="394"/>
        <n v="641"/>
        <n v="416"/>
        <n v="604"/>
        <n v="376"/>
        <n v="412"/>
        <n v="325"/>
        <n v="466"/>
        <n v="444"/>
        <n v="656"/>
        <n v="594"/>
        <n v="653"/>
        <n v="907"/>
        <n v="1231"/>
        <n v="767"/>
        <n v="350"/>
        <n v="410"/>
        <n v="211"/>
        <n v="569"/>
        <n v="349"/>
        <n v="523"/>
        <n v="592"/>
        <n v="486"/>
        <n v="420"/>
        <n v="659"/>
        <n v="820"/>
        <n v="507"/>
        <n v="285"/>
        <n v="366"/>
        <n v="309"/>
        <n v="281"/>
        <n v="202"/>
        <n v="336"/>
        <n v="278"/>
        <n v="341"/>
        <n v="333"/>
        <n v="377"/>
        <n v="479"/>
        <n v="537"/>
        <n v="794"/>
        <n v="203"/>
        <n v="642"/>
        <n v="878"/>
        <n v="568"/>
        <n v="869"/>
        <n v="926"/>
        <n v="1060"/>
        <n v="308"/>
        <n v="328"/>
        <n v="884"/>
        <n v="359"/>
        <n v="545"/>
        <n v="528"/>
        <n v="564"/>
        <n v="552"/>
        <n v="673"/>
        <n v="858"/>
        <n v="953"/>
        <n v="783"/>
        <n v="443"/>
        <n v="535"/>
        <n v="453"/>
        <n v="1061"/>
        <n v="644"/>
        <n v="624"/>
        <n v="579"/>
        <n v="384"/>
        <n v="215"/>
        <n v="372"/>
        <n v="218"/>
        <n v="433"/>
        <n v="284"/>
        <n v="506"/>
        <n v="829"/>
        <n v="337"/>
        <n v="421"/>
        <n v="436"/>
        <n v="654"/>
        <n v="667"/>
        <n v="566"/>
        <n v="307"/>
        <n v="578"/>
        <n v="539"/>
        <n v="587"/>
        <n v="923"/>
        <n v="575"/>
        <n v="1007"/>
        <n v="856"/>
        <n v="967"/>
        <n v="1118"/>
        <n v="209"/>
        <n v="302"/>
        <n v="368"/>
        <n v="451"/>
        <n v="683"/>
        <n v="615"/>
        <n v="609"/>
        <n v="456"/>
        <n v="491"/>
        <n v="617"/>
        <n v="706"/>
        <n v="826"/>
        <n v="1875"/>
        <n v="3938"/>
        <n v="2500"/>
        <n v="2188"/>
        <n v="2000"/>
        <n v="1750"/>
        <n v="1500"/>
        <n v="1313"/>
        <n v="752"/>
        <n v="610"/>
        <n v="689"/>
        <n v="707"/>
        <n v="1016"/>
        <n v="583"/>
        <n v="734"/>
        <n v="280"/>
        <n v="455"/>
        <n v="188"/>
        <n v="493"/>
        <n v="354"/>
        <n v="229"/>
        <n v="363"/>
        <n v="464"/>
        <n v="526"/>
        <n v="863"/>
        <n v="299"/>
        <n v="315"/>
        <n v="813"/>
        <n v="567"/>
        <n v="156"/>
        <n v="781"/>
        <n v="457"/>
        <n v="628"/>
        <n v="802"/>
        <n v="716"/>
        <n v="409"/>
        <n v="133"/>
        <n v="223"/>
        <n v="253"/>
        <n v="561"/>
        <n v="720"/>
        <n v="555"/>
        <n v="2573"/>
        <n v="650"/>
        <n v="838"/>
        <n v="556"/>
        <n v="387"/>
        <n v="201"/>
        <n v="289"/>
        <n v="548"/>
        <n v="1063"/>
        <n v="793"/>
        <n v="1047"/>
        <n v="732"/>
        <n v="796"/>
        <n v="606"/>
        <n v="514"/>
        <n v="512"/>
        <n v="516"/>
        <n v="1075"/>
        <n v="896"/>
        <n v="861"/>
        <n v="298"/>
        <n v="204"/>
        <n v="591"/>
        <n v="361"/>
        <n v="619"/>
        <n v="618"/>
        <n v="534"/>
        <n v="392"/>
        <n v="432"/>
        <n v="480"/>
        <n v="939"/>
        <n v="484"/>
        <n v="375"/>
        <n v="450"/>
        <n v="460"/>
        <n v="468"/>
        <n v="498"/>
        <n v="702"/>
        <n v="251"/>
        <n v="471"/>
        <n v="440"/>
        <n v="270"/>
        <n v="634"/>
        <n v="542"/>
        <n v="261"/>
        <n v="293"/>
        <n v="291"/>
        <n v="515"/>
        <n v="264"/>
        <n v="303"/>
        <n v="954"/>
        <n v="485"/>
        <n v="913"/>
        <n v="1000"/>
        <n v="708"/>
        <n v="717"/>
        <n v="822"/>
        <n v="580"/>
        <n v="541"/>
        <n v="176"/>
        <n v="115"/>
        <n v="492"/>
        <n v="345"/>
        <n v="346"/>
        <n v="319"/>
        <n v="522"/>
        <n v="274"/>
        <n v="724"/>
        <n v="603"/>
        <n v="206"/>
        <n v="347"/>
        <n v="255"/>
        <n v="775"/>
        <n v="929"/>
        <n v="798"/>
        <n v="370"/>
        <n v="324"/>
        <n v="809"/>
        <n v="330"/>
        <n v="207"/>
        <n v="120"/>
        <n v="701"/>
        <n v="570"/>
        <n v="508"/>
        <n v="613"/>
        <n v="140"/>
        <n v="600"/>
        <n v="930"/>
        <n v="695"/>
        <n v="271"/>
        <n v="547"/>
        <n v="230"/>
        <n v="407"/>
        <n v="196"/>
        <n v="265"/>
        <n v="236"/>
        <n v="273"/>
        <n v="2756"/>
        <n v="3544"/>
        <n v="1350"/>
        <n v="1181"/>
        <n v="2025"/>
        <n v="1688"/>
        <n v="675"/>
        <n v="2363"/>
        <n v="385"/>
        <n v="356"/>
        <n v="562"/>
        <n v="454"/>
        <n v="605"/>
        <n v="590"/>
        <n v="835"/>
        <n v="635"/>
        <n v="770"/>
        <n v="819"/>
        <n v="501"/>
        <n v="1009"/>
        <n v="300"/>
        <n v="549"/>
        <n v="626"/>
        <n v="413"/>
        <n v="711"/>
        <n v="216"/>
        <n v="326"/>
        <n v="124"/>
        <n v="250"/>
        <n v="235"/>
        <n v="263"/>
        <n v="74"/>
        <n v="344"/>
        <n v="554"/>
        <n v="323"/>
        <n v="332"/>
        <n v="710"/>
        <n v="773"/>
        <n v="855"/>
        <n v="812"/>
        <n v="612"/>
        <n v="290"/>
        <n v="106"/>
        <n v="268"/>
        <n v="186"/>
        <n v="589"/>
        <n v="519"/>
        <n v="225"/>
        <n v="306"/>
        <n v="190"/>
        <n v="318"/>
        <n v="791"/>
        <n v="2310"/>
        <n v="883"/>
        <n v="572"/>
        <n v="276"/>
        <n v="584"/>
        <n v="288"/>
        <n v="358"/>
        <n v="797"/>
        <n v="670"/>
        <n v="719"/>
        <n v="705"/>
        <n v="738"/>
        <n v="577"/>
        <n v="391"/>
        <n v="611"/>
        <n v="171"/>
        <n v="371"/>
        <n v="243"/>
        <n v="521"/>
        <n v="233"/>
        <n v="258"/>
        <n v="551"/>
        <n v="437"/>
        <n v="378"/>
        <n v="778"/>
        <n v="275"/>
        <n v="320"/>
        <n v="238"/>
        <n v="557"/>
        <n v="674"/>
        <n v="520"/>
        <n v="310"/>
        <n v="200"/>
        <n v="178"/>
        <n v="252"/>
        <n v="168"/>
        <n v="422"/>
        <n v="135"/>
        <n v="161"/>
        <n v="245"/>
        <n v="682"/>
        <n v="818"/>
        <n v="760"/>
        <n v="277"/>
        <n v="286"/>
        <n v="672"/>
        <n v="607"/>
        <n v="631"/>
        <n v="525"/>
        <n v="189"/>
        <n v="563"/>
        <n v="722"/>
        <n v="898"/>
        <n v="968"/>
        <n v="152"/>
        <n v="415"/>
        <n v="226"/>
        <n v="599"/>
        <n v="681"/>
        <n v="123"/>
        <n v="418"/>
        <n v="150"/>
        <n v="183"/>
        <n v="543"/>
        <n v="489"/>
        <n v="357"/>
        <n v="676"/>
        <n v="503"/>
        <n v="639"/>
        <n v="919"/>
        <n v="173"/>
        <n v="220"/>
        <n v="338"/>
        <n v="311"/>
        <n v="465"/>
        <n v="664"/>
        <n v="960"/>
        <n v="267"/>
        <n v="195"/>
        <n v="155"/>
        <n v="199"/>
        <n v="145"/>
        <n v="163"/>
        <n v="294"/>
        <n v="313"/>
        <n v="131"/>
        <n v="355"/>
        <n v="174"/>
        <n v="147"/>
        <n v="317"/>
        <n v="536"/>
        <n v="395"/>
        <n v="623"/>
        <n v="495"/>
        <n v="108"/>
        <n v="1104"/>
        <n v="386"/>
        <n v="927"/>
        <n v="1027"/>
        <n v="558"/>
        <n v="304"/>
        <n v="353"/>
        <n v="748"/>
        <n v="166"/>
        <n v="119"/>
        <n v="234"/>
        <n v="776"/>
        <n v="646"/>
        <n v="737"/>
        <n v="231"/>
        <n v="573"/>
        <n v="389"/>
        <n v="227"/>
        <n v="327"/>
        <n v="4500"/>
        <n v="5400"/>
        <n v="1600"/>
        <n v="1200"/>
        <n v="574"/>
        <n v="146"/>
        <n v="262"/>
        <n v="322"/>
        <n v="494"/>
        <n v="360"/>
        <n v="248"/>
        <n v="247"/>
        <n v="571"/>
        <n v="582"/>
        <n v="316"/>
        <n v="259"/>
        <n v="2633"/>
        <n v="2340"/>
        <n v="369"/>
        <n v="185"/>
        <n v="581"/>
        <n v="488"/>
        <n v="411"/>
        <n v="936"/>
        <n v="187"/>
        <n v="687"/>
        <n v="524"/>
        <n v="832"/>
        <n v="699"/>
        <n v="219"/>
        <n v="458"/>
        <n v="272"/>
        <n v="242"/>
        <n v="241"/>
        <n v="632"/>
        <n v="380"/>
        <n v="210"/>
        <n v="438"/>
        <n v="269"/>
        <n v="283"/>
        <n v="109"/>
        <n v="237"/>
        <n v="239"/>
        <n v="221"/>
        <n v="367"/>
        <n v="424"/>
        <n v="399"/>
        <n v="151"/>
        <n v="633"/>
        <n v="132"/>
        <n v="208"/>
        <n v="212"/>
        <n v="715"/>
        <n v="678"/>
        <n v="808"/>
        <n v="943"/>
        <n v="728"/>
        <n v="296"/>
        <n v="540"/>
        <n v="504"/>
        <n v="550"/>
        <n v="198"/>
        <n v="246"/>
        <n v="191"/>
        <n v="510"/>
        <n v="129"/>
        <n v="266"/>
        <n v="169"/>
        <n v="352"/>
        <n v="827"/>
        <n v="804"/>
        <n v="704"/>
        <n v="149"/>
        <n v="560"/>
        <n v="228"/>
        <n v="254"/>
        <n v="334"/>
        <n v="142"/>
        <n v="297"/>
        <n v="117"/>
        <n v="774"/>
        <n v="244"/>
        <n v="165"/>
        <n v="179"/>
        <n v="509"/>
        <n v="170"/>
        <n v="193"/>
        <n v="214"/>
        <n v="766"/>
        <n v="655"/>
        <n v="101"/>
        <n v="114"/>
        <n v="2144"/>
        <n v="1531"/>
        <n v="4375"/>
        <n v="620"/>
        <n v="694"/>
        <n v="685"/>
        <n v="463"/>
        <n v="481"/>
        <n v="301"/>
        <n v="660"/>
        <n v="677"/>
        <n v="390"/>
        <n v="256"/>
        <n v="475"/>
        <n v="112"/>
        <n v="104"/>
        <n v="157"/>
        <n v="312"/>
        <n v="852"/>
        <n v="688"/>
        <n v="595"/>
        <n v="181"/>
        <n v="143"/>
        <n v="419"/>
        <n v="649"/>
        <n v="388"/>
        <n v="938"/>
        <n v="217"/>
        <n v="757"/>
        <n v="175"/>
        <n v="126"/>
        <n v="240"/>
        <n v="517"/>
        <n v="593"/>
        <n v="726"/>
        <n v="400"/>
        <n v="148"/>
        <n v="182"/>
        <n v="232"/>
        <n v="122"/>
        <n v="116"/>
        <n v="746"/>
        <n v="693"/>
        <n v="118"/>
        <n v="769"/>
        <n v="113"/>
        <n v="138"/>
        <n v="87"/>
        <n v="249"/>
        <n v="79"/>
        <n v="177"/>
        <n v="1125"/>
        <n v="3375"/>
        <n v="900"/>
        <n v="439"/>
        <n v="427"/>
        <n v="162"/>
        <n v="222"/>
        <n v="224"/>
        <n v="137"/>
        <n v="164"/>
        <n v="144"/>
        <n v="1740"/>
        <n v="469"/>
        <n v="102"/>
        <n v="97"/>
        <n v="158"/>
        <n v="423"/>
        <n v="94"/>
        <n v="172"/>
        <n v="184"/>
        <n v="160"/>
        <n v="110"/>
        <n v="756"/>
        <n v="597"/>
        <n v="100"/>
        <n v="159"/>
        <n v="153"/>
        <n v="125"/>
        <n v="68"/>
        <n v="638"/>
        <n v="213"/>
        <n v="499"/>
        <n v="103"/>
        <n v="141"/>
        <n v="70"/>
        <n v="63"/>
        <n v="194"/>
        <n v="180"/>
        <n v="95"/>
        <n v="56"/>
        <n v="154"/>
        <n v="62"/>
        <n v="96"/>
        <n v="2438"/>
        <n v="1094"/>
        <n v="1719"/>
        <n v="1563"/>
        <n v="3750"/>
        <n v="2813"/>
        <n v="1406"/>
        <n v="167"/>
        <n v="82"/>
        <n v="78"/>
        <n v="61"/>
        <n v="85"/>
        <n v="105"/>
        <n v="127"/>
        <n v="64"/>
        <n v="90"/>
        <n v="84"/>
        <n v="86"/>
        <n v="107"/>
        <n v="192"/>
        <n v="98"/>
        <n v="75"/>
        <n v="93"/>
        <n v="128"/>
        <n v="136"/>
        <n v="54"/>
        <n v="72"/>
        <n v="134"/>
        <n v="130"/>
        <n v="40"/>
        <n v="66"/>
        <n v="36"/>
        <n v="139"/>
        <n v="99"/>
        <n v="44"/>
        <n v="55"/>
        <n v="91"/>
        <n v="121"/>
        <n v="80"/>
        <n v="92"/>
        <n v="31"/>
        <n v="52"/>
        <n v="83"/>
        <n v="1625"/>
        <n v="750"/>
        <n v="1375"/>
        <n v="73"/>
        <n v="88"/>
        <n v="81"/>
        <n v="50"/>
        <n v="111"/>
        <n v="998"/>
        <n v="77"/>
        <n v="65"/>
        <n v="41"/>
        <n v="71"/>
        <n v="46"/>
        <n v="48"/>
        <n v="39"/>
        <n v="45"/>
        <n v="59"/>
        <n v="57"/>
        <n v="76"/>
        <n v="26"/>
        <n v="42"/>
      </sharedItems>
    </cacheField>
    <cacheField name="Sales Metho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9">
  <r>
    <s v="Walmart"/>
    <n v="1128299"/>
    <d v="2021-06-17T00:00:00"/>
    <x v="0"/>
    <s v="Florida"/>
    <s v="Orlando"/>
    <s v="Women's Apparel"/>
    <n v="103"/>
    <n v="218"/>
    <x v="0"/>
    <x v="0"/>
    <s v="Online"/>
  </r>
  <r>
    <s v="West Gear"/>
    <n v="1128299"/>
    <d v="2021-07-16T00:00:00"/>
    <x v="1"/>
    <s v="Louisiana"/>
    <s v="New Orleans"/>
    <s v="Women's Apparel"/>
    <n v="103"/>
    <n v="163"/>
    <x v="1"/>
    <x v="1"/>
    <s v="Online"/>
  </r>
  <r>
    <s v="Sports Direct"/>
    <n v="1197831"/>
    <d v="2021-08-25T00:00:00"/>
    <x v="1"/>
    <s v="Alabama"/>
    <s v="Birmingham"/>
    <s v="Men's Street Footwear"/>
    <n v="10"/>
    <n v="700"/>
    <x v="2"/>
    <x v="2"/>
    <s v="Outlet"/>
  </r>
  <r>
    <s v="Sports Direct"/>
    <n v="1197831"/>
    <d v="2021-08-27T00:00:00"/>
    <x v="1"/>
    <s v="Alabama"/>
    <s v="Birmingham"/>
    <s v="Women's Street Footwear"/>
    <n v="15"/>
    <n v="575"/>
    <x v="3"/>
    <x v="3"/>
    <s v="Outlet"/>
  </r>
  <r>
    <s v="Sports Direct"/>
    <n v="1197831"/>
    <d v="2021-08-21T00:00:00"/>
    <x v="1"/>
    <s v="Alabama"/>
    <s v="Birmingham"/>
    <s v="Women's Street Footwear"/>
    <n v="15"/>
    <n v="475"/>
    <x v="4"/>
    <x v="4"/>
    <s v="Outlet"/>
  </r>
  <r>
    <s v="West Gear"/>
    <n v="1185732"/>
    <d v="2021-01-11T00:00:00"/>
    <x v="2"/>
    <s v="Missouri"/>
    <s v="St. Louis"/>
    <s v="Women's Street Footwear"/>
    <n v="15"/>
    <n v="475"/>
    <x v="4"/>
    <x v="5"/>
    <s v="In-store"/>
  </r>
  <r>
    <s v="Sports Direct"/>
    <n v="1185732"/>
    <d v="2021-11-17T00:00:00"/>
    <x v="1"/>
    <s v="Mississippi"/>
    <s v="Jackson"/>
    <s v="Men's Athletic Footwear"/>
    <n v="20"/>
    <n v="450"/>
    <x v="5"/>
    <x v="2"/>
    <s v="Online"/>
  </r>
  <r>
    <s v="Sports Direct"/>
    <n v="1197831"/>
    <d v="2021-01-23T00:00:00"/>
    <x v="1"/>
    <s v="Mississippi"/>
    <s v="Jackson"/>
    <s v="Women's Street Footwear"/>
    <n v="15"/>
    <n v="450"/>
    <x v="6"/>
    <x v="6"/>
    <s v="Online"/>
  </r>
  <r>
    <s v="West Gear"/>
    <n v="1185732"/>
    <d v="2021-04-03T00:00:00"/>
    <x v="2"/>
    <s v="Wisconsin"/>
    <s v="Milwaukee"/>
    <s v="Men's Street Footwear"/>
    <n v="20"/>
    <n v="450"/>
    <x v="5"/>
    <x v="6"/>
    <s v="In-store"/>
  </r>
  <r>
    <s v="Foot Locker"/>
    <n v="1185732"/>
    <d v="2020-03-10T00:00:00"/>
    <x v="3"/>
    <s v="New York"/>
    <s v="New York"/>
    <s v="Men's Street Footwear"/>
    <n v="44"/>
    <n v="434"/>
    <x v="7"/>
    <x v="7"/>
    <s v="Outlet"/>
  </r>
  <r>
    <s v="Foot Locker"/>
    <n v="1185732"/>
    <d v="2021-01-18T00:00:00"/>
    <x v="2"/>
    <s v="Michigan"/>
    <s v="Detroit"/>
    <s v="Women's Street Footwear"/>
    <n v="20"/>
    <n v="425"/>
    <x v="8"/>
    <x v="8"/>
    <s v="In-store"/>
  </r>
  <r>
    <s v="West Gear"/>
    <n v="1185732"/>
    <d v="2021-02-11T00:00:00"/>
    <x v="2"/>
    <s v="Missouri"/>
    <s v="St. Louis"/>
    <s v="Women's Street Footwear"/>
    <n v="15"/>
    <n v="425"/>
    <x v="9"/>
    <x v="9"/>
    <s v="In-store"/>
  </r>
  <r>
    <s v="West Gear"/>
    <n v="1185732"/>
    <d v="2021-06-11T00:00:00"/>
    <x v="4"/>
    <s v="Utah"/>
    <s v="Salt Lake City"/>
    <s v="Women's Street Footwear"/>
    <n v="20"/>
    <n v="425"/>
    <x v="8"/>
    <x v="8"/>
    <s v="In-store"/>
  </r>
  <r>
    <s v="Amazon"/>
    <n v="1185732"/>
    <d v="2021-04-10T00:00:00"/>
    <x v="2"/>
    <s v="Ohio"/>
    <s v="Columbus"/>
    <s v="Women's Street Footwear"/>
    <n v="20"/>
    <n v="425"/>
    <x v="8"/>
    <x v="10"/>
    <s v="Online"/>
  </r>
  <r>
    <s v="Foot Locker"/>
    <n v="1185732"/>
    <d v="2021-03-16T00:00:00"/>
    <x v="1"/>
    <s v="Mississippi"/>
    <s v="Jackson"/>
    <s v="Women's Street Footwear"/>
    <n v="15"/>
    <n v="425"/>
    <x v="9"/>
    <x v="11"/>
    <s v="Online"/>
  </r>
  <r>
    <s v="Walmart"/>
    <n v="1185732"/>
    <d v="2021-09-16T00:00:00"/>
    <x v="1"/>
    <s v="Mississippi"/>
    <s v="Jackson"/>
    <s v="Women's Street Footwear"/>
    <n v="20"/>
    <n v="425"/>
    <x v="8"/>
    <x v="10"/>
    <s v="Online"/>
  </r>
  <r>
    <s v="Walmart"/>
    <n v="1197831"/>
    <d v="2021-02-21T00:00:00"/>
    <x v="1"/>
    <s v="Arkansas"/>
    <s v="Little Rock"/>
    <s v="Women's Apparel"/>
    <n v="20"/>
    <n v="425"/>
    <x v="8"/>
    <x v="10"/>
    <s v="Online"/>
  </r>
  <r>
    <s v="Walmart"/>
    <n v="1197831"/>
    <d v="2021-10-21T00:00:00"/>
    <x v="1"/>
    <s v="Arkansas"/>
    <s v="Little Rock"/>
    <s v="Men's Athletic Footwear"/>
    <n v="20"/>
    <n v="425"/>
    <x v="8"/>
    <x v="8"/>
    <s v="Online"/>
  </r>
  <r>
    <s v="Walmart"/>
    <n v="1185732"/>
    <d v="2020-05-03T00:00:00"/>
    <x v="3"/>
    <s v="New York"/>
    <s v="New York"/>
    <s v="Men's Street Footwear"/>
    <n v="48"/>
    <n v="420"/>
    <x v="10"/>
    <x v="12"/>
    <s v="Outlet"/>
  </r>
  <r>
    <s v="Walmart"/>
    <n v="1185732"/>
    <d v="2020-04-19T00:00:00"/>
    <x v="3"/>
    <s v="New York"/>
    <s v="New York"/>
    <s v="Men's Street Footwear"/>
    <n v="39"/>
    <n v="408"/>
    <x v="11"/>
    <x v="13"/>
    <s v="Outlet"/>
  </r>
  <r>
    <s v="Walmart"/>
    <n v="1185732"/>
    <d v="2020-04-27T00:00:00"/>
    <x v="3"/>
    <s v="New York"/>
    <s v="New York"/>
    <s v="Men's Street Footwear"/>
    <n v="46"/>
    <n v="403"/>
    <x v="12"/>
    <x v="14"/>
    <s v="Outlet"/>
  </r>
  <r>
    <s v="West Gear"/>
    <n v="1185732"/>
    <d v="2021-03-10T00:00:00"/>
    <x v="4"/>
    <s v="Utah"/>
    <s v="Salt Lake City"/>
    <s v="Women's Street Footwear"/>
    <n v="20"/>
    <n v="400"/>
    <x v="13"/>
    <x v="15"/>
    <s v="In-store"/>
  </r>
  <r>
    <s v="West Gear"/>
    <n v="1185732"/>
    <d v="2021-06-11T00:00:00"/>
    <x v="4"/>
    <s v="Utah"/>
    <s v="Salt Lake City"/>
    <s v="Women's Athletic Footwear"/>
    <n v="20"/>
    <n v="400"/>
    <x v="13"/>
    <x v="16"/>
    <s v="In-store"/>
  </r>
  <r>
    <s v="West Gear"/>
    <n v="1185732"/>
    <d v="2021-10-11T00:00:00"/>
    <x v="4"/>
    <s v="Utah"/>
    <s v="Salt Lake City"/>
    <s v="Men's Athletic Footwear"/>
    <n v="20"/>
    <n v="400"/>
    <x v="13"/>
    <x v="15"/>
    <s v="In-store"/>
  </r>
  <r>
    <s v="West Gear"/>
    <n v="1185732"/>
    <d v="2021-11-11T00:00:00"/>
    <x v="4"/>
    <s v="Utah"/>
    <s v="Salt Lake City"/>
    <s v="Men's Athletic Footwear"/>
    <n v="20"/>
    <n v="400"/>
    <x v="13"/>
    <x v="15"/>
    <s v="In-store"/>
  </r>
  <r>
    <s v="Walmart"/>
    <n v="1185732"/>
    <d v="2021-09-16T00:00:00"/>
    <x v="1"/>
    <s v="Mississippi"/>
    <s v="Jackson"/>
    <s v="Women's Athletic Footwear"/>
    <n v="20"/>
    <n v="400"/>
    <x v="13"/>
    <x v="16"/>
    <s v="Online"/>
  </r>
  <r>
    <s v="Sports Direct"/>
    <n v="1197831"/>
    <d v="2021-02-21T00:00:00"/>
    <x v="1"/>
    <s v="Mississippi"/>
    <s v="Jackson"/>
    <s v="Women's Street Footwear"/>
    <n v="15"/>
    <n v="400"/>
    <x v="14"/>
    <x v="17"/>
    <s v="Online"/>
  </r>
  <r>
    <s v="Foot Locker"/>
    <n v="1185732"/>
    <d v="2020-03-04T00:00:00"/>
    <x v="3"/>
    <s v="New York"/>
    <s v="New York"/>
    <s v="Men's Street Footwear"/>
    <n v="47"/>
    <n v="400"/>
    <x v="15"/>
    <x v="18"/>
    <s v="Outlet"/>
  </r>
  <r>
    <s v="Foot Locker"/>
    <n v="1185732"/>
    <d v="2020-01-25T00:00:00"/>
    <x v="3"/>
    <s v="New York"/>
    <s v="New York"/>
    <s v="Men's Street Footwear"/>
    <n v="40"/>
    <n v="390"/>
    <x v="16"/>
    <x v="19"/>
    <s v="Outlet"/>
  </r>
  <r>
    <s v="Foot Locker"/>
    <n v="1185732"/>
    <d v="2020-01-07T00:00:00"/>
    <x v="3"/>
    <s v="New York"/>
    <s v="New York"/>
    <s v="Men's Street Footwear"/>
    <n v="33"/>
    <n v="388"/>
    <x v="17"/>
    <x v="20"/>
    <s v="Outlet"/>
  </r>
  <r>
    <s v="Foot Locker"/>
    <n v="1185732"/>
    <d v="2020-01-01T00:00:00"/>
    <x v="3"/>
    <s v="New York"/>
    <s v="New York"/>
    <s v="Men's Street Footwear"/>
    <n v="34"/>
    <n v="384"/>
    <x v="18"/>
    <x v="21"/>
    <s v="Outlet"/>
  </r>
  <r>
    <s v="Foot Locker"/>
    <n v="1185732"/>
    <d v="2021-02-07T00:00:00"/>
    <x v="0"/>
    <s v="Georgia"/>
    <s v="Atlanta"/>
    <s v="Men's Street Footwear"/>
    <n v="31"/>
    <n v="376"/>
    <x v="19"/>
    <x v="22"/>
    <s v="Outlet"/>
  </r>
  <r>
    <s v="Sports Direct"/>
    <n v="1197831"/>
    <d v="2021-08-22T00:00:00"/>
    <x v="1"/>
    <s v="Alabama"/>
    <s v="Birmingham"/>
    <s v="Women's Athletic Footwear"/>
    <n v="20"/>
    <n v="375"/>
    <x v="20"/>
    <x v="23"/>
    <s v="Outlet"/>
  </r>
  <r>
    <s v="Foot Locker"/>
    <n v="1185732"/>
    <d v="2021-02-18T00:00:00"/>
    <x v="2"/>
    <s v="Michigan"/>
    <s v="Detroit"/>
    <s v="Women's Street Footwear"/>
    <n v="20"/>
    <n v="375"/>
    <x v="20"/>
    <x v="24"/>
    <s v="In-store"/>
  </r>
  <r>
    <s v="West Gear"/>
    <n v="1185732"/>
    <d v="2021-08-11T00:00:00"/>
    <x v="4"/>
    <s v="Utah"/>
    <s v="Salt Lake City"/>
    <s v="Women's Athletic Footwear"/>
    <n v="20"/>
    <n v="375"/>
    <x v="20"/>
    <x v="25"/>
    <s v="In-store"/>
  </r>
  <r>
    <s v="West Gear"/>
    <n v="1185732"/>
    <d v="2021-11-11T00:00:00"/>
    <x v="4"/>
    <s v="Utah"/>
    <s v="Salt Lake City"/>
    <s v="Women's Athletic Footwear"/>
    <n v="20"/>
    <n v="375"/>
    <x v="20"/>
    <x v="25"/>
    <s v="In-store"/>
  </r>
  <r>
    <s v="Foot Locker"/>
    <n v="1185732"/>
    <d v="2021-04-17T00:00:00"/>
    <x v="1"/>
    <s v="Mississippi"/>
    <s v="Jackson"/>
    <s v="Women's Street Footwear"/>
    <n v="15"/>
    <n v="375"/>
    <x v="21"/>
    <x v="26"/>
    <s v="Online"/>
  </r>
  <r>
    <s v="West Gear"/>
    <n v="1197831"/>
    <d v="2021-11-20T00:00:00"/>
    <x v="1"/>
    <s v="Arkansas"/>
    <s v="Little Rock"/>
    <s v="Men's Athletic Footwear"/>
    <n v="15"/>
    <n v="375"/>
    <x v="21"/>
    <x v="27"/>
    <s v="Online"/>
  </r>
  <r>
    <s v="West Gear"/>
    <n v="1197831"/>
    <d v="2021-01-23T00:00:00"/>
    <x v="1"/>
    <s v="Arkansas"/>
    <s v="Little Rock"/>
    <s v="Women's Street Footwear"/>
    <n v="15"/>
    <n v="375"/>
    <x v="21"/>
    <x v="26"/>
    <s v="Online"/>
  </r>
  <r>
    <s v="Foot Locker"/>
    <n v="1185732"/>
    <d v="2020-03-16T00:00:00"/>
    <x v="3"/>
    <s v="New York"/>
    <s v="New York"/>
    <s v="Men's Street Footwear"/>
    <n v="41"/>
    <n v="375"/>
    <x v="22"/>
    <x v="28"/>
    <s v="Outlet"/>
  </r>
  <r>
    <s v="Walmart"/>
    <n v="1197831"/>
    <d v="2020-08-26T00:00:00"/>
    <x v="1"/>
    <s v="Texas"/>
    <s v="Houston"/>
    <s v="Women's Street Footwear"/>
    <n v="29"/>
    <n v="374"/>
    <x v="23"/>
    <x v="29"/>
    <s v="Outlet"/>
  </r>
  <r>
    <s v="Walmart"/>
    <n v="1197831"/>
    <d v="2020-09-01T00:00:00"/>
    <x v="1"/>
    <s v="Texas"/>
    <s v="Houston"/>
    <s v="Women's Street Footwear"/>
    <n v="29"/>
    <n v="374"/>
    <x v="23"/>
    <x v="29"/>
    <s v="Outlet"/>
  </r>
  <r>
    <s v="Foot Locker"/>
    <n v="1185732"/>
    <d v="2020-01-31T00:00:00"/>
    <x v="3"/>
    <s v="New York"/>
    <s v="New York"/>
    <s v="Men's Street Footwear"/>
    <n v="33"/>
    <n v="372"/>
    <x v="24"/>
    <x v="30"/>
    <s v="Outlet"/>
  </r>
  <r>
    <s v="Foot Locker"/>
    <n v="1185732"/>
    <d v="2020-02-06T00:00:00"/>
    <x v="3"/>
    <s v="New York"/>
    <s v="New York"/>
    <s v="Men's Street Footwear"/>
    <n v="44"/>
    <n v="366"/>
    <x v="25"/>
    <x v="31"/>
    <s v="Outlet"/>
  </r>
  <r>
    <s v="Walmart"/>
    <n v="1185732"/>
    <d v="2020-04-19T00:00:00"/>
    <x v="3"/>
    <s v="New York"/>
    <s v="New York"/>
    <s v="Men's Street Footwear"/>
    <n v="56"/>
    <n v="360"/>
    <x v="10"/>
    <x v="32"/>
    <s v="Online"/>
  </r>
  <r>
    <s v="Foot Locker"/>
    <n v="1185732"/>
    <d v="2020-03-17T00:00:00"/>
    <x v="3"/>
    <s v="New York"/>
    <s v="New York"/>
    <s v="Men's Athletic Footwear"/>
    <n v="37"/>
    <n v="359"/>
    <x v="26"/>
    <x v="33"/>
    <s v="Outlet"/>
  </r>
  <r>
    <s v="Walmart"/>
    <n v="1185732"/>
    <d v="2020-04-18T00:00:00"/>
    <x v="3"/>
    <s v="New York"/>
    <s v="New York"/>
    <s v="Women's Apparel"/>
    <n v="48"/>
    <n v="355"/>
    <x v="27"/>
    <x v="34"/>
    <s v="Outlet"/>
  </r>
  <r>
    <s v="Foot Locker"/>
    <n v="1185732"/>
    <d v="2020-01-25T00:00:00"/>
    <x v="3"/>
    <s v="New York"/>
    <s v="New York"/>
    <s v="Men's Street Footwear"/>
    <n v="46"/>
    <n v="354"/>
    <x v="28"/>
    <x v="35"/>
    <s v="Online"/>
  </r>
  <r>
    <s v="Foot Locker"/>
    <n v="1185732"/>
    <d v="2020-03-15T00:00:00"/>
    <x v="3"/>
    <s v="New York"/>
    <s v="New York"/>
    <s v="Women's Apparel"/>
    <n v="47"/>
    <n v="352"/>
    <x v="29"/>
    <x v="36"/>
    <s v="Outlet"/>
  </r>
  <r>
    <s v="Foot Locker"/>
    <n v="1185732"/>
    <d v="2021-03-17T00:00:00"/>
    <x v="2"/>
    <s v="Missouri"/>
    <s v="St. Louis"/>
    <s v="Women's Street Footwear"/>
    <n v="25"/>
    <n v="350"/>
    <x v="30"/>
    <x v="37"/>
    <s v="In-store"/>
  </r>
  <r>
    <s v="Foot Locker"/>
    <n v="1185732"/>
    <d v="2021-06-18T00:00:00"/>
    <x v="2"/>
    <s v="Missouri"/>
    <s v="St. Louis"/>
    <s v="Women's Athletic Footwear"/>
    <n v="25"/>
    <n v="350"/>
    <x v="30"/>
    <x v="38"/>
    <s v="In-store"/>
  </r>
  <r>
    <s v="Foot Locker"/>
    <n v="1185732"/>
    <d v="2021-10-18T00:00:00"/>
    <x v="2"/>
    <s v="Missouri"/>
    <s v="St. Louis"/>
    <s v="Men's Athletic Footwear"/>
    <n v="25"/>
    <n v="350"/>
    <x v="30"/>
    <x v="37"/>
    <s v="In-store"/>
  </r>
  <r>
    <s v="Foot Locker"/>
    <n v="1185732"/>
    <d v="2021-11-18T00:00:00"/>
    <x v="2"/>
    <s v="Missouri"/>
    <s v="St. Louis"/>
    <s v="Men's Athletic Footwear"/>
    <n v="25"/>
    <n v="350"/>
    <x v="30"/>
    <x v="37"/>
    <s v="In-store"/>
  </r>
  <r>
    <s v="West Gear"/>
    <n v="1185732"/>
    <d v="2021-05-12T00:00:00"/>
    <x v="4"/>
    <s v="Utah"/>
    <s v="Salt Lake City"/>
    <s v="Women's Street Footwear"/>
    <n v="25"/>
    <n v="350"/>
    <x v="30"/>
    <x v="37"/>
    <s v="In-store"/>
  </r>
  <r>
    <s v="West Gear"/>
    <n v="1185732"/>
    <d v="2021-09-12T00:00:00"/>
    <x v="4"/>
    <s v="Utah"/>
    <s v="Salt Lake City"/>
    <s v="Women's Street Footwear"/>
    <n v="10"/>
    <n v="350"/>
    <x v="31"/>
    <x v="39"/>
    <s v="In-store"/>
  </r>
  <r>
    <s v="Amazon"/>
    <n v="1185732"/>
    <d v="2021-04-10T00:00:00"/>
    <x v="2"/>
    <s v="Ohio"/>
    <s v="Columbus"/>
    <s v="Women's Athletic Footwear"/>
    <n v="25"/>
    <n v="350"/>
    <x v="30"/>
    <x v="38"/>
    <s v="Online"/>
  </r>
  <r>
    <s v="Walmart"/>
    <n v="1185732"/>
    <d v="2021-10-18T00:00:00"/>
    <x v="1"/>
    <s v="Mississippi"/>
    <s v="Jackson"/>
    <s v="Women's Athletic Footwear"/>
    <n v="25"/>
    <n v="350"/>
    <x v="30"/>
    <x v="38"/>
    <s v="Online"/>
  </r>
  <r>
    <s v="Sports Direct"/>
    <n v="1197831"/>
    <d v="2021-02-21T00:00:00"/>
    <x v="1"/>
    <s v="Mississippi"/>
    <s v="Jackson"/>
    <s v="Men's Athletic Footwear"/>
    <n v="25"/>
    <n v="350"/>
    <x v="30"/>
    <x v="37"/>
    <s v="Online"/>
  </r>
  <r>
    <s v="Walmart"/>
    <n v="1197831"/>
    <d v="2021-03-19T00:00:00"/>
    <x v="1"/>
    <s v="Arkansas"/>
    <s v="Little Rock"/>
    <s v="Women's Street Footwear"/>
    <n v="10"/>
    <n v="350"/>
    <x v="31"/>
    <x v="40"/>
    <s v="Online"/>
  </r>
  <r>
    <s v="Walmart"/>
    <n v="1197831"/>
    <d v="2021-03-19T00:00:00"/>
    <x v="1"/>
    <s v="Arkansas"/>
    <s v="Little Rock"/>
    <s v="Women's Apparel"/>
    <n v="25"/>
    <n v="350"/>
    <x v="30"/>
    <x v="38"/>
    <s v="Online"/>
  </r>
  <r>
    <s v="Walmart"/>
    <n v="1197831"/>
    <d v="2021-09-19T00:00:00"/>
    <x v="1"/>
    <s v="Arkansas"/>
    <s v="Little Rock"/>
    <s v="Women's Street Footwear"/>
    <n v="15"/>
    <n v="350"/>
    <x v="32"/>
    <x v="41"/>
    <s v="Online"/>
  </r>
  <r>
    <s v="West Gear"/>
    <n v="1197831"/>
    <d v="2021-02-21T00:00:00"/>
    <x v="1"/>
    <s v="Oklahoma"/>
    <s v="Oklahoma City"/>
    <s v="Women's Apparel"/>
    <n v="20"/>
    <n v="350"/>
    <x v="2"/>
    <x v="15"/>
    <s v="Online"/>
  </r>
  <r>
    <s v="West Gear"/>
    <n v="1197831"/>
    <d v="2021-10-21T00:00:00"/>
    <x v="1"/>
    <s v="Oklahoma"/>
    <s v="Oklahoma City"/>
    <s v="Men's Athletic Footwear"/>
    <n v="20"/>
    <n v="350"/>
    <x v="2"/>
    <x v="42"/>
    <s v="Online"/>
  </r>
  <r>
    <s v="Kohl's"/>
    <n v="1197831"/>
    <d v="2021-01-16T00:00:00"/>
    <x v="1"/>
    <s v="Oklahoma"/>
    <s v="Oklahoma City"/>
    <s v="Men's Athletic Footwear"/>
    <n v="25"/>
    <n v="350"/>
    <x v="30"/>
    <x v="37"/>
    <s v="Online"/>
  </r>
  <r>
    <s v="Kohl's"/>
    <n v="1197831"/>
    <d v="2021-01-16T00:00:00"/>
    <x v="1"/>
    <s v="Oklahoma"/>
    <s v="Oklahoma City"/>
    <s v="Women's Street Footwear"/>
    <n v="15"/>
    <n v="350"/>
    <x v="32"/>
    <x v="43"/>
    <s v="Online"/>
  </r>
  <r>
    <s v="Kohl's"/>
    <n v="1197831"/>
    <d v="2021-01-16T00:00:00"/>
    <x v="1"/>
    <s v="Oklahoma"/>
    <s v="Oklahoma City"/>
    <s v="Women's Apparel"/>
    <n v="25"/>
    <n v="350"/>
    <x v="30"/>
    <x v="37"/>
    <s v="Online"/>
  </r>
  <r>
    <s v="West Gear"/>
    <n v="1185732"/>
    <d v="2021-02-17T00:00:00"/>
    <x v="3"/>
    <s v="West Virginia"/>
    <s v="Charleston"/>
    <s v="Women's Apparel"/>
    <n v="25"/>
    <n v="350"/>
    <x v="30"/>
    <x v="38"/>
    <s v="In-store"/>
  </r>
  <r>
    <s v="Foot Locker"/>
    <n v="1185732"/>
    <d v="2020-01-03T00:00:00"/>
    <x v="3"/>
    <s v="New York"/>
    <s v="New York"/>
    <s v="Women's Street Footwear"/>
    <n v="32"/>
    <n v="350"/>
    <x v="33"/>
    <x v="44"/>
    <s v="Outlet"/>
  </r>
  <r>
    <s v="Foot Locker"/>
    <n v="1185732"/>
    <d v="2020-01-24T00:00:00"/>
    <x v="3"/>
    <s v="New York"/>
    <s v="New York"/>
    <s v="Women's Apparel"/>
    <n v="36"/>
    <n v="350"/>
    <x v="34"/>
    <x v="45"/>
    <s v="Outlet"/>
  </r>
  <r>
    <s v="Walmart"/>
    <n v="1185732"/>
    <d v="2020-04-20T00:00:00"/>
    <x v="3"/>
    <s v="New York"/>
    <s v="New York"/>
    <s v="Men's Athletic Footwear"/>
    <n v="43"/>
    <n v="350"/>
    <x v="35"/>
    <x v="46"/>
    <s v="Outlet"/>
  </r>
  <r>
    <s v="Walmart"/>
    <n v="1185732"/>
    <d v="2020-04-24T00:00:00"/>
    <x v="3"/>
    <s v="New York"/>
    <s v="New York"/>
    <s v="Women's Apparel"/>
    <n v="45"/>
    <n v="350"/>
    <x v="36"/>
    <x v="47"/>
    <s v="Outlet"/>
  </r>
  <r>
    <s v="Walmart"/>
    <n v="1197831"/>
    <d v="2020-08-23T00:00:00"/>
    <x v="1"/>
    <s v="Texas"/>
    <s v="Houston"/>
    <s v="Women's Apparel"/>
    <n v="38"/>
    <n v="350"/>
    <x v="37"/>
    <x v="48"/>
    <s v="Outlet"/>
  </r>
  <r>
    <s v="Foot Locker"/>
    <n v="1185732"/>
    <d v="2021-01-09T00:00:00"/>
    <x v="0"/>
    <s v="Georgia"/>
    <s v="Atlanta"/>
    <s v="Men's Street Footwear"/>
    <n v="26"/>
    <n v="349"/>
    <x v="38"/>
    <x v="49"/>
    <s v="Outlet"/>
  </r>
  <r>
    <s v="Foot Locker"/>
    <n v="1185732"/>
    <d v="2020-03-09T00:00:00"/>
    <x v="3"/>
    <s v="New York"/>
    <s v="New York"/>
    <s v="Women's Apparel"/>
    <n v="46"/>
    <n v="347"/>
    <x v="39"/>
    <x v="34"/>
    <s v="Outlet"/>
  </r>
  <r>
    <s v="West Gear"/>
    <n v="1185732"/>
    <d v="2021-11-11T00:00:00"/>
    <x v="4"/>
    <s v="Utah"/>
    <s v="Salt Lake City"/>
    <s v="Women's Street Footwear"/>
    <n v="20"/>
    <n v="345"/>
    <x v="40"/>
    <x v="50"/>
    <s v="In-store"/>
  </r>
  <r>
    <s v="West Gear"/>
    <n v="1128299"/>
    <d v="2021-01-06T00:00:00"/>
    <x v="4"/>
    <s v="California"/>
    <s v="San Francisco"/>
    <s v="Men's Street Footwear"/>
    <n v="41"/>
    <n v="341"/>
    <x v="41"/>
    <x v="51"/>
    <s v="Outlet"/>
  </r>
  <r>
    <s v="Foot Locker"/>
    <n v="1185732"/>
    <d v="2020-03-05T00:00:00"/>
    <x v="3"/>
    <s v="New York"/>
    <s v="New York"/>
    <s v="Men's Athletic Footwear"/>
    <n v="41"/>
    <n v="340"/>
    <x v="42"/>
    <x v="52"/>
    <s v="Outlet"/>
  </r>
  <r>
    <s v="Walmart"/>
    <n v="1185732"/>
    <d v="2020-07-18T00:00:00"/>
    <x v="3"/>
    <s v="New York"/>
    <s v="New York"/>
    <s v="Women's Apparel"/>
    <n v="48"/>
    <n v="340"/>
    <x v="43"/>
    <x v="53"/>
    <s v="Outlet"/>
  </r>
  <r>
    <s v="West Gear"/>
    <n v="1128299"/>
    <d v="2021-01-12T00:00:00"/>
    <x v="4"/>
    <s v="California"/>
    <s v="San Francisco"/>
    <s v="Men's Street Footwear"/>
    <n v="41"/>
    <n v="338"/>
    <x v="44"/>
    <x v="54"/>
    <s v="Outlet"/>
  </r>
  <r>
    <s v="Foot Locker"/>
    <n v="1185732"/>
    <d v="2020-01-01T00:00:00"/>
    <x v="3"/>
    <s v="New York"/>
    <s v="New York"/>
    <s v="Men's Street Footwear"/>
    <n v="47"/>
    <n v="336"/>
    <x v="45"/>
    <x v="55"/>
    <s v="Online"/>
  </r>
  <r>
    <s v="Foot Locker"/>
    <n v="1185732"/>
    <d v="2020-02-05T00:00:00"/>
    <x v="3"/>
    <s v="New York"/>
    <s v="New York"/>
    <s v="Women's Apparel"/>
    <n v="39"/>
    <n v="333"/>
    <x v="46"/>
    <x v="56"/>
    <s v="Outlet"/>
  </r>
  <r>
    <s v="Walmart"/>
    <n v="1185732"/>
    <d v="2020-05-05T00:00:00"/>
    <x v="3"/>
    <s v="New York"/>
    <s v="New York"/>
    <s v="Women's Street Footwear"/>
    <n v="42"/>
    <n v="333"/>
    <x v="47"/>
    <x v="22"/>
    <s v="Outlet"/>
  </r>
  <r>
    <s v="Walmart"/>
    <n v="1197831"/>
    <d v="2020-10-26T00:00:00"/>
    <x v="1"/>
    <s v="Texas"/>
    <s v="Houston"/>
    <s v="Men's Street Footwear"/>
    <n v="32"/>
    <n v="333"/>
    <x v="48"/>
    <x v="49"/>
    <s v="Outlet"/>
  </r>
  <r>
    <s v="Walmart"/>
    <n v="1197831"/>
    <d v="2020-10-27T00:00:00"/>
    <x v="1"/>
    <s v="Texas"/>
    <s v="Houston"/>
    <s v="Men's Athletic Footwear"/>
    <n v="34"/>
    <n v="333"/>
    <x v="49"/>
    <x v="57"/>
    <s v="Outlet"/>
  </r>
  <r>
    <s v="West Gear"/>
    <n v="1128299"/>
    <d v="2021-02-12T00:00:00"/>
    <x v="4"/>
    <s v="California"/>
    <s v="San Francisco"/>
    <s v="Men's Athletic Footwear"/>
    <n v="46"/>
    <n v="332"/>
    <x v="50"/>
    <x v="58"/>
    <s v="Outlet"/>
  </r>
  <r>
    <s v="Sports Direct"/>
    <n v="1197831"/>
    <d v="2021-09-24T00:00:00"/>
    <x v="1"/>
    <s v="Texas"/>
    <s v="Dallas"/>
    <s v="Women's Street Footwear"/>
    <n v="35"/>
    <n v="332"/>
    <x v="51"/>
    <x v="59"/>
    <s v="Outlet"/>
  </r>
  <r>
    <s v="Foot Locker"/>
    <n v="1185732"/>
    <d v="2020-01-06T00:00:00"/>
    <x v="3"/>
    <s v="New York"/>
    <s v="New York"/>
    <s v="Women's Apparel"/>
    <n v="38"/>
    <n v="330"/>
    <x v="52"/>
    <x v="60"/>
    <s v="Outlet"/>
  </r>
  <r>
    <s v="Walmart"/>
    <n v="1185732"/>
    <d v="2020-04-26T00:00:00"/>
    <x v="3"/>
    <s v="New York"/>
    <s v="New York"/>
    <s v="Women's Apparel"/>
    <n v="50"/>
    <n v="330"/>
    <x v="53"/>
    <x v="61"/>
    <s v="Outlet"/>
  </r>
  <r>
    <s v="Foot Locker"/>
    <n v="1185732"/>
    <d v="2021-08-06T00:00:00"/>
    <x v="0"/>
    <s v="South Carolina"/>
    <s v="Charleston"/>
    <s v="Men's Street Footwear"/>
    <n v="62"/>
    <n v="326"/>
    <x v="54"/>
    <x v="62"/>
    <s v="Online"/>
  </r>
  <r>
    <s v="Foot Locker"/>
    <n v="1185732"/>
    <d v="2021-08-18T00:00:00"/>
    <x v="2"/>
    <s v="Missouri"/>
    <s v="St. Louis"/>
    <s v="Women's Athletic Footwear"/>
    <n v="25"/>
    <n v="325"/>
    <x v="55"/>
    <x v="63"/>
    <s v="In-store"/>
  </r>
  <r>
    <s v="Foot Locker"/>
    <n v="1185732"/>
    <d v="2021-11-18T00:00:00"/>
    <x v="2"/>
    <s v="Missouri"/>
    <s v="St. Louis"/>
    <s v="Women's Athletic Footwear"/>
    <n v="25"/>
    <n v="325"/>
    <x v="55"/>
    <x v="63"/>
    <s v="In-store"/>
  </r>
  <r>
    <s v="West Gear"/>
    <n v="1185732"/>
    <d v="2021-01-11T00:00:00"/>
    <x v="2"/>
    <s v="Missouri"/>
    <s v="St. Louis"/>
    <s v="Women's Athletic Footwear"/>
    <n v="20"/>
    <n v="325"/>
    <x v="56"/>
    <x v="64"/>
    <s v="In-store"/>
  </r>
  <r>
    <s v="West Gear"/>
    <n v="1185732"/>
    <d v="2021-04-11T00:00:00"/>
    <x v="4"/>
    <s v="Utah"/>
    <s v="Salt Lake City"/>
    <s v="Men's Athletic Footwear"/>
    <n v="25"/>
    <n v="325"/>
    <x v="55"/>
    <x v="65"/>
    <s v="In-store"/>
  </r>
  <r>
    <s v="West Gear"/>
    <n v="1185732"/>
    <d v="2021-04-11T00:00:00"/>
    <x v="4"/>
    <s v="Utah"/>
    <s v="Salt Lake City"/>
    <s v="Women's Street Footwear"/>
    <n v="15"/>
    <n v="325"/>
    <x v="57"/>
    <x v="66"/>
    <s v="In-store"/>
  </r>
  <r>
    <s v="West Gear"/>
    <n v="1185732"/>
    <d v="2021-09-12T00:00:00"/>
    <x v="4"/>
    <s v="Utah"/>
    <s v="Salt Lake City"/>
    <s v="Women's Athletic Footwear"/>
    <n v="10"/>
    <n v="325"/>
    <x v="58"/>
    <x v="67"/>
    <s v="In-store"/>
  </r>
  <r>
    <s v="West Gear"/>
    <n v="1185732"/>
    <d v="2021-09-12T00:00:00"/>
    <x v="4"/>
    <s v="Utah"/>
    <s v="Salt Lake City"/>
    <s v="Men's Apparel"/>
    <n v="20"/>
    <n v="325"/>
    <x v="56"/>
    <x v="68"/>
    <s v="In-store"/>
  </r>
  <r>
    <s v="Amazon"/>
    <n v="1185732"/>
    <d v="2021-03-09T00:00:00"/>
    <x v="2"/>
    <s v="Ohio"/>
    <s v="Columbus"/>
    <s v="Women's Athletic Footwear"/>
    <n v="25"/>
    <n v="325"/>
    <x v="55"/>
    <x v="63"/>
    <s v="Online"/>
  </r>
  <r>
    <s v="Foot Locker"/>
    <n v="1185732"/>
    <d v="2021-02-18T00:00:00"/>
    <x v="1"/>
    <s v="Mississippi"/>
    <s v="Jackson"/>
    <s v="Women's Athletic Footwear"/>
    <n v="25"/>
    <n v="325"/>
    <x v="55"/>
    <x v="63"/>
    <s v="Online"/>
  </r>
  <r>
    <s v="Walmart"/>
    <n v="1197831"/>
    <d v="2021-03-19T00:00:00"/>
    <x v="1"/>
    <s v="Arkansas"/>
    <s v="Little Rock"/>
    <s v="Men's Athletic Footwear"/>
    <n v="20"/>
    <n v="325"/>
    <x v="56"/>
    <x v="68"/>
    <s v="Online"/>
  </r>
  <r>
    <s v="Walmart"/>
    <n v="1197831"/>
    <d v="2021-09-19T00:00:00"/>
    <x v="1"/>
    <s v="Arkansas"/>
    <s v="Little Rock"/>
    <s v="Women's Athletic Footwear"/>
    <n v="15"/>
    <n v="325"/>
    <x v="57"/>
    <x v="69"/>
    <s v="Online"/>
  </r>
  <r>
    <s v="Walmart"/>
    <n v="1197831"/>
    <d v="2021-09-19T00:00:00"/>
    <x v="1"/>
    <s v="Arkansas"/>
    <s v="Little Rock"/>
    <s v="Men's Apparel"/>
    <n v="25"/>
    <n v="325"/>
    <x v="55"/>
    <x v="65"/>
    <s v="Online"/>
  </r>
  <r>
    <s v="West Gear"/>
    <n v="1197831"/>
    <d v="2021-02-21T00:00:00"/>
    <x v="1"/>
    <s v="Arkansas"/>
    <s v="Little Rock"/>
    <s v="Women's Street Footwear"/>
    <n v="15"/>
    <n v="325"/>
    <x v="57"/>
    <x v="69"/>
    <s v="Online"/>
  </r>
  <r>
    <s v="Kohl's"/>
    <n v="1197831"/>
    <d v="2021-02-14T00:00:00"/>
    <x v="2"/>
    <s v="Kansas"/>
    <s v="Wichita"/>
    <s v="Women's Apparel"/>
    <n v="20"/>
    <n v="325"/>
    <x v="56"/>
    <x v="68"/>
    <s v="Online"/>
  </r>
  <r>
    <s v="Kohl's"/>
    <n v="1197831"/>
    <d v="2021-10-14T00:00:00"/>
    <x v="2"/>
    <s v="Kansas"/>
    <s v="Wichita"/>
    <s v="Men's Athletic Footwear"/>
    <n v="20"/>
    <n v="325"/>
    <x v="56"/>
    <x v="68"/>
    <s v="Online"/>
  </r>
  <r>
    <s v="West Gear"/>
    <n v="1185732"/>
    <d v="2021-03-16T00:00:00"/>
    <x v="3"/>
    <s v="West Virginia"/>
    <s v="Charleston"/>
    <s v="Women's Street Footwear"/>
    <n v="20"/>
    <n v="325"/>
    <x v="56"/>
    <x v="64"/>
    <s v="In-store"/>
  </r>
  <r>
    <s v="Foot Locker"/>
    <n v="1185732"/>
    <d v="2020-03-16T00:00:00"/>
    <x v="3"/>
    <s v="New York"/>
    <s v="New York"/>
    <s v="Men's Street Footwear"/>
    <n v="58"/>
    <n v="325"/>
    <x v="59"/>
    <x v="70"/>
    <s v="Online"/>
  </r>
  <r>
    <s v="Foot Locker"/>
    <n v="1185732"/>
    <d v="2020-03-31T00:00:00"/>
    <x v="3"/>
    <s v="New York"/>
    <s v="New York"/>
    <s v="Women's Athletic Footwear"/>
    <n v="40"/>
    <n v="324"/>
    <x v="60"/>
    <x v="71"/>
    <s v="Outlet"/>
  </r>
  <r>
    <s v="Sports Direct"/>
    <n v="1185732"/>
    <d v="2020-05-24T00:00:00"/>
    <x v="0"/>
    <s v="Florida"/>
    <s v="Miami"/>
    <s v="Men's Street Footwear"/>
    <n v="63"/>
    <n v="323"/>
    <x v="61"/>
    <x v="72"/>
    <s v="Online"/>
  </r>
  <r>
    <s v="Foot Locker"/>
    <n v="1185732"/>
    <d v="2020-01-21T00:00:00"/>
    <x v="3"/>
    <s v="New York"/>
    <s v="New York"/>
    <s v="Women's Street Footwear"/>
    <n v="32"/>
    <n v="323"/>
    <x v="62"/>
    <x v="73"/>
    <s v="Outlet"/>
  </r>
  <r>
    <s v="Foot Locker"/>
    <n v="1185732"/>
    <d v="2020-01-30T00:00:00"/>
    <x v="3"/>
    <s v="New York"/>
    <s v="New York"/>
    <s v="Women's Apparel"/>
    <n v="36"/>
    <n v="323"/>
    <x v="63"/>
    <x v="74"/>
    <s v="Outlet"/>
  </r>
  <r>
    <s v="Walmart"/>
    <n v="1197831"/>
    <d v="2020-08-19T00:00:00"/>
    <x v="1"/>
    <s v="Texas"/>
    <s v="Houston"/>
    <s v="Men's Athletic Footwear"/>
    <n v="33"/>
    <n v="323"/>
    <x v="48"/>
    <x v="75"/>
    <s v="Outlet"/>
  </r>
  <r>
    <s v="Walmart"/>
    <n v="1185732"/>
    <d v="2020-05-02T00:00:00"/>
    <x v="3"/>
    <s v="New York"/>
    <s v="New York"/>
    <s v="Women's Apparel"/>
    <n v="53"/>
    <n v="322"/>
    <x v="64"/>
    <x v="76"/>
    <s v="Outlet"/>
  </r>
  <r>
    <s v="West Gear"/>
    <n v="1128299"/>
    <d v="2021-02-11T00:00:00"/>
    <x v="4"/>
    <s v="California"/>
    <s v="San Francisco"/>
    <s v="Men's Street Footwear"/>
    <n v="40"/>
    <n v="322"/>
    <x v="65"/>
    <x v="77"/>
    <s v="Outlet"/>
  </r>
  <r>
    <s v="Sports Direct"/>
    <n v="1197831"/>
    <d v="2021-09-18T00:00:00"/>
    <x v="1"/>
    <s v="Texas"/>
    <s v="Dallas"/>
    <s v="Women's Street Footwear"/>
    <n v="33"/>
    <n v="322"/>
    <x v="66"/>
    <x v="78"/>
    <s v="Outlet"/>
  </r>
  <r>
    <s v="Sports Direct"/>
    <n v="1197831"/>
    <d v="2021-04-17T00:00:00"/>
    <x v="1"/>
    <s v="Tennessee"/>
    <s v="Knoxville"/>
    <s v="Women's Street Footwear"/>
    <n v="30"/>
    <n v="322"/>
    <x v="67"/>
    <x v="79"/>
    <s v="Outlet"/>
  </r>
  <r>
    <s v="Sports Direct"/>
    <n v="1197831"/>
    <d v="2021-09-08T00:00:00"/>
    <x v="1"/>
    <s v="Alabama"/>
    <s v="Birmingham"/>
    <s v="Women's Street Footwear"/>
    <n v="31"/>
    <n v="322"/>
    <x v="68"/>
    <x v="22"/>
    <s v="Outlet"/>
  </r>
  <r>
    <s v="West Gear"/>
    <n v="1197831"/>
    <d v="2021-11-20T00:00:00"/>
    <x v="1"/>
    <s v="Arkansas"/>
    <s v="Little Rock"/>
    <s v="Women's Street Footwear"/>
    <n v="25"/>
    <n v="320"/>
    <x v="13"/>
    <x v="16"/>
    <s v="Online"/>
  </r>
  <r>
    <s v="Foot Locker"/>
    <n v="1185732"/>
    <d v="2020-01-02T00:00:00"/>
    <x v="3"/>
    <s v="New York"/>
    <s v="New York"/>
    <s v="Men's Athletic Footwear"/>
    <n v="36"/>
    <n v="320"/>
    <x v="69"/>
    <x v="80"/>
    <s v="Outlet"/>
  </r>
  <r>
    <s v="Foot Locker"/>
    <n v="1185732"/>
    <d v="2020-03-03T00:00:00"/>
    <x v="3"/>
    <s v="New York"/>
    <s v="New York"/>
    <s v="Women's Apparel"/>
    <n v="44"/>
    <n v="320"/>
    <x v="70"/>
    <x v="81"/>
    <s v="Outlet"/>
  </r>
  <r>
    <s v="Foot Locker"/>
    <n v="1185732"/>
    <d v="2020-03-10T00:00:00"/>
    <x v="3"/>
    <s v="New York"/>
    <s v="New York"/>
    <s v="Men's Street Footwear"/>
    <n v="59"/>
    <n v="319"/>
    <x v="71"/>
    <x v="12"/>
    <s v="Online"/>
  </r>
  <r>
    <s v="Walmart"/>
    <n v="1197831"/>
    <d v="2020-08-26T00:00:00"/>
    <x v="1"/>
    <s v="Texas"/>
    <s v="Houston"/>
    <s v="Women's Street Footwear"/>
    <n v="37"/>
    <n v="319"/>
    <x v="72"/>
    <x v="82"/>
    <s v="Online"/>
  </r>
  <r>
    <s v="Foot Locker"/>
    <n v="1185732"/>
    <d v="2020-08-12T00:00:00"/>
    <x v="0"/>
    <s v="Florida"/>
    <s v="Miami"/>
    <s v="Men's Street Footwear"/>
    <n v="43"/>
    <n v="319"/>
    <x v="73"/>
    <x v="83"/>
    <s v="Online"/>
  </r>
  <r>
    <s v="Foot Locker"/>
    <n v="1185732"/>
    <d v="2020-03-11T00:00:00"/>
    <x v="3"/>
    <s v="New York"/>
    <s v="New York"/>
    <s v="Men's Athletic Footwear"/>
    <n v="41"/>
    <n v="318"/>
    <x v="74"/>
    <x v="84"/>
    <s v="Outlet"/>
  </r>
  <r>
    <s v="Foot Locker"/>
    <n v="1185732"/>
    <d v="2020-02-06T00:00:00"/>
    <x v="3"/>
    <s v="New York"/>
    <s v="New York"/>
    <s v="Men's Street Footwear"/>
    <n v="54"/>
    <n v="317"/>
    <x v="75"/>
    <x v="85"/>
    <s v="Online"/>
  </r>
  <r>
    <s v="Foot Locker"/>
    <n v="1185732"/>
    <d v="2020-01-08T00:00:00"/>
    <x v="3"/>
    <s v="New York"/>
    <s v="New York"/>
    <s v="Men's Athletic Footwear"/>
    <n v="39"/>
    <n v="315"/>
    <x v="76"/>
    <x v="86"/>
    <s v="Outlet"/>
  </r>
  <r>
    <s v="Foot Locker"/>
    <n v="1185732"/>
    <d v="2020-01-26T00:00:00"/>
    <x v="3"/>
    <s v="New York"/>
    <s v="New York"/>
    <s v="Men's Athletic Footwear"/>
    <n v="35"/>
    <n v="315"/>
    <x v="77"/>
    <x v="87"/>
    <s v="Outlet"/>
  </r>
  <r>
    <s v="Foot Locker"/>
    <n v="1185732"/>
    <d v="2020-02-01T00:00:00"/>
    <x v="3"/>
    <s v="New York"/>
    <s v="New York"/>
    <s v="Men's Athletic Footwear"/>
    <n v="35"/>
    <n v="315"/>
    <x v="77"/>
    <x v="88"/>
    <s v="Outlet"/>
  </r>
  <r>
    <s v="Foot Locker"/>
    <n v="1185732"/>
    <d v="2020-02-02T00:00:00"/>
    <x v="3"/>
    <s v="New York"/>
    <s v="New York"/>
    <s v="Women's Street Footwear"/>
    <n v="28"/>
    <n v="315"/>
    <x v="78"/>
    <x v="89"/>
    <s v="Outlet"/>
  </r>
  <r>
    <s v="Walmart"/>
    <n v="1185732"/>
    <d v="2020-04-21T00:00:00"/>
    <x v="3"/>
    <s v="New York"/>
    <s v="New York"/>
    <s v="Women's Street Footwear"/>
    <n v="36"/>
    <n v="315"/>
    <x v="79"/>
    <x v="90"/>
    <s v="Outlet"/>
  </r>
  <r>
    <s v="Walmart"/>
    <n v="1185732"/>
    <d v="2020-04-23T00:00:00"/>
    <x v="3"/>
    <s v="New York"/>
    <s v="New York"/>
    <s v="Men's Apparel"/>
    <n v="44"/>
    <n v="315"/>
    <x v="44"/>
    <x v="91"/>
    <s v="Outlet"/>
  </r>
  <r>
    <s v="Walmart"/>
    <n v="1197831"/>
    <d v="2020-08-12T00:00:00"/>
    <x v="1"/>
    <s v="Texas"/>
    <s v="Houston"/>
    <s v="Men's Street Footwear"/>
    <n v="24"/>
    <n v="315"/>
    <x v="80"/>
    <x v="92"/>
    <s v="Outlet"/>
  </r>
  <r>
    <s v="Walmart"/>
    <n v="1197831"/>
    <d v="2020-09-07T00:00:00"/>
    <x v="1"/>
    <s v="Texas"/>
    <s v="Houston"/>
    <s v="Women's Street Footwear"/>
    <n v="36"/>
    <n v="315"/>
    <x v="79"/>
    <x v="93"/>
    <s v="Outlet"/>
  </r>
  <r>
    <s v="Kohl's"/>
    <n v="1189833"/>
    <d v="2021-05-25T00:00:00"/>
    <x v="4"/>
    <s v="California"/>
    <s v="Los Angeles"/>
    <s v="Men's Street Footwear"/>
    <n v="39"/>
    <n v="315"/>
    <x v="76"/>
    <x v="94"/>
    <s v="Outlet"/>
  </r>
  <r>
    <s v="Foot Locker"/>
    <n v="1185732"/>
    <d v="2020-01-27T00:00:00"/>
    <x v="3"/>
    <s v="New York"/>
    <s v="New York"/>
    <s v="Women's Street Footwear"/>
    <n v="27"/>
    <n v="314"/>
    <x v="81"/>
    <x v="95"/>
    <s v="Outlet"/>
  </r>
  <r>
    <s v="Foot Locker"/>
    <n v="1185732"/>
    <d v="2020-03-18T00:00:00"/>
    <x v="3"/>
    <s v="New York"/>
    <s v="New York"/>
    <s v="Women's Street Footwear"/>
    <n v="37"/>
    <n v="314"/>
    <x v="51"/>
    <x v="96"/>
    <s v="Outlet"/>
  </r>
  <r>
    <s v="Sports Direct"/>
    <n v="1197831"/>
    <d v="2021-04-23T00:00:00"/>
    <x v="1"/>
    <s v="Tennessee"/>
    <s v="Knoxville"/>
    <s v="Women's Street Footwear"/>
    <n v="39"/>
    <n v="314"/>
    <x v="82"/>
    <x v="97"/>
    <s v="Outlet"/>
  </r>
  <r>
    <s v="Foot Locker"/>
    <n v="1185732"/>
    <d v="2020-01-07T00:00:00"/>
    <x v="3"/>
    <s v="New York"/>
    <s v="New York"/>
    <s v="Men's Street Footwear"/>
    <n v="46"/>
    <n v="313"/>
    <x v="83"/>
    <x v="98"/>
    <s v="Online"/>
  </r>
  <r>
    <s v="Foot Locker"/>
    <n v="1185732"/>
    <d v="2020-03-04T00:00:00"/>
    <x v="3"/>
    <s v="New York"/>
    <s v="New York"/>
    <s v="Men's Street Footwear"/>
    <n v="55"/>
    <n v="313"/>
    <x v="84"/>
    <x v="99"/>
    <s v="Online"/>
  </r>
  <r>
    <s v="Walmart"/>
    <n v="1185732"/>
    <d v="2020-05-03T00:00:00"/>
    <x v="3"/>
    <s v="New York"/>
    <s v="New York"/>
    <s v="Men's Street Footwear"/>
    <n v="62"/>
    <n v="312"/>
    <x v="85"/>
    <x v="100"/>
    <s v="Online"/>
  </r>
  <r>
    <s v="Foot Locker"/>
    <n v="1185732"/>
    <d v="2021-02-07T00:00:00"/>
    <x v="0"/>
    <s v="Georgia"/>
    <s v="Atlanta"/>
    <s v="Men's Street Footwear"/>
    <n v="38"/>
    <n v="312"/>
    <x v="86"/>
    <x v="101"/>
    <s v="Online"/>
  </r>
  <r>
    <s v="Walmart"/>
    <n v="1185732"/>
    <d v="2020-04-28T00:00:00"/>
    <x v="3"/>
    <s v="New York"/>
    <s v="New York"/>
    <s v="Men's Athletic Footwear"/>
    <n v="40"/>
    <n v="312"/>
    <x v="87"/>
    <x v="102"/>
    <s v="Outlet"/>
  </r>
  <r>
    <s v="Foot Locker"/>
    <n v="1185732"/>
    <d v="2021-07-05T00:00:00"/>
    <x v="0"/>
    <s v="South Carolina"/>
    <s v="Charleston"/>
    <s v="Men's Street Footwear"/>
    <n v="63"/>
    <n v="311"/>
    <x v="88"/>
    <x v="103"/>
    <s v="Online"/>
  </r>
  <r>
    <s v="Walmart"/>
    <n v="1185732"/>
    <d v="2020-05-04T00:00:00"/>
    <x v="3"/>
    <s v="New York"/>
    <s v="New York"/>
    <s v="Men's Athletic Footwear"/>
    <n v="43"/>
    <n v="310"/>
    <x v="89"/>
    <x v="104"/>
    <s v="Outlet"/>
  </r>
  <r>
    <s v="Foot Locker"/>
    <n v="1185732"/>
    <d v="2020-03-17T00:00:00"/>
    <x v="3"/>
    <s v="New York"/>
    <s v="New York"/>
    <s v="Men's Athletic Footwear"/>
    <n v="53"/>
    <n v="308"/>
    <x v="43"/>
    <x v="105"/>
    <s v="Online"/>
  </r>
  <r>
    <s v="Sports Direct"/>
    <n v="1185732"/>
    <d v="2021-08-03T00:00:00"/>
    <x v="0"/>
    <s v="North Carolina"/>
    <s v="Charlotte"/>
    <s v="Men's Street Footwear"/>
    <n v="61"/>
    <n v="308"/>
    <x v="90"/>
    <x v="106"/>
    <s v="Online"/>
  </r>
  <r>
    <s v="Foot Locker"/>
    <n v="1185732"/>
    <d v="2020-01-05T00:00:00"/>
    <x v="3"/>
    <s v="New York"/>
    <s v="New York"/>
    <s v="Men's Apparel"/>
    <n v="43"/>
    <n v="306"/>
    <x v="91"/>
    <x v="107"/>
    <s v="Outlet"/>
  </r>
  <r>
    <s v="Foot Locker"/>
    <n v="1185732"/>
    <d v="2020-01-23T00:00:00"/>
    <x v="3"/>
    <s v="New York"/>
    <s v="New York"/>
    <s v="Men's Apparel"/>
    <n v="43"/>
    <n v="306"/>
    <x v="91"/>
    <x v="108"/>
    <s v="Outlet"/>
  </r>
  <r>
    <s v="Walmart"/>
    <n v="1185732"/>
    <d v="2020-04-22T00:00:00"/>
    <x v="3"/>
    <s v="New York"/>
    <s v="New York"/>
    <s v="Women's Athletic Footwear"/>
    <n v="34"/>
    <n v="306"/>
    <x v="92"/>
    <x v="109"/>
    <s v="Outlet"/>
  </r>
  <r>
    <s v="Walmart"/>
    <n v="1185732"/>
    <d v="2020-05-06T00:00:00"/>
    <x v="3"/>
    <s v="New York"/>
    <s v="New York"/>
    <s v="Women's Athletic Footwear"/>
    <n v="41"/>
    <n v="306"/>
    <x v="93"/>
    <x v="110"/>
    <s v="Outlet"/>
  </r>
  <r>
    <s v="Sports Direct"/>
    <n v="1197831"/>
    <d v="2020-07-31T00:00:00"/>
    <x v="1"/>
    <s v="Texas"/>
    <s v="Houston"/>
    <s v="Men's Street Footwear"/>
    <n v="20"/>
    <n v="306"/>
    <x v="94"/>
    <x v="111"/>
    <s v="Outlet"/>
  </r>
  <r>
    <s v="Sports Direct"/>
    <n v="1197831"/>
    <d v="2020-08-06T00:00:00"/>
    <x v="1"/>
    <s v="Texas"/>
    <s v="Houston"/>
    <s v="Men's Street Footwear"/>
    <n v="23"/>
    <n v="306"/>
    <x v="95"/>
    <x v="112"/>
    <s v="Outlet"/>
  </r>
  <r>
    <s v="Sports Direct"/>
    <n v="1197831"/>
    <d v="2020-08-07T00:00:00"/>
    <x v="1"/>
    <s v="Texas"/>
    <s v="Houston"/>
    <s v="Men's Athletic Footwear"/>
    <n v="29"/>
    <n v="306"/>
    <x v="96"/>
    <x v="88"/>
    <s v="Outlet"/>
  </r>
  <r>
    <s v="Walmart"/>
    <n v="1197831"/>
    <d v="2020-10-21T00:00:00"/>
    <x v="1"/>
    <s v="Texas"/>
    <s v="Houston"/>
    <s v="Men's Athletic Footwear"/>
    <n v="31"/>
    <n v="306"/>
    <x v="97"/>
    <x v="113"/>
    <s v="Outlet"/>
  </r>
  <r>
    <s v="Walmart"/>
    <n v="1197831"/>
    <d v="2020-10-31T00:00:00"/>
    <x v="1"/>
    <s v="Texas"/>
    <s v="Houston"/>
    <s v="Women's Apparel"/>
    <n v="41"/>
    <n v="306"/>
    <x v="93"/>
    <x v="114"/>
    <s v="Outlet"/>
  </r>
  <r>
    <s v="West Gear"/>
    <n v="1128299"/>
    <d v="2021-01-11T00:00:00"/>
    <x v="4"/>
    <s v="California"/>
    <s v="San Francisco"/>
    <s v="Women's Apparel"/>
    <n v="60"/>
    <n v="306"/>
    <x v="98"/>
    <x v="115"/>
    <s v="Outlet"/>
  </r>
  <r>
    <s v="West Gear"/>
    <n v="1128299"/>
    <d v="2021-02-06T00:00:00"/>
    <x v="4"/>
    <s v="California"/>
    <s v="San Francisco"/>
    <s v="Men's Athletic Footwear"/>
    <n v="46"/>
    <n v="306"/>
    <x v="70"/>
    <x v="116"/>
    <s v="Outlet"/>
  </r>
  <r>
    <s v="Kohl's"/>
    <n v="1189833"/>
    <d v="2021-05-01T00:00:00"/>
    <x v="4"/>
    <s v="California"/>
    <s v="Los Angeles"/>
    <s v="Men's Street Footwear"/>
    <n v="36"/>
    <n v="306"/>
    <x v="99"/>
    <x v="117"/>
    <s v="Outlet"/>
  </r>
  <r>
    <s v="Sports Direct"/>
    <n v="1197831"/>
    <d v="2021-04-14T00:00:00"/>
    <x v="1"/>
    <s v="Tennessee"/>
    <s v="Knoxville"/>
    <s v="Women's Apparel"/>
    <n v="37"/>
    <n v="306"/>
    <x v="49"/>
    <x v="118"/>
    <s v="Outlet"/>
  </r>
  <r>
    <s v="West Gear"/>
    <n v="1128299"/>
    <d v="2021-07-16T00:00:00"/>
    <x v="1"/>
    <s v="Louisiana"/>
    <s v="New Orleans"/>
    <s v="Men's Street Footwear"/>
    <n v="62"/>
    <n v="306"/>
    <x v="100"/>
    <x v="119"/>
    <s v="Outlet"/>
  </r>
  <r>
    <s v="Foot Locker"/>
    <n v="1185732"/>
    <d v="2020-03-09T00:00:00"/>
    <x v="3"/>
    <s v="New York"/>
    <s v="New York"/>
    <s v="Women's Apparel"/>
    <n v="64"/>
    <n v="305"/>
    <x v="101"/>
    <x v="120"/>
    <s v="Online"/>
  </r>
  <r>
    <s v="Walmart"/>
    <n v="1197831"/>
    <d v="2020-08-30T00:00:00"/>
    <x v="1"/>
    <s v="Texas"/>
    <s v="Houston"/>
    <s v="Men's Street Footwear"/>
    <n v="27"/>
    <n v="305"/>
    <x v="102"/>
    <x v="121"/>
    <s v="Outlet"/>
  </r>
  <r>
    <s v="Walmart"/>
    <n v="1197831"/>
    <d v="2020-08-31T00:00:00"/>
    <x v="1"/>
    <s v="Texas"/>
    <s v="Houston"/>
    <s v="Men's Athletic Footwear"/>
    <n v="33"/>
    <n v="305"/>
    <x v="103"/>
    <x v="122"/>
    <s v="Outlet"/>
  </r>
  <r>
    <s v="Foot Locker"/>
    <n v="1197831"/>
    <d v="2021-08-08T00:00:00"/>
    <x v="4"/>
    <s v="Idaho"/>
    <s v="Boise"/>
    <s v="Women's Street Footwear"/>
    <n v="39"/>
    <n v="305"/>
    <x v="104"/>
    <x v="34"/>
    <s v="Outlet"/>
  </r>
  <r>
    <s v="West Gear"/>
    <n v="1185732"/>
    <d v="2020-09-17T00:00:00"/>
    <x v="0"/>
    <s v="Florida"/>
    <s v="Miami"/>
    <s v="Men's Street Footwear"/>
    <n v="60"/>
    <n v="304"/>
    <x v="105"/>
    <x v="123"/>
    <s v="Online"/>
  </r>
  <r>
    <s v="Walmart"/>
    <n v="1197831"/>
    <d v="2020-08-29T00:00:00"/>
    <x v="1"/>
    <s v="Texas"/>
    <s v="Houston"/>
    <s v="Women's Apparel"/>
    <n v="36"/>
    <n v="302"/>
    <x v="106"/>
    <x v="94"/>
    <s v="Outlet"/>
  </r>
  <r>
    <s v="West Gear"/>
    <n v="1128299"/>
    <d v="2021-01-18T00:00:00"/>
    <x v="4"/>
    <s v="California"/>
    <s v="San Francisco"/>
    <s v="Men's Street Footwear"/>
    <n v="45"/>
    <n v="302"/>
    <x v="107"/>
    <x v="124"/>
    <s v="Outlet"/>
  </r>
  <r>
    <s v="Sports Direct"/>
    <n v="1197831"/>
    <d v="2021-04-01T00:00:00"/>
    <x v="1"/>
    <s v="Tennessee"/>
    <s v="Knoxville"/>
    <s v="Men's Apparel"/>
    <n v="30"/>
    <n v="300"/>
    <x v="5"/>
    <x v="2"/>
    <s v="Outlet"/>
  </r>
  <r>
    <s v="Sports Direct"/>
    <n v="1197831"/>
    <d v="2021-09-28T00:00:00"/>
    <x v="1"/>
    <s v="Alabama"/>
    <s v="Birmingham"/>
    <s v="Men's Apparel"/>
    <n v="30"/>
    <n v="300"/>
    <x v="5"/>
    <x v="125"/>
    <s v="Outlet"/>
  </r>
  <r>
    <s v="Foot Locker"/>
    <n v="1185732"/>
    <d v="2021-05-19T00:00:00"/>
    <x v="2"/>
    <s v="Missouri"/>
    <s v="St. Louis"/>
    <s v="Women's Street Footwear"/>
    <n v="30"/>
    <n v="300"/>
    <x v="5"/>
    <x v="2"/>
    <s v="In-store"/>
  </r>
  <r>
    <s v="Foot Locker"/>
    <n v="1185732"/>
    <d v="2021-09-19T00:00:00"/>
    <x v="2"/>
    <s v="Missouri"/>
    <s v="St. Louis"/>
    <s v="Women's Street Footwear"/>
    <n v="15"/>
    <n v="300"/>
    <x v="108"/>
    <x v="126"/>
    <s v="In-store"/>
  </r>
  <r>
    <s v="West Gear"/>
    <n v="1185732"/>
    <d v="2021-02-11T00:00:00"/>
    <x v="4"/>
    <s v="Utah"/>
    <s v="Salt Lake City"/>
    <s v="Women's Athletic Footwear"/>
    <n v="20"/>
    <n v="300"/>
    <x v="14"/>
    <x v="17"/>
    <s v="In-store"/>
  </r>
  <r>
    <s v="West Gear"/>
    <n v="1185732"/>
    <d v="2021-10-11T00:00:00"/>
    <x v="4"/>
    <s v="Utah"/>
    <s v="Salt Lake City"/>
    <s v="Women's Street Footwear"/>
    <n v="20"/>
    <n v="300"/>
    <x v="14"/>
    <x v="41"/>
    <s v="In-store"/>
  </r>
  <r>
    <s v="Amazon"/>
    <n v="1185732"/>
    <d v="2021-01-22T00:00:00"/>
    <x v="2"/>
    <s v="Ohio"/>
    <s v="Columbus"/>
    <s v="Women's Street Footwear"/>
    <n v="30"/>
    <n v="300"/>
    <x v="5"/>
    <x v="127"/>
    <s v="Online"/>
  </r>
  <r>
    <s v="Foot Locker"/>
    <n v="1185732"/>
    <d v="2021-04-17T00:00:00"/>
    <x v="1"/>
    <s v="Mississippi"/>
    <s v="Jackson"/>
    <s v="Women's Athletic Footwear"/>
    <n v="20"/>
    <n v="300"/>
    <x v="14"/>
    <x v="17"/>
    <s v="Online"/>
  </r>
  <r>
    <s v="Sports Direct"/>
    <n v="1197831"/>
    <d v="2021-01-23T00:00:00"/>
    <x v="1"/>
    <s v="Mississippi"/>
    <s v="Jackson"/>
    <s v="Women's Athletic Footwear"/>
    <n v="20"/>
    <n v="300"/>
    <x v="14"/>
    <x v="17"/>
    <s v="Online"/>
  </r>
  <r>
    <s v="Walmart"/>
    <n v="1197831"/>
    <d v="2021-04-20T00:00:00"/>
    <x v="1"/>
    <s v="Arkansas"/>
    <s v="Little Rock"/>
    <s v="Men's Athletic Footwear"/>
    <n v="25"/>
    <n v="300"/>
    <x v="20"/>
    <x v="24"/>
    <s v="Online"/>
  </r>
  <r>
    <s v="Walmart"/>
    <n v="1197831"/>
    <d v="2021-04-20T00:00:00"/>
    <x v="1"/>
    <s v="Arkansas"/>
    <s v="Little Rock"/>
    <s v="Women's Street Footwear"/>
    <n v="15"/>
    <n v="300"/>
    <x v="108"/>
    <x v="128"/>
    <s v="Online"/>
  </r>
  <r>
    <s v="Walmart"/>
    <n v="1197831"/>
    <d v="2021-10-21T00:00:00"/>
    <x v="1"/>
    <s v="Arkansas"/>
    <s v="Little Rock"/>
    <s v="Women's Street Footwear"/>
    <n v="20"/>
    <n v="300"/>
    <x v="14"/>
    <x v="17"/>
    <s v="Online"/>
  </r>
  <r>
    <s v="Kohl's"/>
    <n v="1197831"/>
    <d v="2021-11-20T00:00:00"/>
    <x v="1"/>
    <s v="Oklahoma"/>
    <s v="Oklahoma City"/>
    <s v="Men's Athletic Footwear"/>
    <n v="15"/>
    <n v="300"/>
    <x v="108"/>
    <x v="126"/>
    <s v="Online"/>
  </r>
  <r>
    <s v="Kohl's"/>
    <n v="1197831"/>
    <d v="2021-02-14T00:00:00"/>
    <x v="1"/>
    <s v="Oklahoma"/>
    <s v="Oklahoma City"/>
    <s v="Women's Street Footwear"/>
    <n v="15"/>
    <n v="300"/>
    <x v="108"/>
    <x v="126"/>
    <s v="Online"/>
  </r>
  <r>
    <s v="Kohl's"/>
    <n v="1197831"/>
    <d v="2021-04-13T00:00:00"/>
    <x v="2"/>
    <s v="Kansas"/>
    <s v="Wichita"/>
    <s v="Women's Apparel"/>
    <n v="30"/>
    <n v="300"/>
    <x v="5"/>
    <x v="2"/>
    <s v="Online"/>
  </r>
  <r>
    <s v="Foot Locker"/>
    <n v="1197831"/>
    <d v="2021-10-14T00:00:00"/>
    <x v="2"/>
    <s v="Kansas"/>
    <s v="Wichita"/>
    <s v="Women's Apparel"/>
    <n v="30"/>
    <n v="300"/>
    <x v="5"/>
    <x v="2"/>
    <s v="Online"/>
  </r>
  <r>
    <s v="West Gear"/>
    <n v="1185732"/>
    <d v="2021-06-03T00:00:00"/>
    <x v="2"/>
    <s v="Wisconsin"/>
    <s v="Milwaukee"/>
    <s v="Men's Athletic Footwear"/>
    <n v="30"/>
    <n v="300"/>
    <x v="5"/>
    <x v="2"/>
    <s v="In-store"/>
  </r>
  <r>
    <s v="West Gear"/>
    <n v="1185732"/>
    <d v="2021-01-10T00:00:00"/>
    <x v="2"/>
    <s v="Wisconsin"/>
    <s v="Milwaukee"/>
    <s v="Women's Street Footwear"/>
    <n v="25"/>
    <n v="300"/>
    <x v="20"/>
    <x v="24"/>
    <s v="In-store"/>
  </r>
  <r>
    <s v="West Gear"/>
    <n v="1185732"/>
    <d v="2021-02-10T00:00:00"/>
    <x v="2"/>
    <s v="Indiana"/>
    <s v="Indianapolis"/>
    <s v="Women's Apparel"/>
    <n v="20"/>
    <n v="300"/>
    <x v="14"/>
    <x v="17"/>
    <s v="In-store"/>
  </r>
  <r>
    <s v="West Gear"/>
    <n v="1185732"/>
    <d v="2021-01-17T00:00:00"/>
    <x v="2"/>
    <s v="Indiana"/>
    <s v="Indianapolis"/>
    <s v="Women's Street Footwear"/>
    <n v="25"/>
    <n v="300"/>
    <x v="20"/>
    <x v="25"/>
    <s v="In-store"/>
  </r>
  <r>
    <s v="West Gear"/>
    <n v="1185732"/>
    <d v="2021-02-17T00:00:00"/>
    <x v="2"/>
    <s v="Indiana"/>
    <s v="Indianapolis"/>
    <s v="Women's Street Footwear"/>
    <n v="30"/>
    <n v="300"/>
    <x v="5"/>
    <x v="127"/>
    <s v="In-store"/>
  </r>
  <r>
    <s v="Sports Direct"/>
    <n v="1185732"/>
    <d v="2021-01-07T00:00:00"/>
    <x v="3"/>
    <s v="New Jersey"/>
    <s v="Newark"/>
    <s v="Women's Street Footwear"/>
    <n v="30"/>
    <n v="300"/>
    <x v="5"/>
    <x v="6"/>
    <s v="In-store"/>
  </r>
  <r>
    <s v="Foot Locker"/>
    <n v="1185732"/>
    <d v="2020-01-31T00:00:00"/>
    <x v="3"/>
    <s v="New York"/>
    <s v="New York"/>
    <s v="Men's Street Footwear"/>
    <n v="45"/>
    <n v="300"/>
    <x v="109"/>
    <x v="31"/>
    <s v="Online"/>
  </r>
  <r>
    <s v="Walmart"/>
    <n v="1185732"/>
    <d v="2020-05-04T00:00:00"/>
    <x v="3"/>
    <s v="New York"/>
    <s v="New York"/>
    <s v="Men's Athletic Footwear"/>
    <n v="51"/>
    <n v="300"/>
    <x v="110"/>
    <x v="129"/>
    <s v="Online"/>
  </r>
  <r>
    <s v="West Gear"/>
    <n v="1185732"/>
    <d v="2020-04-24T00:00:00"/>
    <x v="0"/>
    <s v="Florida"/>
    <s v="Miami"/>
    <s v="Men's Street Footwear"/>
    <n v="52"/>
    <n v="300"/>
    <x v="16"/>
    <x v="130"/>
    <s v="Online"/>
  </r>
  <r>
    <s v="Walmart"/>
    <n v="1185732"/>
    <d v="2020-04-27T00:00:00"/>
    <x v="3"/>
    <s v="New York"/>
    <s v="New York"/>
    <s v="Men's Street Footwear"/>
    <n v="60"/>
    <n v="299"/>
    <x v="111"/>
    <x v="131"/>
    <s v="Online"/>
  </r>
  <r>
    <s v="West Gear"/>
    <n v="1185732"/>
    <d v="2020-09-11T00:00:00"/>
    <x v="0"/>
    <s v="Florida"/>
    <s v="Miami"/>
    <s v="Men's Street Footwear"/>
    <n v="60"/>
    <n v="299"/>
    <x v="111"/>
    <x v="131"/>
    <s v="Online"/>
  </r>
  <r>
    <s v="Walmart"/>
    <n v="1197831"/>
    <d v="2020-09-10T00:00:00"/>
    <x v="1"/>
    <s v="Texas"/>
    <s v="Houston"/>
    <s v="Women's Apparel"/>
    <n v="42"/>
    <n v="298"/>
    <x v="112"/>
    <x v="132"/>
    <s v="Outlet"/>
  </r>
  <r>
    <s v="Walmart"/>
    <n v="1197831"/>
    <d v="2020-10-28T00:00:00"/>
    <x v="1"/>
    <s v="Texas"/>
    <s v="Houston"/>
    <s v="Women's Street Footwear"/>
    <n v="38"/>
    <n v="298"/>
    <x v="49"/>
    <x v="96"/>
    <s v="Outlet"/>
  </r>
  <r>
    <s v="West Gear"/>
    <n v="1128299"/>
    <d v="2021-07-23T00:00:00"/>
    <x v="4"/>
    <s v="Oregon"/>
    <s v="Portland"/>
    <s v="Men's Street Footwear"/>
    <n v="60"/>
    <n v="298"/>
    <x v="113"/>
    <x v="133"/>
    <s v="Outlet"/>
  </r>
  <r>
    <s v="Walmart"/>
    <n v="1197831"/>
    <d v="2020-09-01T00:00:00"/>
    <x v="1"/>
    <s v="Texas"/>
    <s v="Houston"/>
    <s v="Women's Street Footwear"/>
    <n v="39"/>
    <n v="297"/>
    <x v="114"/>
    <x v="134"/>
    <s v="Online"/>
  </r>
  <r>
    <s v="Foot Locker"/>
    <n v="1185732"/>
    <d v="2020-03-07T00:00:00"/>
    <x v="3"/>
    <s v="New York"/>
    <s v="New York"/>
    <s v="Women's Athletic Footwear"/>
    <n v="38"/>
    <n v="297"/>
    <x v="115"/>
    <x v="135"/>
    <s v="Outlet"/>
  </r>
  <r>
    <s v="Kohl's"/>
    <n v="1189833"/>
    <d v="2021-04-19T00:00:00"/>
    <x v="4"/>
    <s v="California"/>
    <s v="Los Angeles"/>
    <s v="Men's Street Footwear"/>
    <n v="36"/>
    <n v="297"/>
    <x v="116"/>
    <x v="136"/>
    <s v="Outlet"/>
  </r>
  <r>
    <s v="Walmart"/>
    <n v="1128299"/>
    <d v="2021-07-16T00:00:00"/>
    <x v="0"/>
    <s v="Florida"/>
    <s v="Orlando"/>
    <s v="Men's Street Footwear"/>
    <n v="68"/>
    <n v="297"/>
    <x v="117"/>
    <x v="137"/>
    <s v="Outlet"/>
  </r>
  <r>
    <s v="Foot Locker"/>
    <n v="1185732"/>
    <d v="2020-02-07T00:00:00"/>
    <x v="3"/>
    <s v="New York"/>
    <s v="New York"/>
    <s v="Men's Athletic Footwear"/>
    <n v="37"/>
    <n v="296"/>
    <x v="118"/>
    <x v="138"/>
    <s v="Outlet"/>
  </r>
  <r>
    <s v="Foot Locker"/>
    <n v="1185732"/>
    <d v="2020-03-06T00:00:00"/>
    <x v="3"/>
    <s v="New York"/>
    <s v="New York"/>
    <s v="Women's Street Footwear"/>
    <n v="37"/>
    <n v="296"/>
    <x v="118"/>
    <x v="102"/>
    <s v="Outlet"/>
  </r>
  <r>
    <s v="Foot Locker"/>
    <n v="1185732"/>
    <d v="2021-11-18T00:00:00"/>
    <x v="2"/>
    <s v="Missouri"/>
    <s v="St. Louis"/>
    <s v="Women's Street Footwear"/>
    <n v="25"/>
    <n v="295"/>
    <x v="119"/>
    <x v="139"/>
    <s v="In-store"/>
  </r>
  <r>
    <s v="Foot Locker"/>
    <n v="1185732"/>
    <d v="2020-03-12T00:00:00"/>
    <x v="3"/>
    <s v="New York"/>
    <s v="New York"/>
    <s v="Women's Street Footwear"/>
    <n v="35"/>
    <n v="295"/>
    <x v="120"/>
    <x v="140"/>
    <s v="Outlet"/>
  </r>
  <r>
    <s v="Walmart"/>
    <n v="1197831"/>
    <d v="2020-08-17T00:00:00"/>
    <x v="1"/>
    <s v="Texas"/>
    <s v="Houston"/>
    <s v="Women's Apparel"/>
    <n v="32"/>
    <n v="295"/>
    <x v="121"/>
    <x v="141"/>
    <s v="Outlet"/>
  </r>
  <r>
    <s v="Walmart"/>
    <n v="1197831"/>
    <d v="2020-08-18T00:00:00"/>
    <x v="1"/>
    <s v="Texas"/>
    <s v="Houston"/>
    <s v="Men's Street Footwear"/>
    <n v="28"/>
    <n v="295"/>
    <x v="122"/>
    <x v="142"/>
    <s v="Outlet"/>
  </r>
  <r>
    <s v="Walmart"/>
    <n v="1197831"/>
    <d v="2020-08-24T00:00:00"/>
    <x v="1"/>
    <s v="Texas"/>
    <s v="Houston"/>
    <s v="Men's Street Footwear"/>
    <n v="29"/>
    <n v="295"/>
    <x v="123"/>
    <x v="143"/>
    <s v="Outlet"/>
  </r>
  <r>
    <s v="Sports Direct"/>
    <n v="1185732"/>
    <d v="2021-07-02T00:00:00"/>
    <x v="0"/>
    <s v="North Carolina"/>
    <s v="Charlotte"/>
    <s v="Men's Street Footwear"/>
    <n v="60"/>
    <n v="294"/>
    <x v="124"/>
    <x v="144"/>
    <s v="Online"/>
  </r>
  <r>
    <s v="Walmart"/>
    <n v="1185732"/>
    <d v="2020-04-29T00:00:00"/>
    <x v="3"/>
    <s v="New York"/>
    <s v="New York"/>
    <s v="Women's Street Footwear"/>
    <n v="43"/>
    <n v="294"/>
    <x v="125"/>
    <x v="82"/>
    <s v="Outlet"/>
  </r>
  <r>
    <s v="Walmart"/>
    <n v="1197831"/>
    <d v="2020-08-29T00:00:00"/>
    <x v="1"/>
    <s v="Texas"/>
    <s v="Houston"/>
    <s v="Women's Apparel"/>
    <n v="47"/>
    <n v="293"/>
    <x v="126"/>
    <x v="145"/>
    <s v="Online"/>
  </r>
  <r>
    <s v="West Gear"/>
    <n v="1128299"/>
    <d v="2021-02-11T00:00:00"/>
    <x v="4"/>
    <s v="California"/>
    <s v="San Francisco"/>
    <s v="Men's Street Footwear"/>
    <n v="51"/>
    <n v="293"/>
    <x v="127"/>
    <x v="146"/>
    <s v="Online"/>
  </r>
  <r>
    <s v="Foot Locker"/>
    <n v="1185732"/>
    <d v="2020-01-24T00:00:00"/>
    <x v="3"/>
    <s v="New York"/>
    <s v="New York"/>
    <s v="Women's Apparel"/>
    <n v="48"/>
    <n v="290"/>
    <x v="128"/>
    <x v="147"/>
    <s v="Online"/>
  </r>
  <r>
    <s v="Foot Locker"/>
    <n v="1185732"/>
    <d v="2020-03-03T00:00:00"/>
    <x v="3"/>
    <s v="New York"/>
    <s v="New York"/>
    <s v="Women's Apparel"/>
    <n v="59"/>
    <n v="290"/>
    <x v="129"/>
    <x v="148"/>
    <s v="Online"/>
  </r>
  <r>
    <s v="Walmart"/>
    <n v="1185732"/>
    <d v="2020-04-18T00:00:00"/>
    <x v="3"/>
    <s v="New York"/>
    <s v="New York"/>
    <s v="Women's Apparel"/>
    <n v="62"/>
    <n v="290"/>
    <x v="130"/>
    <x v="149"/>
    <s v="Online"/>
  </r>
  <r>
    <s v="Walmart"/>
    <n v="1185732"/>
    <d v="2020-04-26T00:00:00"/>
    <x v="3"/>
    <s v="New York"/>
    <s v="New York"/>
    <s v="Women's Apparel"/>
    <n v="68"/>
    <n v="290"/>
    <x v="131"/>
    <x v="150"/>
    <s v="Online"/>
  </r>
  <r>
    <s v="Walmart"/>
    <n v="1185732"/>
    <d v="2020-07-18T00:00:00"/>
    <x v="3"/>
    <s v="New York"/>
    <s v="New York"/>
    <s v="Women's Apparel"/>
    <n v="68"/>
    <n v="290"/>
    <x v="131"/>
    <x v="114"/>
    <s v="Online"/>
  </r>
  <r>
    <s v="West Gear"/>
    <n v="1185732"/>
    <d v="2020-04-24T00:00:00"/>
    <x v="0"/>
    <s v="Florida"/>
    <s v="Miami"/>
    <s v="Men's Street Footwear"/>
    <n v="55"/>
    <n v="290"/>
    <x v="132"/>
    <x v="151"/>
    <s v="Online"/>
  </r>
  <r>
    <s v="Foot Locker"/>
    <n v="1185732"/>
    <d v="2021-12-05T00:00:00"/>
    <x v="0"/>
    <s v="South Carolina"/>
    <s v="Charleston"/>
    <s v="Men's Street Footwear"/>
    <n v="67"/>
    <n v="290"/>
    <x v="133"/>
    <x v="152"/>
    <s v="Online"/>
  </r>
  <r>
    <s v="Foot Locker"/>
    <n v="1185732"/>
    <d v="2020-01-29T00:00:00"/>
    <x v="3"/>
    <s v="New York"/>
    <s v="New York"/>
    <s v="Men's Apparel"/>
    <n v="43"/>
    <n v="289"/>
    <x v="134"/>
    <x v="153"/>
    <s v="Outlet"/>
  </r>
  <r>
    <s v="Foot Locker"/>
    <n v="1185732"/>
    <d v="2020-02-03T00:00:00"/>
    <x v="3"/>
    <s v="New York"/>
    <s v="New York"/>
    <s v="Women's Athletic Footwear"/>
    <n v="31"/>
    <n v="289"/>
    <x v="135"/>
    <x v="154"/>
    <s v="Outlet"/>
  </r>
  <r>
    <s v="Foot Locker"/>
    <n v="1185732"/>
    <d v="2020-02-09T00:00:00"/>
    <x v="3"/>
    <s v="New York"/>
    <s v="New York"/>
    <s v="Women's Athletic Footwear"/>
    <n v="33"/>
    <n v="289"/>
    <x v="136"/>
    <x v="155"/>
    <s v="Outlet"/>
  </r>
  <r>
    <s v="Walmart"/>
    <n v="1185732"/>
    <d v="2020-04-25T00:00:00"/>
    <x v="3"/>
    <s v="New York"/>
    <s v="New York"/>
    <s v="Men's Apparel"/>
    <n v="51"/>
    <n v="289"/>
    <x v="137"/>
    <x v="156"/>
    <s v="Outlet"/>
  </r>
  <r>
    <s v="Sports Direct"/>
    <n v="1197831"/>
    <d v="2020-07-26T00:00:00"/>
    <x v="1"/>
    <s v="Texas"/>
    <s v="Houston"/>
    <s v="Men's Athletic Footwear"/>
    <n v="23"/>
    <n v="289"/>
    <x v="138"/>
    <x v="157"/>
    <s v="Outlet"/>
  </r>
  <r>
    <s v="Walmart"/>
    <n v="1197831"/>
    <d v="2020-10-25T00:00:00"/>
    <x v="1"/>
    <s v="Texas"/>
    <s v="Houston"/>
    <s v="Women's Apparel"/>
    <n v="44"/>
    <n v="289"/>
    <x v="139"/>
    <x v="158"/>
    <s v="Outlet"/>
  </r>
  <r>
    <s v="West Gear"/>
    <n v="1128299"/>
    <d v="2020-11-07T00:00:00"/>
    <x v="4"/>
    <s v="California"/>
    <s v="San Francisco"/>
    <s v="Men's Street Footwear"/>
    <n v="28"/>
    <n v="289"/>
    <x v="140"/>
    <x v="159"/>
    <s v="Outlet"/>
  </r>
  <r>
    <s v="West Gear"/>
    <n v="1128299"/>
    <d v="2021-01-30T00:00:00"/>
    <x v="4"/>
    <s v="California"/>
    <s v="San Francisco"/>
    <s v="Men's Street Footwear"/>
    <n v="36"/>
    <n v="289"/>
    <x v="92"/>
    <x v="160"/>
    <s v="Outlet"/>
  </r>
  <r>
    <s v="Kohl's"/>
    <n v="1189833"/>
    <d v="2021-05-07T00:00:00"/>
    <x v="4"/>
    <s v="California"/>
    <s v="Los Angeles"/>
    <s v="Men's Street Footwear"/>
    <n v="38"/>
    <n v="289"/>
    <x v="141"/>
    <x v="161"/>
    <s v="Outlet"/>
  </r>
  <r>
    <s v="Foot Locker"/>
    <n v="1185732"/>
    <d v="2021-07-16T00:00:00"/>
    <x v="1"/>
    <s v="Mississippi"/>
    <s v="Jackson"/>
    <s v="Men's Street Footwear"/>
    <n v="47"/>
    <n v="289"/>
    <x v="142"/>
    <x v="162"/>
    <s v="Outlet"/>
  </r>
  <r>
    <s v="Foot Locker"/>
    <n v="1185732"/>
    <d v="2020-02-08T00:00:00"/>
    <x v="3"/>
    <s v="New York"/>
    <s v="New York"/>
    <s v="Women's Street Footwear"/>
    <n v="36"/>
    <n v="288"/>
    <x v="143"/>
    <x v="163"/>
    <s v="Outlet"/>
  </r>
  <r>
    <s v="Foot Locker"/>
    <n v="1185732"/>
    <d v="2020-03-08T00:00:00"/>
    <x v="3"/>
    <s v="New York"/>
    <s v="New York"/>
    <s v="Men's Apparel"/>
    <n v="45"/>
    <n v="288"/>
    <x v="60"/>
    <x v="164"/>
    <s v="Outlet"/>
  </r>
  <r>
    <s v="Kohl's"/>
    <n v="1189833"/>
    <d v="2021-05-26T00:00:00"/>
    <x v="4"/>
    <s v="California"/>
    <s v="Los Angeles"/>
    <s v="Men's Athletic Footwear"/>
    <n v="42"/>
    <n v="288"/>
    <x v="144"/>
    <x v="142"/>
    <s v="Outlet"/>
  </r>
  <r>
    <s v="West Gear"/>
    <n v="1185732"/>
    <d v="2021-02-10T00:00:00"/>
    <x v="0"/>
    <s v="Florida"/>
    <s v="Orlando"/>
    <s v="Men's Street Footwear"/>
    <n v="36"/>
    <n v="288"/>
    <x v="143"/>
    <x v="107"/>
    <s v="Outlet"/>
  </r>
  <r>
    <s v="Foot Locker"/>
    <n v="1185732"/>
    <d v="2021-09-05T00:00:00"/>
    <x v="0"/>
    <s v="South Carolina"/>
    <s v="Charleston"/>
    <s v="Men's Street Footwear"/>
    <n v="51"/>
    <n v="287"/>
    <x v="145"/>
    <x v="165"/>
    <s v="Online"/>
  </r>
  <r>
    <s v="Walmart"/>
    <n v="1197831"/>
    <d v="2020-08-13T00:00:00"/>
    <x v="1"/>
    <s v="Texas"/>
    <s v="Houston"/>
    <s v="Men's Athletic Footwear"/>
    <n v="30"/>
    <n v="287"/>
    <x v="146"/>
    <x v="166"/>
    <s v="Outlet"/>
  </r>
  <r>
    <s v="West Gear"/>
    <n v="1128299"/>
    <d v="2021-01-24T00:00:00"/>
    <x v="4"/>
    <s v="California"/>
    <s v="San Francisco"/>
    <s v="Men's Street Footwear"/>
    <n v="40"/>
    <n v="287"/>
    <x v="147"/>
    <x v="167"/>
    <s v="Outlet"/>
  </r>
  <r>
    <s v="West Gear"/>
    <n v="1128299"/>
    <d v="2021-01-25T00:00:00"/>
    <x v="4"/>
    <s v="California"/>
    <s v="San Francisco"/>
    <s v="Men's Athletic Footwear"/>
    <n v="42"/>
    <n v="287"/>
    <x v="148"/>
    <x v="168"/>
    <s v="Outlet"/>
  </r>
  <r>
    <s v="Foot Locker"/>
    <n v="1185732"/>
    <d v="2020-03-15T00:00:00"/>
    <x v="3"/>
    <s v="New York"/>
    <s v="New York"/>
    <s v="Women's Apparel"/>
    <n v="61"/>
    <n v="286"/>
    <x v="149"/>
    <x v="169"/>
    <s v="Online"/>
  </r>
  <r>
    <s v="Walmart"/>
    <n v="1185732"/>
    <d v="2020-05-05T00:00:00"/>
    <x v="3"/>
    <s v="New York"/>
    <s v="New York"/>
    <s v="Women's Street Footwear"/>
    <n v="54"/>
    <n v="285"/>
    <x v="150"/>
    <x v="170"/>
    <s v="Online"/>
  </r>
  <r>
    <s v="Walmart"/>
    <n v="1197831"/>
    <d v="2020-10-27T00:00:00"/>
    <x v="1"/>
    <s v="Texas"/>
    <s v="Houston"/>
    <s v="Men's Athletic Footwear"/>
    <n v="44"/>
    <n v="285"/>
    <x v="52"/>
    <x v="171"/>
    <s v="Online"/>
  </r>
  <r>
    <s v="Sports Direct"/>
    <n v="1197831"/>
    <d v="2021-04-23T00:00:00"/>
    <x v="1"/>
    <s v="Tennessee"/>
    <s v="Knoxville"/>
    <s v="Women's Street Footwear"/>
    <n v="46"/>
    <n v="285"/>
    <x v="151"/>
    <x v="172"/>
    <s v="Online"/>
  </r>
  <r>
    <s v="Walmart"/>
    <n v="1197831"/>
    <d v="2020-08-25T00:00:00"/>
    <x v="1"/>
    <s v="Texas"/>
    <s v="Houston"/>
    <s v="Men's Athletic Footwear"/>
    <n v="32"/>
    <n v="285"/>
    <x v="152"/>
    <x v="138"/>
    <s v="Outlet"/>
  </r>
  <r>
    <s v="Kohl's"/>
    <n v="1189833"/>
    <d v="2021-04-25T00:00:00"/>
    <x v="4"/>
    <s v="California"/>
    <s v="Los Angeles"/>
    <s v="Men's Street Footwear"/>
    <n v="30"/>
    <n v="285"/>
    <x v="153"/>
    <x v="167"/>
    <s v="Outlet"/>
  </r>
  <r>
    <s v="Foot Locker"/>
    <n v="1185732"/>
    <d v="2020-09-23T00:00:00"/>
    <x v="0"/>
    <s v="Florida"/>
    <s v="Miami"/>
    <s v="Men's Street Footwear"/>
    <n v="53"/>
    <n v="284"/>
    <x v="35"/>
    <x v="173"/>
    <s v="Online"/>
  </r>
  <r>
    <s v="Foot Locker"/>
    <n v="1185732"/>
    <d v="2021-04-06T00:00:00"/>
    <x v="0"/>
    <s v="South Carolina"/>
    <s v="Charleston"/>
    <s v="Men's Street Footwear"/>
    <n v="33"/>
    <n v="283"/>
    <x v="154"/>
    <x v="174"/>
    <s v="Online"/>
  </r>
  <r>
    <s v="Foot Locker"/>
    <n v="1185732"/>
    <d v="2021-05-05T00:00:00"/>
    <x v="0"/>
    <s v="South Carolina"/>
    <s v="Charleston"/>
    <s v="Men's Street Footwear"/>
    <n v="48"/>
    <n v="282"/>
    <x v="155"/>
    <x v="175"/>
    <s v="Online"/>
  </r>
  <r>
    <s v="Foot Locker"/>
    <n v="1185732"/>
    <d v="2020-01-04T00:00:00"/>
    <x v="3"/>
    <s v="New York"/>
    <s v="New York"/>
    <s v="Women's Athletic Footwear"/>
    <n v="36"/>
    <n v="281"/>
    <x v="156"/>
    <x v="176"/>
    <s v="Outlet"/>
  </r>
  <r>
    <s v="Foot Locker"/>
    <n v="1185732"/>
    <d v="2020-02-04T00:00:00"/>
    <x v="3"/>
    <s v="New York"/>
    <s v="New York"/>
    <s v="Men's Apparel"/>
    <n v="44"/>
    <n v="281"/>
    <x v="157"/>
    <x v="29"/>
    <s v="Outlet"/>
  </r>
  <r>
    <s v="Walmart"/>
    <n v="1197831"/>
    <d v="2020-10-22T00:00:00"/>
    <x v="1"/>
    <s v="Texas"/>
    <s v="Houston"/>
    <s v="Women's Street Footwear"/>
    <n v="34"/>
    <n v="281"/>
    <x v="158"/>
    <x v="177"/>
    <s v="Outlet"/>
  </r>
  <r>
    <s v="West Gear"/>
    <n v="1128299"/>
    <d v="2021-01-08T00:00:00"/>
    <x v="4"/>
    <s v="California"/>
    <s v="San Francisco"/>
    <s v="Women's Street Footwear"/>
    <n v="42"/>
    <n v="281"/>
    <x v="72"/>
    <x v="82"/>
    <s v="Outlet"/>
  </r>
  <r>
    <s v="Sports Direct"/>
    <n v="1197831"/>
    <d v="2021-10-16T00:00:00"/>
    <x v="1"/>
    <s v="Texas"/>
    <s v="Dallas"/>
    <s v="Men's Street Footwear"/>
    <n v="46"/>
    <n v="281"/>
    <x v="159"/>
    <x v="178"/>
    <s v="Outlet"/>
  </r>
  <r>
    <s v="Foot Locker"/>
    <n v="1185732"/>
    <d v="2021-01-09T00:00:00"/>
    <x v="0"/>
    <s v="Georgia"/>
    <s v="Atlanta"/>
    <s v="Women's Apparel"/>
    <n v="30"/>
    <n v="281"/>
    <x v="160"/>
    <x v="36"/>
    <s v="Outlet"/>
  </r>
  <r>
    <s v="Walmart"/>
    <n v="1185732"/>
    <d v="2020-04-24T00:00:00"/>
    <x v="3"/>
    <s v="New York"/>
    <s v="New York"/>
    <s v="Women's Apparel"/>
    <n v="59"/>
    <n v="280"/>
    <x v="161"/>
    <x v="179"/>
    <s v="Online"/>
  </r>
  <r>
    <s v="Foot Locker"/>
    <n v="1185732"/>
    <d v="2020-02-10T00:00:00"/>
    <x v="3"/>
    <s v="New York"/>
    <s v="New York"/>
    <s v="Men's Apparel"/>
    <n v="47"/>
    <n v="280"/>
    <x v="91"/>
    <x v="108"/>
    <s v="Outlet"/>
  </r>
  <r>
    <s v="Walmart"/>
    <n v="1185732"/>
    <d v="2020-05-01T00:00:00"/>
    <x v="3"/>
    <s v="New York"/>
    <s v="New York"/>
    <s v="Men's Apparel"/>
    <n v="47"/>
    <n v="280"/>
    <x v="91"/>
    <x v="52"/>
    <s v="Outlet"/>
  </r>
  <r>
    <s v="West Gear"/>
    <n v="1128299"/>
    <d v="2021-01-31T00:00:00"/>
    <x v="4"/>
    <s v="California"/>
    <s v="San Francisco"/>
    <s v="Men's Athletic Footwear"/>
    <n v="39"/>
    <n v="280"/>
    <x v="162"/>
    <x v="180"/>
    <s v="Outlet"/>
  </r>
  <r>
    <s v="Sports Direct"/>
    <n v="1197831"/>
    <d v="2021-09-11T00:00:00"/>
    <x v="1"/>
    <s v="Texas"/>
    <s v="Dallas"/>
    <s v="Men's Athletic Footwear"/>
    <n v="40"/>
    <n v="280"/>
    <x v="33"/>
    <x v="181"/>
    <s v="Outlet"/>
  </r>
  <r>
    <s v="Sports Direct"/>
    <n v="1197831"/>
    <d v="2021-09-15T00:00:00"/>
    <x v="1"/>
    <s v="Texas"/>
    <s v="Dallas"/>
    <s v="Women's Apparel"/>
    <n v="42"/>
    <n v="280"/>
    <x v="163"/>
    <x v="182"/>
    <s v="Outlet"/>
  </r>
  <r>
    <s v="Sports Direct"/>
    <n v="1197831"/>
    <d v="2021-09-05T00:00:00"/>
    <x v="1"/>
    <s v="Alabama"/>
    <s v="Birmingham"/>
    <s v="Women's Apparel"/>
    <n v="36"/>
    <n v="280"/>
    <x v="164"/>
    <x v="183"/>
    <s v="Outlet"/>
  </r>
  <r>
    <s v="Sports Direct"/>
    <n v="1197831"/>
    <d v="2021-09-11T00:00:00"/>
    <x v="1"/>
    <s v="Alabama"/>
    <s v="Birmingham"/>
    <s v="Women's Apparel"/>
    <n v="47"/>
    <n v="280"/>
    <x v="91"/>
    <x v="184"/>
    <s v="Outlet"/>
  </r>
  <r>
    <s v="Walmart"/>
    <n v="1128299"/>
    <d v="2021-12-16T00:00:00"/>
    <x v="0"/>
    <s v="Florida"/>
    <s v="Orlando"/>
    <s v="Men's Street Footwear"/>
    <n v="58"/>
    <n v="280"/>
    <x v="165"/>
    <x v="185"/>
    <s v="Outlet"/>
  </r>
  <r>
    <s v="Walmart"/>
    <n v="1185732"/>
    <d v="2020-04-17T00:00:00"/>
    <x v="3"/>
    <s v="New York"/>
    <s v="New York"/>
    <s v="Men's Apparel"/>
    <n v="43"/>
    <n v="279"/>
    <x v="166"/>
    <x v="186"/>
    <s v="Outlet"/>
  </r>
  <r>
    <s v="Walmart"/>
    <n v="1185732"/>
    <d v="2020-05-07T00:00:00"/>
    <x v="3"/>
    <s v="New York"/>
    <s v="New York"/>
    <s v="Men's Apparel"/>
    <n v="48"/>
    <n v="279"/>
    <x v="167"/>
    <x v="117"/>
    <s v="Outlet"/>
  </r>
  <r>
    <s v="Foot Locker"/>
    <n v="1185732"/>
    <d v="2020-03-06T00:00:00"/>
    <x v="3"/>
    <s v="New York"/>
    <s v="New York"/>
    <s v="Women's Street Footwear"/>
    <n v="46"/>
    <n v="278"/>
    <x v="168"/>
    <x v="187"/>
    <s v="Online"/>
  </r>
  <r>
    <s v="Foot Locker"/>
    <n v="1185732"/>
    <d v="2020-09-22T00:00:00"/>
    <x v="0"/>
    <s v="Florida"/>
    <s v="Miami"/>
    <s v="Women's Apparel"/>
    <n v="56"/>
    <n v="278"/>
    <x v="169"/>
    <x v="188"/>
    <s v="Online"/>
  </r>
  <r>
    <s v="Foot Locker"/>
    <n v="1185732"/>
    <d v="2021-08-06T00:00:00"/>
    <x v="0"/>
    <s v="South Carolina"/>
    <s v="Charleston"/>
    <s v="Women's Apparel"/>
    <n v="58"/>
    <n v="278"/>
    <x v="170"/>
    <x v="189"/>
    <s v="Online"/>
  </r>
  <r>
    <s v="Foot Locker"/>
    <n v="1185732"/>
    <d v="2021-11-06T00:00:00"/>
    <x v="0"/>
    <s v="South Carolina"/>
    <s v="Charleston"/>
    <s v="Men's Street Footwear"/>
    <n v="50"/>
    <n v="278"/>
    <x v="171"/>
    <x v="190"/>
    <s v="Online"/>
  </r>
  <r>
    <s v="Foot Locker"/>
    <n v="1185732"/>
    <d v="2020-03-14T00:00:00"/>
    <x v="3"/>
    <s v="New York"/>
    <s v="New York"/>
    <s v="Men's Apparel"/>
    <n v="46"/>
    <n v="278"/>
    <x v="168"/>
    <x v="163"/>
    <s v="Outlet"/>
  </r>
  <r>
    <s v="West Gear"/>
    <n v="1128299"/>
    <d v="2021-01-19T00:00:00"/>
    <x v="4"/>
    <s v="California"/>
    <s v="San Francisco"/>
    <s v="Men's Athletic Footwear"/>
    <n v="47"/>
    <n v="278"/>
    <x v="172"/>
    <x v="191"/>
    <s v="Outlet"/>
  </r>
  <r>
    <s v="Sports Direct"/>
    <n v="1197831"/>
    <d v="2021-09-14T00:00:00"/>
    <x v="1"/>
    <s v="Alabama"/>
    <s v="Birmingham"/>
    <s v="Women's Street Footwear"/>
    <n v="36"/>
    <n v="278"/>
    <x v="173"/>
    <x v="192"/>
    <s v="Outlet"/>
  </r>
  <r>
    <s v="West Gear"/>
    <n v="1197831"/>
    <d v="2021-07-06T00:00:00"/>
    <x v="4"/>
    <s v="Idaho"/>
    <s v="Boise"/>
    <s v="Women's Street Footwear"/>
    <n v="34"/>
    <n v="278"/>
    <x v="174"/>
    <x v="87"/>
    <s v="Outlet"/>
  </r>
  <r>
    <s v="West Gear"/>
    <n v="1128299"/>
    <d v="2021-01-12T00:00:00"/>
    <x v="4"/>
    <s v="California"/>
    <s v="San Francisco"/>
    <s v="Men's Street Footwear"/>
    <n v="56"/>
    <n v="277"/>
    <x v="175"/>
    <x v="169"/>
    <s v="Online"/>
  </r>
  <r>
    <s v="Foot Locker"/>
    <n v="1185732"/>
    <d v="2020-01-21T00:00:00"/>
    <x v="3"/>
    <s v="New York"/>
    <s v="New York"/>
    <s v="Women's Street Footwear"/>
    <n v="36"/>
    <n v="276"/>
    <x v="176"/>
    <x v="104"/>
    <s v="Online"/>
  </r>
  <r>
    <s v="Walmart"/>
    <n v="1197831"/>
    <d v="2020-08-17T00:00:00"/>
    <x v="1"/>
    <s v="Texas"/>
    <s v="Houston"/>
    <s v="Women's Apparel"/>
    <n v="37"/>
    <n v="276"/>
    <x v="177"/>
    <x v="129"/>
    <s v="Online"/>
  </r>
  <r>
    <s v="Sports Direct"/>
    <n v="1185732"/>
    <d v="2021-03-02T00:00:00"/>
    <x v="0"/>
    <s v="North Carolina"/>
    <s v="Charlotte"/>
    <s v="Men's Street Footwear"/>
    <n v="28"/>
    <n v="276"/>
    <x v="178"/>
    <x v="193"/>
    <s v="Online"/>
  </r>
  <r>
    <s v="Sports Direct"/>
    <n v="1197831"/>
    <d v="2021-08-23T00:00:00"/>
    <x v="1"/>
    <s v="Alabama"/>
    <s v="Birmingham"/>
    <s v="Men's Apparel"/>
    <n v="25"/>
    <n v="275"/>
    <x v="179"/>
    <x v="194"/>
    <s v="Outlet"/>
  </r>
  <r>
    <s v="Foot Locker"/>
    <n v="1185732"/>
    <d v="2021-01-18T00:00:00"/>
    <x v="2"/>
    <s v="Michigan"/>
    <s v="Detroit"/>
    <s v="Women's Athletic Footwear"/>
    <n v="25"/>
    <n v="275"/>
    <x v="179"/>
    <x v="194"/>
    <s v="In-store"/>
  </r>
  <r>
    <s v="Foot Locker"/>
    <n v="1185732"/>
    <d v="2021-04-18T00:00:00"/>
    <x v="2"/>
    <s v="Missouri"/>
    <s v="St. Louis"/>
    <s v="Men's Athletic Footwear"/>
    <n v="30"/>
    <n v="275"/>
    <x v="180"/>
    <x v="195"/>
    <s v="In-store"/>
  </r>
  <r>
    <s v="Foot Locker"/>
    <n v="1185732"/>
    <d v="2021-04-18T00:00:00"/>
    <x v="2"/>
    <s v="Missouri"/>
    <s v="St. Louis"/>
    <s v="Women's Street Footwear"/>
    <n v="20"/>
    <n v="275"/>
    <x v="181"/>
    <x v="196"/>
    <s v="In-store"/>
  </r>
  <r>
    <s v="Foot Locker"/>
    <n v="1185732"/>
    <d v="2021-09-19T00:00:00"/>
    <x v="2"/>
    <s v="Missouri"/>
    <s v="St. Louis"/>
    <s v="Women's Athletic Footwear"/>
    <n v="15"/>
    <n v="275"/>
    <x v="182"/>
    <x v="197"/>
    <s v="In-store"/>
  </r>
  <r>
    <s v="Foot Locker"/>
    <n v="1185732"/>
    <d v="2021-09-19T00:00:00"/>
    <x v="2"/>
    <s v="Missouri"/>
    <s v="St. Louis"/>
    <s v="Men's Apparel"/>
    <n v="25"/>
    <n v="275"/>
    <x v="179"/>
    <x v="198"/>
    <s v="In-store"/>
  </r>
  <r>
    <s v="West Gear"/>
    <n v="1185732"/>
    <d v="2021-05-12T00:00:00"/>
    <x v="4"/>
    <s v="Utah"/>
    <s v="Salt Lake City"/>
    <s v="Women's Athletic Footwear"/>
    <n v="25"/>
    <n v="275"/>
    <x v="179"/>
    <x v="194"/>
    <s v="In-store"/>
  </r>
  <r>
    <s v="West Gear"/>
    <n v="1185732"/>
    <d v="2021-10-11T00:00:00"/>
    <x v="4"/>
    <s v="Utah"/>
    <s v="Salt Lake City"/>
    <s v="Women's Athletic Footwear"/>
    <n v="20"/>
    <n v="275"/>
    <x v="181"/>
    <x v="199"/>
    <s v="In-store"/>
  </r>
  <r>
    <s v="West Gear"/>
    <n v="1185732"/>
    <d v="2021-10-11T00:00:00"/>
    <x v="4"/>
    <s v="Utah"/>
    <s v="Salt Lake City"/>
    <s v="Men's Apparel"/>
    <n v="30"/>
    <n v="275"/>
    <x v="180"/>
    <x v="195"/>
    <s v="In-store"/>
  </r>
  <r>
    <s v="Foot Locker"/>
    <n v="1185732"/>
    <d v="2021-03-16T00:00:00"/>
    <x v="1"/>
    <s v="Mississippi"/>
    <s v="Jackson"/>
    <s v="Women's Athletic Footwear"/>
    <n v="20"/>
    <n v="275"/>
    <x v="181"/>
    <x v="199"/>
    <s v="Online"/>
  </r>
  <r>
    <s v="Walmart"/>
    <n v="1197831"/>
    <d v="2021-10-21T00:00:00"/>
    <x v="1"/>
    <s v="Arkansas"/>
    <s v="Little Rock"/>
    <s v="Women's Athletic Footwear"/>
    <n v="20"/>
    <n v="275"/>
    <x v="181"/>
    <x v="199"/>
    <s v="Online"/>
  </r>
  <r>
    <s v="Walmart"/>
    <n v="1197831"/>
    <d v="2021-10-21T00:00:00"/>
    <x v="1"/>
    <s v="Arkansas"/>
    <s v="Little Rock"/>
    <s v="Men's Apparel"/>
    <n v="30"/>
    <n v="275"/>
    <x v="180"/>
    <x v="195"/>
    <s v="Online"/>
  </r>
  <r>
    <s v="West Gear"/>
    <n v="1197831"/>
    <d v="2021-02-21T00:00:00"/>
    <x v="1"/>
    <s v="Arkansas"/>
    <s v="Little Rock"/>
    <s v="Men's Athletic Footwear"/>
    <n v="25"/>
    <n v="275"/>
    <x v="179"/>
    <x v="198"/>
    <s v="Online"/>
  </r>
  <r>
    <s v="West Gear"/>
    <n v="1197831"/>
    <d v="2021-03-19T00:00:00"/>
    <x v="1"/>
    <s v="Oklahoma"/>
    <s v="Oklahoma City"/>
    <s v="Women's Street Footwear"/>
    <n v="10"/>
    <n v="275"/>
    <x v="183"/>
    <x v="200"/>
    <s v="Online"/>
  </r>
  <r>
    <s v="West Gear"/>
    <n v="1197831"/>
    <d v="2021-03-19T00:00:00"/>
    <x v="1"/>
    <s v="Oklahoma"/>
    <s v="Oklahoma City"/>
    <s v="Women's Apparel"/>
    <n v="25"/>
    <n v="275"/>
    <x v="179"/>
    <x v="194"/>
    <s v="Online"/>
  </r>
  <r>
    <s v="West Gear"/>
    <n v="1197831"/>
    <d v="2021-09-19T00:00:00"/>
    <x v="1"/>
    <s v="Oklahoma"/>
    <s v="Oklahoma City"/>
    <s v="Women's Street Footwear"/>
    <n v="15"/>
    <n v="275"/>
    <x v="182"/>
    <x v="197"/>
    <s v="Online"/>
  </r>
  <r>
    <s v="Foot Locker"/>
    <n v="1197831"/>
    <d v="2021-11-13T00:00:00"/>
    <x v="2"/>
    <s v="Kansas"/>
    <s v="Wichita"/>
    <s v="Men's Athletic Footwear"/>
    <n v="15"/>
    <n v="275"/>
    <x v="182"/>
    <x v="201"/>
    <s v="Online"/>
  </r>
  <r>
    <s v="Foot Locker"/>
    <n v="1185732"/>
    <d v="2021-01-12T00:00:00"/>
    <x v="2"/>
    <s v="Kansas"/>
    <s v="Wichita"/>
    <s v="Women's Street Footwear"/>
    <n v="30"/>
    <n v="275"/>
    <x v="180"/>
    <x v="202"/>
    <s v="Online"/>
  </r>
  <r>
    <s v="Sports Direct"/>
    <n v="1185732"/>
    <d v="2021-01-09T00:00:00"/>
    <x v="2"/>
    <s v="South Dakota"/>
    <s v="Sioux Falls"/>
    <s v="Women's Street Footwear"/>
    <n v="25"/>
    <n v="275"/>
    <x v="179"/>
    <x v="203"/>
    <s v="Online"/>
  </r>
  <r>
    <s v="Sports Direct"/>
    <n v="1185732"/>
    <d v="2021-02-09T00:00:00"/>
    <x v="2"/>
    <s v="North Dakota"/>
    <s v="Fargo"/>
    <s v="Women's Apparel"/>
    <n v="25"/>
    <n v="275"/>
    <x v="179"/>
    <x v="194"/>
    <s v="Online"/>
  </r>
  <r>
    <s v="Foot Locker"/>
    <n v="1185732"/>
    <d v="2021-06-06T00:00:00"/>
    <x v="2"/>
    <s v="Iowa"/>
    <s v="Des Moines"/>
    <s v="Men's Athletic Footwear"/>
    <n v="30"/>
    <n v="275"/>
    <x v="180"/>
    <x v="195"/>
    <s v="In-store"/>
  </r>
  <r>
    <s v="Foot Locker"/>
    <n v="1185732"/>
    <d v="2021-09-07T00:00:00"/>
    <x v="2"/>
    <s v="Iowa"/>
    <s v="Des Moines"/>
    <s v="Men's Athletic Footwear"/>
    <n v="30"/>
    <n v="275"/>
    <x v="180"/>
    <x v="195"/>
    <s v="In-store"/>
  </r>
  <r>
    <s v="West Gear"/>
    <n v="1185732"/>
    <d v="2021-03-09T00:00:00"/>
    <x v="2"/>
    <s v="Indiana"/>
    <s v="Indianapolis"/>
    <s v="Women's Street Footwear"/>
    <n v="15"/>
    <n v="275"/>
    <x v="182"/>
    <x v="201"/>
    <s v="In-store"/>
  </r>
  <r>
    <s v="West Gear"/>
    <n v="1185732"/>
    <d v="2021-03-09T00:00:00"/>
    <x v="2"/>
    <s v="Indiana"/>
    <s v="Indianapolis"/>
    <s v="Women's Apparel"/>
    <n v="25"/>
    <n v="275"/>
    <x v="179"/>
    <x v="194"/>
    <s v="In-store"/>
  </r>
  <r>
    <s v="West Gear"/>
    <n v="1185732"/>
    <d v="2021-09-11T00:00:00"/>
    <x v="2"/>
    <s v="Indiana"/>
    <s v="Indianapolis"/>
    <s v="Men's Athletic Footwear"/>
    <n v="30"/>
    <n v="275"/>
    <x v="180"/>
    <x v="204"/>
    <s v="In-store"/>
  </r>
  <r>
    <s v="West Gear"/>
    <n v="1185732"/>
    <d v="2021-03-16T00:00:00"/>
    <x v="3"/>
    <s v="West Virginia"/>
    <s v="Charleston"/>
    <s v="Men's Athletic Footwear"/>
    <n v="30"/>
    <n v="275"/>
    <x v="180"/>
    <x v="204"/>
    <s v="In-store"/>
  </r>
  <r>
    <s v="Foot Locker"/>
    <n v="1185732"/>
    <d v="2021-02-15T00:00:00"/>
    <x v="3"/>
    <s v="Maryland"/>
    <s v="Baltimore"/>
    <s v="Women's Street Footwear"/>
    <n v="30"/>
    <n v="275"/>
    <x v="180"/>
    <x v="204"/>
    <s v="In-store"/>
  </r>
  <r>
    <s v="Foot Locker"/>
    <n v="1185732"/>
    <d v="2021-03-13T00:00:00"/>
    <x v="3"/>
    <s v="Delaware"/>
    <s v="Wilmington"/>
    <s v="Women's Street Footwear"/>
    <n v="30"/>
    <n v="275"/>
    <x v="180"/>
    <x v="204"/>
    <s v="In-store"/>
  </r>
  <r>
    <s v="Kohl's"/>
    <n v="1185732"/>
    <d v="2021-01-10T00:00:00"/>
    <x v="3"/>
    <s v="Delaware"/>
    <s v="Wilmington"/>
    <s v="Women's Street Footwear"/>
    <n v="25"/>
    <n v="275"/>
    <x v="179"/>
    <x v="194"/>
    <s v="In-store"/>
  </r>
  <r>
    <s v="Walmart"/>
    <n v="1185732"/>
    <d v="2020-04-28T00:00:00"/>
    <x v="3"/>
    <s v="New York"/>
    <s v="New York"/>
    <s v="Men's Athletic Footwear"/>
    <n v="53"/>
    <n v="273"/>
    <x v="184"/>
    <x v="205"/>
    <s v="Online"/>
  </r>
  <r>
    <s v="West Gear"/>
    <n v="1128299"/>
    <d v="2021-01-06T00:00:00"/>
    <x v="4"/>
    <s v="California"/>
    <s v="San Francisco"/>
    <s v="Men's Street Footwear"/>
    <n v="56"/>
    <n v="273"/>
    <x v="185"/>
    <x v="206"/>
    <s v="Online"/>
  </r>
  <r>
    <s v="West Gear"/>
    <n v="1128299"/>
    <d v="2021-01-18T00:00:00"/>
    <x v="4"/>
    <s v="California"/>
    <s v="San Francisco"/>
    <s v="Men's Street Footwear"/>
    <n v="62"/>
    <n v="273"/>
    <x v="186"/>
    <x v="207"/>
    <s v="Online"/>
  </r>
  <r>
    <s v="West Gear"/>
    <n v="1128299"/>
    <d v="2021-02-12T00:00:00"/>
    <x v="4"/>
    <s v="California"/>
    <s v="San Francisco"/>
    <s v="Men's Athletic Footwear"/>
    <n v="58"/>
    <n v="273"/>
    <x v="187"/>
    <x v="208"/>
    <s v="Online"/>
  </r>
  <r>
    <s v="Sports Direct"/>
    <n v="1197831"/>
    <d v="2021-09-24T00:00:00"/>
    <x v="1"/>
    <s v="Texas"/>
    <s v="Dallas"/>
    <s v="Women's Street Footwear"/>
    <n v="46"/>
    <n v="273"/>
    <x v="188"/>
    <x v="209"/>
    <s v="Online"/>
  </r>
  <r>
    <s v="Foot Locker"/>
    <n v="1185732"/>
    <d v="2020-08-06T00:00:00"/>
    <x v="4"/>
    <s v="Washington"/>
    <s v="Seattle"/>
    <s v="Men's Street Footwear"/>
    <n v="44"/>
    <n v="273"/>
    <x v="189"/>
    <x v="179"/>
    <s v="Online"/>
  </r>
  <r>
    <s v="Foot Locker"/>
    <n v="1185732"/>
    <d v="2021-06-07T00:00:00"/>
    <x v="0"/>
    <s v="South Carolina"/>
    <s v="Charleston"/>
    <s v="Men's Street Footwear"/>
    <n v="51"/>
    <n v="273"/>
    <x v="128"/>
    <x v="210"/>
    <s v="Online"/>
  </r>
  <r>
    <s v="Walmart"/>
    <n v="1197831"/>
    <d v="2020-08-11T00:00:00"/>
    <x v="1"/>
    <s v="Texas"/>
    <s v="Houston"/>
    <s v="Women's Apparel"/>
    <n v="27"/>
    <n v="272"/>
    <x v="190"/>
    <x v="211"/>
    <s v="Outlet"/>
  </r>
  <r>
    <s v="Walmart"/>
    <n v="1197831"/>
    <d v="2020-09-11T00:00:00"/>
    <x v="1"/>
    <s v="Texas"/>
    <s v="Houston"/>
    <s v="Men's Street Footwear"/>
    <n v="31"/>
    <n v="272"/>
    <x v="160"/>
    <x v="212"/>
    <s v="Outlet"/>
  </r>
  <r>
    <s v="West Gear"/>
    <n v="1128299"/>
    <d v="2020-11-13T00:00:00"/>
    <x v="4"/>
    <s v="California"/>
    <s v="San Francisco"/>
    <s v="Men's Street Footwear"/>
    <n v="36"/>
    <n v="272"/>
    <x v="191"/>
    <x v="122"/>
    <s v="Outlet"/>
  </r>
  <r>
    <s v="Kohl's"/>
    <n v="1189833"/>
    <d v="2021-04-26T00:00:00"/>
    <x v="4"/>
    <s v="California"/>
    <s v="Los Angeles"/>
    <s v="Men's Athletic Footwear"/>
    <n v="37"/>
    <n v="272"/>
    <x v="192"/>
    <x v="213"/>
    <s v="Outlet"/>
  </r>
  <r>
    <s v="Kohl's"/>
    <n v="1189833"/>
    <d v="2021-05-19T00:00:00"/>
    <x v="4"/>
    <s v="California"/>
    <s v="Los Angeles"/>
    <s v="Men's Street Footwear"/>
    <n v="40"/>
    <n v="272"/>
    <x v="193"/>
    <x v="214"/>
    <s v="Outlet"/>
  </r>
  <r>
    <s v="Sports Direct"/>
    <n v="1197831"/>
    <d v="2021-09-21T00:00:00"/>
    <x v="1"/>
    <s v="Texas"/>
    <s v="Dallas"/>
    <s v="Women's Apparel"/>
    <n v="47"/>
    <n v="272"/>
    <x v="194"/>
    <x v="215"/>
    <s v="Outlet"/>
  </r>
  <r>
    <s v="Sports Direct"/>
    <n v="1197831"/>
    <d v="2021-04-15T00:00:00"/>
    <x v="1"/>
    <s v="Tennessee"/>
    <s v="Knoxville"/>
    <s v="Men's Street Footwear"/>
    <n v="29"/>
    <n v="272"/>
    <x v="195"/>
    <x v="216"/>
    <s v="Outlet"/>
  </r>
  <r>
    <s v="Sports Direct"/>
    <n v="1197831"/>
    <d v="2021-04-20T00:00:00"/>
    <x v="1"/>
    <s v="Tennessee"/>
    <s v="Knoxville"/>
    <s v="Women's Apparel"/>
    <n v="38"/>
    <n v="272"/>
    <x v="62"/>
    <x v="217"/>
    <s v="Outlet"/>
  </r>
  <r>
    <s v="Walmart"/>
    <n v="1128299"/>
    <d v="2021-06-17T00:00:00"/>
    <x v="0"/>
    <s v="Florida"/>
    <s v="Orlando"/>
    <s v="Men's Street Footwear"/>
    <n v="50"/>
    <n v="272"/>
    <x v="196"/>
    <x v="163"/>
    <s v="Outlet"/>
  </r>
  <r>
    <s v="Walmart"/>
    <n v="1128299"/>
    <d v="2021-08-17T00:00:00"/>
    <x v="0"/>
    <s v="Florida"/>
    <s v="Orlando"/>
    <s v="Men's Athletic Footwear"/>
    <n v="60"/>
    <n v="272"/>
    <x v="43"/>
    <x v="164"/>
    <s v="Outlet"/>
  </r>
  <r>
    <s v="West Gear"/>
    <n v="1185732"/>
    <d v="2021-01-12T00:00:00"/>
    <x v="0"/>
    <s v="Florida"/>
    <s v="Orlando"/>
    <s v="Men's Street Footwear"/>
    <n v="30"/>
    <n v="272"/>
    <x v="197"/>
    <x v="218"/>
    <s v="Outlet"/>
  </r>
  <r>
    <s v="Foot Locker"/>
    <n v="1128299"/>
    <d v="2021-07-23T00:00:00"/>
    <x v="0"/>
    <s v="Virginia"/>
    <s v="Richmond"/>
    <s v="Men's Street Footwear"/>
    <n v="60"/>
    <n v="272"/>
    <x v="43"/>
    <x v="219"/>
    <s v="Outlet"/>
  </r>
  <r>
    <s v="Foot Locker"/>
    <n v="1128299"/>
    <d v="2021-08-24T00:00:00"/>
    <x v="0"/>
    <s v="Virginia"/>
    <s v="Richmond"/>
    <s v="Men's Street Footwear"/>
    <n v="67"/>
    <n v="272"/>
    <x v="198"/>
    <x v="215"/>
    <s v="Outlet"/>
  </r>
  <r>
    <s v="West Gear"/>
    <n v="1128299"/>
    <d v="2021-12-16T00:00:00"/>
    <x v="1"/>
    <s v="Louisiana"/>
    <s v="New Orleans"/>
    <s v="Men's Street Footwear"/>
    <n v="46"/>
    <n v="272"/>
    <x v="199"/>
    <x v="97"/>
    <s v="Outlet"/>
  </r>
  <r>
    <s v="West Gear"/>
    <n v="1128299"/>
    <d v="2020-11-03T00:00:00"/>
    <x v="1"/>
    <s v="Texas"/>
    <s v="Houston"/>
    <s v="Women's Street Footwear"/>
    <n v="33"/>
    <n v="271"/>
    <x v="200"/>
    <x v="220"/>
    <s v="Outlet"/>
  </r>
  <r>
    <s v="West Gear"/>
    <n v="1128299"/>
    <d v="2020-12-25T00:00:00"/>
    <x v="4"/>
    <s v="California"/>
    <s v="San Francisco"/>
    <s v="Men's Street Footwear"/>
    <n v="40"/>
    <n v="271"/>
    <x v="201"/>
    <x v="221"/>
    <s v="Outlet"/>
  </r>
  <r>
    <s v="West Gear"/>
    <n v="1128299"/>
    <d v="2021-02-14T00:00:00"/>
    <x v="4"/>
    <s v="California"/>
    <s v="San Francisco"/>
    <s v="Women's Athletic Footwear"/>
    <n v="40"/>
    <n v="271"/>
    <x v="201"/>
    <x v="222"/>
    <s v="Outlet"/>
  </r>
  <r>
    <s v="Sports Direct"/>
    <n v="1197831"/>
    <d v="2021-04-08T00:00:00"/>
    <x v="1"/>
    <s v="Tennessee"/>
    <s v="Knoxville"/>
    <s v="Women's Apparel"/>
    <n v="31"/>
    <n v="271"/>
    <x v="202"/>
    <x v="117"/>
    <s v="Outlet"/>
  </r>
  <r>
    <s v="Sports Direct"/>
    <n v="1197831"/>
    <d v="2021-04-22T00:00:00"/>
    <x v="1"/>
    <s v="Tennessee"/>
    <s v="Knoxville"/>
    <s v="Men's Athletic Footwear"/>
    <n v="44"/>
    <n v="271"/>
    <x v="203"/>
    <x v="178"/>
    <s v="Outlet"/>
  </r>
  <r>
    <s v="West Gear"/>
    <n v="1197831"/>
    <d v="2021-07-06T00:00:00"/>
    <x v="4"/>
    <s v="Idaho"/>
    <s v="Boise"/>
    <s v="Men's Athletic Footwear"/>
    <n v="40"/>
    <n v="271"/>
    <x v="201"/>
    <x v="223"/>
    <s v="Outlet"/>
  </r>
  <r>
    <s v="Walmart"/>
    <n v="1197831"/>
    <d v="2021-07-19T00:00:00"/>
    <x v="1"/>
    <s v="Arkansas"/>
    <s v="Little Rock"/>
    <s v="Men's Street Footwear"/>
    <n v="39"/>
    <n v="271"/>
    <x v="204"/>
    <x v="224"/>
    <s v="Outlet"/>
  </r>
  <r>
    <s v="Foot Locker"/>
    <n v="1185732"/>
    <d v="2020-03-05T00:00:00"/>
    <x v="3"/>
    <s v="New York"/>
    <s v="New York"/>
    <s v="Men's Athletic Footwear"/>
    <n v="54"/>
    <n v="270"/>
    <x v="205"/>
    <x v="146"/>
    <s v="Online"/>
  </r>
  <r>
    <s v="Walmart"/>
    <n v="1185732"/>
    <d v="2020-04-17T00:00:00"/>
    <x v="3"/>
    <s v="New York"/>
    <s v="New York"/>
    <s v="Men's Apparel"/>
    <n v="54"/>
    <n v="270"/>
    <x v="205"/>
    <x v="225"/>
    <s v="Online"/>
  </r>
  <r>
    <s v="Walmart"/>
    <n v="1185732"/>
    <d v="2020-04-20T00:00:00"/>
    <x v="3"/>
    <s v="New York"/>
    <s v="New York"/>
    <s v="Men's Athletic Footwear"/>
    <n v="50"/>
    <n v="270"/>
    <x v="109"/>
    <x v="226"/>
    <s v="Online"/>
  </r>
  <r>
    <s v="Kohl's"/>
    <n v="1189833"/>
    <d v="2021-04-19T00:00:00"/>
    <x v="4"/>
    <s v="California"/>
    <s v="Los Angeles"/>
    <s v="Men's Street Footwear"/>
    <n v="44"/>
    <n v="270"/>
    <x v="206"/>
    <x v="227"/>
    <s v="Online"/>
  </r>
  <r>
    <s v="Sports Direct"/>
    <n v="1185732"/>
    <d v="2020-09-29T00:00:00"/>
    <x v="0"/>
    <s v="Florida"/>
    <s v="Miami"/>
    <s v="Men's Street Footwear"/>
    <n v="56"/>
    <n v="270"/>
    <x v="207"/>
    <x v="228"/>
    <s v="Online"/>
  </r>
  <r>
    <s v="West Gear"/>
    <n v="1128299"/>
    <d v="2021-07-16T00:00:00"/>
    <x v="1"/>
    <s v="Louisiana"/>
    <s v="New Orleans"/>
    <s v="Men's Street Footwear"/>
    <n v="86"/>
    <n v="270"/>
    <x v="208"/>
    <x v="229"/>
    <s v="Online"/>
  </r>
  <r>
    <s v="Foot Locker"/>
    <n v="1185732"/>
    <d v="2021-07-05T00:00:00"/>
    <x v="0"/>
    <s v="South Carolina"/>
    <s v="Charleston"/>
    <s v="Men's Athletic Footwear"/>
    <n v="58"/>
    <n v="270"/>
    <x v="209"/>
    <x v="230"/>
    <s v="Online"/>
  </r>
  <r>
    <s v="Foot Locker"/>
    <n v="1185732"/>
    <d v="2020-03-13T00:00:00"/>
    <x v="3"/>
    <s v="New York"/>
    <s v="New York"/>
    <s v="Women's Athletic Footwear"/>
    <n v="35"/>
    <n v="270"/>
    <x v="174"/>
    <x v="231"/>
    <s v="Outlet"/>
  </r>
  <r>
    <s v="Walmart"/>
    <n v="1185732"/>
    <d v="2020-04-30T00:00:00"/>
    <x v="3"/>
    <s v="New York"/>
    <s v="New York"/>
    <s v="Women's Athletic Footwear"/>
    <n v="41"/>
    <n v="270"/>
    <x v="210"/>
    <x v="232"/>
    <s v="Outlet"/>
  </r>
  <r>
    <s v="Sports Direct"/>
    <n v="1197831"/>
    <d v="2020-07-19T00:00:00"/>
    <x v="3"/>
    <s v="New York"/>
    <s v="New York"/>
    <s v="Men's Street Footwear"/>
    <n v="20"/>
    <n v="270"/>
    <x v="211"/>
    <x v="233"/>
    <s v="Outlet"/>
  </r>
  <r>
    <s v="Sports Direct"/>
    <n v="1197831"/>
    <d v="2020-07-20T00:00:00"/>
    <x v="3"/>
    <s v="New York"/>
    <s v="New York"/>
    <s v="Men's Athletic Footwear"/>
    <n v="26"/>
    <n v="270"/>
    <x v="212"/>
    <x v="112"/>
    <s v="Outlet"/>
  </r>
  <r>
    <s v="Walmart"/>
    <n v="1197831"/>
    <d v="2020-09-04T00:00:00"/>
    <x v="1"/>
    <s v="Texas"/>
    <s v="Houston"/>
    <s v="Women's Apparel"/>
    <n v="39"/>
    <n v="270"/>
    <x v="213"/>
    <x v="234"/>
    <s v="Outlet"/>
  </r>
  <r>
    <s v="Walmart"/>
    <n v="1197831"/>
    <d v="2020-10-20T00:00:00"/>
    <x v="1"/>
    <s v="Texas"/>
    <s v="Houston"/>
    <s v="Men's Street Footwear"/>
    <n v="34"/>
    <n v="270"/>
    <x v="214"/>
    <x v="235"/>
    <s v="Outlet"/>
  </r>
  <r>
    <s v="West Gear"/>
    <n v="1128299"/>
    <d v="2020-12-31T00:00:00"/>
    <x v="4"/>
    <s v="California"/>
    <s v="San Francisco"/>
    <s v="Men's Street Footwear"/>
    <n v="44"/>
    <n v="270"/>
    <x v="206"/>
    <x v="236"/>
    <s v="Outlet"/>
  </r>
  <r>
    <s v="Walmart"/>
    <n v="1185732"/>
    <d v="2020-04-21T00:00:00"/>
    <x v="3"/>
    <s v="New York"/>
    <s v="New York"/>
    <s v="Women's Street Footwear"/>
    <n v="47"/>
    <n v="268"/>
    <x v="34"/>
    <x v="237"/>
    <s v="Online"/>
  </r>
  <r>
    <s v="Walmart"/>
    <n v="1197831"/>
    <d v="2020-08-12T00:00:00"/>
    <x v="1"/>
    <s v="Texas"/>
    <s v="Houston"/>
    <s v="Men's Street Footwear"/>
    <n v="29"/>
    <n v="268"/>
    <x v="215"/>
    <x v="177"/>
    <s v="Online"/>
  </r>
  <r>
    <s v="Walmart"/>
    <n v="1197831"/>
    <d v="2020-08-30T00:00:00"/>
    <x v="1"/>
    <s v="Texas"/>
    <s v="Houston"/>
    <s v="Men's Street Footwear"/>
    <n v="37"/>
    <n v="268"/>
    <x v="216"/>
    <x v="238"/>
    <s v="Online"/>
  </r>
  <r>
    <s v="West Gear"/>
    <n v="1128299"/>
    <d v="2021-01-25T00:00:00"/>
    <x v="4"/>
    <s v="California"/>
    <s v="San Francisco"/>
    <s v="Men's Athletic Footwear"/>
    <n v="56"/>
    <n v="268"/>
    <x v="217"/>
    <x v="239"/>
    <s v="Online"/>
  </r>
  <r>
    <s v="Foot Locker"/>
    <n v="1185732"/>
    <d v="2020-08-18T00:00:00"/>
    <x v="0"/>
    <s v="Florida"/>
    <s v="Miami"/>
    <s v="Men's Street Footwear"/>
    <n v="41"/>
    <n v="268"/>
    <x v="218"/>
    <x v="240"/>
    <s v="Online"/>
  </r>
  <r>
    <s v="Sports Direct"/>
    <n v="1197831"/>
    <d v="2021-09-14T00:00:00"/>
    <x v="1"/>
    <s v="Alabama"/>
    <s v="Birmingham"/>
    <s v="Women's Street Footwear"/>
    <n v="51"/>
    <n v="268"/>
    <x v="219"/>
    <x v="241"/>
    <s v="Online"/>
  </r>
  <r>
    <s v="Foot Locker"/>
    <n v="1185732"/>
    <d v="2020-03-11T00:00:00"/>
    <x v="3"/>
    <s v="New York"/>
    <s v="New York"/>
    <s v="Men's Athletic Footwear"/>
    <n v="53"/>
    <n v="267"/>
    <x v="220"/>
    <x v="226"/>
    <s v="Online"/>
  </r>
  <r>
    <s v="Foot Locker"/>
    <n v="1185732"/>
    <d v="2021-03-05T00:00:00"/>
    <x v="0"/>
    <s v="South Carolina"/>
    <s v="Charleston"/>
    <s v="Men's Street Footwear"/>
    <n v="33"/>
    <n v="265"/>
    <x v="221"/>
    <x v="242"/>
    <s v="Online"/>
  </r>
  <r>
    <s v="Walmart"/>
    <n v="1197831"/>
    <d v="2020-08-20T00:00:00"/>
    <x v="1"/>
    <s v="Texas"/>
    <s v="Houston"/>
    <s v="Women's Street Footwear"/>
    <n v="27"/>
    <n v="264"/>
    <x v="222"/>
    <x v="243"/>
    <s v="Outlet"/>
  </r>
  <r>
    <s v="Walmart"/>
    <n v="1197831"/>
    <d v="2020-09-05T00:00:00"/>
    <x v="1"/>
    <s v="Texas"/>
    <s v="Houston"/>
    <s v="Men's Street Footwear"/>
    <n v="33"/>
    <n v="264"/>
    <x v="223"/>
    <x v="244"/>
    <s v="Outlet"/>
  </r>
  <r>
    <s v="West Gear"/>
    <n v="1128299"/>
    <d v="2020-11-01T00:00:00"/>
    <x v="1"/>
    <s v="Texas"/>
    <s v="Houston"/>
    <s v="Men's Street Footwear"/>
    <n v="30"/>
    <n v="264"/>
    <x v="224"/>
    <x v="245"/>
    <s v="Outlet"/>
  </r>
  <r>
    <s v="West Gear"/>
    <n v="1128299"/>
    <d v="2021-01-14T00:00:00"/>
    <x v="4"/>
    <s v="California"/>
    <s v="San Francisco"/>
    <s v="Women's Street Footwear"/>
    <n v="46"/>
    <n v="264"/>
    <x v="225"/>
    <x v="238"/>
    <s v="Outlet"/>
  </r>
  <r>
    <s v="West Gear"/>
    <n v="1128299"/>
    <d v="2021-01-17T00:00:00"/>
    <x v="4"/>
    <s v="California"/>
    <s v="San Francisco"/>
    <s v="Women's Apparel"/>
    <n v="56"/>
    <n v="264"/>
    <x v="226"/>
    <x v="246"/>
    <s v="Outlet"/>
  </r>
  <r>
    <s v="West Gear"/>
    <n v="1128299"/>
    <d v="2021-01-29T00:00:00"/>
    <x v="4"/>
    <s v="California"/>
    <s v="San Francisco"/>
    <s v="Women's Apparel"/>
    <n v="51"/>
    <n v="264"/>
    <x v="227"/>
    <x v="247"/>
    <s v="Outlet"/>
  </r>
  <r>
    <s v="Kohl's"/>
    <n v="1189833"/>
    <d v="2021-03-19T00:00:00"/>
    <x v="4"/>
    <s v="California"/>
    <s v="Los Angeles"/>
    <s v="Men's Street Footwear"/>
    <n v="24"/>
    <n v="264"/>
    <x v="228"/>
    <x v="157"/>
    <s v="Outlet"/>
  </r>
  <r>
    <s v="Kohl's"/>
    <n v="1189833"/>
    <d v="2021-04-24T00:00:00"/>
    <x v="4"/>
    <s v="California"/>
    <s v="Los Angeles"/>
    <s v="Women's Apparel"/>
    <n v="48"/>
    <n v="264"/>
    <x v="229"/>
    <x v="157"/>
    <s v="Outlet"/>
  </r>
  <r>
    <s v="Kohl's"/>
    <n v="1189833"/>
    <d v="2021-05-02T00:00:00"/>
    <x v="4"/>
    <s v="California"/>
    <s v="Los Angeles"/>
    <s v="Men's Athletic Footwear"/>
    <n v="41"/>
    <n v="264"/>
    <x v="230"/>
    <x v="248"/>
    <s v="Outlet"/>
  </r>
  <r>
    <s v="Kohl's"/>
    <n v="1189833"/>
    <d v="2021-05-08T00:00:00"/>
    <x v="4"/>
    <s v="California"/>
    <s v="Los Angeles"/>
    <s v="Men's Athletic Footwear"/>
    <n v="39"/>
    <n v="264"/>
    <x v="231"/>
    <x v="249"/>
    <s v="Outlet"/>
  </r>
  <r>
    <s v="Kohl's"/>
    <n v="1189833"/>
    <d v="2021-05-14T00:00:00"/>
    <x v="4"/>
    <s v="California"/>
    <s v="Los Angeles"/>
    <s v="Men's Athletic Footwear"/>
    <n v="43"/>
    <n v="264"/>
    <x v="232"/>
    <x v="250"/>
    <s v="Outlet"/>
  </r>
  <r>
    <s v="Kohl's"/>
    <n v="1189833"/>
    <d v="2021-05-20T00:00:00"/>
    <x v="4"/>
    <s v="California"/>
    <s v="Los Angeles"/>
    <s v="Men's Athletic Footwear"/>
    <n v="42"/>
    <n v="264"/>
    <x v="233"/>
    <x v="251"/>
    <s v="Outlet"/>
  </r>
  <r>
    <s v="Sports Direct"/>
    <n v="1197831"/>
    <d v="2021-09-09T00:00:00"/>
    <x v="1"/>
    <s v="Texas"/>
    <s v="Dallas"/>
    <s v="Women's Apparel"/>
    <n v="34"/>
    <n v="264"/>
    <x v="234"/>
    <x v="104"/>
    <s v="Outlet"/>
  </r>
  <r>
    <s v="Sports Direct"/>
    <n v="1197831"/>
    <d v="2021-09-17T00:00:00"/>
    <x v="1"/>
    <s v="Texas"/>
    <s v="Dallas"/>
    <s v="Men's Athletic Footwear"/>
    <n v="34"/>
    <n v="264"/>
    <x v="234"/>
    <x v="252"/>
    <s v="Outlet"/>
  </r>
  <r>
    <s v="Sports Direct"/>
    <n v="1197831"/>
    <d v="2021-04-16T00:00:00"/>
    <x v="1"/>
    <s v="Tennessee"/>
    <s v="Knoxville"/>
    <s v="Men's Athletic Footwear"/>
    <n v="30"/>
    <n v="264"/>
    <x v="224"/>
    <x v="186"/>
    <s v="Outlet"/>
  </r>
  <r>
    <s v="Sports Direct"/>
    <n v="1197831"/>
    <d v="2021-05-16T00:00:00"/>
    <x v="1"/>
    <s v="Tennessee"/>
    <s v="Knoxville"/>
    <s v="Men's Athletic Footwear"/>
    <n v="37"/>
    <n v="264"/>
    <x v="235"/>
    <x v="253"/>
    <s v="Outlet"/>
  </r>
  <r>
    <s v="Sports Direct"/>
    <n v="1197831"/>
    <d v="2021-09-07T00:00:00"/>
    <x v="1"/>
    <s v="Alabama"/>
    <s v="Birmingham"/>
    <s v="Men's Athletic Footwear"/>
    <n v="37"/>
    <n v="264"/>
    <x v="235"/>
    <x v="254"/>
    <s v="Outlet"/>
  </r>
  <r>
    <s v="West Gear"/>
    <n v="1197831"/>
    <d v="2021-07-06T00:00:00"/>
    <x v="4"/>
    <s v="Idaho"/>
    <s v="Boise"/>
    <s v="Men's Street Footwear"/>
    <n v="35"/>
    <n v="264"/>
    <x v="236"/>
    <x v="77"/>
    <s v="Outlet"/>
  </r>
  <r>
    <s v="Foot Locker"/>
    <n v="1197831"/>
    <d v="2021-07-06T00:00:00"/>
    <x v="4"/>
    <s v="Idaho"/>
    <s v="Boise"/>
    <s v="Women's Apparel"/>
    <n v="51"/>
    <n v="264"/>
    <x v="227"/>
    <x v="255"/>
    <s v="Outlet"/>
  </r>
  <r>
    <s v="Foot Locker"/>
    <n v="1185732"/>
    <d v="2021-01-09T00:00:00"/>
    <x v="0"/>
    <s v="Georgia"/>
    <s v="Atlanta"/>
    <s v="Women's Street Footwear"/>
    <n v="24"/>
    <n v="264"/>
    <x v="228"/>
    <x v="256"/>
    <s v="Outlet"/>
  </r>
  <r>
    <s v="Walmart"/>
    <n v="1185732"/>
    <d v="2020-05-02T00:00:00"/>
    <x v="3"/>
    <s v="New York"/>
    <s v="New York"/>
    <s v="Women's Apparel"/>
    <n v="66"/>
    <n v="263"/>
    <x v="237"/>
    <x v="257"/>
    <s v="Online"/>
  </r>
  <r>
    <s v="West Gear"/>
    <n v="1128299"/>
    <d v="2021-02-05T00:00:00"/>
    <x v="4"/>
    <s v="California"/>
    <s v="San Francisco"/>
    <s v="Men's Street Footwear"/>
    <n v="52"/>
    <n v="263"/>
    <x v="238"/>
    <x v="171"/>
    <s v="Online"/>
  </r>
  <r>
    <s v="Sports Direct"/>
    <n v="1197831"/>
    <d v="2021-09-15T00:00:00"/>
    <x v="1"/>
    <s v="Texas"/>
    <s v="Dallas"/>
    <s v="Women's Apparel"/>
    <n v="53"/>
    <n v="263"/>
    <x v="42"/>
    <x v="258"/>
    <s v="Online"/>
  </r>
  <r>
    <s v="Sports Direct"/>
    <n v="1197831"/>
    <d v="2021-04-17T00:00:00"/>
    <x v="1"/>
    <s v="Tennessee"/>
    <s v="Knoxville"/>
    <s v="Women's Street Footwear"/>
    <n v="36"/>
    <n v="263"/>
    <x v="239"/>
    <x v="259"/>
    <s v="Online"/>
  </r>
  <r>
    <s v="West Gear"/>
    <n v="1185732"/>
    <d v="2021-06-10T00:00:00"/>
    <x v="3"/>
    <s v="New York"/>
    <s v="Albany"/>
    <s v="Men's Street Footwear"/>
    <n v="59"/>
    <n v="263"/>
    <x v="240"/>
    <x v="260"/>
    <s v="Online"/>
  </r>
  <r>
    <s v="Sports Direct"/>
    <n v="1185732"/>
    <d v="2021-08-16T00:00:00"/>
    <x v="2"/>
    <s v="Michigan"/>
    <s v="Detroit"/>
    <s v="Men's Street Footwear"/>
    <n v="55"/>
    <n v="263"/>
    <x v="184"/>
    <x v="261"/>
    <s v="Online"/>
  </r>
  <r>
    <s v="Sports Direct"/>
    <n v="1185732"/>
    <d v="2021-02-04T00:00:00"/>
    <x v="0"/>
    <s v="South Carolina"/>
    <s v="Charleston"/>
    <s v="Men's Street Footwear"/>
    <n v="34"/>
    <n v="263"/>
    <x v="200"/>
    <x v="36"/>
    <s v="Online"/>
  </r>
  <r>
    <s v="Sports Direct"/>
    <n v="1185732"/>
    <d v="2021-04-03T00:00:00"/>
    <x v="0"/>
    <s v="North Carolina"/>
    <s v="Charlotte"/>
    <s v="Men's Street Footwear"/>
    <n v="27"/>
    <n v="263"/>
    <x v="241"/>
    <x v="138"/>
    <s v="Online"/>
  </r>
  <r>
    <s v="Sports Direct"/>
    <n v="1185732"/>
    <d v="2021-07-02T00:00:00"/>
    <x v="0"/>
    <s v="North Carolina"/>
    <s v="Charlotte"/>
    <s v="Women's Apparel"/>
    <n v="64"/>
    <n v="263"/>
    <x v="242"/>
    <x v="262"/>
    <s v="Online"/>
  </r>
  <r>
    <s v="Sports Direct"/>
    <n v="1197831"/>
    <d v="2020-08-01T00:00:00"/>
    <x v="1"/>
    <s v="Texas"/>
    <s v="Houston"/>
    <s v="Men's Athletic Footwear"/>
    <n v="30"/>
    <n v="263"/>
    <x v="195"/>
    <x v="263"/>
    <s v="Outlet"/>
  </r>
  <r>
    <s v="Walmart"/>
    <n v="1197831"/>
    <d v="2020-08-21T00:00:00"/>
    <x v="1"/>
    <s v="Texas"/>
    <s v="Houston"/>
    <s v="Women's Athletic Footwear"/>
    <n v="26"/>
    <n v="263"/>
    <x v="243"/>
    <x v="264"/>
    <s v="Outlet"/>
  </r>
  <r>
    <s v="West Gear"/>
    <n v="1128299"/>
    <d v="2021-01-13T00:00:00"/>
    <x v="4"/>
    <s v="California"/>
    <s v="San Francisco"/>
    <s v="Men's Athletic Footwear"/>
    <n v="49"/>
    <n v="263"/>
    <x v="244"/>
    <x v="245"/>
    <s v="Outlet"/>
  </r>
  <r>
    <s v="West Gear"/>
    <n v="1128299"/>
    <d v="2021-01-22T00:00:00"/>
    <x v="4"/>
    <s v="California"/>
    <s v="San Francisco"/>
    <s v="Men's Apparel"/>
    <n v="59"/>
    <n v="263"/>
    <x v="240"/>
    <x v="265"/>
    <s v="Outlet"/>
  </r>
  <r>
    <s v="West Gear"/>
    <n v="1128299"/>
    <d v="2021-02-05T00:00:00"/>
    <x v="4"/>
    <s v="California"/>
    <s v="San Francisco"/>
    <s v="Men's Street Footwear"/>
    <n v="39"/>
    <n v="263"/>
    <x v="245"/>
    <x v="266"/>
    <s v="Outlet"/>
  </r>
  <r>
    <s v="Sports Direct"/>
    <n v="1197831"/>
    <d v="2021-08-30T00:00:00"/>
    <x v="1"/>
    <s v="Alabama"/>
    <s v="Birmingham"/>
    <s v="Women's Apparel"/>
    <n v="36"/>
    <n v="263"/>
    <x v="239"/>
    <x v="162"/>
    <s v="Outlet"/>
  </r>
  <r>
    <s v="Walmart"/>
    <n v="1128299"/>
    <d v="2021-07-16T00:00:00"/>
    <x v="0"/>
    <s v="Florida"/>
    <s v="Orlando"/>
    <s v="Men's Athletic Footwear"/>
    <n v="74"/>
    <n v="263"/>
    <x v="246"/>
    <x v="267"/>
    <s v="Outlet"/>
  </r>
  <r>
    <s v="West Gear"/>
    <n v="1197831"/>
    <d v="2021-06-04T00:00:00"/>
    <x v="4"/>
    <s v="Idaho"/>
    <s v="Boise"/>
    <s v="Men's Athletic Footwear"/>
    <n v="35"/>
    <n v="263"/>
    <x v="247"/>
    <x v="252"/>
    <s v="Outlet"/>
  </r>
  <r>
    <s v="Foot Locker"/>
    <n v="1185732"/>
    <d v="2021-06-18T00:00:00"/>
    <x v="1"/>
    <s v="Mississippi"/>
    <s v="Jackson"/>
    <s v="Men's Street Footwear"/>
    <n v="31"/>
    <n v="263"/>
    <x v="248"/>
    <x v="266"/>
    <s v="Outlet"/>
  </r>
  <r>
    <s v="Foot Locker"/>
    <n v="1185732"/>
    <d v="2020-01-08T00:00:00"/>
    <x v="3"/>
    <s v="New York"/>
    <s v="New York"/>
    <s v="Men's Athletic Footwear"/>
    <n v="46"/>
    <n v="261"/>
    <x v="189"/>
    <x v="268"/>
    <s v="Online"/>
  </r>
  <r>
    <s v="Foot Locker"/>
    <n v="1185732"/>
    <d v="2020-02-08T00:00:00"/>
    <x v="3"/>
    <s v="New York"/>
    <s v="New York"/>
    <s v="Women's Street Footwear"/>
    <n v="46"/>
    <n v="261"/>
    <x v="189"/>
    <x v="269"/>
    <s v="Online"/>
  </r>
  <r>
    <s v="Foot Locker"/>
    <n v="1185732"/>
    <d v="2020-03-07T00:00:00"/>
    <x v="3"/>
    <s v="New York"/>
    <s v="New York"/>
    <s v="Women's Athletic Footwear"/>
    <n v="47"/>
    <n v="261"/>
    <x v="249"/>
    <x v="270"/>
    <s v="Online"/>
  </r>
  <r>
    <s v="Walmart"/>
    <n v="1185732"/>
    <d v="2020-05-07T00:00:00"/>
    <x v="3"/>
    <s v="New York"/>
    <s v="New York"/>
    <s v="Men's Apparel"/>
    <n v="60"/>
    <n v="261"/>
    <x v="209"/>
    <x v="271"/>
    <s v="Online"/>
  </r>
  <r>
    <s v="Walmart"/>
    <n v="1197831"/>
    <d v="2020-10-31T00:00:00"/>
    <x v="1"/>
    <s v="Texas"/>
    <s v="Houston"/>
    <s v="Women's Apparel"/>
    <n v="53"/>
    <n v="261"/>
    <x v="250"/>
    <x v="272"/>
    <s v="Online"/>
  </r>
  <r>
    <s v="Walmart"/>
    <n v="1128299"/>
    <d v="2021-07-16T00:00:00"/>
    <x v="0"/>
    <s v="Florida"/>
    <s v="Orlando"/>
    <s v="Men's Street Footwear"/>
    <n v="83"/>
    <n v="261"/>
    <x v="251"/>
    <x v="273"/>
    <s v="Online"/>
  </r>
  <r>
    <s v="West Gear"/>
    <n v="1185732"/>
    <d v="2021-05-08T00:00:00"/>
    <x v="3"/>
    <s v="New York"/>
    <s v="Albany"/>
    <s v="Men's Street Footwear"/>
    <n v="50"/>
    <n v="261"/>
    <x v="252"/>
    <x v="274"/>
    <s v="Online"/>
  </r>
  <r>
    <s v="Foot Locker"/>
    <n v="1185732"/>
    <d v="2020-01-02T00:00:00"/>
    <x v="3"/>
    <s v="New York"/>
    <s v="New York"/>
    <s v="Men's Athletic Footwear"/>
    <n v="47"/>
    <n v="260"/>
    <x v="253"/>
    <x v="91"/>
    <s v="Online"/>
  </r>
  <r>
    <s v="Foot Locker"/>
    <n v="1185732"/>
    <d v="2020-01-06T00:00:00"/>
    <x v="3"/>
    <s v="New York"/>
    <s v="New York"/>
    <s v="Women's Apparel"/>
    <n v="46"/>
    <n v="260"/>
    <x v="254"/>
    <x v="275"/>
    <s v="Online"/>
  </r>
  <r>
    <s v="Foot Locker"/>
    <n v="1185732"/>
    <d v="2020-01-26T00:00:00"/>
    <x v="3"/>
    <s v="New York"/>
    <s v="New York"/>
    <s v="Men's Athletic Footwear"/>
    <n v="48"/>
    <n v="259"/>
    <x v="134"/>
    <x v="276"/>
    <s v="Online"/>
  </r>
  <r>
    <s v="Foot Locker"/>
    <n v="1185732"/>
    <d v="2020-02-07T00:00:00"/>
    <x v="3"/>
    <s v="New York"/>
    <s v="New York"/>
    <s v="Men's Athletic Footwear"/>
    <n v="50"/>
    <n v="259"/>
    <x v="255"/>
    <x v="71"/>
    <s v="Online"/>
  </r>
  <r>
    <s v="Walmart"/>
    <n v="1197831"/>
    <d v="2020-08-13T00:00:00"/>
    <x v="1"/>
    <s v="Texas"/>
    <s v="Houston"/>
    <s v="Men's Athletic Footwear"/>
    <n v="38"/>
    <n v="259"/>
    <x v="256"/>
    <x v="277"/>
    <s v="Online"/>
  </r>
  <r>
    <s v="Walmart"/>
    <n v="1197831"/>
    <d v="2020-08-31T00:00:00"/>
    <x v="1"/>
    <s v="Texas"/>
    <s v="Houston"/>
    <s v="Men's Athletic Footwear"/>
    <n v="41"/>
    <n v="259"/>
    <x v="257"/>
    <x v="76"/>
    <s v="Online"/>
  </r>
  <r>
    <s v="West Gear"/>
    <n v="1128299"/>
    <d v="2021-01-19T00:00:00"/>
    <x v="4"/>
    <s v="California"/>
    <s v="San Francisco"/>
    <s v="Men's Athletic Footwear"/>
    <n v="66"/>
    <n v="259"/>
    <x v="258"/>
    <x v="91"/>
    <s v="Online"/>
  </r>
  <r>
    <s v="West Gear"/>
    <n v="1185732"/>
    <d v="2020-09-10T00:00:00"/>
    <x v="0"/>
    <s v="Florida"/>
    <s v="Miami"/>
    <s v="Women's Apparel"/>
    <n v="63"/>
    <n v="259"/>
    <x v="43"/>
    <x v="278"/>
    <s v="Online"/>
  </r>
  <r>
    <s v="Walmart"/>
    <n v="1185732"/>
    <d v="2020-04-29T00:00:00"/>
    <x v="3"/>
    <s v="New York"/>
    <s v="New York"/>
    <s v="Women's Street Footwear"/>
    <n v="52"/>
    <n v="258"/>
    <x v="259"/>
    <x v="279"/>
    <s v="Online"/>
  </r>
  <r>
    <s v="Foot Locker"/>
    <n v="1185732"/>
    <d v="2020-03-18T00:00:00"/>
    <x v="3"/>
    <s v="New York"/>
    <s v="New York"/>
    <s v="Women's Street Footwear"/>
    <n v="45"/>
    <n v="257"/>
    <x v="260"/>
    <x v="174"/>
    <s v="Online"/>
  </r>
  <r>
    <s v="Foot Locker"/>
    <n v="1185732"/>
    <d v="2020-04-24T00:00:00"/>
    <x v="0"/>
    <s v="Florida"/>
    <s v="Miami"/>
    <s v="Men's Street Footwear"/>
    <n v="42"/>
    <n v="256"/>
    <x v="261"/>
    <x v="280"/>
    <s v="Online"/>
  </r>
  <r>
    <s v="Foot Locker"/>
    <n v="1185732"/>
    <d v="2021-01-09T00:00:00"/>
    <x v="0"/>
    <s v="Georgia"/>
    <s v="Atlanta"/>
    <s v="Men's Street Footwear"/>
    <n v="39"/>
    <n v="256"/>
    <x v="68"/>
    <x v="281"/>
    <s v="Online"/>
  </r>
  <r>
    <s v="West Gear"/>
    <n v="1128299"/>
    <d v="2021-01-07T00:00:00"/>
    <x v="4"/>
    <s v="California"/>
    <s v="San Francisco"/>
    <s v="Men's Athletic Footwear"/>
    <n v="50"/>
    <n v="256"/>
    <x v="17"/>
    <x v="282"/>
    <s v="Outlet"/>
  </r>
  <r>
    <s v="West Gear"/>
    <n v="1128299"/>
    <d v="2021-02-10T00:00:00"/>
    <x v="4"/>
    <s v="California"/>
    <s v="San Francisco"/>
    <s v="Women's Apparel"/>
    <n v="56"/>
    <n v="256"/>
    <x v="262"/>
    <x v="283"/>
    <s v="Outlet"/>
  </r>
  <r>
    <s v="West Gear"/>
    <n v="1128299"/>
    <d v="2021-02-13T00:00:00"/>
    <x v="4"/>
    <s v="California"/>
    <s v="San Francisco"/>
    <s v="Women's Street Footwear"/>
    <n v="44"/>
    <n v="256"/>
    <x v="263"/>
    <x v="284"/>
    <s v="Outlet"/>
  </r>
  <r>
    <s v="West Gear"/>
    <n v="1128299"/>
    <d v="2021-02-16T00:00:00"/>
    <x v="4"/>
    <s v="California"/>
    <s v="San Francisco"/>
    <s v="Women's Apparel"/>
    <n v="50"/>
    <n v="256"/>
    <x v="17"/>
    <x v="285"/>
    <s v="Outlet"/>
  </r>
  <r>
    <s v="Kohl's"/>
    <n v="1189833"/>
    <d v="2021-05-13T00:00:00"/>
    <x v="4"/>
    <s v="California"/>
    <s v="Los Angeles"/>
    <s v="Men's Street Footwear"/>
    <n v="36"/>
    <n v="256"/>
    <x v="264"/>
    <x v="286"/>
    <s v="Outlet"/>
  </r>
  <r>
    <s v="Sports Direct"/>
    <n v="1197831"/>
    <d v="2021-09-10T00:00:00"/>
    <x v="1"/>
    <s v="Texas"/>
    <s v="Dallas"/>
    <s v="Men's Street Footwear"/>
    <n v="30"/>
    <n v="256"/>
    <x v="265"/>
    <x v="287"/>
    <s v="Outlet"/>
  </r>
  <r>
    <s v="Sports Direct"/>
    <n v="1197831"/>
    <d v="2021-09-16T00:00:00"/>
    <x v="1"/>
    <s v="Texas"/>
    <s v="Dallas"/>
    <s v="Men's Street Footwear"/>
    <n v="34"/>
    <n v="256"/>
    <x v="266"/>
    <x v="244"/>
    <s v="Outlet"/>
  </r>
  <r>
    <s v="Sports Direct"/>
    <n v="1197831"/>
    <d v="2021-09-23T00:00:00"/>
    <x v="1"/>
    <s v="Texas"/>
    <s v="Dallas"/>
    <s v="Men's Athletic Footwear"/>
    <n v="43"/>
    <n v="256"/>
    <x v="267"/>
    <x v="288"/>
    <s v="Outlet"/>
  </r>
  <r>
    <s v="Sports Direct"/>
    <n v="1197831"/>
    <d v="2021-10-21T00:00:00"/>
    <x v="1"/>
    <s v="Texas"/>
    <s v="Dallas"/>
    <s v="Women's Apparel"/>
    <n v="54"/>
    <n v="256"/>
    <x v="268"/>
    <x v="289"/>
    <s v="Outlet"/>
  </r>
  <r>
    <s v="Sports Direct"/>
    <n v="1197831"/>
    <d v="2021-04-09T00:00:00"/>
    <x v="1"/>
    <s v="Tennessee"/>
    <s v="Knoxville"/>
    <s v="Men's Street Footwear"/>
    <n v="28"/>
    <n v="256"/>
    <x v="269"/>
    <x v="290"/>
    <s v="Outlet"/>
  </r>
  <r>
    <s v="Sports Direct"/>
    <n v="1197831"/>
    <d v="2021-09-06T00:00:00"/>
    <x v="1"/>
    <s v="Alabama"/>
    <s v="Birmingham"/>
    <s v="Men's Street Footwear"/>
    <n v="31"/>
    <n v="256"/>
    <x v="270"/>
    <x v="291"/>
    <s v="Outlet"/>
  </r>
  <r>
    <s v="Walmart"/>
    <n v="1128299"/>
    <d v="2021-12-16T00:00:00"/>
    <x v="0"/>
    <s v="Florida"/>
    <s v="Orlando"/>
    <s v="Men's Athletic Footwear"/>
    <n v="55"/>
    <n v="256"/>
    <x v="70"/>
    <x v="292"/>
    <s v="Outlet"/>
  </r>
  <r>
    <s v="Sports Direct"/>
    <n v="1185732"/>
    <d v="2021-02-17T00:00:00"/>
    <x v="0"/>
    <s v="Virginia"/>
    <s v="Richmond"/>
    <s v="Men's Street Footwear"/>
    <n v="26"/>
    <n v="256"/>
    <x v="271"/>
    <x v="244"/>
    <s v="Outlet"/>
  </r>
  <r>
    <s v="West Gear"/>
    <n v="1128299"/>
    <d v="2021-08-24T00:00:00"/>
    <x v="4"/>
    <s v="Oregon"/>
    <s v="Portland"/>
    <s v="Men's Street Footwear"/>
    <n v="69"/>
    <n v="256"/>
    <x v="272"/>
    <x v="293"/>
    <s v="Outlet"/>
  </r>
  <r>
    <s v="West Gear"/>
    <n v="1128299"/>
    <d v="2021-08-24T00:00:00"/>
    <x v="4"/>
    <s v="Oregon"/>
    <s v="Portland"/>
    <s v="Men's Athletic Footwear"/>
    <n v="62"/>
    <n v="256"/>
    <x v="273"/>
    <x v="294"/>
    <s v="Outlet"/>
  </r>
  <r>
    <s v="West Gear"/>
    <n v="1128299"/>
    <d v="2021-06-17T00:00:00"/>
    <x v="1"/>
    <s v="Louisiana"/>
    <s v="New Orleans"/>
    <s v="Men's Street Footwear"/>
    <n v="47"/>
    <n v="256"/>
    <x v="274"/>
    <x v="295"/>
    <s v="Outlet"/>
  </r>
  <r>
    <s v="West Gear"/>
    <n v="1128299"/>
    <d v="2021-08-17T00:00:00"/>
    <x v="1"/>
    <s v="Louisiana"/>
    <s v="New Orleans"/>
    <s v="Men's Athletic Footwear"/>
    <n v="57"/>
    <n v="256"/>
    <x v="275"/>
    <x v="257"/>
    <s v="Outlet"/>
  </r>
  <r>
    <s v="Foot Locker"/>
    <n v="1185732"/>
    <d v="2021-01-09T00:00:00"/>
    <x v="0"/>
    <s v="Georgia"/>
    <s v="Atlanta"/>
    <s v="Men's Athletic Footwear"/>
    <n v="30"/>
    <n v="256"/>
    <x v="265"/>
    <x v="296"/>
    <s v="Outlet"/>
  </r>
  <r>
    <s v="Walmart"/>
    <n v="1185732"/>
    <d v="2021-08-17T00:00:00"/>
    <x v="1"/>
    <s v="Mississippi"/>
    <s v="Jackson"/>
    <s v="Men's Street Footwear"/>
    <n v="41"/>
    <n v="256"/>
    <x v="276"/>
    <x v="156"/>
    <s v="Outlet"/>
  </r>
  <r>
    <s v="Sports Direct"/>
    <n v="1185732"/>
    <d v="2021-12-16T00:00:00"/>
    <x v="1"/>
    <s v="Mississippi"/>
    <s v="Jackson"/>
    <s v="Men's Street Footwear"/>
    <n v="48"/>
    <n v="256"/>
    <x v="76"/>
    <x v="297"/>
    <s v="Outlet"/>
  </r>
  <r>
    <s v="Sports Direct"/>
    <n v="1197831"/>
    <d v="2020-07-26T00:00:00"/>
    <x v="1"/>
    <s v="Texas"/>
    <s v="Houston"/>
    <s v="Men's Athletic Footwear"/>
    <n v="33"/>
    <n v="255"/>
    <x v="277"/>
    <x v="113"/>
    <s v="Online"/>
  </r>
  <r>
    <s v="Walmart"/>
    <n v="1197831"/>
    <d v="2020-09-05T00:00:00"/>
    <x v="1"/>
    <s v="Texas"/>
    <s v="Houston"/>
    <s v="Men's Street Footwear"/>
    <n v="44"/>
    <n v="255"/>
    <x v="278"/>
    <x v="298"/>
    <s v="Online"/>
  </r>
  <r>
    <s v="Walmart"/>
    <n v="1197831"/>
    <d v="2020-10-28T00:00:00"/>
    <x v="1"/>
    <s v="Texas"/>
    <s v="Houston"/>
    <s v="Women's Street Footwear"/>
    <n v="47"/>
    <n v="255"/>
    <x v="279"/>
    <x v="299"/>
    <s v="Online"/>
  </r>
  <r>
    <s v="Sports Direct"/>
    <n v="1197831"/>
    <d v="2021-09-21T00:00:00"/>
    <x v="1"/>
    <s v="Texas"/>
    <s v="Dallas"/>
    <s v="Women's Apparel"/>
    <n v="54"/>
    <n v="255"/>
    <x v="126"/>
    <x v="300"/>
    <s v="Online"/>
  </r>
  <r>
    <s v="Foot Locker"/>
    <n v="1185732"/>
    <d v="2020-09-24T00:00:00"/>
    <x v="0"/>
    <s v="Florida"/>
    <s v="Miami"/>
    <s v="Men's Athletic Footwear"/>
    <n v="46"/>
    <n v="255"/>
    <x v="280"/>
    <x v="268"/>
    <s v="Online"/>
  </r>
  <r>
    <s v="West Gear"/>
    <n v="1185732"/>
    <d v="2021-01-12T00:00:00"/>
    <x v="0"/>
    <s v="Florida"/>
    <s v="Orlando"/>
    <s v="Men's Street Footwear"/>
    <n v="41"/>
    <n v="255"/>
    <x v="281"/>
    <x v="301"/>
    <s v="Online"/>
  </r>
  <r>
    <s v="Kohl's"/>
    <n v="1185732"/>
    <d v="2021-08-11T00:00:00"/>
    <x v="4"/>
    <s v="Wyoming"/>
    <s v="Cheyenne"/>
    <s v="Men's Street Footwear"/>
    <n v="47"/>
    <n v="255"/>
    <x v="279"/>
    <x v="230"/>
    <s v="Online"/>
  </r>
  <r>
    <s v="Foot Locker"/>
    <n v="1128299"/>
    <d v="2021-07-23T00:00:00"/>
    <x v="0"/>
    <s v="Virginia"/>
    <s v="Richmond"/>
    <s v="Men's Street Footwear"/>
    <n v="79"/>
    <n v="255"/>
    <x v="282"/>
    <x v="302"/>
    <s v="Online"/>
  </r>
  <r>
    <s v="Sports Direct"/>
    <n v="1185732"/>
    <d v="2021-12-15T00:00:00"/>
    <x v="2"/>
    <s v="Michigan"/>
    <s v="Detroit"/>
    <s v="Men's Street Footwear"/>
    <n v="55"/>
    <n v="255"/>
    <x v="283"/>
    <x v="303"/>
    <s v="Online"/>
  </r>
  <r>
    <s v="West Gear"/>
    <n v="1128299"/>
    <d v="2021-07-23T00:00:00"/>
    <x v="4"/>
    <s v="Oregon"/>
    <s v="Portland"/>
    <s v="Men's Street Footwear"/>
    <n v="79"/>
    <n v="255"/>
    <x v="282"/>
    <x v="304"/>
    <s v="Online"/>
  </r>
  <r>
    <s v="West Gear"/>
    <n v="1128299"/>
    <d v="2021-08-17T00:00:00"/>
    <x v="1"/>
    <s v="Louisiana"/>
    <s v="New Orleans"/>
    <s v="Men's Street Footwear"/>
    <n v="86"/>
    <n v="255"/>
    <x v="284"/>
    <x v="305"/>
    <s v="Online"/>
  </r>
  <r>
    <s v="Sports Direct"/>
    <n v="1197831"/>
    <d v="2020-07-25T00:00:00"/>
    <x v="1"/>
    <s v="Texas"/>
    <s v="Houston"/>
    <s v="Men's Street Footwear"/>
    <n v="20"/>
    <n v="255"/>
    <x v="285"/>
    <x v="306"/>
    <s v="Outlet"/>
  </r>
  <r>
    <s v="Walmart"/>
    <n v="1197831"/>
    <d v="2020-09-06T00:00:00"/>
    <x v="1"/>
    <s v="Texas"/>
    <s v="Houston"/>
    <s v="Men's Athletic Footwear"/>
    <n v="32"/>
    <n v="255"/>
    <x v="197"/>
    <x v="307"/>
    <s v="Outlet"/>
  </r>
  <r>
    <s v="Walmart"/>
    <n v="1197831"/>
    <d v="2020-09-13T00:00:00"/>
    <x v="1"/>
    <s v="Texas"/>
    <s v="Houston"/>
    <s v="Women's Street Footwear"/>
    <n v="39"/>
    <n v="255"/>
    <x v="286"/>
    <x v="308"/>
    <s v="Outlet"/>
  </r>
  <r>
    <s v="West Gear"/>
    <n v="1128299"/>
    <d v="2021-01-21T00:00:00"/>
    <x v="4"/>
    <s v="California"/>
    <s v="San Francisco"/>
    <s v="Women's Athletic Footwear"/>
    <n v="52"/>
    <n v="255"/>
    <x v="287"/>
    <x v="309"/>
    <s v="Outlet"/>
  </r>
  <r>
    <s v="Walmart"/>
    <n v="1128299"/>
    <d v="2021-08-17T00:00:00"/>
    <x v="0"/>
    <s v="Florida"/>
    <s v="Orlando"/>
    <s v="Men's Street Footwear"/>
    <n v="68"/>
    <n v="255"/>
    <x v="288"/>
    <x v="280"/>
    <s v="Outlet"/>
  </r>
  <r>
    <s v="West Gear"/>
    <n v="1128299"/>
    <d v="2021-08-17T00:00:00"/>
    <x v="1"/>
    <s v="Louisiana"/>
    <s v="New Orleans"/>
    <s v="Men's Street Footwear"/>
    <n v="73"/>
    <n v="255"/>
    <x v="289"/>
    <x v="13"/>
    <s v="Outlet"/>
  </r>
  <r>
    <s v="Foot Locker"/>
    <n v="1197831"/>
    <d v="2021-08-08T00:00:00"/>
    <x v="4"/>
    <s v="Idaho"/>
    <s v="Boise"/>
    <s v="Men's Athletic Footwear"/>
    <n v="37"/>
    <n v="255"/>
    <x v="121"/>
    <x v="109"/>
    <s v="Outlet"/>
  </r>
  <r>
    <s v="Walmart"/>
    <n v="1185732"/>
    <d v="2020-05-01T00:00:00"/>
    <x v="3"/>
    <s v="New York"/>
    <s v="New York"/>
    <s v="Men's Apparel"/>
    <n v="64"/>
    <n v="254"/>
    <x v="290"/>
    <x v="310"/>
    <s v="Online"/>
  </r>
  <r>
    <s v="Sports Direct"/>
    <n v="1197831"/>
    <d v="2020-07-31T00:00:00"/>
    <x v="1"/>
    <s v="Texas"/>
    <s v="Houston"/>
    <s v="Men's Street Footwear"/>
    <n v="29"/>
    <n v="254"/>
    <x v="291"/>
    <x v="154"/>
    <s v="Online"/>
  </r>
  <r>
    <s v="Sports Direct"/>
    <n v="1197831"/>
    <d v="2021-09-18T00:00:00"/>
    <x v="1"/>
    <s v="Texas"/>
    <s v="Dallas"/>
    <s v="Women's Street Footwear"/>
    <n v="44"/>
    <n v="254"/>
    <x v="292"/>
    <x v="311"/>
    <s v="Online"/>
  </r>
  <r>
    <s v="Sports Direct"/>
    <n v="1185732"/>
    <d v="2020-05-24T00:00:00"/>
    <x v="0"/>
    <s v="Florida"/>
    <s v="Miami"/>
    <s v="Men's Athletic Footwear"/>
    <n v="51"/>
    <n v="254"/>
    <x v="255"/>
    <x v="312"/>
    <s v="Online"/>
  </r>
  <r>
    <s v="Sports Direct"/>
    <n v="1197831"/>
    <d v="2021-09-08T00:00:00"/>
    <x v="1"/>
    <s v="Alabama"/>
    <s v="Birmingham"/>
    <s v="Women's Street Footwear"/>
    <n v="41"/>
    <n v="254"/>
    <x v="293"/>
    <x v="225"/>
    <s v="Online"/>
  </r>
  <r>
    <s v="West Gear"/>
    <n v="1128299"/>
    <d v="2020-12-27T00:00:00"/>
    <x v="4"/>
    <s v="California"/>
    <s v="San Francisco"/>
    <s v="Women's Street Footwear"/>
    <n v="46"/>
    <n v="254"/>
    <x v="294"/>
    <x v="313"/>
    <s v="Outlet"/>
  </r>
  <r>
    <s v="West Gear"/>
    <n v="1128299"/>
    <d v="2021-01-23T00:00:00"/>
    <x v="4"/>
    <s v="California"/>
    <s v="San Francisco"/>
    <s v="Women's Apparel"/>
    <n v="60"/>
    <n v="254"/>
    <x v="295"/>
    <x v="89"/>
    <s v="Outlet"/>
  </r>
  <r>
    <s v="Sports Direct"/>
    <n v="1197831"/>
    <d v="2021-09-30T00:00:00"/>
    <x v="1"/>
    <s v="Texas"/>
    <s v="Dallas"/>
    <s v="Women's Street Footwear"/>
    <n v="47"/>
    <n v="254"/>
    <x v="296"/>
    <x v="254"/>
    <s v="Outlet"/>
  </r>
  <r>
    <s v="Foot Locker"/>
    <n v="1185732"/>
    <d v="2020-02-02T00:00:00"/>
    <x v="3"/>
    <s v="New York"/>
    <s v="New York"/>
    <s v="Women's Street Footwear"/>
    <n v="39"/>
    <n v="252"/>
    <x v="297"/>
    <x v="314"/>
    <s v="Online"/>
  </r>
  <r>
    <s v="Foot Locker"/>
    <n v="1185732"/>
    <d v="2020-03-08T00:00:00"/>
    <x v="3"/>
    <s v="New York"/>
    <s v="New York"/>
    <s v="Men's Apparel"/>
    <n v="55"/>
    <n v="252"/>
    <x v="44"/>
    <x v="280"/>
    <s v="Online"/>
  </r>
  <r>
    <s v="Walmart"/>
    <n v="1185732"/>
    <d v="2020-04-22T00:00:00"/>
    <x v="3"/>
    <s v="New York"/>
    <s v="New York"/>
    <s v="Women's Athletic Footwear"/>
    <n v="47"/>
    <n v="252"/>
    <x v="298"/>
    <x v="267"/>
    <s v="Online"/>
  </r>
  <r>
    <s v="Walmart"/>
    <n v="1185732"/>
    <d v="2020-04-23T00:00:00"/>
    <x v="3"/>
    <s v="New York"/>
    <s v="New York"/>
    <s v="Men's Apparel"/>
    <n v="58"/>
    <n v="252"/>
    <x v="299"/>
    <x v="185"/>
    <s v="Online"/>
  </r>
  <r>
    <s v="Walmart"/>
    <n v="1185732"/>
    <d v="2020-04-30T00:00:00"/>
    <x v="3"/>
    <s v="New York"/>
    <s v="New York"/>
    <s v="Women's Athletic Footwear"/>
    <n v="50"/>
    <n v="252"/>
    <x v="34"/>
    <x v="315"/>
    <s v="Online"/>
  </r>
  <r>
    <s v="West Gear"/>
    <n v="1128299"/>
    <d v="2020-12-31T00:00:00"/>
    <x v="4"/>
    <s v="California"/>
    <s v="San Francisco"/>
    <s v="Men's Street Footwear"/>
    <n v="56"/>
    <n v="252"/>
    <x v="300"/>
    <x v="316"/>
    <s v="Online"/>
  </r>
  <r>
    <s v="Kohl's"/>
    <n v="1189833"/>
    <d v="2021-05-01T00:00:00"/>
    <x v="4"/>
    <s v="California"/>
    <s v="Los Angeles"/>
    <s v="Men's Street Footwear"/>
    <n v="47"/>
    <n v="252"/>
    <x v="298"/>
    <x v="148"/>
    <s v="Online"/>
  </r>
  <r>
    <s v="West Gear"/>
    <n v="1185732"/>
    <d v="2020-09-18T00:00:00"/>
    <x v="0"/>
    <s v="Florida"/>
    <s v="Miami"/>
    <s v="Men's Athletic Footwear"/>
    <n v="55"/>
    <n v="252"/>
    <x v="44"/>
    <x v="280"/>
    <s v="Online"/>
  </r>
  <r>
    <s v="West Gear"/>
    <n v="1185732"/>
    <d v="2021-03-08T00:00:00"/>
    <x v="3"/>
    <s v="New York"/>
    <s v="Albany"/>
    <s v="Men's Street Footwear"/>
    <n v="44"/>
    <n v="252"/>
    <x v="233"/>
    <x v="293"/>
    <s v="Online"/>
  </r>
  <r>
    <s v="Amazon"/>
    <n v="1185732"/>
    <d v="2021-07-09T00:00:00"/>
    <x v="2"/>
    <s v="Ohio"/>
    <s v="Columbus"/>
    <s v="Men's Street Footwear"/>
    <n v="63"/>
    <n v="252"/>
    <x v="301"/>
    <x v="317"/>
    <s v="Online"/>
  </r>
  <r>
    <s v="Foot Locker"/>
    <n v="1185732"/>
    <d v="2020-10-18T00:00:00"/>
    <x v="0"/>
    <s v="Florida"/>
    <s v="Miami"/>
    <s v="Men's Athletic Footwear"/>
    <n v="35"/>
    <n v="250"/>
    <x v="30"/>
    <x v="24"/>
    <s v="In-store"/>
  </r>
  <r>
    <s v="Foot Locker"/>
    <n v="1185732"/>
    <d v="2020-10-19T00:00:00"/>
    <x v="0"/>
    <s v="Florida"/>
    <s v="Miami"/>
    <s v="Women's Street Footwear"/>
    <n v="25"/>
    <n v="250"/>
    <x v="302"/>
    <x v="318"/>
    <s v="In-store"/>
  </r>
  <r>
    <s v="Foot Locker"/>
    <n v="1185732"/>
    <d v="2020-10-22T00:00:00"/>
    <x v="2"/>
    <s v="Minnesota"/>
    <s v="Minneapolis"/>
    <s v="Women's Apparel"/>
    <n v="35"/>
    <n v="250"/>
    <x v="30"/>
    <x v="319"/>
    <s v="In-store"/>
  </r>
  <r>
    <s v="Amazon"/>
    <n v="1185732"/>
    <d v="2021-10-14T00:00:00"/>
    <x v="1"/>
    <s v="Alabama"/>
    <s v="Birmingham"/>
    <s v="Women's Street Footwear"/>
    <n v="30"/>
    <n v="250"/>
    <x v="20"/>
    <x v="25"/>
    <s v="Outlet"/>
  </r>
  <r>
    <s v="Foot Locker"/>
    <n v="1185732"/>
    <d v="2021-02-18T00:00:00"/>
    <x v="2"/>
    <s v="Missouri"/>
    <s v="St. Louis"/>
    <s v="Women's Athletic Footwear"/>
    <n v="25"/>
    <n v="250"/>
    <x v="302"/>
    <x v="320"/>
    <s v="In-store"/>
  </r>
  <r>
    <s v="Foot Locker"/>
    <n v="1185732"/>
    <d v="2021-10-18T00:00:00"/>
    <x v="2"/>
    <s v="Missouri"/>
    <s v="St. Louis"/>
    <s v="Women's Street Footwear"/>
    <n v="25"/>
    <n v="250"/>
    <x v="302"/>
    <x v="321"/>
    <s v="In-store"/>
  </r>
  <r>
    <s v="West Gear"/>
    <n v="1185732"/>
    <d v="2021-03-10T00:00:00"/>
    <x v="4"/>
    <s v="Utah"/>
    <s v="Salt Lake City"/>
    <s v="Women's Athletic Footwear"/>
    <n v="25"/>
    <n v="250"/>
    <x v="302"/>
    <x v="320"/>
    <s v="In-store"/>
  </r>
  <r>
    <s v="West Gear"/>
    <n v="1185732"/>
    <d v="2021-04-11T00:00:00"/>
    <x v="4"/>
    <s v="Utah"/>
    <s v="Salt Lake City"/>
    <s v="Women's Athletic Footwear"/>
    <n v="20"/>
    <n v="250"/>
    <x v="303"/>
    <x v="322"/>
    <s v="In-store"/>
  </r>
  <r>
    <s v="Amazon"/>
    <n v="1185732"/>
    <d v="2021-02-22T00:00:00"/>
    <x v="2"/>
    <s v="Ohio"/>
    <s v="Columbus"/>
    <s v="Women's Street Footwear"/>
    <n v="30"/>
    <n v="250"/>
    <x v="20"/>
    <x v="25"/>
    <s v="Online"/>
  </r>
  <r>
    <s v="Amazon"/>
    <n v="1185732"/>
    <d v="2021-03-21T00:00:00"/>
    <x v="0"/>
    <s v="Kentucky"/>
    <s v="Louisville"/>
    <s v="Women's Street Footwear"/>
    <n v="35"/>
    <n v="250"/>
    <x v="30"/>
    <x v="38"/>
    <s v="Online"/>
  </r>
  <r>
    <s v="Walmart"/>
    <n v="1197831"/>
    <d v="2021-02-21T00:00:00"/>
    <x v="1"/>
    <s v="Arkansas"/>
    <s v="Little Rock"/>
    <s v="Women's Athletic Footwear"/>
    <n v="20"/>
    <n v="250"/>
    <x v="303"/>
    <x v="322"/>
    <s v="Online"/>
  </r>
  <r>
    <s v="Walmart"/>
    <n v="1197831"/>
    <d v="2021-03-19T00:00:00"/>
    <x v="1"/>
    <s v="Arkansas"/>
    <s v="Little Rock"/>
    <s v="Men's Apparel"/>
    <n v="35"/>
    <n v="250"/>
    <x v="30"/>
    <x v="37"/>
    <s v="Online"/>
  </r>
  <r>
    <s v="West Gear"/>
    <n v="1197831"/>
    <d v="2021-02-21T00:00:00"/>
    <x v="1"/>
    <s v="Oklahoma"/>
    <s v="Oklahoma City"/>
    <s v="Men's Apparel"/>
    <n v="35"/>
    <n v="250"/>
    <x v="30"/>
    <x v="37"/>
    <s v="Online"/>
  </r>
  <r>
    <s v="West Gear"/>
    <n v="1197831"/>
    <d v="2021-03-19T00:00:00"/>
    <x v="1"/>
    <s v="Oklahoma"/>
    <s v="Oklahoma City"/>
    <s v="Men's Athletic Footwear"/>
    <n v="20"/>
    <n v="250"/>
    <x v="303"/>
    <x v="323"/>
    <s v="Online"/>
  </r>
  <r>
    <s v="West Gear"/>
    <n v="1197831"/>
    <d v="2021-09-19T00:00:00"/>
    <x v="1"/>
    <s v="Oklahoma"/>
    <s v="Oklahoma City"/>
    <s v="Women's Athletic Footwear"/>
    <n v="15"/>
    <n v="250"/>
    <x v="304"/>
    <x v="324"/>
    <s v="Online"/>
  </r>
  <r>
    <s v="West Gear"/>
    <n v="1197831"/>
    <d v="2021-09-19T00:00:00"/>
    <x v="1"/>
    <s v="Oklahoma"/>
    <s v="Oklahoma City"/>
    <s v="Men's Apparel"/>
    <n v="25"/>
    <n v="250"/>
    <x v="302"/>
    <x v="321"/>
    <s v="Online"/>
  </r>
  <r>
    <s v="Kohl's"/>
    <n v="1197831"/>
    <d v="2021-01-16T00:00:00"/>
    <x v="1"/>
    <s v="Oklahoma"/>
    <s v="Oklahoma City"/>
    <s v="Men's Apparel"/>
    <n v="35"/>
    <n v="250"/>
    <x v="30"/>
    <x v="37"/>
    <s v="Online"/>
  </r>
  <r>
    <s v="Kohl's"/>
    <n v="1197831"/>
    <d v="2021-02-14T00:00:00"/>
    <x v="1"/>
    <s v="Oklahoma"/>
    <s v="Oklahoma City"/>
    <s v="Men's Athletic Footwear"/>
    <n v="25"/>
    <n v="250"/>
    <x v="302"/>
    <x v="321"/>
    <s v="Online"/>
  </r>
  <r>
    <s v="Kohl's"/>
    <n v="1197831"/>
    <d v="2021-03-12T00:00:00"/>
    <x v="2"/>
    <s v="Kansas"/>
    <s v="Wichita"/>
    <s v="Women's Street Footwear"/>
    <n v="10"/>
    <n v="250"/>
    <x v="305"/>
    <x v="13"/>
    <s v="Online"/>
  </r>
  <r>
    <s v="Kohl's"/>
    <n v="1197831"/>
    <d v="2021-03-12T00:00:00"/>
    <x v="2"/>
    <s v="Kansas"/>
    <s v="Wichita"/>
    <s v="Women's Apparel"/>
    <n v="25"/>
    <n v="250"/>
    <x v="302"/>
    <x v="321"/>
    <s v="Online"/>
  </r>
  <r>
    <s v="Kohl's"/>
    <n v="1197831"/>
    <d v="2021-05-12T00:00:00"/>
    <x v="2"/>
    <s v="Kansas"/>
    <s v="Wichita"/>
    <s v="Women's Street Footwear"/>
    <n v="35"/>
    <n v="250"/>
    <x v="30"/>
    <x v="37"/>
    <s v="Online"/>
  </r>
  <r>
    <s v="Kohl's"/>
    <n v="1197831"/>
    <d v="2021-09-12T00:00:00"/>
    <x v="2"/>
    <s v="Kansas"/>
    <s v="Wichita"/>
    <s v="Women's Street Footwear"/>
    <n v="15"/>
    <n v="250"/>
    <x v="304"/>
    <x v="325"/>
    <s v="Online"/>
  </r>
  <r>
    <s v="Sports Direct"/>
    <n v="1185732"/>
    <d v="2021-06-09T00:00:00"/>
    <x v="2"/>
    <s v="North Dakota"/>
    <s v="Fargo"/>
    <s v="Men's Athletic Footwear"/>
    <n v="35"/>
    <n v="250"/>
    <x v="30"/>
    <x v="24"/>
    <s v="In-store"/>
  </r>
  <r>
    <s v="Foot Locker"/>
    <n v="1185732"/>
    <d v="2021-01-06T00:00:00"/>
    <x v="2"/>
    <s v="North Dakota"/>
    <s v="Fargo"/>
    <s v="Men's Athletic Footwear"/>
    <n v="30"/>
    <n v="250"/>
    <x v="20"/>
    <x v="24"/>
    <s v="In-store"/>
  </r>
  <r>
    <s v="Foot Locker"/>
    <n v="1185732"/>
    <d v="2021-01-06T00:00:00"/>
    <x v="2"/>
    <s v="North Dakota"/>
    <s v="Fargo"/>
    <s v="Women's Street Footwear"/>
    <n v="20"/>
    <n v="250"/>
    <x v="303"/>
    <x v="324"/>
    <s v="In-store"/>
  </r>
  <r>
    <s v="Foot Locker"/>
    <n v="1185732"/>
    <d v="2021-01-06T00:00:00"/>
    <x v="2"/>
    <s v="North Dakota"/>
    <s v="Fargo"/>
    <s v="Women's Apparel"/>
    <n v="30"/>
    <n v="250"/>
    <x v="20"/>
    <x v="25"/>
    <s v="In-store"/>
  </r>
  <r>
    <s v="Foot Locker"/>
    <n v="1185732"/>
    <d v="2021-02-06T00:00:00"/>
    <x v="2"/>
    <s v="Iowa"/>
    <s v="Des Moines"/>
    <s v="Women's Apparel"/>
    <n v="15"/>
    <n v="250"/>
    <x v="304"/>
    <x v="324"/>
    <s v="In-store"/>
  </r>
  <r>
    <s v="Foot Locker"/>
    <n v="1185732"/>
    <d v="2021-03-05T00:00:00"/>
    <x v="2"/>
    <s v="Iowa"/>
    <s v="Des Moines"/>
    <s v="Women's Apparel"/>
    <n v="20"/>
    <n v="250"/>
    <x v="303"/>
    <x v="322"/>
    <s v="In-store"/>
  </r>
  <r>
    <s v="Foot Locker"/>
    <n v="1185732"/>
    <d v="2021-10-06T00:00:00"/>
    <x v="2"/>
    <s v="Iowa"/>
    <s v="Des Moines"/>
    <s v="Men's Athletic Footwear"/>
    <n v="35"/>
    <n v="250"/>
    <x v="30"/>
    <x v="37"/>
    <s v="In-store"/>
  </r>
  <r>
    <s v="West Gear"/>
    <n v="1185732"/>
    <d v="2021-01-03T00:00:00"/>
    <x v="2"/>
    <s v="Iowa"/>
    <s v="Des Moines"/>
    <s v="Men's Athletic Footwear"/>
    <n v="30"/>
    <n v="250"/>
    <x v="20"/>
    <x v="24"/>
    <s v="In-store"/>
  </r>
  <r>
    <s v="West Gear"/>
    <n v="1185732"/>
    <d v="2021-01-03T00:00:00"/>
    <x v="2"/>
    <s v="Iowa"/>
    <s v="Des Moines"/>
    <s v="Women's Street Footwear"/>
    <n v="20"/>
    <n v="250"/>
    <x v="303"/>
    <x v="324"/>
    <s v="In-store"/>
  </r>
  <r>
    <s v="West Gear"/>
    <n v="1185732"/>
    <d v="2021-01-03T00:00:00"/>
    <x v="2"/>
    <s v="Iowa"/>
    <s v="Des Moines"/>
    <s v="Women's Apparel"/>
    <n v="30"/>
    <n v="250"/>
    <x v="20"/>
    <x v="25"/>
    <s v="In-store"/>
  </r>
  <r>
    <s v="West Gear"/>
    <n v="1185732"/>
    <d v="2021-02-03T00:00:00"/>
    <x v="2"/>
    <s v="Wisconsin"/>
    <s v="Milwaukee"/>
    <s v="Women's Apparel"/>
    <n v="15"/>
    <n v="250"/>
    <x v="304"/>
    <x v="324"/>
    <s v="In-store"/>
  </r>
  <r>
    <s v="West Gear"/>
    <n v="1185732"/>
    <d v="2021-09-04T00:00:00"/>
    <x v="2"/>
    <s v="Wisconsin"/>
    <s v="Milwaukee"/>
    <s v="Men's Athletic Footwear"/>
    <n v="30"/>
    <n v="250"/>
    <x v="20"/>
    <x v="24"/>
    <s v="In-store"/>
  </r>
  <r>
    <s v="West Gear"/>
    <n v="1185732"/>
    <d v="2021-02-10T00:00:00"/>
    <x v="2"/>
    <s v="Wisconsin"/>
    <s v="Milwaukee"/>
    <s v="Women's Street Footwear"/>
    <n v="25"/>
    <n v="250"/>
    <x v="302"/>
    <x v="321"/>
    <s v="In-store"/>
  </r>
  <r>
    <s v="West Gear"/>
    <n v="1185732"/>
    <d v="2021-10-10T00:00:00"/>
    <x v="2"/>
    <s v="Indiana"/>
    <s v="Indianapolis"/>
    <s v="Men's Athletic Footwear"/>
    <n v="35"/>
    <n v="250"/>
    <x v="30"/>
    <x v="38"/>
    <s v="In-store"/>
  </r>
  <r>
    <s v="West Gear"/>
    <n v="1185732"/>
    <d v="2021-04-17T00:00:00"/>
    <x v="3"/>
    <s v="West Virginia"/>
    <s v="Charleston"/>
    <s v="Men's Athletic Footwear"/>
    <n v="30"/>
    <n v="250"/>
    <x v="20"/>
    <x v="25"/>
    <s v="In-store"/>
  </r>
  <r>
    <s v="West Gear"/>
    <n v="1185732"/>
    <d v="2021-04-17T00:00:00"/>
    <x v="3"/>
    <s v="West Virginia"/>
    <s v="Charleston"/>
    <s v="Women's Street Footwear"/>
    <n v="20"/>
    <n v="250"/>
    <x v="303"/>
    <x v="322"/>
    <s v="In-store"/>
  </r>
  <r>
    <s v="West Gear"/>
    <n v="1185732"/>
    <d v="2021-09-18T00:00:00"/>
    <x v="3"/>
    <s v="West Virginia"/>
    <s v="Charleston"/>
    <s v="Women's Street Footwear"/>
    <n v="25"/>
    <n v="250"/>
    <x v="302"/>
    <x v="320"/>
    <s v="In-store"/>
  </r>
  <r>
    <s v="Kohl's"/>
    <n v="1185732"/>
    <d v="2021-04-07T00:00:00"/>
    <x v="3"/>
    <s v="New Jersey"/>
    <s v="Newark"/>
    <s v="Women's Apparel"/>
    <n v="35"/>
    <n v="250"/>
    <x v="30"/>
    <x v="38"/>
    <s v="In-store"/>
  </r>
  <r>
    <s v="Sports Direct"/>
    <n v="1185732"/>
    <d v="2021-02-05T00:00:00"/>
    <x v="3"/>
    <s v="New Jersey"/>
    <s v="Newark"/>
    <s v="Women's Street Footwear"/>
    <n v="30"/>
    <n v="250"/>
    <x v="20"/>
    <x v="26"/>
    <s v="In-store"/>
  </r>
  <r>
    <s v="Sports Direct"/>
    <n v="1185732"/>
    <d v="2021-03-03T00:00:00"/>
    <x v="3"/>
    <s v="Connecticut"/>
    <s v="Hartford"/>
    <s v="Women's Street Footwear"/>
    <n v="30"/>
    <n v="250"/>
    <x v="20"/>
    <x v="26"/>
    <s v="In-store"/>
  </r>
  <r>
    <s v="Sports Direct"/>
    <n v="1185732"/>
    <d v="2021-01-17T00:00:00"/>
    <x v="3"/>
    <s v="Rhode Island"/>
    <s v="Providence"/>
    <s v="Women's Street Footwear"/>
    <n v="30"/>
    <n v="250"/>
    <x v="20"/>
    <x v="318"/>
    <s v="In-store"/>
  </r>
  <r>
    <s v="Sports Direct"/>
    <n v="1185732"/>
    <d v="2021-02-15T00:00:00"/>
    <x v="3"/>
    <s v="Massachusetts"/>
    <s v="Boston"/>
    <s v="Women's Athletic Footwear"/>
    <n v="35"/>
    <n v="250"/>
    <x v="30"/>
    <x v="321"/>
    <s v="In-store"/>
  </r>
  <r>
    <s v="Foot Locker"/>
    <n v="1185732"/>
    <d v="2020-01-03T00:00:00"/>
    <x v="3"/>
    <s v="New York"/>
    <s v="New York"/>
    <s v="Women's Street Footwear"/>
    <n v="36"/>
    <n v="250"/>
    <x v="306"/>
    <x v="44"/>
    <s v="Online"/>
  </r>
  <r>
    <s v="Walmart"/>
    <n v="1197831"/>
    <d v="2020-08-23T00:00:00"/>
    <x v="1"/>
    <s v="Texas"/>
    <s v="Houston"/>
    <s v="Women's Apparel"/>
    <n v="47"/>
    <n v="250"/>
    <x v="307"/>
    <x v="326"/>
    <s v="Online"/>
  </r>
  <r>
    <s v="West Gear"/>
    <n v="1185732"/>
    <d v="2021-08-09T00:00:00"/>
    <x v="3"/>
    <s v="New York"/>
    <s v="Albany"/>
    <s v="Men's Street Footwear"/>
    <n v="62"/>
    <n v="250"/>
    <x v="308"/>
    <x v="145"/>
    <s v="Online"/>
  </r>
  <r>
    <s v="Foot Locker"/>
    <n v="1197831"/>
    <d v="2021-08-08T00:00:00"/>
    <x v="4"/>
    <s v="Idaho"/>
    <s v="Boise"/>
    <s v="Women's Street Footwear"/>
    <n v="46"/>
    <n v="250"/>
    <x v="309"/>
    <x v="327"/>
    <s v="Online"/>
  </r>
  <r>
    <s v="Foot Locker"/>
    <n v="1185732"/>
    <d v="2021-06-07T00:00:00"/>
    <x v="0"/>
    <s v="South Carolina"/>
    <s v="Charleston"/>
    <s v="Women's Apparel"/>
    <n v="65"/>
    <n v="250"/>
    <x v="310"/>
    <x v="123"/>
    <s v="Online"/>
  </r>
  <r>
    <s v="Sports Direct"/>
    <n v="1185732"/>
    <d v="2021-09-02T00:00:00"/>
    <x v="0"/>
    <s v="North Carolina"/>
    <s v="Charlotte"/>
    <s v="Men's Street Footwear"/>
    <n v="53"/>
    <n v="250"/>
    <x v="311"/>
    <x v="328"/>
    <s v="Online"/>
  </r>
  <r>
    <s v="West Gear"/>
    <n v="1128299"/>
    <d v="2021-01-07T00:00:00"/>
    <x v="4"/>
    <s v="California"/>
    <s v="San Francisco"/>
    <s v="Men's Athletic Footwear"/>
    <n v="63"/>
    <n v="248"/>
    <x v="312"/>
    <x v="297"/>
    <s v="Online"/>
  </r>
  <r>
    <s v="West Gear"/>
    <n v="1128299"/>
    <d v="2021-01-14T00:00:00"/>
    <x v="4"/>
    <s v="California"/>
    <s v="San Francisco"/>
    <s v="Women's Street Footwear"/>
    <n v="62"/>
    <n v="248"/>
    <x v="22"/>
    <x v="329"/>
    <s v="Online"/>
  </r>
  <r>
    <s v="West Gear"/>
    <n v="1185732"/>
    <d v="2020-04-24T00:00:00"/>
    <x v="0"/>
    <s v="Florida"/>
    <s v="Miami"/>
    <s v="Women's Apparel"/>
    <n v="64"/>
    <n v="248"/>
    <x v="273"/>
    <x v="330"/>
    <s v="Online"/>
  </r>
  <r>
    <s v="Sports Direct"/>
    <n v="1185732"/>
    <d v="2020-05-24T00:00:00"/>
    <x v="0"/>
    <s v="Florida"/>
    <s v="Miami"/>
    <s v="Women's Street Footwear"/>
    <n v="52"/>
    <n v="248"/>
    <x v="313"/>
    <x v="115"/>
    <s v="Online"/>
  </r>
  <r>
    <s v="West Gear"/>
    <n v="1185732"/>
    <d v="2021-04-09T00:00:00"/>
    <x v="3"/>
    <s v="New York"/>
    <s v="Albany"/>
    <s v="Men's Street Footwear"/>
    <n v="42"/>
    <n v="248"/>
    <x v="314"/>
    <x v="331"/>
    <s v="Online"/>
  </r>
  <r>
    <s v="West Gear"/>
    <n v="1128299"/>
    <d v="2021-06-17T00:00:00"/>
    <x v="1"/>
    <s v="Louisiana"/>
    <s v="New Orleans"/>
    <s v="Men's Street Footwear"/>
    <n v="58"/>
    <n v="248"/>
    <x v="315"/>
    <x v="332"/>
    <s v="Online"/>
  </r>
  <r>
    <s v="Foot Locker"/>
    <n v="1185732"/>
    <d v="2021-01-09T00:00:00"/>
    <x v="0"/>
    <s v="Georgia"/>
    <s v="Atlanta"/>
    <s v="Women's Street Footwear"/>
    <n v="29"/>
    <n v="248"/>
    <x v="316"/>
    <x v="333"/>
    <s v="Online"/>
  </r>
  <r>
    <s v="Foot Locker"/>
    <n v="1185732"/>
    <d v="2021-07-05T00:00:00"/>
    <x v="0"/>
    <s v="South Carolina"/>
    <s v="Charleston"/>
    <s v="Women's Street Footwear"/>
    <n v="51"/>
    <n v="248"/>
    <x v="317"/>
    <x v="334"/>
    <s v="Online"/>
  </r>
  <r>
    <s v="Foot Locker"/>
    <n v="1185732"/>
    <d v="2020-01-22T00:00:00"/>
    <x v="3"/>
    <s v="New York"/>
    <s v="New York"/>
    <s v="Women's Athletic Footwear"/>
    <n v="32"/>
    <n v="248"/>
    <x v="270"/>
    <x v="307"/>
    <s v="Outlet"/>
  </r>
  <r>
    <s v="Walmart"/>
    <n v="1197831"/>
    <d v="2020-09-12T00:00:00"/>
    <x v="1"/>
    <s v="Texas"/>
    <s v="Houston"/>
    <s v="Men's Athletic Footwear"/>
    <n v="29"/>
    <n v="248"/>
    <x v="316"/>
    <x v="333"/>
    <s v="Outlet"/>
  </r>
  <r>
    <s v="West Gear"/>
    <n v="1128299"/>
    <d v="2020-11-02T00:00:00"/>
    <x v="1"/>
    <s v="Texas"/>
    <s v="Houston"/>
    <s v="Men's Athletic Footwear"/>
    <n v="33"/>
    <n v="248"/>
    <x v="318"/>
    <x v="335"/>
    <s v="Outlet"/>
  </r>
  <r>
    <s v="West Gear"/>
    <n v="1128299"/>
    <d v="2021-01-20T00:00:00"/>
    <x v="4"/>
    <s v="California"/>
    <s v="San Francisco"/>
    <s v="Women's Street Footwear"/>
    <n v="51"/>
    <n v="248"/>
    <x v="317"/>
    <x v="336"/>
    <s v="Outlet"/>
  </r>
  <r>
    <s v="West Gear"/>
    <n v="1128299"/>
    <d v="2021-01-26T00:00:00"/>
    <x v="4"/>
    <s v="California"/>
    <s v="San Francisco"/>
    <s v="Women's Street Footwear"/>
    <n v="39"/>
    <n v="248"/>
    <x v="319"/>
    <x v="212"/>
    <s v="Outlet"/>
  </r>
  <r>
    <s v="Kohl's"/>
    <n v="1189833"/>
    <d v="2021-04-07T00:00:00"/>
    <x v="4"/>
    <s v="California"/>
    <s v="Los Angeles"/>
    <s v="Men's Street Footwear"/>
    <n v="31"/>
    <n v="248"/>
    <x v="320"/>
    <x v="337"/>
    <s v="Outlet"/>
  </r>
  <r>
    <s v="Sports Direct"/>
    <n v="1197831"/>
    <d v="2021-09-05T00:00:00"/>
    <x v="1"/>
    <s v="Texas"/>
    <s v="Dallas"/>
    <s v="Men's Athletic Footwear"/>
    <n v="22"/>
    <n v="248"/>
    <x v="321"/>
    <x v="338"/>
    <s v="Outlet"/>
  </r>
  <r>
    <s v="Sports Direct"/>
    <n v="1197831"/>
    <d v="2021-09-22T00:00:00"/>
    <x v="1"/>
    <s v="Texas"/>
    <s v="Dallas"/>
    <s v="Men's Street Footwear"/>
    <n v="34"/>
    <n v="248"/>
    <x v="160"/>
    <x v="339"/>
    <s v="Outlet"/>
  </r>
  <r>
    <s v="Sports Direct"/>
    <n v="1197831"/>
    <d v="2021-10-17T00:00:00"/>
    <x v="1"/>
    <s v="Texas"/>
    <s v="Dallas"/>
    <s v="Men's Athletic Footwear"/>
    <n v="39"/>
    <n v="248"/>
    <x v="319"/>
    <x v="109"/>
    <s v="Outlet"/>
  </r>
  <r>
    <s v="Sports Direct"/>
    <n v="1197831"/>
    <d v="2021-05-15T00:00:00"/>
    <x v="1"/>
    <s v="Tennessee"/>
    <s v="Knoxville"/>
    <s v="Men's Street Footwear"/>
    <n v="39"/>
    <n v="248"/>
    <x v="319"/>
    <x v="340"/>
    <s v="Outlet"/>
  </r>
  <r>
    <s v="Sports Direct"/>
    <n v="1197831"/>
    <d v="2021-10-07T00:00:00"/>
    <x v="1"/>
    <s v="Alabama"/>
    <s v="Birmingham"/>
    <s v="Men's Athletic Footwear"/>
    <n v="40"/>
    <n v="248"/>
    <x v="216"/>
    <x v="341"/>
    <s v="Outlet"/>
  </r>
  <r>
    <s v="Walmart"/>
    <n v="1128299"/>
    <d v="2021-06-17T00:00:00"/>
    <x v="0"/>
    <s v="Florida"/>
    <s v="Orlando"/>
    <s v="Women's Apparel"/>
    <n v="74"/>
    <n v="248"/>
    <x v="322"/>
    <x v="342"/>
    <s v="Outlet"/>
  </r>
  <r>
    <s v="Foot Locker"/>
    <n v="1128299"/>
    <d v="2021-12-23T00:00:00"/>
    <x v="0"/>
    <s v="Virginia"/>
    <s v="Richmond"/>
    <s v="Men's Street Footwear"/>
    <n v="49"/>
    <n v="248"/>
    <x v="323"/>
    <x v="238"/>
    <s v="Outlet"/>
  </r>
  <r>
    <s v="West Gear"/>
    <n v="1185732"/>
    <d v="2021-07-10T00:00:00"/>
    <x v="4"/>
    <s v="Utah"/>
    <s v="Salt Lake City"/>
    <s v="Men's Street Footwear"/>
    <n v="28"/>
    <n v="248"/>
    <x v="324"/>
    <x v="343"/>
    <s v="Outlet"/>
  </r>
  <r>
    <s v="West Gear"/>
    <n v="1185732"/>
    <d v="2021-08-11T00:00:00"/>
    <x v="4"/>
    <s v="Utah"/>
    <s v="Salt Lake City"/>
    <s v="Men's Street Footwear"/>
    <n v="27"/>
    <n v="248"/>
    <x v="325"/>
    <x v="344"/>
    <s v="Outlet"/>
  </r>
  <r>
    <s v="West Gear"/>
    <n v="1128299"/>
    <d v="2021-06-17T00:00:00"/>
    <x v="1"/>
    <s v="Louisiana"/>
    <s v="New Orleans"/>
    <s v="Women's Apparel"/>
    <n v="80"/>
    <n v="248"/>
    <x v="326"/>
    <x v="345"/>
    <s v="Outlet"/>
  </r>
  <r>
    <s v="West Gear"/>
    <n v="1128299"/>
    <d v="2021-07-16T00:00:00"/>
    <x v="1"/>
    <s v="Louisiana"/>
    <s v="New Orleans"/>
    <s v="Men's Athletic Footwear"/>
    <n v="67"/>
    <n v="248"/>
    <x v="327"/>
    <x v="206"/>
    <s v="Outlet"/>
  </r>
  <r>
    <s v="West Gear"/>
    <n v="1128299"/>
    <d v="2021-12-16T00:00:00"/>
    <x v="1"/>
    <s v="Louisiana"/>
    <s v="New Orleans"/>
    <s v="Men's Athletic Footwear"/>
    <n v="52"/>
    <n v="248"/>
    <x v="313"/>
    <x v="346"/>
    <s v="Outlet"/>
  </r>
  <r>
    <s v="West Gear"/>
    <n v="1197831"/>
    <d v="2021-06-04T00:00:00"/>
    <x v="4"/>
    <s v="Idaho"/>
    <s v="Boise"/>
    <s v="Women's Apparel"/>
    <n v="39"/>
    <n v="248"/>
    <x v="319"/>
    <x v="174"/>
    <s v="Outlet"/>
  </r>
  <r>
    <s v="Kohl's"/>
    <n v="1128299"/>
    <d v="2021-07-25T00:00:00"/>
    <x v="4"/>
    <s v="New Mexico"/>
    <s v="Albuquerque"/>
    <s v="Men's Street Footwear"/>
    <n v="41"/>
    <n v="248"/>
    <x v="328"/>
    <x v="87"/>
    <s v="Outlet"/>
  </r>
  <r>
    <s v="Foot Locker"/>
    <n v="1185732"/>
    <d v="2021-02-07T00:00:00"/>
    <x v="0"/>
    <s v="Georgia"/>
    <s v="Atlanta"/>
    <s v="Women's Street Footwear"/>
    <n v="21"/>
    <n v="248"/>
    <x v="329"/>
    <x v="347"/>
    <s v="Outlet"/>
  </r>
  <r>
    <s v="Foot Locker"/>
    <n v="1185732"/>
    <d v="2020-01-04T00:00:00"/>
    <x v="3"/>
    <s v="New York"/>
    <s v="New York"/>
    <s v="Women's Athletic Footwear"/>
    <n v="41"/>
    <n v="247"/>
    <x v="330"/>
    <x v="223"/>
    <s v="Online"/>
  </r>
  <r>
    <s v="Foot Locker"/>
    <n v="1185732"/>
    <d v="2020-01-27T00:00:00"/>
    <x v="3"/>
    <s v="New York"/>
    <s v="New York"/>
    <s v="Women's Street Footwear"/>
    <n v="39"/>
    <n v="247"/>
    <x v="331"/>
    <x v="156"/>
    <s v="Online"/>
  </r>
  <r>
    <s v="Foot Locker"/>
    <n v="1185732"/>
    <d v="2020-03-12T00:00:00"/>
    <x v="3"/>
    <s v="New York"/>
    <s v="New York"/>
    <s v="Women's Street Footwear"/>
    <n v="46"/>
    <n v="247"/>
    <x v="332"/>
    <x v="34"/>
    <s v="Online"/>
  </r>
  <r>
    <s v="Walmart"/>
    <n v="1197831"/>
    <d v="2020-10-25T00:00:00"/>
    <x v="1"/>
    <s v="Texas"/>
    <s v="Houston"/>
    <s v="Women's Apparel"/>
    <n v="51"/>
    <n v="247"/>
    <x v="34"/>
    <x v="348"/>
    <s v="Online"/>
  </r>
  <r>
    <s v="Kohl's"/>
    <n v="1189833"/>
    <d v="2021-05-08T00:00:00"/>
    <x v="4"/>
    <s v="California"/>
    <s v="Los Angeles"/>
    <s v="Men's Athletic Footwear"/>
    <n v="50"/>
    <n v="247"/>
    <x v="333"/>
    <x v="349"/>
    <s v="Online"/>
  </r>
  <r>
    <s v="Foot Locker"/>
    <n v="1185732"/>
    <d v="2020-08-11T00:00:00"/>
    <x v="0"/>
    <s v="Florida"/>
    <s v="Miami"/>
    <s v="Women's Apparel"/>
    <n v="41"/>
    <n v="247"/>
    <x v="330"/>
    <x v="350"/>
    <s v="Online"/>
  </r>
  <r>
    <s v="West Gear"/>
    <n v="1185732"/>
    <d v="2021-07-08T00:00:00"/>
    <x v="3"/>
    <s v="New York"/>
    <s v="Albany"/>
    <s v="Men's Street Footwear"/>
    <n v="59"/>
    <n v="247"/>
    <x v="334"/>
    <x v="351"/>
    <s v="Online"/>
  </r>
  <r>
    <s v="Kohl's"/>
    <n v="1185732"/>
    <d v="2021-06-12T00:00:00"/>
    <x v="4"/>
    <s v="Wyoming"/>
    <s v="Cheyenne"/>
    <s v="Men's Street Footwear"/>
    <n v="46"/>
    <n v="247"/>
    <x v="332"/>
    <x v="352"/>
    <s v="Online"/>
  </r>
  <r>
    <s v="West Gear"/>
    <n v="1128299"/>
    <d v="2020-11-09T00:00:00"/>
    <x v="4"/>
    <s v="California"/>
    <s v="San Francisco"/>
    <s v="Women's Street Footwear"/>
    <n v="40"/>
    <n v="247"/>
    <x v="335"/>
    <x v="86"/>
    <s v="Outlet"/>
  </r>
  <r>
    <s v="West Gear"/>
    <n v="1128299"/>
    <d v="2021-01-15T00:00:00"/>
    <x v="4"/>
    <s v="California"/>
    <s v="San Francisco"/>
    <s v="Women's Athletic Footwear"/>
    <n v="46"/>
    <n v="247"/>
    <x v="332"/>
    <x v="353"/>
    <s v="Outlet"/>
  </r>
  <r>
    <s v="West Gear"/>
    <n v="1128299"/>
    <d v="2021-01-27T00:00:00"/>
    <x v="4"/>
    <s v="California"/>
    <s v="San Francisco"/>
    <s v="Women's Athletic Footwear"/>
    <n v="39"/>
    <n v="247"/>
    <x v="331"/>
    <x v="112"/>
    <s v="Outlet"/>
  </r>
  <r>
    <s v="West Gear"/>
    <n v="1128299"/>
    <d v="2021-02-07T00:00:00"/>
    <x v="4"/>
    <s v="California"/>
    <s v="San Francisco"/>
    <s v="Women's Street Footwear"/>
    <n v="40"/>
    <n v="247"/>
    <x v="335"/>
    <x v="248"/>
    <s v="Outlet"/>
  </r>
  <r>
    <s v="Sports Direct"/>
    <n v="1197831"/>
    <d v="2021-04-03T00:00:00"/>
    <x v="1"/>
    <s v="Tennessee"/>
    <s v="Knoxville"/>
    <s v="Men's Street Footwear"/>
    <n v="12"/>
    <n v="247"/>
    <x v="336"/>
    <x v="354"/>
    <s v="Outlet"/>
  </r>
  <r>
    <s v="West Gear"/>
    <n v="1197831"/>
    <d v="2021-05-05T00:00:00"/>
    <x v="4"/>
    <s v="Idaho"/>
    <s v="Boise"/>
    <s v="Men's Athletic Footwear"/>
    <n v="22"/>
    <n v="247"/>
    <x v="337"/>
    <x v="355"/>
    <s v="Outlet"/>
  </r>
  <r>
    <s v="Foot Locker"/>
    <n v="1185732"/>
    <d v="2021-01-09T00:00:00"/>
    <x v="0"/>
    <s v="Georgia"/>
    <s v="Atlanta"/>
    <s v="Men's Apparel"/>
    <n v="35"/>
    <n v="247"/>
    <x v="338"/>
    <x v="290"/>
    <s v="Outlet"/>
  </r>
  <r>
    <s v="Foot Locker"/>
    <n v="1185732"/>
    <d v="2021-02-07T00:00:00"/>
    <x v="0"/>
    <s v="Georgia"/>
    <s v="Atlanta"/>
    <s v="Men's Athletic Footwear"/>
    <n v="27"/>
    <n v="247"/>
    <x v="339"/>
    <x v="356"/>
    <s v="Outlet"/>
  </r>
  <r>
    <s v="Kohl's"/>
    <n v="1185732"/>
    <d v="2021-03-10T00:00:00"/>
    <x v="4"/>
    <s v="Wyoming"/>
    <s v="Cheyenne"/>
    <s v="Men's Street Footwear"/>
    <n v="38"/>
    <n v="246"/>
    <x v="340"/>
    <x v="357"/>
    <s v="Online"/>
  </r>
  <r>
    <s v="Kohl's"/>
    <n v="1185732"/>
    <d v="2021-05-10T00:00:00"/>
    <x v="4"/>
    <s v="Wyoming"/>
    <s v="Cheyenne"/>
    <s v="Men's Street Footwear"/>
    <n v="45"/>
    <n v="246"/>
    <x v="210"/>
    <x v="358"/>
    <s v="Online"/>
  </r>
  <r>
    <s v="Sports Direct"/>
    <n v="1185732"/>
    <d v="2021-05-02T00:00:00"/>
    <x v="0"/>
    <s v="North Carolina"/>
    <s v="Charlotte"/>
    <s v="Men's Street Footwear"/>
    <n v="41"/>
    <n v="246"/>
    <x v="341"/>
    <x v="359"/>
    <s v="Online"/>
  </r>
  <r>
    <s v="Kohl's"/>
    <n v="1197831"/>
    <d v="2021-11-20T00:00:00"/>
    <x v="1"/>
    <s v="Oklahoma"/>
    <s v="Oklahoma City"/>
    <s v="Women's Street Footwear"/>
    <n v="25"/>
    <n v="245"/>
    <x v="342"/>
    <x v="42"/>
    <s v="Online"/>
  </r>
  <r>
    <s v="West Gear"/>
    <n v="1185732"/>
    <d v="2021-11-03T00:00:00"/>
    <x v="2"/>
    <s v="Wisconsin"/>
    <s v="Milwaukee"/>
    <s v="Women's Street Footwear"/>
    <n v="35"/>
    <n v="245"/>
    <x v="343"/>
    <x v="360"/>
    <s v="In-store"/>
  </r>
  <r>
    <s v="Foot Locker"/>
    <n v="1185732"/>
    <d v="2020-02-10T00:00:00"/>
    <x v="3"/>
    <s v="New York"/>
    <s v="New York"/>
    <s v="Men's Apparel"/>
    <n v="59"/>
    <n v="245"/>
    <x v="344"/>
    <x v="361"/>
    <s v="Online"/>
  </r>
  <r>
    <s v="West Gear"/>
    <n v="1128299"/>
    <d v="2021-01-13T00:00:00"/>
    <x v="4"/>
    <s v="California"/>
    <s v="San Francisco"/>
    <s v="Men's Athletic Footwear"/>
    <n v="59"/>
    <n v="245"/>
    <x v="344"/>
    <x v="314"/>
    <s v="Online"/>
  </r>
  <r>
    <s v="Sports Direct"/>
    <n v="1197831"/>
    <d v="2021-09-05T00:00:00"/>
    <x v="1"/>
    <s v="Alabama"/>
    <s v="Birmingham"/>
    <s v="Women's Apparel"/>
    <n v="50"/>
    <n v="245"/>
    <x v="82"/>
    <x v="144"/>
    <s v="Online"/>
  </r>
  <r>
    <s v="West Gear"/>
    <n v="1185732"/>
    <d v="2021-12-08T00:00:00"/>
    <x v="3"/>
    <s v="New York"/>
    <s v="Albany"/>
    <s v="Men's Street Footwear"/>
    <n v="59"/>
    <n v="245"/>
    <x v="344"/>
    <x v="362"/>
    <s v="Online"/>
  </r>
  <r>
    <s v="Sports Direct"/>
    <n v="1185732"/>
    <d v="2021-10-04T00:00:00"/>
    <x v="0"/>
    <s v="North Carolina"/>
    <s v="Charlotte"/>
    <s v="Men's Street Footwear"/>
    <n v="42"/>
    <n v="245"/>
    <x v="345"/>
    <x v="363"/>
    <s v="Online"/>
  </r>
  <r>
    <s v="Walmart"/>
    <n v="1197831"/>
    <d v="2020-08-15T00:00:00"/>
    <x v="1"/>
    <s v="Texas"/>
    <s v="Houston"/>
    <s v="Women's Athletic Footwear"/>
    <n v="31"/>
    <n v="245"/>
    <x v="346"/>
    <x v="364"/>
    <s v="Outlet"/>
  </r>
  <r>
    <s v="West Gear"/>
    <n v="1128299"/>
    <d v="2020-12-24T00:00:00"/>
    <x v="4"/>
    <s v="California"/>
    <s v="San Francisco"/>
    <s v="Women's Apparel"/>
    <n v="41"/>
    <n v="245"/>
    <x v="347"/>
    <x v="365"/>
    <s v="Outlet"/>
  </r>
  <r>
    <s v="West Gear"/>
    <n v="1128299"/>
    <d v="2020-12-30T00:00:00"/>
    <x v="4"/>
    <s v="California"/>
    <s v="San Francisco"/>
    <s v="Women's Apparel"/>
    <n v="62"/>
    <n v="245"/>
    <x v="348"/>
    <x v="366"/>
    <s v="Outlet"/>
  </r>
  <r>
    <s v="West Gear"/>
    <n v="1128299"/>
    <d v="2021-02-15T00:00:00"/>
    <x v="4"/>
    <s v="California"/>
    <s v="San Francisco"/>
    <s v="Men's Apparel"/>
    <n v="43"/>
    <n v="245"/>
    <x v="349"/>
    <x v="367"/>
    <s v="Outlet"/>
  </r>
  <r>
    <s v="West Gear"/>
    <n v="1128299"/>
    <d v="2020-02-01T00:00:00"/>
    <x v="4"/>
    <s v="Nevada"/>
    <s v="Las Vegas"/>
    <s v="Men's Street Footwear"/>
    <n v="47"/>
    <n v="245"/>
    <x v="69"/>
    <x v="97"/>
    <s v="Outlet"/>
  </r>
  <r>
    <s v="West Gear"/>
    <n v="1185732"/>
    <d v="2020-09-16T00:00:00"/>
    <x v="0"/>
    <s v="Florida"/>
    <s v="Miami"/>
    <s v="Women's Apparel"/>
    <n v="67"/>
    <n v="244"/>
    <x v="350"/>
    <x v="368"/>
    <s v="Online"/>
  </r>
  <r>
    <s v="Sports Direct"/>
    <n v="1185732"/>
    <d v="2020-10-05T00:00:00"/>
    <x v="0"/>
    <s v="Florida"/>
    <s v="Miami"/>
    <s v="Men's Street Footwear"/>
    <n v="56"/>
    <n v="244"/>
    <x v="351"/>
    <x v="369"/>
    <s v="Online"/>
  </r>
  <r>
    <s v="Foot Locker"/>
    <n v="1185732"/>
    <d v="2021-07-05T00:00:00"/>
    <x v="0"/>
    <s v="South Carolina"/>
    <s v="Charleston"/>
    <s v="Women's Apparel"/>
    <n v="66"/>
    <n v="244"/>
    <x v="25"/>
    <x v="370"/>
    <s v="Online"/>
  </r>
  <r>
    <s v="Foot Locker"/>
    <n v="1185732"/>
    <d v="2021-10-07T00:00:00"/>
    <x v="0"/>
    <s v="South Carolina"/>
    <s v="Charleston"/>
    <s v="Men's Street Footwear"/>
    <n v="50"/>
    <n v="244"/>
    <x v="352"/>
    <x v="371"/>
    <s v="Online"/>
  </r>
  <r>
    <s v="Sports Direct"/>
    <n v="1185732"/>
    <d v="2021-12-02T00:00:00"/>
    <x v="0"/>
    <s v="North Carolina"/>
    <s v="Charlotte"/>
    <s v="Men's Street Footwear"/>
    <n v="64"/>
    <n v="244"/>
    <x v="312"/>
    <x v="372"/>
    <s v="Online"/>
  </r>
  <r>
    <s v="Foot Locker"/>
    <n v="1185732"/>
    <d v="2020-01-23T00:00:00"/>
    <x v="3"/>
    <s v="New York"/>
    <s v="New York"/>
    <s v="Men's Apparel"/>
    <n v="58"/>
    <n v="243"/>
    <x v="353"/>
    <x v="373"/>
    <s v="Online"/>
  </r>
  <r>
    <s v="Foot Locker"/>
    <n v="1185732"/>
    <d v="2020-03-13T00:00:00"/>
    <x v="3"/>
    <s v="New York"/>
    <s v="New York"/>
    <s v="Women's Athletic Footwear"/>
    <n v="46"/>
    <n v="243"/>
    <x v="292"/>
    <x v="374"/>
    <s v="Online"/>
  </r>
  <r>
    <s v="Walmart"/>
    <n v="1197831"/>
    <d v="2020-10-21T00:00:00"/>
    <x v="1"/>
    <s v="Texas"/>
    <s v="Houston"/>
    <s v="Men's Athletic Footwear"/>
    <n v="43"/>
    <n v="243"/>
    <x v="354"/>
    <x v="375"/>
    <s v="Online"/>
  </r>
  <r>
    <s v="Kohl's"/>
    <n v="1189833"/>
    <d v="2021-05-26T00:00:00"/>
    <x v="4"/>
    <s v="California"/>
    <s v="Los Angeles"/>
    <s v="Men's Athletic Footwear"/>
    <n v="50"/>
    <n v="243"/>
    <x v="323"/>
    <x v="61"/>
    <s v="Online"/>
  </r>
  <r>
    <s v="Foot Locker"/>
    <n v="1185732"/>
    <d v="2021-08-06T00:00:00"/>
    <x v="0"/>
    <s v="South Carolina"/>
    <s v="Charleston"/>
    <s v="Men's Athletic Footwear"/>
    <n v="54"/>
    <n v="243"/>
    <x v="355"/>
    <x v="129"/>
    <s v="Online"/>
  </r>
  <r>
    <s v="Foot Locker"/>
    <n v="1185732"/>
    <d v="2020-03-31T00:00:00"/>
    <x v="3"/>
    <s v="New York"/>
    <s v="New York"/>
    <s v="Women's Athletic Footwear"/>
    <n v="47"/>
    <n v="241"/>
    <x v="356"/>
    <x v="174"/>
    <s v="Online"/>
  </r>
  <r>
    <s v="West Gear"/>
    <n v="1128299"/>
    <d v="2021-01-24T00:00:00"/>
    <x v="4"/>
    <s v="California"/>
    <s v="San Francisco"/>
    <s v="Men's Street Footwear"/>
    <n v="51"/>
    <n v="241"/>
    <x v="76"/>
    <x v="376"/>
    <s v="Online"/>
  </r>
  <r>
    <s v="West Gear"/>
    <n v="1197831"/>
    <d v="2021-07-06T00:00:00"/>
    <x v="4"/>
    <s v="Idaho"/>
    <s v="Boise"/>
    <s v="Women's Street Footwear"/>
    <n v="46"/>
    <n v="241"/>
    <x v="233"/>
    <x v="327"/>
    <s v="Online"/>
  </r>
  <r>
    <s v="Walmart"/>
    <n v="1197831"/>
    <d v="2020-09-11T00:00:00"/>
    <x v="1"/>
    <s v="Texas"/>
    <s v="Houston"/>
    <s v="Men's Street Footwear"/>
    <n v="44"/>
    <n v="240"/>
    <x v="357"/>
    <x v="268"/>
    <s v="Online"/>
  </r>
  <r>
    <s v="Kohl's"/>
    <n v="1189833"/>
    <d v="2021-04-07T00:00:00"/>
    <x v="4"/>
    <s v="California"/>
    <s v="Los Angeles"/>
    <s v="Men's Street Footwear"/>
    <n v="43"/>
    <n v="240"/>
    <x v="358"/>
    <x v="376"/>
    <s v="Online"/>
  </r>
  <r>
    <s v="Foot Locker"/>
    <n v="1185732"/>
    <d v="2020-08-14T00:00:00"/>
    <x v="0"/>
    <s v="Florida"/>
    <s v="Miami"/>
    <s v="Women's Street Footwear"/>
    <n v="32"/>
    <n v="240"/>
    <x v="265"/>
    <x v="213"/>
    <s v="Online"/>
  </r>
  <r>
    <s v="Sports Direct"/>
    <n v="1197831"/>
    <d v="2021-05-16T00:00:00"/>
    <x v="1"/>
    <s v="Tennessee"/>
    <s v="Knoxville"/>
    <s v="Men's Athletic Footwear"/>
    <n v="51"/>
    <n v="240"/>
    <x v="359"/>
    <x v="271"/>
    <s v="Online"/>
  </r>
  <r>
    <s v="Sports Direct"/>
    <n v="1197831"/>
    <d v="2021-09-11T00:00:00"/>
    <x v="1"/>
    <s v="Alabama"/>
    <s v="Birmingham"/>
    <s v="Women's Apparel"/>
    <n v="56"/>
    <n v="240"/>
    <x v="360"/>
    <x v="377"/>
    <s v="Online"/>
  </r>
  <r>
    <s v="Foot Locker"/>
    <n v="1128299"/>
    <d v="2021-08-24T00:00:00"/>
    <x v="0"/>
    <s v="Virginia"/>
    <s v="Richmond"/>
    <s v="Men's Street Footwear"/>
    <n v="83"/>
    <n v="240"/>
    <x v="361"/>
    <x v="378"/>
    <s v="Online"/>
  </r>
  <r>
    <s v="West Gear"/>
    <n v="1128299"/>
    <d v="2021-12-16T00:00:00"/>
    <x v="1"/>
    <s v="Louisiana"/>
    <s v="New Orleans"/>
    <s v="Men's Street Footwear"/>
    <n v="69"/>
    <n v="240"/>
    <x v="362"/>
    <x v="379"/>
    <s v="Online"/>
  </r>
  <r>
    <s v="Foot Locker"/>
    <n v="1185732"/>
    <d v="2021-07-05T00:00:00"/>
    <x v="0"/>
    <s v="South Carolina"/>
    <s v="Charleston"/>
    <s v="Men's Apparel"/>
    <n v="64"/>
    <n v="240"/>
    <x v="363"/>
    <x v="209"/>
    <s v="Online"/>
  </r>
  <r>
    <s v="Foot Locker"/>
    <n v="1185732"/>
    <d v="2020-01-28T00:00:00"/>
    <x v="3"/>
    <s v="New York"/>
    <s v="New York"/>
    <s v="Women's Athletic Footwear"/>
    <n v="31"/>
    <n v="240"/>
    <x v="364"/>
    <x v="380"/>
    <s v="Outlet"/>
  </r>
  <r>
    <s v="Walmart"/>
    <n v="1197831"/>
    <d v="2020-08-14T00:00:00"/>
    <x v="1"/>
    <s v="Texas"/>
    <s v="Houston"/>
    <s v="Women's Street Footwear"/>
    <n v="23"/>
    <n v="240"/>
    <x v="365"/>
    <x v="381"/>
    <s v="Outlet"/>
  </r>
  <r>
    <s v="West Gear"/>
    <n v="1128299"/>
    <d v="2021-01-16T00:00:00"/>
    <x v="4"/>
    <s v="California"/>
    <s v="San Francisco"/>
    <s v="Men's Apparel"/>
    <n v="44"/>
    <n v="240"/>
    <x v="357"/>
    <x v="382"/>
    <s v="Outlet"/>
  </r>
  <r>
    <s v="Kohl's"/>
    <n v="1189833"/>
    <d v="2021-03-13T00:00:00"/>
    <x v="4"/>
    <s v="California"/>
    <s v="Los Angeles"/>
    <s v="Men's Street Footwear"/>
    <n v="28"/>
    <n v="240"/>
    <x v="366"/>
    <x v="245"/>
    <s v="Outlet"/>
  </r>
  <r>
    <s v="Kohl's"/>
    <n v="1189833"/>
    <d v="2021-04-13T00:00:00"/>
    <x v="4"/>
    <s v="California"/>
    <s v="Los Angeles"/>
    <s v="Men's Street Footwear"/>
    <n v="32"/>
    <n v="240"/>
    <x v="265"/>
    <x v="383"/>
    <s v="Outlet"/>
  </r>
  <r>
    <s v="Kohl's"/>
    <n v="1189833"/>
    <d v="2021-04-27T00:00:00"/>
    <x v="4"/>
    <s v="California"/>
    <s v="Los Angeles"/>
    <s v="Women's Street Footwear"/>
    <n v="33"/>
    <n v="240"/>
    <x v="224"/>
    <x v="88"/>
    <s v="Outlet"/>
  </r>
  <r>
    <s v="Sports Direct"/>
    <n v="1197831"/>
    <d v="2021-09-27T00:00:00"/>
    <x v="1"/>
    <s v="Texas"/>
    <s v="Dallas"/>
    <s v="Women's Apparel"/>
    <n v="43"/>
    <n v="240"/>
    <x v="358"/>
    <x v="384"/>
    <s v="Outlet"/>
  </r>
  <r>
    <s v="Sports Direct"/>
    <n v="1197831"/>
    <d v="2021-04-04T00:00:00"/>
    <x v="1"/>
    <s v="Tennessee"/>
    <s v="Knoxville"/>
    <s v="Men's Athletic Footwear"/>
    <n v="20"/>
    <n v="240"/>
    <x v="367"/>
    <x v="233"/>
    <s v="Outlet"/>
  </r>
  <r>
    <s v="Sports Direct"/>
    <n v="1197831"/>
    <d v="2021-04-10T00:00:00"/>
    <x v="1"/>
    <s v="Tennessee"/>
    <s v="Knoxville"/>
    <s v="Men's Athletic Footwear"/>
    <n v="32"/>
    <n v="240"/>
    <x v="265"/>
    <x v="383"/>
    <s v="Outlet"/>
  </r>
  <r>
    <s v="Sports Direct"/>
    <n v="1197831"/>
    <d v="2021-10-06T00:00:00"/>
    <x v="1"/>
    <s v="Alabama"/>
    <s v="Birmingham"/>
    <s v="Men's Street Footwear"/>
    <n v="46"/>
    <n v="240"/>
    <x v="368"/>
    <x v="385"/>
    <s v="Outlet"/>
  </r>
  <r>
    <s v="Foot Locker"/>
    <n v="1128299"/>
    <d v="2021-08-24T00:00:00"/>
    <x v="0"/>
    <s v="Virginia"/>
    <s v="Richmond"/>
    <s v="Men's Athletic Footwear"/>
    <n v="53"/>
    <n v="240"/>
    <x v="139"/>
    <x v="386"/>
    <s v="Outlet"/>
  </r>
  <r>
    <s v="West Gear"/>
    <n v="1128299"/>
    <d v="2021-06-24T00:00:00"/>
    <x v="4"/>
    <s v="Oregon"/>
    <s v="Portland"/>
    <s v="Men's Street Footwear"/>
    <n v="43"/>
    <n v="240"/>
    <x v="358"/>
    <x v="387"/>
    <s v="Outlet"/>
  </r>
  <r>
    <s v="West Gear"/>
    <n v="1197831"/>
    <d v="2021-05-05T00:00:00"/>
    <x v="4"/>
    <s v="Idaho"/>
    <s v="Boise"/>
    <s v="Women's Apparel"/>
    <n v="33"/>
    <n v="240"/>
    <x v="224"/>
    <x v="292"/>
    <s v="Outlet"/>
  </r>
  <r>
    <s v="Foot Locker"/>
    <n v="1197831"/>
    <d v="2021-12-04T00:00:00"/>
    <x v="4"/>
    <s v="Idaho"/>
    <s v="Boise"/>
    <s v="Men's Street Footwear"/>
    <n v="40"/>
    <n v="240"/>
    <x v="369"/>
    <x v="388"/>
    <s v="Outlet"/>
  </r>
  <r>
    <s v="Foot Locker"/>
    <n v="1197831"/>
    <d v="2021-12-04T00:00:00"/>
    <x v="4"/>
    <s v="Idaho"/>
    <s v="Boise"/>
    <s v="Men's Athletic Footwear"/>
    <n v="41"/>
    <n v="240"/>
    <x v="256"/>
    <x v="277"/>
    <s v="Outlet"/>
  </r>
  <r>
    <s v="Foot Locker"/>
    <n v="1185732"/>
    <d v="2020-02-03T00:00:00"/>
    <x v="3"/>
    <s v="New York"/>
    <s v="New York"/>
    <s v="Women's Athletic Footwear"/>
    <n v="41"/>
    <n v="239"/>
    <x v="370"/>
    <x v="389"/>
    <s v="Online"/>
  </r>
  <r>
    <s v="West Gear"/>
    <n v="1128299"/>
    <d v="2020-07-01T00:00:00"/>
    <x v="4"/>
    <s v="Washington"/>
    <s v="Seattle"/>
    <s v="Men's Street Footwear"/>
    <n v="73"/>
    <n v="239"/>
    <x v="149"/>
    <x v="169"/>
    <s v="Online"/>
  </r>
  <r>
    <s v="West Gear"/>
    <n v="1128299"/>
    <d v="2021-08-17T00:00:00"/>
    <x v="1"/>
    <s v="Louisiana"/>
    <s v="New Orleans"/>
    <s v="Men's Athletic Footwear"/>
    <n v="77"/>
    <n v="239"/>
    <x v="371"/>
    <x v="390"/>
    <s v="Online"/>
  </r>
  <r>
    <s v="Foot Locker"/>
    <n v="1185732"/>
    <d v="2021-01-09T00:00:00"/>
    <x v="0"/>
    <s v="Georgia"/>
    <s v="Atlanta"/>
    <s v="Women's Apparel"/>
    <n v="37"/>
    <n v="239"/>
    <x v="372"/>
    <x v="82"/>
    <s v="Online"/>
  </r>
  <r>
    <s v="West Gear"/>
    <n v="1128299"/>
    <d v="2020-11-08T00:00:00"/>
    <x v="4"/>
    <s v="California"/>
    <s v="San Francisco"/>
    <s v="Men's Athletic Footwear"/>
    <n v="36"/>
    <n v="239"/>
    <x v="373"/>
    <x v="283"/>
    <s v="Outlet"/>
  </r>
  <r>
    <s v="Sports Direct"/>
    <n v="1197831"/>
    <d v="2021-10-18T00:00:00"/>
    <x v="1"/>
    <s v="Texas"/>
    <s v="Dallas"/>
    <s v="Women's Street Footwear"/>
    <n v="46"/>
    <n v="239"/>
    <x v="218"/>
    <x v="391"/>
    <s v="Outlet"/>
  </r>
  <r>
    <s v="Sports Direct"/>
    <n v="1197831"/>
    <d v="2021-08-08T00:00:00"/>
    <x v="4"/>
    <s v="Idaho"/>
    <s v="Boise"/>
    <s v="Women's Apparel"/>
    <n v="44"/>
    <n v="239"/>
    <x v="374"/>
    <x v="217"/>
    <s v="Outlet"/>
  </r>
  <r>
    <s v="Foot Locker"/>
    <n v="1185732"/>
    <d v="2020-01-30T00:00:00"/>
    <x v="3"/>
    <s v="New York"/>
    <s v="New York"/>
    <s v="Women's Apparel"/>
    <n v="45"/>
    <n v="238"/>
    <x v="375"/>
    <x v="392"/>
    <s v="Online"/>
  </r>
  <r>
    <s v="Foot Locker"/>
    <n v="1185732"/>
    <d v="2020-02-05T00:00:00"/>
    <x v="3"/>
    <s v="New York"/>
    <s v="New York"/>
    <s v="Women's Apparel"/>
    <n v="49"/>
    <n v="238"/>
    <x v="19"/>
    <x v="93"/>
    <s v="Online"/>
  </r>
  <r>
    <s v="Walmart"/>
    <n v="1197831"/>
    <d v="2020-08-18T00:00:00"/>
    <x v="1"/>
    <s v="Texas"/>
    <s v="Houston"/>
    <s v="Men's Street Footwear"/>
    <n v="39"/>
    <n v="238"/>
    <x v="376"/>
    <x v="292"/>
    <s v="Online"/>
  </r>
  <r>
    <s v="Walmart"/>
    <n v="1197831"/>
    <d v="2020-08-19T00:00:00"/>
    <x v="1"/>
    <s v="Texas"/>
    <s v="Houston"/>
    <s v="Men's Athletic Footwear"/>
    <n v="42"/>
    <n v="238"/>
    <x v="377"/>
    <x v="393"/>
    <s v="Online"/>
  </r>
  <r>
    <s v="Walmart"/>
    <n v="1197831"/>
    <d v="2020-08-24T00:00:00"/>
    <x v="1"/>
    <s v="Texas"/>
    <s v="Houston"/>
    <s v="Men's Street Footwear"/>
    <n v="37"/>
    <n v="238"/>
    <x v="378"/>
    <x v="186"/>
    <s v="Online"/>
  </r>
  <r>
    <s v="Walmart"/>
    <n v="1197831"/>
    <d v="2020-08-25T00:00:00"/>
    <x v="1"/>
    <s v="Texas"/>
    <s v="Houston"/>
    <s v="Men's Athletic Footwear"/>
    <n v="42"/>
    <n v="238"/>
    <x v="377"/>
    <x v="394"/>
    <s v="Online"/>
  </r>
  <r>
    <s v="Walmart"/>
    <n v="1197831"/>
    <d v="2020-10-26T00:00:00"/>
    <x v="1"/>
    <s v="Texas"/>
    <s v="Houston"/>
    <s v="Men's Street Footwear"/>
    <n v="41"/>
    <n v="238"/>
    <x v="379"/>
    <x v="395"/>
    <s v="Online"/>
  </r>
  <r>
    <s v="Kohl's"/>
    <n v="1189833"/>
    <d v="2021-04-25T00:00:00"/>
    <x v="4"/>
    <s v="California"/>
    <s v="Los Angeles"/>
    <s v="Men's Street Footwear"/>
    <n v="41"/>
    <n v="238"/>
    <x v="379"/>
    <x v="396"/>
    <s v="Online"/>
  </r>
  <r>
    <s v="West Gear"/>
    <n v="1185732"/>
    <d v="2021-09-08T00:00:00"/>
    <x v="3"/>
    <s v="New York"/>
    <s v="Albany"/>
    <s v="Men's Street Footwear"/>
    <n v="50"/>
    <n v="238"/>
    <x v="104"/>
    <x v="397"/>
    <s v="Online"/>
  </r>
  <r>
    <s v="Kohl's"/>
    <n v="1185732"/>
    <d v="2021-02-12T00:00:00"/>
    <x v="3"/>
    <s v="New York"/>
    <s v="Albany"/>
    <s v="Men's Street Footwear"/>
    <n v="37"/>
    <n v="238"/>
    <x v="378"/>
    <x v="254"/>
    <s v="Online"/>
  </r>
  <r>
    <s v="Sports Direct"/>
    <n v="1185732"/>
    <d v="2021-06-04T00:00:00"/>
    <x v="0"/>
    <s v="North Carolina"/>
    <s v="Charlotte"/>
    <s v="Men's Street Footwear"/>
    <n v="46"/>
    <n v="238"/>
    <x v="118"/>
    <x v="171"/>
    <s v="Online"/>
  </r>
  <r>
    <s v="Sports Direct"/>
    <n v="1197831"/>
    <d v="2020-07-21T00:00:00"/>
    <x v="3"/>
    <s v="New York"/>
    <s v="New York"/>
    <s v="Women's Street Footwear"/>
    <n v="27"/>
    <n v="238"/>
    <x v="380"/>
    <x v="398"/>
    <s v="Outlet"/>
  </r>
  <r>
    <s v="Kohl's"/>
    <n v="1189833"/>
    <d v="2021-05-24T00:00:00"/>
    <x v="4"/>
    <s v="California"/>
    <s v="Los Angeles"/>
    <s v="Women's Apparel"/>
    <n v="49"/>
    <n v="238"/>
    <x v="19"/>
    <x v="333"/>
    <s v="Outlet"/>
  </r>
  <r>
    <s v="West Gear"/>
    <n v="1128299"/>
    <d v="2020-02-13T00:00:00"/>
    <x v="4"/>
    <s v="Nevada"/>
    <s v="Las Vegas"/>
    <s v="Men's Street Footwear"/>
    <n v="44"/>
    <n v="238"/>
    <x v="381"/>
    <x v="84"/>
    <s v="Outlet"/>
  </r>
  <r>
    <s v="Walmart"/>
    <n v="1128299"/>
    <d v="2021-06-17T00:00:00"/>
    <x v="0"/>
    <s v="Florida"/>
    <s v="Orlando"/>
    <s v="Women's Street Footwear"/>
    <n v="60"/>
    <n v="238"/>
    <x v="382"/>
    <x v="399"/>
    <s v="Outlet"/>
  </r>
  <r>
    <s v="Walmart"/>
    <n v="1128299"/>
    <d v="2021-07-16T00:00:00"/>
    <x v="0"/>
    <s v="Florida"/>
    <s v="Orlando"/>
    <s v="Women's Street Footwear"/>
    <n v="72"/>
    <n v="238"/>
    <x v="383"/>
    <x v="331"/>
    <s v="Outlet"/>
  </r>
  <r>
    <s v="Kohl's"/>
    <n v="1128299"/>
    <d v="2021-12-25T00:00:00"/>
    <x v="4"/>
    <s v="New Mexico"/>
    <s v="Albuquerque"/>
    <s v="Men's Street Footwear"/>
    <n v="44"/>
    <n v="238"/>
    <x v="381"/>
    <x v="400"/>
    <s v="Outlet"/>
  </r>
  <r>
    <s v="Foot Locker"/>
    <n v="1185732"/>
    <d v="2021-05-16T00:00:00"/>
    <x v="1"/>
    <s v="Mississippi"/>
    <s v="Jackson"/>
    <s v="Men's Street Footwear"/>
    <n v="27"/>
    <n v="238"/>
    <x v="380"/>
    <x v="401"/>
    <s v="Outlet"/>
  </r>
  <r>
    <s v="West Gear"/>
    <n v="1197831"/>
    <d v="2021-12-19T00:00:00"/>
    <x v="1"/>
    <s v="Arkansas"/>
    <s v="Little Rock"/>
    <s v="Men's Street Footwear"/>
    <n v="55"/>
    <n v="238"/>
    <x v="384"/>
    <x v="171"/>
    <s v="Outlet"/>
  </r>
  <r>
    <s v="West Gear"/>
    <n v="1197831"/>
    <d v="2021-07-19T00:00:00"/>
    <x v="1"/>
    <s v="Oklahoma"/>
    <s v="Oklahoma City"/>
    <s v="Men's Street Footwear"/>
    <n v="43"/>
    <n v="238"/>
    <x v="385"/>
    <x v="96"/>
    <s v="Outlet"/>
  </r>
  <r>
    <s v="Walmart"/>
    <n v="1185732"/>
    <d v="2020-04-25T00:00:00"/>
    <x v="3"/>
    <s v="New York"/>
    <s v="New York"/>
    <s v="Men's Apparel"/>
    <n v="64"/>
    <n v="236"/>
    <x v="386"/>
    <x v="402"/>
    <s v="Online"/>
  </r>
  <r>
    <s v="Sports Direct"/>
    <n v="1197831"/>
    <d v="2020-08-01T00:00:00"/>
    <x v="1"/>
    <s v="Texas"/>
    <s v="Houston"/>
    <s v="Men's Athletic Footwear"/>
    <n v="39"/>
    <n v="236"/>
    <x v="387"/>
    <x v="44"/>
    <s v="Online"/>
  </r>
  <r>
    <s v="West Gear"/>
    <n v="1128299"/>
    <d v="2021-01-30T00:00:00"/>
    <x v="4"/>
    <s v="California"/>
    <s v="San Francisco"/>
    <s v="Men's Street Footwear"/>
    <n v="51"/>
    <n v="236"/>
    <x v="388"/>
    <x v="403"/>
    <s v="Online"/>
  </r>
  <r>
    <s v="West Gear"/>
    <n v="1128299"/>
    <d v="2021-02-06T00:00:00"/>
    <x v="4"/>
    <s v="California"/>
    <s v="San Francisco"/>
    <s v="Men's Athletic Footwear"/>
    <n v="58"/>
    <n v="236"/>
    <x v="389"/>
    <x v="143"/>
    <s v="Online"/>
  </r>
  <r>
    <s v="Sports Direct"/>
    <n v="1197831"/>
    <d v="2021-04-14T00:00:00"/>
    <x v="1"/>
    <s v="Tennessee"/>
    <s v="Knoxville"/>
    <s v="Women's Apparel"/>
    <n v="49"/>
    <n v="236"/>
    <x v="390"/>
    <x v="326"/>
    <s v="Online"/>
  </r>
  <r>
    <s v="Sports Direct"/>
    <n v="1197831"/>
    <d v="2020-07-27T00:00:00"/>
    <x v="1"/>
    <s v="Texas"/>
    <s v="Houston"/>
    <s v="Women's Street Footwear"/>
    <n v="27"/>
    <n v="236"/>
    <x v="391"/>
    <x v="404"/>
    <s v="Outlet"/>
  </r>
  <r>
    <s v="Sports Direct"/>
    <n v="1197831"/>
    <d v="2021-08-24T00:00:00"/>
    <x v="1"/>
    <s v="Texas"/>
    <s v="Dallas"/>
    <s v="Men's Athletic Footwear"/>
    <n v="31"/>
    <n v="236"/>
    <x v="392"/>
    <x v="405"/>
    <s v="Outlet"/>
  </r>
  <r>
    <s v="Sports Direct"/>
    <n v="1197831"/>
    <d v="2021-10-03T00:00:00"/>
    <x v="1"/>
    <s v="Texas"/>
    <s v="Dallas"/>
    <s v="Women's Apparel"/>
    <n v="33"/>
    <n v="236"/>
    <x v="393"/>
    <x v="181"/>
    <s v="Outlet"/>
  </r>
  <r>
    <s v="Sports Direct"/>
    <n v="1197831"/>
    <d v="2021-10-15T00:00:00"/>
    <x v="1"/>
    <s v="Texas"/>
    <s v="Dallas"/>
    <s v="Women's Apparel"/>
    <n v="51"/>
    <n v="236"/>
    <x v="388"/>
    <x v="332"/>
    <s v="Outlet"/>
  </r>
  <r>
    <s v="Walmart"/>
    <n v="1197831"/>
    <d v="2021-06-21T00:00:00"/>
    <x v="1"/>
    <s v="Arkansas"/>
    <s v="Little Rock"/>
    <s v="Men's Street Footwear"/>
    <n v="28"/>
    <n v="236"/>
    <x v="394"/>
    <x v="406"/>
    <s v="Outlet"/>
  </r>
  <r>
    <s v="Foot Locker"/>
    <n v="1185732"/>
    <d v="2020-01-05T00:00:00"/>
    <x v="3"/>
    <s v="New York"/>
    <s v="New York"/>
    <s v="Men's Apparel"/>
    <n v="55"/>
    <n v="234"/>
    <x v="395"/>
    <x v="407"/>
    <s v="Online"/>
  </r>
  <r>
    <s v="Foot Locker"/>
    <n v="1185732"/>
    <d v="2020-02-01T00:00:00"/>
    <x v="3"/>
    <s v="New York"/>
    <s v="New York"/>
    <s v="Men's Athletic Footwear"/>
    <n v="47"/>
    <n v="234"/>
    <x v="396"/>
    <x v="309"/>
    <s v="Online"/>
  </r>
  <r>
    <s v="Sports Direct"/>
    <n v="1197831"/>
    <d v="2020-07-19T00:00:00"/>
    <x v="3"/>
    <s v="New York"/>
    <s v="New York"/>
    <s v="Men's Street Footwear"/>
    <n v="24"/>
    <n v="234"/>
    <x v="397"/>
    <x v="408"/>
    <s v="Online"/>
  </r>
  <r>
    <s v="Sports Direct"/>
    <n v="1197831"/>
    <d v="2020-08-06T00:00:00"/>
    <x v="1"/>
    <s v="Texas"/>
    <s v="Houston"/>
    <s v="Men's Street Footwear"/>
    <n v="27"/>
    <n v="234"/>
    <x v="398"/>
    <x v="409"/>
    <s v="Online"/>
  </r>
  <r>
    <s v="Walmart"/>
    <n v="1197831"/>
    <d v="2020-09-07T00:00:00"/>
    <x v="1"/>
    <s v="Texas"/>
    <s v="Houston"/>
    <s v="Women's Street Footwear"/>
    <n v="46"/>
    <n v="234"/>
    <x v="399"/>
    <x v="54"/>
    <s v="Online"/>
  </r>
  <r>
    <s v="Walmart"/>
    <n v="1197831"/>
    <d v="2020-10-20T00:00:00"/>
    <x v="1"/>
    <s v="Texas"/>
    <s v="Houston"/>
    <s v="Men's Street Footwear"/>
    <n v="43"/>
    <n v="234"/>
    <x v="192"/>
    <x v="336"/>
    <s v="Online"/>
  </r>
  <r>
    <s v="West Gear"/>
    <n v="1185732"/>
    <d v="2021-02-10T00:00:00"/>
    <x v="0"/>
    <s v="Florida"/>
    <s v="Orlando"/>
    <s v="Men's Street Footwear"/>
    <n v="44"/>
    <n v="234"/>
    <x v="231"/>
    <x v="295"/>
    <s v="Online"/>
  </r>
  <r>
    <s v="West Gear"/>
    <n v="1128299"/>
    <d v="2020-11-06T00:00:00"/>
    <x v="4"/>
    <s v="California"/>
    <s v="San Francisco"/>
    <s v="Women's Apparel"/>
    <n v="49"/>
    <n v="233"/>
    <x v="400"/>
    <x v="243"/>
    <s v="Online"/>
  </r>
  <r>
    <s v="West Gear"/>
    <n v="1128299"/>
    <d v="2021-01-16T00:00:00"/>
    <x v="4"/>
    <s v="California"/>
    <s v="San Francisco"/>
    <s v="Men's Apparel"/>
    <n v="64"/>
    <n v="233"/>
    <x v="401"/>
    <x v="410"/>
    <s v="Online"/>
  </r>
  <r>
    <s v="West Gear"/>
    <n v="1128299"/>
    <d v="2021-01-17T00:00:00"/>
    <x v="4"/>
    <s v="California"/>
    <s v="San Francisco"/>
    <s v="Women's Apparel"/>
    <n v="72"/>
    <n v="233"/>
    <x v="402"/>
    <x v="107"/>
    <s v="Online"/>
  </r>
  <r>
    <s v="West Gear"/>
    <n v="1128299"/>
    <d v="2021-02-13T00:00:00"/>
    <x v="4"/>
    <s v="California"/>
    <s v="San Francisco"/>
    <s v="Women's Street Footwear"/>
    <n v="52"/>
    <n v="233"/>
    <x v="403"/>
    <x v="411"/>
    <s v="Online"/>
  </r>
  <r>
    <s v="Sports Direct"/>
    <n v="1197831"/>
    <d v="2021-09-27T00:00:00"/>
    <x v="1"/>
    <s v="Texas"/>
    <s v="Dallas"/>
    <s v="Women's Apparel"/>
    <n v="56"/>
    <n v="233"/>
    <x v="252"/>
    <x v="412"/>
    <s v="Online"/>
  </r>
  <r>
    <s v="Sports Direct"/>
    <n v="1197831"/>
    <d v="2021-10-21T00:00:00"/>
    <x v="1"/>
    <s v="Texas"/>
    <s v="Dallas"/>
    <s v="Women's Apparel"/>
    <n v="65"/>
    <n v="233"/>
    <x v="404"/>
    <x v="413"/>
    <s v="Online"/>
  </r>
  <r>
    <s v="West Gear"/>
    <n v="1185732"/>
    <d v="2020-09-09T00:00:00"/>
    <x v="0"/>
    <s v="Florida"/>
    <s v="Miami"/>
    <s v="Men's Apparel"/>
    <n v="62"/>
    <n v="233"/>
    <x v="405"/>
    <x v="414"/>
    <s v="Online"/>
  </r>
  <r>
    <s v="West Gear"/>
    <n v="1185732"/>
    <d v="2020-09-14T00:00:00"/>
    <x v="0"/>
    <s v="Florida"/>
    <s v="Miami"/>
    <s v="Women's Athletic Footwear"/>
    <n v="53"/>
    <n v="233"/>
    <x v="333"/>
    <x v="82"/>
    <s v="Online"/>
  </r>
  <r>
    <s v="Foot Locker"/>
    <n v="1185732"/>
    <d v="2020-09-20T00:00:00"/>
    <x v="0"/>
    <s v="Florida"/>
    <s v="Miami"/>
    <s v="Women's Athletic Footwear"/>
    <n v="44"/>
    <n v="233"/>
    <x v="406"/>
    <x v="232"/>
    <s v="Online"/>
  </r>
  <r>
    <s v="Sports Direct"/>
    <n v="1197831"/>
    <d v="2021-04-21T00:00:00"/>
    <x v="1"/>
    <s v="Tennessee"/>
    <s v="Knoxville"/>
    <s v="Men's Street Footwear"/>
    <n v="41"/>
    <n v="233"/>
    <x v="158"/>
    <x v="267"/>
    <s v="Online"/>
  </r>
  <r>
    <s v="Sports Direct"/>
    <n v="1197831"/>
    <d v="2021-04-22T00:00:00"/>
    <x v="1"/>
    <s v="Tennessee"/>
    <s v="Knoxville"/>
    <s v="Men's Athletic Footwear"/>
    <n v="54"/>
    <n v="233"/>
    <x v="407"/>
    <x v="415"/>
    <s v="Online"/>
  </r>
  <r>
    <s v="Sports Direct"/>
    <n v="1197831"/>
    <d v="2021-10-06T00:00:00"/>
    <x v="1"/>
    <s v="Alabama"/>
    <s v="Birmingham"/>
    <s v="Men's Street Footwear"/>
    <n v="56"/>
    <n v="233"/>
    <x v="252"/>
    <x v="416"/>
    <s v="Online"/>
  </r>
  <r>
    <s v="Foot Locker"/>
    <n v="1128299"/>
    <d v="2021-06-24T00:00:00"/>
    <x v="0"/>
    <s v="Virginia"/>
    <s v="Richmond"/>
    <s v="Men's Street Footwear"/>
    <n v="53"/>
    <n v="233"/>
    <x v="333"/>
    <x v="417"/>
    <s v="Online"/>
  </r>
  <r>
    <s v="West Gear"/>
    <n v="1128299"/>
    <d v="2021-08-24T00:00:00"/>
    <x v="4"/>
    <s v="Oregon"/>
    <s v="Portland"/>
    <s v="Men's Athletic Footwear"/>
    <n v="76"/>
    <n v="233"/>
    <x v="408"/>
    <x v="145"/>
    <s v="Online"/>
  </r>
  <r>
    <s v="Foot Locker"/>
    <n v="1197831"/>
    <d v="2021-12-04T00:00:00"/>
    <x v="4"/>
    <s v="Idaho"/>
    <s v="Boise"/>
    <s v="Men's Street Footwear"/>
    <n v="54"/>
    <n v="233"/>
    <x v="407"/>
    <x v="21"/>
    <s v="Online"/>
  </r>
  <r>
    <s v="Foot Locker"/>
    <n v="1185732"/>
    <d v="2021-08-06T00:00:00"/>
    <x v="0"/>
    <s v="South Carolina"/>
    <s v="Charleston"/>
    <s v="Women's Athletic Footwear"/>
    <n v="44"/>
    <n v="233"/>
    <x v="406"/>
    <x v="239"/>
    <s v="Online"/>
  </r>
  <r>
    <s v="Walmart"/>
    <n v="1197831"/>
    <d v="2021-07-19T00:00:00"/>
    <x v="1"/>
    <s v="Arkansas"/>
    <s v="Little Rock"/>
    <s v="Men's Street Footwear"/>
    <n v="50"/>
    <n v="233"/>
    <x v="409"/>
    <x v="331"/>
    <s v="Online"/>
  </r>
  <r>
    <s v="Walmart"/>
    <n v="1197831"/>
    <d v="2020-09-16T00:00:00"/>
    <x v="1"/>
    <s v="Texas"/>
    <s v="Houston"/>
    <s v="Women's Apparel"/>
    <n v="43"/>
    <n v="233"/>
    <x v="410"/>
    <x v="418"/>
    <s v="Outlet"/>
  </r>
  <r>
    <s v="West Gear"/>
    <n v="1128299"/>
    <d v="2020-11-06T00:00:00"/>
    <x v="4"/>
    <s v="California"/>
    <s v="San Francisco"/>
    <s v="Women's Apparel"/>
    <n v="36"/>
    <n v="233"/>
    <x v="411"/>
    <x v="419"/>
    <s v="Outlet"/>
  </r>
  <r>
    <s v="West Gear"/>
    <n v="1128299"/>
    <d v="2021-01-01T00:00:00"/>
    <x v="4"/>
    <s v="California"/>
    <s v="San Francisco"/>
    <s v="Men's Athletic Footwear"/>
    <n v="51"/>
    <n v="233"/>
    <x v="206"/>
    <x v="58"/>
    <s v="Outlet"/>
  </r>
  <r>
    <s v="Kohl's"/>
    <n v="1189833"/>
    <d v="2021-04-21T00:00:00"/>
    <x v="4"/>
    <s v="California"/>
    <s v="Los Angeles"/>
    <s v="Women's Street Footwear"/>
    <n v="35"/>
    <n v="233"/>
    <x v="197"/>
    <x v="160"/>
    <s v="Outlet"/>
  </r>
  <r>
    <s v="Sports Direct"/>
    <n v="1197831"/>
    <d v="2021-09-04T00:00:00"/>
    <x v="1"/>
    <s v="Texas"/>
    <s v="Dallas"/>
    <s v="Men's Street Footwear"/>
    <n v="13"/>
    <n v="233"/>
    <x v="412"/>
    <x v="420"/>
    <s v="Outlet"/>
  </r>
  <r>
    <s v="West Gear"/>
    <n v="1128299"/>
    <d v="2020-02-07T00:00:00"/>
    <x v="4"/>
    <s v="Nevada"/>
    <s v="Las Vegas"/>
    <s v="Men's Street Footwear"/>
    <n v="48"/>
    <n v="233"/>
    <x v="292"/>
    <x v="421"/>
    <s v="Outlet"/>
  </r>
  <r>
    <s v="Sports Direct"/>
    <n v="1197831"/>
    <d v="2021-04-21T00:00:00"/>
    <x v="1"/>
    <s v="Tennessee"/>
    <s v="Knoxville"/>
    <s v="Men's Street Footwear"/>
    <n v="29"/>
    <n v="233"/>
    <x v="413"/>
    <x v="422"/>
    <s v="Outlet"/>
  </r>
  <r>
    <s v="Sports Direct"/>
    <n v="1197831"/>
    <d v="2021-09-01T00:00:00"/>
    <x v="1"/>
    <s v="Alabama"/>
    <s v="Birmingham"/>
    <s v="Men's Athletic Footwear"/>
    <n v="35"/>
    <n v="233"/>
    <x v="197"/>
    <x v="138"/>
    <s v="Outlet"/>
  </r>
  <r>
    <s v="Sports Direct"/>
    <n v="1197831"/>
    <d v="2021-09-12T00:00:00"/>
    <x v="1"/>
    <s v="Alabama"/>
    <s v="Birmingham"/>
    <s v="Men's Street Footwear"/>
    <n v="27"/>
    <n v="233"/>
    <x v="414"/>
    <x v="423"/>
    <s v="Outlet"/>
  </r>
  <r>
    <s v="Sports Direct"/>
    <n v="1197831"/>
    <d v="2021-09-13T00:00:00"/>
    <x v="1"/>
    <s v="Alabama"/>
    <s v="Birmingham"/>
    <s v="Men's Athletic Footwear"/>
    <n v="39"/>
    <n v="233"/>
    <x v="415"/>
    <x v="314"/>
    <s v="Outlet"/>
  </r>
  <r>
    <s v="Foot Locker"/>
    <n v="1128299"/>
    <d v="2021-06-24T00:00:00"/>
    <x v="0"/>
    <s v="Virginia"/>
    <s v="Richmond"/>
    <s v="Men's Street Footwear"/>
    <n v="37"/>
    <n v="233"/>
    <x v="416"/>
    <x v="424"/>
    <s v="Outlet"/>
  </r>
  <r>
    <s v="Sports Direct"/>
    <n v="1185732"/>
    <d v="2021-01-19T00:00:00"/>
    <x v="0"/>
    <s v="Virginia"/>
    <s v="Richmond"/>
    <s v="Men's Street Footwear"/>
    <n v="23"/>
    <n v="233"/>
    <x v="417"/>
    <x v="157"/>
    <s v="Outlet"/>
  </r>
  <r>
    <s v="West Gear"/>
    <n v="1128299"/>
    <d v="2021-12-23T00:00:00"/>
    <x v="4"/>
    <s v="Oregon"/>
    <s v="Portland"/>
    <s v="Men's Athletic Footwear"/>
    <n v="56"/>
    <n v="233"/>
    <x v="252"/>
    <x v="425"/>
    <s v="Outlet"/>
  </r>
  <r>
    <s v="West Gear"/>
    <n v="1197831"/>
    <d v="2021-06-04T00:00:00"/>
    <x v="4"/>
    <s v="Idaho"/>
    <s v="Boise"/>
    <s v="Men's Street Footwear"/>
    <n v="31"/>
    <n v="233"/>
    <x v="418"/>
    <x v="426"/>
    <s v="Outlet"/>
  </r>
  <r>
    <s v="Foot Locker"/>
    <n v="1197831"/>
    <d v="2021-08-08T00:00:00"/>
    <x v="4"/>
    <s v="Idaho"/>
    <s v="Boise"/>
    <s v="Men's Street Footwear"/>
    <n v="38"/>
    <n v="233"/>
    <x v="419"/>
    <x v="284"/>
    <s v="Outlet"/>
  </r>
  <r>
    <s v="Walmart"/>
    <n v="1197831"/>
    <d v="2021-08-20T00:00:00"/>
    <x v="1"/>
    <s v="Arkansas"/>
    <s v="Little Rock"/>
    <s v="Men's Street Footwear"/>
    <n v="43"/>
    <n v="233"/>
    <x v="410"/>
    <x v="309"/>
    <s v="Outlet"/>
  </r>
  <r>
    <s v="Walmart"/>
    <n v="1197831"/>
    <d v="2020-08-11T00:00:00"/>
    <x v="1"/>
    <s v="Texas"/>
    <s v="Houston"/>
    <s v="Women's Apparel"/>
    <n v="39"/>
    <n v="232"/>
    <x v="420"/>
    <x v="270"/>
    <s v="Online"/>
  </r>
  <r>
    <s v="Walmart"/>
    <n v="1197831"/>
    <d v="2020-08-20T00:00:00"/>
    <x v="1"/>
    <s v="Texas"/>
    <s v="Houston"/>
    <s v="Women's Street Footwear"/>
    <n v="37"/>
    <n v="232"/>
    <x v="421"/>
    <x v="291"/>
    <s v="Online"/>
  </r>
  <r>
    <s v="Kohl's"/>
    <n v="1189833"/>
    <d v="2021-05-14T00:00:00"/>
    <x v="4"/>
    <s v="California"/>
    <s v="Los Angeles"/>
    <s v="Men's Athletic Footwear"/>
    <n v="51"/>
    <n v="232"/>
    <x v="422"/>
    <x v="49"/>
    <s v="Online"/>
  </r>
  <r>
    <s v="Sports Direct"/>
    <n v="1185732"/>
    <d v="2021-09-15T00:00:00"/>
    <x v="2"/>
    <s v="Michigan"/>
    <s v="Detroit"/>
    <s v="Men's Street Footwear"/>
    <n v="42"/>
    <n v="232"/>
    <x v="423"/>
    <x v="187"/>
    <s v="Online"/>
  </r>
  <r>
    <s v="Foot Locker"/>
    <n v="1185732"/>
    <d v="2021-09-05T00:00:00"/>
    <x v="0"/>
    <s v="South Carolina"/>
    <s v="Charleston"/>
    <s v="Women's Apparel"/>
    <n v="52"/>
    <n v="232"/>
    <x v="424"/>
    <x v="427"/>
    <s v="Online"/>
  </r>
  <r>
    <s v="Amazon"/>
    <n v="1185732"/>
    <d v="2021-06-11T00:00:00"/>
    <x v="2"/>
    <s v="Ohio"/>
    <s v="Columbus"/>
    <s v="Men's Street Footwear"/>
    <n v="49"/>
    <n v="232"/>
    <x v="425"/>
    <x v="428"/>
    <s v="Online"/>
  </r>
  <r>
    <s v="Sports Direct"/>
    <n v="1197831"/>
    <d v="2020-08-08T00:00:00"/>
    <x v="1"/>
    <s v="Texas"/>
    <s v="Houston"/>
    <s v="Women's Street Footwear"/>
    <n v="24"/>
    <n v="232"/>
    <x v="426"/>
    <x v="429"/>
    <s v="Outlet"/>
  </r>
  <r>
    <s v="Kohl's"/>
    <n v="1189833"/>
    <d v="2021-05-03T00:00:00"/>
    <x v="4"/>
    <s v="California"/>
    <s v="Los Angeles"/>
    <s v="Women's Street Footwear"/>
    <n v="34"/>
    <n v="232"/>
    <x v="195"/>
    <x v="430"/>
    <s v="Outlet"/>
  </r>
  <r>
    <s v="Kohl's"/>
    <n v="1189833"/>
    <d v="2021-05-30T00:00:00"/>
    <x v="4"/>
    <s v="California"/>
    <s v="Los Angeles"/>
    <s v="Women's Apparel"/>
    <n v="44"/>
    <n v="232"/>
    <x v="177"/>
    <x v="431"/>
    <s v="Outlet"/>
  </r>
  <r>
    <s v="Sports Direct"/>
    <n v="1197831"/>
    <d v="2021-09-28T00:00:00"/>
    <x v="1"/>
    <s v="Texas"/>
    <s v="Dallas"/>
    <s v="Men's Street Footwear"/>
    <n v="38"/>
    <n v="232"/>
    <x v="78"/>
    <x v="109"/>
    <s v="Outlet"/>
  </r>
  <r>
    <s v="Sports Direct"/>
    <n v="1197831"/>
    <d v="2021-04-26T00:00:00"/>
    <x v="1"/>
    <s v="Tennessee"/>
    <s v="Knoxville"/>
    <s v="Women's Apparel"/>
    <n v="40"/>
    <n v="232"/>
    <x v="376"/>
    <x v="205"/>
    <s v="Outlet"/>
  </r>
  <r>
    <s v="Foot Locker"/>
    <n v="1197831"/>
    <d v="2021-12-04T00:00:00"/>
    <x v="4"/>
    <s v="Idaho"/>
    <s v="Boise"/>
    <s v="Women's Apparel"/>
    <n v="47"/>
    <n v="232"/>
    <x v="427"/>
    <x v="149"/>
    <s v="Outlet"/>
  </r>
  <r>
    <s v="Walmart"/>
    <n v="1185732"/>
    <d v="2021-09-16T00:00:00"/>
    <x v="1"/>
    <s v="Mississippi"/>
    <s v="Jackson"/>
    <s v="Men's Street Footwear"/>
    <n v="40"/>
    <n v="232"/>
    <x v="376"/>
    <x v="81"/>
    <s v="Outlet"/>
  </r>
  <r>
    <s v="Foot Locker"/>
    <n v="1185732"/>
    <d v="2020-03-14T00:00:00"/>
    <x v="3"/>
    <s v="New York"/>
    <s v="New York"/>
    <s v="Men's Apparel"/>
    <n v="58"/>
    <n v="231"/>
    <x v="428"/>
    <x v="97"/>
    <s v="Online"/>
  </r>
  <r>
    <s v="Kohl's"/>
    <n v="1189833"/>
    <d v="2021-05-19T00:00:00"/>
    <x v="4"/>
    <s v="California"/>
    <s v="Los Angeles"/>
    <s v="Men's Street Footwear"/>
    <n v="49"/>
    <n v="231"/>
    <x v="49"/>
    <x v="295"/>
    <s v="Online"/>
  </r>
  <r>
    <s v="Sports Direct"/>
    <n v="1197831"/>
    <d v="2021-09-16T00:00:00"/>
    <x v="1"/>
    <s v="Texas"/>
    <s v="Dallas"/>
    <s v="Men's Street Footwear"/>
    <n v="41"/>
    <n v="231"/>
    <x v="239"/>
    <x v="421"/>
    <s v="Online"/>
  </r>
  <r>
    <s v="Sports Direct"/>
    <n v="1197831"/>
    <d v="2021-10-17T00:00:00"/>
    <x v="1"/>
    <s v="Texas"/>
    <s v="Dallas"/>
    <s v="Men's Athletic Footwear"/>
    <n v="56"/>
    <n v="231"/>
    <x v="429"/>
    <x v="271"/>
    <s v="Online"/>
  </r>
  <r>
    <s v="West Gear"/>
    <n v="1185732"/>
    <d v="2020-09-19T00:00:00"/>
    <x v="0"/>
    <s v="Florida"/>
    <s v="Miami"/>
    <s v="Women's Street Footwear"/>
    <n v="53"/>
    <n v="231"/>
    <x v="359"/>
    <x v="277"/>
    <s v="Online"/>
  </r>
  <r>
    <s v="West Gear"/>
    <n v="1197831"/>
    <d v="2021-06-04T00:00:00"/>
    <x v="4"/>
    <s v="Idaho"/>
    <s v="Boise"/>
    <s v="Women's Apparel"/>
    <n v="55"/>
    <n v="231"/>
    <x v="430"/>
    <x v="432"/>
    <s v="Online"/>
  </r>
  <r>
    <s v="Foot Locker"/>
    <n v="1185732"/>
    <d v="2021-08-06T00:00:00"/>
    <x v="0"/>
    <s v="South Carolina"/>
    <s v="Charleston"/>
    <s v="Women's Street Footwear"/>
    <n v="50"/>
    <n v="231"/>
    <x v="431"/>
    <x v="61"/>
    <s v="Online"/>
  </r>
  <r>
    <s v="Sports Direct"/>
    <n v="1185732"/>
    <d v="2021-01-06T00:00:00"/>
    <x v="0"/>
    <s v="South Carolina"/>
    <s v="Charleston"/>
    <s v="Men's Street Footwear"/>
    <n v="33"/>
    <n v="231"/>
    <x v="432"/>
    <x v="155"/>
    <s v="Online"/>
  </r>
  <r>
    <s v="Sports Direct"/>
    <n v="1185732"/>
    <d v="2021-06-04T00:00:00"/>
    <x v="0"/>
    <s v="North Carolina"/>
    <s v="Charlotte"/>
    <s v="Women's Apparel"/>
    <n v="67"/>
    <n v="231"/>
    <x v="433"/>
    <x v="433"/>
    <s v="Online"/>
  </r>
  <r>
    <s v="Sports Direct"/>
    <n v="1185732"/>
    <d v="2021-08-03T00:00:00"/>
    <x v="0"/>
    <s v="North Carolina"/>
    <s v="Charlotte"/>
    <s v="Women's Apparel"/>
    <n v="54"/>
    <n v="231"/>
    <x v="434"/>
    <x v="434"/>
    <s v="Online"/>
  </r>
  <r>
    <s v="Amazon"/>
    <n v="1185732"/>
    <d v="2021-02-11T00:00:00"/>
    <x v="0"/>
    <s v="North Carolina"/>
    <s v="Charlotte"/>
    <s v="Men's Street Footwear"/>
    <n v="32"/>
    <n v="231"/>
    <x v="435"/>
    <x v="435"/>
    <s v="Online"/>
  </r>
  <r>
    <s v="Amazon"/>
    <n v="1185732"/>
    <d v="2021-03-09T00:00:00"/>
    <x v="2"/>
    <s v="Ohio"/>
    <s v="Columbus"/>
    <s v="Men's Street Footwear"/>
    <n v="27"/>
    <n v="231"/>
    <x v="436"/>
    <x v="436"/>
    <s v="Online"/>
  </r>
  <r>
    <s v="Amazon"/>
    <n v="1185732"/>
    <d v="2021-12-09T00:00:00"/>
    <x v="2"/>
    <s v="Ohio"/>
    <s v="Columbus"/>
    <s v="Men's Street Footwear"/>
    <n v="70"/>
    <n v="231"/>
    <x v="437"/>
    <x v="437"/>
    <s v="Online"/>
  </r>
  <r>
    <s v="Sports Direct"/>
    <n v="1197831"/>
    <d v="2020-07-30T00:00:00"/>
    <x v="1"/>
    <s v="Texas"/>
    <s v="Houston"/>
    <s v="Women's Apparel"/>
    <n v="26"/>
    <n v="231"/>
    <x v="438"/>
    <x v="438"/>
    <s v="Outlet"/>
  </r>
  <r>
    <s v="West Gear"/>
    <n v="1128299"/>
    <d v="2020-11-14T00:00:00"/>
    <x v="4"/>
    <s v="California"/>
    <s v="San Francisco"/>
    <s v="Men's Athletic Footwear"/>
    <n v="39"/>
    <n v="231"/>
    <x v="439"/>
    <x v="439"/>
    <s v="Outlet"/>
  </r>
  <r>
    <s v="Kohl's"/>
    <n v="1189833"/>
    <d v="2021-05-27T00:00:00"/>
    <x v="4"/>
    <s v="California"/>
    <s v="Los Angeles"/>
    <s v="Women's Street Footwear"/>
    <n v="39"/>
    <n v="231"/>
    <x v="439"/>
    <x v="44"/>
    <s v="Outlet"/>
  </r>
  <r>
    <s v="Sports Direct"/>
    <n v="1197831"/>
    <d v="2021-08-29T00:00:00"/>
    <x v="1"/>
    <s v="Texas"/>
    <s v="Dallas"/>
    <s v="Men's Street Footwear"/>
    <n v="13"/>
    <n v="231"/>
    <x v="440"/>
    <x v="440"/>
    <s v="Outlet"/>
  </r>
  <r>
    <s v="Walmart"/>
    <n v="1128299"/>
    <d v="2021-08-17T00:00:00"/>
    <x v="0"/>
    <s v="Florida"/>
    <s v="Orlando"/>
    <s v="Women's Street Footwear"/>
    <n v="62"/>
    <n v="231"/>
    <x v="441"/>
    <x v="47"/>
    <s v="Outlet"/>
  </r>
  <r>
    <s v="Walmart"/>
    <n v="1128299"/>
    <d v="2021-11-17T00:00:00"/>
    <x v="0"/>
    <s v="Florida"/>
    <s v="Orlando"/>
    <s v="Men's Athletic Footwear"/>
    <n v="46"/>
    <n v="231"/>
    <x v="66"/>
    <x v="159"/>
    <s v="Outlet"/>
  </r>
  <r>
    <s v="Foot Locker"/>
    <n v="1128299"/>
    <d v="2021-06-24T00:00:00"/>
    <x v="0"/>
    <s v="Virginia"/>
    <s v="Richmond"/>
    <s v="Women's Apparel"/>
    <n v="82"/>
    <n v="231"/>
    <x v="442"/>
    <x v="441"/>
    <s v="Outlet"/>
  </r>
  <r>
    <s v="West Gear"/>
    <n v="1185732"/>
    <d v="2021-12-10T00:00:00"/>
    <x v="4"/>
    <s v="Utah"/>
    <s v="Salt Lake City"/>
    <s v="Men's Street Footwear"/>
    <n v="29"/>
    <n v="231"/>
    <x v="325"/>
    <x v="263"/>
    <s v="Outlet"/>
  </r>
  <r>
    <s v="West Gear"/>
    <n v="1128299"/>
    <d v="2021-06-24T00:00:00"/>
    <x v="4"/>
    <s v="Oregon"/>
    <s v="Portland"/>
    <s v="Women's Apparel"/>
    <n v="74"/>
    <n v="231"/>
    <x v="258"/>
    <x v="269"/>
    <s v="Outlet"/>
  </r>
  <r>
    <s v="Foot Locker"/>
    <n v="1185732"/>
    <d v="2020-01-29T00:00:00"/>
    <x v="3"/>
    <s v="New York"/>
    <s v="New York"/>
    <s v="Men's Apparel"/>
    <n v="59"/>
    <n v="230"/>
    <x v="443"/>
    <x v="442"/>
    <s v="Online"/>
  </r>
  <r>
    <s v="Foot Locker"/>
    <n v="1185732"/>
    <d v="2020-02-09T00:00:00"/>
    <x v="3"/>
    <s v="New York"/>
    <s v="New York"/>
    <s v="Women's Athletic Footwear"/>
    <n v="46"/>
    <n v="230"/>
    <x v="444"/>
    <x v="443"/>
    <s v="Online"/>
  </r>
  <r>
    <s v="West Gear"/>
    <n v="1128299"/>
    <d v="2020-11-13T00:00:00"/>
    <x v="4"/>
    <s v="California"/>
    <s v="San Francisco"/>
    <s v="Men's Street Footwear"/>
    <n v="49"/>
    <n v="230"/>
    <x v="445"/>
    <x v="242"/>
    <s v="Online"/>
  </r>
  <r>
    <s v="Foot Locker"/>
    <n v="1185732"/>
    <d v="2020-08-08T00:00:00"/>
    <x v="4"/>
    <s v="Washington"/>
    <s v="Seattle"/>
    <s v="Women's Street Footwear"/>
    <n v="34"/>
    <n v="230"/>
    <x v="446"/>
    <x v="121"/>
    <s v="Online"/>
  </r>
  <r>
    <s v="Walmart"/>
    <n v="1197831"/>
    <d v="2020-10-23T00:00:00"/>
    <x v="1"/>
    <s v="Texas"/>
    <s v="Houston"/>
    <s v="Women's Athletic Footwear"/>
    <n v="36"/>
    <n v="230"/>
    <x v="447"/>
    <x v="44"/>
    <s v="Outlet"/>
  </r>
  <r>
    <s v="Kohl's"/>
    <n v="1189833"/>
    <d v="2021-05-05T00:00:00"/>
    <x v="4"/>
    <s v="California"/>
    <s v="Los Angeles"/>
    <s v="Men's Apparel"/>
    <n v="43"/>
    <n v="230"/>
    <x v="448"/>
    <x v="444"/>
    <s v="Outlet"/>
  </r>
  <r>
    <s v="Sports Direct"/>
    <n v="1197831"/>
    <d v="2021-08-17T00:00:00"/>
    <x v="1"/>
    <s v="Texas"/>
    <s v="Dallas"/>
    <s v="Men's Street Footwear"/>
    <n v="19"/>
    <n v="230"/>
    <x v="449"/>
    <x v="445"/>
    <s v="Outlet"/>
  </r>
  <r>
    <s v="Sports Direct"/>
    <n v="1197831"/>
    <d v="2021-09-05T00:00:00"/>
    <x v="4"/>
    <s v="Idaho"/>
    <s v="Boise"/>
    <s v="Men's Street Footwear"/>
    <n v="41"/>
    <n v="230"/>
    <x v="450"/>
    <x v="140"/>
    <s v="Outlet"/>
  </r>
  <r>
    <s v="West Gear"/>
    <n v="1197831"/>
    <d v="2021-08-20T00:00:00"/>
    <x v="1"/>
    <s v="Oklahoma"/>
    <s v="Oklahoma City"/>
    <s v="Men's Street Footwear"/>
    <n v="41"/>
    <n v="230"/>
    <x v="450"/>
    <x v="186"/>
    <s v="Outlet"/>
  </r>
  <r>
    <s v="West Gear"/>
    <n v="1128299"/>
    <d v="2020-12-25T00:00:00"/>
    <x v="4"/>
    <s v="California"/>
    <s v="San Francisco"/>
    <s v="Men's Street Footwear"/>
    <n v="56"/>
    <n v="228"/>
    <x v="451"/>
    <x v="446"/>
    <s v="Online"/>
  </r>
  <r>
    <s v="Kohl's"/>
    <n v="1185732"/>
    <d v="2021-07-10T00:00:00"/>
    <x v="4"/>
    <s v="Wyoming"/>
    <s v="Cheyenne"/>
    <s v="Men's Street Footwear"/>
    <n v="48"/>
    <n v="228"/>
    <x v="452"/>
    <x v="101"/>
    <s v="Online"/>
  </r>
  <r>
    <s v="Sports Direct"/>
    <n v="1185732"/>
    <d v="2021-12-05T00:00:00"/>
    <x v="0"/>
    <s v="South Carolina"/>
    <s v="Charleston"/>
    <s v="Women's Apparel"/>
    <n v="68"/>
    <n v="228"/>
    <x v="308"/>
    <x v="447"/>
    <s v="Online"/>
  </r>
  <r>
    <s v="Amazon"/>
    <n v="1185732"/>
    <d v="2021-08-10T00:00:00"/>
    <x v="2"/>
    <s v="Ohio"/>
    <s v="Columbus"/>
    <s v="Men's Street Footwear"/>
    <n v="61"/>
    <n v="228"/>
    <x v="453"/>
    <x v="448"/>
    <s v="Online"/>
  </r>
  <r>
    <s v="Sports Direct"/>
    <n v="1197831"/>
    <d v="2020-08-05T00:00:00"/>
    <x v="1"/>
    <s v="Texas"/>
    <s v="Houston"/>
    <s v="Women's Apparel"/>
    <n v="29"/>
    <n v="228"/>
    <x v="394"/>
    <x v="88"/>
    <s v="Outlet"/>
  </r>
  <r>
    <s v="Walmart"/>
    <n v="1197831"/>
    <d v="2020-09-03T00:00:00"/>
    <x v="1"/>
    <s v="Texas"/>
    <s v="Houston"/>
    <s v="Men's Apparel"/>
    <n v="35"/>
    <n v="228"/>
    <x v="454"/>
    <x v="449"/>
    <s v="Outlet"/>
  </r>
  <r>
    <s v="West Gear"/>
    <n v="1128299"/>
    <d v="2021-01-03T00:00:00"/>
    <x v="4"/>
    <s v="California"/>
    <s v="San Francisco"/>
    <s v="Women's Athletic Footwear"/>
    <n v="42"/>
    <n v="228"/>
    <x v="455"/>
    <x v="167"/>
    <s v="Outlet"/>
  </r>
  <r>
    <s v="West Gear"/>
    <n v="1128299"/>
    <d v="2021-02-09T00:00:00"/>
    <x v="4"/>
    <s v="California"/>
    <s v="San Francisco"/>
    <s v="Men's Apparel"/>
    <n v="51"/>
    <n v="228"/>
    <x v="63"/>
    <x v="450"/>
    <s v="Outlet"/>
  </r>
  <r>
    <s v="Kohl's"/>
    <n v="1189833"/>
    <d v="2021-03-20T00:00:00"/>
    <x v="4"/>
    <s v="California"/>
    <s v="Los Angeles"/>
    <s v="Men's Athletic Footwear"/>
    <n v="36"/>
    <n v="228"/>
    <x v="456"/>
    <x v="451"/>
    <s v="Outlet"/>
  </r>
  <r>
    <s v="Kohl's"/>
    <n v="1189833"/>
    <d v="2021-04-28T00:00:00"/>
    <x v="4"/>
    <s v="California"/>
    <s v="Los Angeles"/>
    <s v="Women's Athletic Footwear"/>
    <n v="29"/>
    <n v="228"/>
    <x v="394"/>
    <x v="408"/>
    <s v="Outlet"/>
  </r>
  <r>
    <s v="Sports Direct"/>
    <n v="1197831"/>
    <d v="2021-10-12T00:00:00"/>
    <x v="1"/>
    <s v="Texas"/>
    <s v="Dallas"/>
    <s v="Women's Street Footwear"/>
    <n v="51"/>
    <n v="228"/>
    <x v="63"/>
    <x v="375"/>
    <s v="Outlet"/>
  </r>
  <r>
    <s v="Sports Direct"/>
    <n v="1197831"/>
    <d v="2021-09-02T00:00:00"/>
    <x v="1"/>
    <s v="Alabama"/>
    <s v="Birmingham"/>
    <s v="Women's Street Footwear"/>
    <n v="35"/>
    <n v="228"/>
    <x v="454"/>
    <x v="452"/>
    <s v="Outlet"/>
  </r>
  <r>
    <s v="West Gear"/>
    <n v="1185732"/>
    <d v="2021-03-10T00:00:00"/>
    <x v="4"/>
    <s v="Utah"/>
    <s v="Salt Lake City"/>
    <s v="Men's Street Footwear"/>
    <n v="20"/>
    <n v="228"/>
    <x v="457"/>
    <x v="453"/>
    <s v="Outlet"/>
  </r>
  <r>
    <s v="West Gear"/>
    <n v="1185732"/>
    <d v="2021-05-12T00:00:00"/>
    <x v="4"/>
    <s v="Utah"/>
    <s v="Salt Lake City"/>
    <s v="Men's Street Footwear"/>
    <n v="27"/>
    <n v="228"/>
    <x v="458"/>
    <x v="454"/>
    <s v="Outlet"/>
  </r>
  <r>
    <s v="West Gear"/>
    <n v="1185732"/>
    <d v="2021-09-12T00:00:00"/>
    <x v="4"/>
    <s v="Utah"/>
    <s v="Salt Lake City"/>
    <s v="Men's Street Footwear"/>
    <n v="23"/>
    <n v="228"/>
    <x v="459"/>
    <x v="455"/>
    <s v="Outlet"/>
  </r>
  <r>
    <s v="Walmart"/>
    <n v="1197831"/>
    <d v="2021-05-19T00:00:00"/>
    <x v="1"/>
    <s v="Arkansas"/>
    <s v="Little Rock"/>
    <s v="Men's Street Footwear"/>
    <n v="26"/>
    <n v="228"/>
    <x v="460"/>
    <x v="456"/>
    <s v="Outlet"/>
  </r>
  <r>
    <s v="Foot Locker"/>
    <n v="1185732"/>
    <d v="2021-06-08T00:00:00"/>
    <x v="2"/>
    <s v="Illinois"/>
    <s v="Chicago"/>
    <s v="Women's Street Footwear"/>
    <n v="35"/>
    <n v="225"/>
    <x v="461"/>
    <x v="457"/>
    <s v="Outlet"/>
  </r>
  <r>
    <s v="Foot Locker"/>
    <n v="1185732"/>
    <d v="2021-06-14T00:00:00"/>
    <x v="2"/>
    <s v="Illinois"/>
    <s v="Chicago"/>
    <s v="Women's Street Footwear"/>
    <n v="40"/>
    <n v="225"/>
    <x v="5"/>
    <x v="2"/>
    <s v="Outlet"/>
  </r>
  <r>
    <s v="Foot Locker"/>
    <n v="1185732"/>
    <d v="2021-07-15T00:00:00"/>
    <x v="2"/>
    <s v="Illinois"/>
    <s v="Chicago"/>
    <s v="Women's Athletic Footwear"/>
    <n v="40"/>
    <n v="225"/>
    <x v="5"/>
    <x v="127"/>
    <s v="Outlet"/>
  </r>
  <r>
    <s v="Foot Locker"/>
    <n v="1185732"/>
    <d v="2021-10-24T00:00:00"/>
    <x v="1"/>
    <s v="Texas"/>
    <s v="Dallas"/>
    <s v="Women's Street Footwear"/>
    <n v="35"/>
    <n v="225"/>
    <x v="461"/>
    <x v="2"/>
    <s v="Outlet"/>
  </r>
  <r>
    <s v="Foot Locker"/>
    <n v="1185732"/>
    <d v="2020-10-28T00:00:00"/>
    <x v="2"/>
    <s v="Minnesota"/>
    <s v="Minneapolis"/>
    <s v="Women's Apparel"/>
    <n v="35"/>
    <n v="225"/>
    <x v="461"/>
    <x v="458"/>
    <s v="In-store"/>
  </r>
  <r>
    <s v="Foot Locker"/>
    <n v="1185732"/>
    <d v="2020-11-24T00:00:00"/>
    <x v="2"/>
    <s v="Minnesota"/>
    <s v="Minneapolis"/>
    <s v="Women's Street Footwear"/>
    <n v="40"/>
    <n v="225"/>
    <x v="5"/>
    <x v="6"/>
    <s v="Outlet"/>
  </r>
  <r>
    <s v="Foot Locker"/>
    <n v="1185732"/>
    <d v="2020-11-30T00:00:00"/>
    <x v="2"/>
    <s v="Minnesota"/>
    <s v="Minneapolis"/>
    <s v="Women's Street Footwear"/>
    <n v="40"/>
    <n v="225"/>
    <x v="5"/>
    <x v="6"/>
    <s v="Outlet"/>
  </r>
  <r>
    <s v="Foot Locker"/>
    <n v="1185732"/>
    <d v="2021-05-22T00:00:00"/>
    <x v="1"/>
    <s v="Tennessee"/>
    <s v="Knoxville"/>
    <s v="Men's Athletic Footwear"/>
    <n v="35"/>
    <n v="225"/>
    <x v="461"/>
    <x v="457"/>
    <s v="Outlet"/>
  </r>
  <r>
    <s v="Foot Locker"/>
    <n v="1185732"/>
    <d v="2021-05-23T00:00:00"/>
    <x v="1"/>
    <s v="Tennessee"/>
    <s v="Knoxville"/>
    <s v="Women's Street Footwear"/>
    <n v="25"/>
    <n v="225"/>
    <x v="21"/>
    <x v="27"/>
    <s v="Outlet"/>
  </r>
  <r>
    <s v="Foot Locker"/>
    <n v="1185732"/>
    <d v="2021-05-26T00:00:00"/>
    <x v="2"/>
    <s v="Nebraska"/>
    <s v="Omaha"/>
    <s v="Women's Apparel"/>
    <n v="35"/>
    <n v="225"/>
    <x v="461"/>
    <x v="319"/>
    <s v="Outlet"/>
  </r>
  <r>
    <s v="Foot Locker"/>
    <n v="1185732"/>
    <d v="2021-06-28T00:00:00"/>
    <x v="2"/>
    <s v="Nebraska"/>
    <s v="Omaha"/>
    <s v="Women's Street Footwear"/>
    <n v="35"/>
    <n v="225"/>
    <x v="461"/>
    <x v="457"/>
    <s v="Outlet"/>
  </r>
  <r>
    <s v="Amazon"/>
    <n v="1185732"/>
    <d v="2021-11-04T00:00:00"/>
    <x v="3"/>
    <s v="Maine"/>
    <s v="Portland"/>
    <s v="Women's Apparel"/>
    <n v="40"/>
    <n v="225"/>
    <x v="5"/>
    <x v="127"/>
    <s v="Outlet"/>
  </r>
  <r>
    <s v="Foot Locker"/>
    <n v="1185732"/>
    <d v="2021-04-18T00:00:00"/>
    <x v="2"/>
    <s v="Missouri"/>
    <s v="St. Louis"/>
    <s v="Men's Apparel"/>
    <n v="40"/>
    <n v="225"/>
    <x v="5"/>
    <x v="2"/>
    <s v="In-store"/>
  </r>
  <r>
    <s v="Foot Locker"/>
    <n v="1185732"/>
    <d v="2021-05-19T00:00:00"/>
    <x v="2"/>
    <s v="Missouri"/>
    <s v="St. Louis"/>
    <s v="Women's Athletic Footwear"/>
    <n v="30"/>
    <n v="225"/>
    <x v="6"/>
    <x v="6"/>
    <s v="In-store"/>
  </r>
  <r>
    <s v="Foot Locker"/>
    <n v="1185732"/>
    <d v="2021-10-18T00:00:00"/>
    <x v="2"/>
    <s v="Missouri"/>
    <s v="St. Louis"/>
    <s v="Women's Athletic Footwear"/>
    <n v="25"/>
    <n v="225"/>
    <x v="21"/>
    <x v="26"/>
    <s v="In-store"/>
  </r>
  <r>
    <s v="Foot Locker"/>
    <n v="1185732"/>
    <d v="2021-10-18T00:00:00"/>
    <x v="2"/>
    <s v="Missouri"/>
    <s v="St. Louis"/>
    <s v="Men's Apparel"/>
    <n v="35"/>
    <n v="225"/>
    <x v="461"/>
    <x v="457"/>
    <s v="In-store"/>
  </r>
  <r>
    <s v="West Gear"/>
    <n v="1128299"/>
    <d v="2021-05-18T00:00:00"/>
    <x v="1"/>
    <s v="Louisiana"/>
    <s v="New Orleans"/>
    <s v="Men's Apparel"/>
    <n v="40"/>
    <n v="225"/>
    <x v="5"/>
    <x v="125"/>
    <s v="In-store"/>
  </r>
  <r>
    <s v="Foot Locker"/>
    <n v="1128299"/>
    <d v="2021-02-23T00:00:00"/>
    <x v="4"/>
    <s v="Arizona"/>
    <s v="Phoenix"/>
    <s v="Women's Athletic Footwear"/>
    <n v="40"/>
    <n v="225"/>
    <x v="5"/>
    <x v="2"/>
    <s v="Online"/>
  </r>
  <r>
    <s v="Amazon"/>
    <n v="1185732"/>
    <d v="2021-06-22T00:00:00"/>
    <x v="0"/>
    <s v="Kentucky"/>
    <s v="Louisville"/>
    <s v="Women's Street Footwear"/>
    <n v="30"/>
    <n v="225"/>
    <x v="6"/>
    <x v="6"/>
    <s v="Online"/>
  </r>
  <r>
    <s v="Amazon"/>
    <n v="1185732"/>
    <d v="2021-07-21T00:00:00"/>
    <x v="0"/>
    <s v="Kentucky"/>
    <s v="Louisville"/>
    <s v="Women's Athletic Footwear"/>
    <n v="40"/>
    <n v="225"/>
    <x v="5"/>
    <x v="127"/>
    <s v="Online"/>
  </r>
  <r>
    <s v="Amazon"/>
    <n v="1185732"/>
    <d v="2021-09-23T00:00:00"/>
    <x v="0"/>
    <s v="Kentucky"/>
    <s v="Louisville"/>
    <s v="Women's Street Footwear"/>
    <n v="35"/>
    <n v="225"/>
    <x v="461"/>
    <x v="2"/>
    <s v="Online"/>
  </r>
  <r>
    <s v="Walmart"/>
    <n v="1197831"/>
    <d v="2021-04-20T00:00:00"/>
    <x v="1"/>
    <s v="Arkansas"/>
    <s v="Little Rock"/>
    <s v="Women's Athletic Footwear"/>
    <n v="20"/>
    <n v="225"/>
    <x v="108"/>
    <x v="128"/>
    <s v="Online"/>
  </r>
  <r>
    <s v="West Gear"/>
    <n v="1197831"/>
    <d v="2021-01-23T00:00:00"/>
    <x v="1"/>
    <s v="Arkansas"/>
    <s v="Little Rock"/>
    <s v="Women's Athletic Footwear"/>
    <n v="20"/>
    <n v="225"/>
    <x v="108"/>
    <x v="128"/>
    <s v="Online"/>
  </r>
  <r>
    <s v="West Gear"/>
    <n v="1197831"/>
    <d v="2021-04-20T00:00:00"/>
    <x v="1"/>
    <s v="Oklahoma"/>
    <s v="Oklahoma City"/>
    <s v="Men's Athletic Footwear"/>
    <n v="25"/>
    <n v="225"/>
    <x v="21"/>
    <x v="27"/>
    <s v="Online"/>
  </r>
  <r>
    <s v="West Gear"/>
    <n v="1197831"/>
    <d v="2021-04-20T00:00:00"/>
    <x v="1"/>
    <s v="Oklahoma"/>
    <s v="Oklahoma City"/>
    <s v="Women's Street Footwear"/>
    <n v="15"/>
    <n v="225"/>
    <x v="462"/>
    <x v="459"/>
    <s v="Online"/>
  </r>
  <r>
    <s v="West Gear"/>
    <n v="1197831"/>
    <d v="2021-05-19T00:00:00"/>
    <x v="1"/>
    <s v="Oklahoma"/>
    <s v="Oklahoma City"/>
    <s v="Women's Athletic Footwear"/>
    <n v="35"/>
    <n v="225"/>
    <x v="461"/>
    <x v="2"/>
    <s v="Online"/>
  </r>
  <r>
    <s v="West Gear"/>
    <n v="1197831"/>
    <d v="2021-10-21T00:00:00"/>
    <x v="1"/>
    <s v="Oklahoma"/>
    <s v="Oklahoma City"/>
    <s v="Women's Street Footwear"/>
    <n v="20"/>
    <n v="225"/>
    <x v="108"/>
    <x v="128"/>
    <s v="Online"/>
  </r>
  <r>
    <s v="Kohl's"/>
    <n v="1197831"/>
    <d v="2021-02-14T00:00:00"/>
    <x v="2"/>
    <s v="Kansas"/>
    <s v="Wichita"/>
    <s v="Men's Apparel"/>
    <n v="35"/>
    <n v="225"/>
    <x v="461"/>
    <x v="457"/>
    <s v="Online"/>
  </r>
  <r>
    <s v="Kohl's"/>
    <n v="1197831"/>
    <d v="2021-03-12T00:00:00"/>
    <x v="2"/>
    <s v="Kansas"/>
    <s v="Wichita"/>
    <s v="Men's Athletic Footwear"/>
    <n v="20"/>
    <n v="225"/>
    <x v="108"/>
    <x v="126"/>
    <s v="Online"/>
  </r>
  <r>
    <s v="Kohl's"/>
    <n v="1197831"/>
    <d v="2021-09-12T00:00:00"/>
    <x v="2"/>
    <s v="Kansas"/>
    <s v="Wichita"/>
    <s v="Women's Athletic Footwear"/>
    <n v="15"/>
    <n v="225"/>
    <x v="462"/>
    <x v="460"/>
    <s v="Online"/>
  </r>
  <r>
    <s v="Kohl's"/>
    <n v="1197831"/>
    <d v="2021-09-12T00:00:00"/>
    <x v="2"/>
    <s v="Kansas"/>
    <s v="Wichita"/>
    <s v="Men's Apparel"/>
    <n v="25"/>
    <n v="225"/>
    <x v="21"/>
    <x v="27"/>
    <s v="Online"/>
  </r>
  <r>
    <s v="Foot Locker"/>
    <n v="1185732"/>
    <d v="2021-02-12T00:00:00"/>
    <x v="2"/>
    <s v="Kansas"/>
    <s v="Wichita"/>
    <s v="Women's Street Footwear"/>
    <n v="30"/>
    <n v="225"/>
    <x v="6"/>
    <x v="461"/>
    <s v="Online"/>
  </r>
  <r>
    <s v="Foot Locker"/>
    <n v="1185732"/>
    <d v="2021-03-11T00:00:00"/>
    <x v="2"/>
    <s v="South Dakota"/>
    <s v="Sioux Falls"/>
    <s v="Women's Street Footwear"/>
    <n v="30"/>
    <n v="225"/>
    <x v="6"/>
    <x v="461"/>
    <s v="Online"/>
  </r>
  <r>
    <s v="Foot Locker"/>
    <n v="1185732"/>
    <d v="2021-03-11T00:00:00"/>
    <x v="2"/>
    <s v="South Dakota"/>
    <s v="Sioux Falls"/>
    <s v="Women's Apparel"/>
    <n v="40"/>
    <n v="225"/>
    <x v="5"/>
    <x v="127"/>
    <s v="Online"/>
  </r>
  <r>
    <s v="Foot Locker"/>
    <n v="1185732"/>
    <d v="2021-07-11T00:00:00"/>
    <x v="2"/>
    <s v="South Dakota"/>
    <s v="Sioux Falls"/>
    <s v="Women's Street Footwear"/>
    <n v="40"/>
    <n v="225"/>
    <x v="5"/>
    <x v="6"/>
    <s v="Online"/>
  </r>
  <r>
    <s v="Foot Locker"/>
    <n v="1185732"/>
    <d v="2021-08-12T00:00:00"/>
    <x v="2"/>
    <s v="South Dakota"/>
    <s v="Sioux Falls"/>
    <s v="Women's Street Footwear"/>
    <n v="40"/>
    <n v="225"/>
    <x v="5"/>
    <x v="6"/>
    <s v="Online"/>
  </r>
  <r>
    <s v="Sports Direct"/>
    <n v="1185732"/>
    <d v="2021-02-09T00:00:00"/>
    <x v="2"/>
    <s v="South Dakota"/>
    <s v="Sioux Falls"/>
    <s v="Women's Street Footwear"/>
    <n v="25"/>
    <n v="225"/>
    <x v="21"/>
    <x v="462"/>
    <s v="Online"/>
  </r>
  <r>
    <s v="Sports Direct"/>
    <n v="1185732"/>
    <d v="2021-03-08T00:00:00"/>
    <x v="2"/>
    <s v="North Dakota"/>
    <s v="Fargo"/>
    <s v="Women's Street Footwear"/>
    <n v="20"/>
    <n v="225"/>
    <x v="108"/>
    <x v="459"/>
    <s v="Online"/>
  </r>
  <r>
    <s v="Sports Direct"/>
    <n v="1185732"/>
    <d v="2021-03-08T00:00:00"/>
    <x v="2"/>
    <s v="North Dakota"/>
    <s v="Fargo"/>
    <s v="Women's Apparel"/>
    <n v="30"/>
    <n v="225"/>
    <x v="6"/>
    <x v="6"/>
    <s v="Online"/>
  </r>
  <r>
    <s v="Sports Direct"/>
    <n v="1185732"/>
    <d v="2021-07-08T00:00:00"/>
    <x v="2"/>
    <s v="North Dakota"/>
    <s v="Fargo"/>
    <s v="Women's Street Footwear"/>
    <n v="40"/>
    <n v="225"/>
    <x v="5"/>
    <x v="6"/>
    <s v="In-store"/>
  </r>
  <r>
    <s v="Sports Direct"/>
    <n v="1185732"/>
    <d v="2021-08-09T00:00:00"/>
    <x v="2"/>
    <s v="North Dakota"/>
    <s v="Fargo"/>
    <s v="Women's Street Footwear"/>
    <n v="40"/>
    <n v="225"/>
    <x v="5"/>
    <x v="6"/>
    <s v="In-store"/>
  </r>
  <r>
    <s v="Foot Locker"/>
    <n v="1185732"/>
    <d v="2021-03-05T00:00:00"/>
    <x v="2"/>
    <s v="Iowa"/>
    <s v="Des Moines"/>
    <s v="Women's Street Footwear"/>
    <n v="10"/>
    <n v="225"/>
    <x v="463"/>
    <x v="463"/>
    <s v="In-store"/>
  </r>
  <r>
    <s v="Foot Locker"/>
    <n v="1185732"/>
    <d v="2021-05-07T00:00:00"/>
    <x v="2"/>
    <s v="Iowa"/>
    <s v="Des Moines"/>
    <s v="Men's Athletic Footwear"/>
    <n v="40"/>
    <n v="225"/>
    <x v="5"/>
    <x v="2"/>
    <s v="In-store"/>
  </r>
  <r>
    <s v="Foot Locker"/>
    <n v="1185732"/>
    <d v="2021-07-05T00:00:00"/>
    <x v="2"/>
    <s v="Iowa"/>
    <s v="Des Moines"/>
    <s v="Women's Street Footwear"/>
    <n v="40"/>
    <n v="225"/>
    <x v="5"/>
    <x v="6"/>
    <s v="In-store"/>
  </r>
  <r>
    <s v="Foot Locker"/>
    <n v="1185732"/>
    <d v="2021-08-06T00:00:00"/>
    <x v="2"/>
    <s v="Iowa"/>
    <s v="Des Moines"/>
    <s v="Women's Street Footwear"/>
    <n v="40"/>
    <n v="225"/>
    <x v="5"/>
    <x v="6"/>
    <s v="In-store"/>
  </r>
  <r>
    <s v="Foot Locker"/>
    <n v="1185732"/>
    <d v="2021-09-07T00:00:00"/>
    <x v="2"/>
    <s v="Iowa"/>
    <s v="Des Moines"/>
    <s v="Women's Apparel"/>
    <n v="40"/>
    <n v="225"/>
    <x v="5"/>
    <x v="127"/>
    <s v="In-store"/>
  </r>
  <r>
    <s v="West Gear"/>
    <n v="1185732"/>
    <d v="2021-03-02T00:00:00"/>
    <x v="2"/>
    <s v="Wisconsin"/>
    <s v="Milwaukee"/>
    <s v="Women's Street Footwear"/>
    <n v="10"/>
    <n v="225"/>
    <x v="463"/>
    <x v="463"/>
    <s v="In-store"/>
  </r>
  <r>
    <s v="West Gear"/>
    <n v="1185732"/>
    <d v="2021-03-02T00:00:00"/>
    <x v="2"/>
    <s v="Wisconsin"/>
    <s v="Milwaukee"/>
    <s v="Women's Apparel"/>
    <n v="20"/>
    <n v="225"/>
    <x v="108"/>
    <x v="128"/>
    <s v="In-store"/>
  </r>
  <r>
    <s v="West Gear"/>
    <n v="1185732"/>
    <d v="2021-07-02T00:00:00"/>
    <x v="2"/>
    <s v="Wisconsin"/>
    <s v="Milwaukee"/>
    <s v="Women's Street Footwear"/>
    <n v="40"/>
    <n v="225"/>
    <x v="5"/>
    <x v="6"/>
    <s v="In-store"/>
  </r>
  <r>
    <s v="West Gear"/>
    <n v="1185732"/>
    <d v="2021-08-03T00:00:00"/>
    <x v="2"/>
    <s v="Wisconsin"/>
    <s v="Milwaukee"/>
    <s v="Women's Street Footwear"/>
    <n v="40"/>
    <n v="225"/>
    <x v="5"/>
    <x v="6"/>
    <s v="In-store"/>
  </r>
  <r>
    <s v="West Gear"/>
    <n v="1185732"/>
    <d v="2021-10-03T00:00:00"/>
    <x v="2"/>
    <s v="Wisconsin"/>
    <s v="Milwaukee"/>
    <s v="Men's Athletic Footwear"/>
    <n v="35"/>
    <n v="225"/>
    <x v="461"/>
    <x v="457"/>
    <s v="In-store"/>
  </r>
  <r>
    <s v="West Gear"/>
    <n v="1185732"/>
    <d v="2021-11-03T00:00:00"/>
    <x v="2"/>
    <s v="Wisconsin"/>
    <s v="Milwaukee"/>
    <s v="Women's Athletic Footwear"/>
    <n v="35"/>
    <n v="225"/>
    <x v="461"/>
    <x v="464"/>
    <s v="In-store"/>
  </r>
  <r>
    <s v="West Gear"/>
    <n v="1185732"/>
    <d v="2021-03-09T00:00:00"/>
    <x v="2"/>
    <s v="Indiana"/>
    <s v="Indianapolis"/>
    <s v="Men's Athletic Footwear"/>
    <n v="25"/>
    <n v="225"/>
    <x v="21"/>
    <x v="26"/>
    <s v="In-store"/>
  </r>
  <r>
    <s v="West Gear"/>
    <n v="1185732"/>
    <d v="2021-05-11T00:00:00"/>
    <x v="2"/>
    <s v="Indiana"/>
    <s v="Indianapolis"/>
    <s v="Women's Street Footwear"/>
    <n v="35"/>
    <n v="225"/>
    <x v="461"/>
    <x v="457"/>
    <s v="In-store"/>
  </r>
  <r>
    <s v="West Gear"/>
    <n v="1185732"/>
    <d v="2021-08-10T00:00:00"/>
    <x v="2"/>
    <s v="Indiana"/>
    <s v="Indianapolis"/>
    <s v="Women's Street Footwear"/>
    <n v="40"/>
    <n v="225"/>
    <x v="5"/>
    <x v="2"/>
    <s v="In-store"/>
  </r>
  <r>
    <s v="West Gear"/>
    <n v="1185732"/>
    <d v="2021-09-11T00:00:00"/>
    <x v="2"/>
    <s v="Indiana"/>
    <s v="Indianapolis"/>
    <s v="Women's Apparel"/>
    <n v="40"/>
    <n v="225"/>
    <x v="5"/>
    <x v="127"/>
    <s v="In-store"/>
  </r>
  <r>
    <s v="West Gear"/>
    <n v="1185732"/>
    <d v="2021-03-16T00:00:00"/>
    <x v="3"/>
    <s v="West Virginia"/>
    <s v="Charleston"/>
    <s v="Men's Apparel"/>
    <n v="40"/>
    <n v="225"/>
    <x v="5"/>
    <x v="127"/>
    <s v="In-store"/>
  </r>
  <r>
    <s v="West Gear"/>
    <n v="1185732"/>
    <d v="2021-09-18T00:00:00"/>
    <x v="3"/>
    <s v="West Virginia"/>
    <s v="Charleston"/>
    <s v="Women's Athletic Footwear"/>
    <n v="25"/>
    <n v="225"/>
    <x v="21"/>
    <x v="26"/>
    <s v="In-store"/>
  </r>
  <r>
    <s v="West Gear"/>
    <n v="1185732"/>
    <d v="2021-09-18T00:00:00"/>
    <x v="3"/>
    <s v="West Virginia"/>
    <s v="Charleston"/>
    <s v="Men's Apparel"/>
    <n v="35"/>
    <n v="225"/>
    <x v="461"/>
    <x v="2"/>
    <s v="In-store"/>
  </r>
  <r>
    <s v="Foot Locker"/>
    <n v="1185732"/>
    <d v="2021-01-24T00:00:00"/>
    <x v="3"/>
    <s v="West Virginia"/>
    <s v="Charleston"/>
    <s v="Men's Athletic Footwear"/>
    <n v="35"/>
    <n v="225"/>
    <x v="461"/>
    <x v="457"/>
    <s v="In-store"/>
  </r>
  <r>
    <s v="Foot Locker"/>
    <n v="1185732"/>
    <d v="2021-01-24T00:00:00"/>
    <x v="3"/>
    <s v="West Virginia"/>
    <s v="Charleston"/>
    <s v="Women's Street Footwear"/>
    <n v="25"/>
    <n v="225"/>
    <x v="21"/>
    <x v="27"/>
    <s v="In-store"/>
  </r>
  <r>
    <s v="Foot Locker"/>
    <n v="1185732"/>
    <d v="2021-01-24T00:00:00"/>
    <x v="3"/>
    <s v="West Virginia"/>
    <s v="Charleston"/>
    <s v="Women's Apparel"/>
    <n v="35"/>
    <n v="225"/>
    <x v="461"/>
    <x v="464"/>
    <s v="In-store"/>
  </r>
  <r>
    <s v="West Gear"/>
    <n v="1185732"/>
    <d v="2021-02-22T00:00:00"/>
    <x v="3"/>
    <s v="Maryland"/>
    <s v="Baltimore"/>
    <s v="Women's Apparel"/>
    <n v="35"/>
    <n v="225"/>
    <x v="461"/>
    <x v="464"/>
    <s v="In-store"/>
  </r>
  <r>
    <s v="Foot Locker"/>
    <n v="1185732"/>
    <d v="2021-02-15T00:00:00"/>
    <x v="3"/>
    <s v="Maryland"/>
    <s v="Baltimore"/>
    <s v="Men's Athletic Footwear"/>
    <n v="40"/>
    <n v="225"/>
    <x v="5"/>
    <x v="2"/>
    <s v="In-store"/>
  </r>
  <r>
    <s v="Foot Locker"/>
    <n v="1185732"/>
    <d v="2021-04-14T00:00:00"/>
    <x v="3"/>
    <s v="Delaware"/>
    <s v="Wilmington"/>
    <s v="Men's Athletic Footwear"/>
    <n v="40"/>
    <n v="225"/>
    <x v="5"/>
    <x v="2"/>
    <s v="In-store"/>
  </r>
  <r>
    <s v="Foot Locker"/>
    <n v="1185732"/>
    <d v="2021-04-14T00:00:00"/>
    <x v="3"/>
    <s v="Delaware"/>
    <s v="Wilmington"/>
    <s v="Women's Street Footwear"/>
    <n v="30"/>
    <n v="225"/>
    <x v="6"/>
    <x v="6"/>
    <s v="In-store"/>
  </r>
  <r>
    <s v="Kohl's"/>
    <n v="1185732"/>
    <d v="2021-02-08T00:00:00"/>
    <x v="3"/>
    <s v="Delaware"/>
    <s v="Wilmington"/>
    <s v="Women's Street Footwear"/>
    <n v="25"/>
    <n v="225"/>
    <x v="21"/>
    <x v="26"/>
    <s v="In-store"/>
  </r>
  <r>
    <s v="Kohl's"/>
    <n v="1185732"/>
    <d v="2021-03-06T00:00:00"/>
    <x v="3"/>
    <s v="New Jersey"/>
    <s v="Newark"/>
    <s v="Women's Street Footwear"/>
    <n v="25"/>
    <n v="225"/>
    <x v="21"/>
    <x v="26"/>
    <s v="In-store"/>
  </r>
  <r>
    <s v="Kohl's"/>
    <n v="1185732"/>
    <d v="2021-03-06T00:00:00"/>
    <x v="3"/>
    <s v="New Jersey"/>
    <s v="Newark"/>
    <s v="Women's Apparel"/>
    <n v="35"/>
    <n v="225"/>
    <x v="461"/>
    <x v="2"/>
    <s v="In-store"/>
  </r>
  <r>
    <s v="Sports Direct"/>
    <n v="1185732"/>
    <d v="2021-03-03T00:00:00"/>
    <x v="3"/>
    <s v="Connecticut"/>
    <s v="Hartford"/>
    <s v="Men's Athletic Footwear"/>
    <n v="40"/>
    <n v="225"/>
    <x v="5"/>
    <x v="127"/>
    <s v="In-store"/>
  </r>
  <r>
    <s v="Foot Locker"/>
    <n v="1185732"/>
    <d v="2021-01-10T00:00:00"/>
    <x v="3"/>
    <s v="Connecticut"/>
    <s v="Hartford"/>
    <s v="Men's Athletic Footwear"/>
    <n v="35"/>
    <n v="225"/>
    <x v="461"/>
    <x v="457"/>
    <s v="In-store"/>
  </r>
  <r>
    <s v="Foot Locker"/>
    <n v="1185732"/>
    <d v="2021-01-10T00:00:00"/>
    <x v="3"/>
    <s v="Connecticut"/>
    <s v="Hartford"/>
    <s v="Women's Street Footwear"/>
    <n v="25"/>
    <n v="225"/>
    <x v="21"/>
    <x v="26"/>
    <s v="In-store"/>
  </r>
  <r>
    <s v="Foot Locker"/>
    <n v="1185732"/>
    <d v="2021-01-10T00:00:00"/>
    <x v="3"/>
    <s v="Connecticut"/>
    <s v="Hartford"/>
    <s v="Women's Apparel"/>
    <n v="35"/>
    <n v="225"/>
    <x v="461"/>
    <x v="2"/>
    <s v="In-store"/>
  </r>
  <r>
    <s v="Foot Locker"/>
    <n v="1185732"/>
    <d v="2021-02-08T00:00:00"/>
    <x v="3"/>
    <s v="Rhode Island"/>
    <s v="Providence"/>
    <s v="Women's Apparel"/>
    <n v="35"/>
    <n v="225"/>
    <x v="461"/>
    <x v="2"/>
    <s v="In-store"/>
  </r>
  <r>
    <s v="Foot Locker"/>
    <n v="1185732"/>
    <d v="2021-06-08T00:00:00"/>
    <x v="3"/>
    <s v="Rhode Island"/>
    <s v="Providence"/>
    <s v="Women's Street Footwear"/>
    <n v="40"/>
    <n v="225"/>
    <x v="5"/>
    <x v="127"/>
    <s v="In-store"/>
  </r>
  <r>
    <s v="Amazon"/>
    <n v="1185732"/>
    <d v="2021-04-11T00:00:00"/>
    <x v="3"/>
    <s v="Vermont"/>
    <s v="Burlington"/>
    <s v="Women's Street Footwear"/>
    <n v="35"/>
    <n v="225"/>
    <x v="461"/>
    <x v="457"/>
    <s v="In-store"/>
  </r>
  <r>
    <s v="Walmart"/>
    <n v="1185732"/>
    <d v="2020-05-06T00:00:00"/>
    <x v="3"/>
    <s v="New York"/>
    <s v="New York"/>
    <s v="Women's Athletic Footwear"/>
    <n v="54"/>
    <n v="225"/>
    <x v="323"/>
    <x v="22"/>
    <s v="Online"/>
  </r>
  <r>
    <s v="Sports Direct"/>
    <n v="1197831"/>
    <d v="2020-07-20T00:00:00"/>
    <x v="3"/>
    <s v="New York"/>
    <s v="New York"/>
    <s v="Men's Athletic Footwear"/>
    <n v="34"/>
    <n v="225"/>
    <x v="464"/>
    <x v="392"/>
    <s v="Online"/>
  </r>
  <r>
    <s v="Sports Direct"/>
    <n v="1197831"/>
    <d v="2020-08-07T00:00:00"/>
    <x v="1"/>
    <s v="Texas"/>
    <s v="Houston"/>
    <s v="Men's Athletic Footwear"/>
    <n v="38"/>
    <n v="225"/>
    <x v="153"/>
    <x v="465"/>
    <s v="Online"/>
  </r>
  <r>
    <s v="Walmart"/>
    <n v="1197831"/>
    <d v="2020-08-14T00:00:00"/>
    <x v="1"/>
    <s v="Texas"/>
    <s v="Houston"/>
    <s v="Women's Street Footwear"/>
    <n v="33"/>
    <n v="225"/>
    <x v="465"/>
    <x v="466"/>
    <s v="Online"/>
  </r>
  <r>
    <s v="Walmart"/>
    <n v="1197831"/>
    <d v="2020-09-04T00:00:00"/>
    <x v="1"/>
    <s v="Texas"/>
    <s v="Houston"/>
    <s v="Women's Apparel"/>
    <n v="46"/>
    <n v="225"/>
    <x v="466"/>
    <x v="271"/>
    <s v="Online"/>
  </r>
  <r>
    <s v="West Gear"/>
    <n v="1128299"/>
    <d v="2021-01-01T00:00:00"/>
    <x v="4"/>
    <s v="California"/>
    <s v="San Francisco"/>
    <s v="Men's Athletic Footwear"/>
    <n v="64"/>
    <n v="225"/>
    <x v="83"/>
    <x v="71"/>
    <s v="Online"/>
  </r>
  <r>
    <s v="West Gear"/>
    <n v="1128299"/>
    <d v="2021-01-26T00:00:00"/>
    <x v="4"/>
    <s v="California"/>
    <s v="San Francisco"/>
    <s v="Women's Street Footwear"/>
    <n v="52"/>
    <n v="225"/>
    <x v="467"/>
    <x v="395"/>
    <s v="Online"/>
  </r>
  <r>
    <s v="Kohl's"/>
    <n v="1189833"/>
    <d v="2021-03-13T00:00:00"/>
    <x v="4"/>
    <s v="California"/>
    <s v="Los Angeles"/>
    <s v="Men's Street Footwear"/>
    <n v="34"/>
    <n v="225"/>
    <x v="464"/>
    <x v="86"/>
    <s v="Online"/>
  </r>
  <r>
    <s v="Kohl's"/>
    <n v="1189833"/>
    <d v="2021-04-20T00:00:00"/>
    <x v="4"/>
    <s v="California"/>
    <s v="Los Angeles"/>
    <s v="Men's Athletic Footwear"/>
    <n v="47"/>
    <n v="225"/>
    <x v="444"/>
    <x v="435"/>
    <s v="Online"/>
  </r>
  <r>
    <s v="Kohl's"/>
    <n v="1189833"/>
    <d v="2021-05-25T00:00:00"/>
    <x v="4"/>
    <s v="California"/>
    <s v="Los Angeles"/>
    <s v="Men's Street Footwear"/>
    <n v="49"/>
    <n v="225"/>
    <x v="77"/>
    <x v="467"/>
    <s v="Online"/>
  </r>
  <r>
    <s v="Foot Locker"/>
    <n v="1185732"/>
    <d v="2020-08-19T00:00:00"/>
    <x v="0"/>
    <s v="Florida"/>
    <s v="Miami"/>
    <s v="Men's Athletic Footwear"/>
    <n v="42"/>
    <n v="225"/>
    <x v="174"/>
    <x v="468"/>
    <s v="Online"/>
  </r>
  <r>
    <s v="Foot Locker"/>
    <n v="1185732"/>
    <d v="2020-08-23T00:00:00"/>
    <x v="0"/>
    <s v="Florida"/>
    <s v="Miami"/>
    <s v="Women's Apparel"/>
    <n v="42"/>
    <n v="225"/>
    <x v="174"/>
    <x v="469"/>
    <s v="Online"/>
  </r>
  <r>
    <s v="West Gear"/>
    <n v="1185732"/>
    <d v="2020-09-12T00:00:00"/>
    <x v="0"/>
    <s v="Florida"/>
    <s v="Miami"/>
    <s v="Men's Athletic Footwear"/>
    <n v="57"/>
    <n v="225"/>
    <x v="468"/>
    <x v="470"/>
    <s v="Online"/>
  </r>
  <r>
    <s v="Foot Locker"/>
    <n v="1185732"/>
    <d v="2020-09-21T00:00:00"/>
    <x v="0"/>
    <s v="Florida"/>
    <s v="Miami"/>
    <s v="Men's Apparel"/>
    <n v="52"/>
    <n v="225"/>
    <x v="467"/>
    <x v="54"/>
    <s v="Online"/>
  </r>
  <r>
    <s v="Sports Direct"/>
    <n v="1185732"/>
    <d v="2020-09-25T00:00:00"/>
    <x v="0"/>
    <s v="Florida"/>
    <s v="Miami"/>
    <s v="Women's Street Footwear"/>
    <n v="41"/>
    <n v="225"/>
    <x v="469"/>
    <x v="250"/>
    <s v="Online"/>
  </r>
  <r>
    <s v="Sports Direct"/>
    <n v="1197831"/>
    <d v="2021-05-20T00:00:00"/>
    <x v="1"/>
    <s v="Tennessee"/>
    <s v="Knoxville"/>
    <s v="Women's Apparel"/>
    <n v="61"/>
    <n v="225"/>
    <x v="470"/>
    <x v="330"/>
    <s v="Online"/>
  </r>
  <r>
    <s v="Sports Direct"/>
    <n v="1197831"/>
    <d v="2021-09-12T00:00:00"/>
    <x v="1"/>
    <s v="Alabama"/>
    <s v="Birmingham"/>
    <s v="Men's Street Footwear"/>
    <n v="38"/>
    <n v="225"/>
    <x v="153"/>
    <x v="425"/>
    <s v="Online"/>
  </r>
  <r>
    <s v="Sports Direct"/>
    <n v="1197831"/>
    <d v="2021-10-07T00:00:00"/>
    <x v="1"/>
    <s v="Alabama"/>
    <s v="Birmingham"/>
    <s v="Men's Athletic Footwear"/>
    <n v="58"/>
    <n v="225"/>
    <x v="252"/>
    <x v="471"/>
    <s v="Online"/>
  </r>
  <r>
    <s v="Walmart"/>
    <n v="1128299"/>
    <d v="2021-07-16T00:00:00"/>
    <x v="0"/>
    <s v="Florida"/>
    <s v="Orlando"/>
    <s v="Men's Athletic Footwear"/>
    <n v="88"/>
    <n v="225"/>
    <x v="471"/>
    <x v="190"/>
    <s v="Online"/>
  </r>
  <r>
    <s v="Foot Locker"/>
    <n v="1128299"/>
    <d v="2021-12-23T00:00:00"/>
    <x v="0"/>
    <s v="Virginia"/>
    <s v="Richmond"/>
    <s v="Men's Street Footwear"/>
    <n v="60"/>
    <n v="225"/>
    <x v="109"/>
    <x v="472"/>
    <s v="Online"/>
  </r>
  <r>
    <s v="Foot Locker"/>
    <n v="1128299"/>
    <d v="2021-12-23T00:00:00"/>
    <x v="0"/>
    <s v="Virginia"/>
    <s v="Richmond"/>
    <s v="Men's Athletic Footwear"/>
    <n v="74"/>
    <n v="225"/>
    <x v="472"/>
    <x v="150"/>
    <s v="Online"/>
  </r>
  <r>
    <s v="Sports Direct"/>
    <n v="1185732"/>
    <d v="2021-07-15T00:00:00"/>
    <x v="2"/>
    <s v="Michigan"/>
    <s v="Detroit"/>
    <s v="Men's Street Footwear"/>
    <n v="57"/>
    <n v="225"/>
    <x v="468"/>
    <x v="473"/>
    <s v="Online"/>
  </r>
  <r>
    <s v="Sports Direct"/>
    <n v="1185732"/>
    <d v="2021-10-17T00:00:00"/>
    <x v="2"/>
    <s v="Michigan"/>
    <s v="Detroit"/>
    <s v="Men's Street Footwear"/>
    <n v="49"/>
    <n v="225"/>
    <x v="77"/>
    <x v="271"/>
    <s v="Online"/>
  </r>
  <r>
    <s v="West Gear"/>
    <n v="1128299"/>
    <d v="2021-06-24T00:00:00"/>
    <x v="4"/>
    <s v="Oregon"/>
    <s v="Portland"/>
    <s v="Men's Street Footwear"/>
    <n v="51"/>
    <n v="225"/>
    <x v="147"/>
    <x v="467"/>
    <s v="Online"/>
  </r>
  <r>
    <s v="Foot Locker"/>
    <n v="1185732"/>
    <d v="2021-08-06T00:00:00"/>
    <x v="0"/>
    <s v="South Carolina"/>
    <s v="Charleston"/>
    <s v="Men's Apparel"/>
    <n v="51"/>
    <n v="225"/>
    <x v="147"/>
    <x v="268"/>
    <s v="Online"/>
  </r>
  <r>
    <s v="Foot Locker"/>
    <n v="1185732"/>
    <d v="2021-10-07T00:00:00"/>
    <x v="0"/>
    <s v="South Carolina"/>
    <s v="Charleston"/>
    <s v="Women's Apparel"/>
    <n v="56"/>
    <n v="225"/>
    <x v="34"/>
    <x v="474"/>
    <s v="Online"/>
  </r>
  <r>
    <s v="Foot Locker"/>
    <n v="1185732"/>
    <d v="2021-11-06T00:00:00"/>
    <x v="0"/>
    <s v="South Carolina"/>
    <s v="Charleston"/>
    <s v="Women's Athletic Footwear"/>
    <n v="53"/>
    <n v="225"/>
    <x v="473"/>
    <x v="475"/>
    <s v="Online"/>
  </r>
  <r>
    <s v="Sports Direct"/>
    <n v="1185732"/>
    <d v="2021-12-05T00:00:00"/>
    <x v="0"/>
    <s v="South Carolina"/>
    <s v="Charleston"/>
    <s v="Men's Apparel"/>
    <n v="66"/>
    <n v="225"/>
    <x v="474"/>
    <x v="118"/>
    <s v="Online"/>
  </r>
  <r>
    <s v="Amazon"/>
    <n v="1185732"/>
    <d v="2021-12-02T00:00:00"/>
    <x v="0"/>
    <s v="North Carolina"/>
    <s v="Charlotte"/>
    <s v="Women's Apparel"/>
    <n v="69"/>
    <n v="225"/>
    <x v="475"/>
    <x v="476"/>
    <s v="Online"/>
  </r>
  <r>
    <s v="Amazon"/>
    <n v="1185732"/>
    <d v="2021-09-09T00:00:00"/>
    <x v="2"/>
    <s v="Ohio"/>
    <s v="Columbus"/>
    <s v="Men's Street Footwear"/>
    <n v="50"/>
    <n v="225"/>
    <x v="476"/>
    <x v="178"/>
    <s v="Online"/>
  </r>
  <r>
    <s v="Foot Locker"/>
    <n v="1185732"/>
    <d v="2021-02-18T00:00:00"/>
    <x v="0"/>
    <s v="Kentucky"/>
    <s v="Louisville"/>
    <s v="Men's Street Footwear"/>
    <n v="28"/>
    <n v="225"/>
    <x v="477"/>
    <x v="264"/>
    <s v="Online"/>
  </r>
  <r>
    <s v="West Gear"/>
    <n v="1128299"/>
    <d v="2021-01-02T00:00:00"/>
    <x v="4"/>
    <s v="California"/>
    <s v="San Francisco"/>
    <s v="Women's Street Footwear"/>
    <n v="46"/>
    <n v="225"/>
    <x v="466"/>
    <x v="334"/>
    <s v="Outlet"/>
  </r>
  <r>
    <s v="West Gear"/>
    <n v="1128299"/>
    <d v="2021-01-05T00:00:00"/>
    <x v="4"/>
    <s v="California"/>
    <s v="San Francisco"/>
    <s v="Women's Apparel"/>
    <n v="58"/>
    <n v="225"/>
    <x v="252"/>
    <x v="477"/>
    <s v="Outlet"/>
  </r>
  <r>
    <s v="West Gear"/>
    <n v="1128299"/>
    <d v="2021-01-28T00:00:00"/>
    <x v="4"/>
    <s v="California"/>
    <s v="San Francisco"/>
    <s v="Men's Apparel"/>
    <n v="43"/>
    <n v="225"/>
    <x v="478"/>
    <x v="340"/>
    <s v="Outlet"/>
  </r>
  <r>
    <s v="Kohl's"/>
    <n v="1189833"/>
    <d v="2021-04-20T00:00:00"/>
    <x v="4"/>
    <s v="California"/>
    <s v="Los Angeles"/>
    <s v="Men's Athletic Footwear"/>
    <n v="35"/>
    <n v="225"/>
    <x v="479"/>
    <x v="455"/>
    <s v="Outlet"/>
  </r>
  <r>
    <s v="Sports Direct"/>
    <n v="1197831"/>
    <d v="2021-10-10T00:00:00"/>
    <x v="1"/>
    <s v="Texas"/>
    <s v="Dallas"/>
    <s v="Men's Street Footwear"/>
    <n v="31"/>
    <n v="225"/>
    <x v="480"/>
    <x v="477"/>
    <s v="Outlet"/>
  </r>
  <r>
    <s v="Sports Direct"/>
    <n v="1197831"/>
    <d v="2021-05-20T00:00:00"/>
    <x v="1"/>
    <s v="Tennessee"/>
    <s v="Knoxville"/>
    <s v="Women's Apparel"/>
    <n v="49"/>
    <n v="225"/>
    <x v="77"/>
    <x v="448"/>
    <s v="Outlet"/>
  </r>
  <r>
    <s v="Sports Direct"/>
    <n v="1197831"/>
    <d v="2021-08-31T00:00:00"/>
    <x v="1"/>
    <s v="Alabama"/>
    <s v="Birmingham"/>
    <s v="Men's Street Footwear"/>
    <n v="30"/>
    <n v="225"/>
    <x v="481"/>
    <x v="436"/>
    <s v="Outlet"/>
  </r>
  <r>
    <s v="Sports Direct"/>
    <n v="1197831"/>
    <d v="2021-10-11T00:00:00"/>
    <x v="1"/>
    <s v="Alabama"/>
    <s v="Birmingham"/>
    <s v="Women's Apparel"/>
    <n v="56"/>
    <n v="225"/>
    <x v="34"/>
    <x v="228"/>
    <s v="Outlet"/>
  </r>
  <r>
    <s v="Foot Locker"/>
    <n v="1128299"/>
    <d v="2021-12-23T00:00:00"/>
    <x v="0"/>
    <s v="Virginia"/>
    <s v="Richmond"/>
    <s v="Men's Athletic Footwear"/>
    <n v="54"/>
    <n v="225"/>
    <x v="323"/>
    <x v="396"/>
    <s v="Outlet"/>
  </r>
  <r>
    <s v="West Gear"/>
    <n v="1128299"/>
    <d v="2021-12-23T00:00:00"/>
    <x v="4"/>
    <s v="Oregon"/>
    <s v="Portland"/>
    <s v="Men's Street Footwear"/>
    <n v="51"/>
    <n v="225"/>
    <x v="147"/>
    <x v="84"/>
    <s v="Outlet"/>
  </r>
  <r>
    <s v="Kohl's"/>
    <n v="1189833"/>
    <d v="2021-05-13T00:00:00"/>
    <x v="4"/>
    <s v="California"/>
    <s v="Los Angeles"/>
    <s v="Men's Street Footwear"/>
    <n v="49"/>
    <n v="224"/>
    <x v="141"/>
    <x v="478"/>
    <s v="Online"/>
  </r>
  <r>
    <s v="Sports Direct"/>
    <n v="1197831"/>
    <d v="2021-09-09T00:00:00"/>
    <x v="1"/>
    <s v="Texas"/>
    <s v="Dallas"/>
    <s v="Women's Apparel"/>
    <n v="43"/>
    <n v="224"/>
    <x v="331"/>
    <x v="479"/>
    <s v="Online"/>
  </r>
  <r>
    <s v="Sports Direct"/>
    <n v="1197831"/>
    <d v="2021-09-10T00:00:00"/>
    <x v="1"/>
    <s v="Texas"/>
    <s v="Dallas"/>
    <s v="Men's Street Footwear"/>
    <n v="41"/>
    <n v="224"/>
    <x v="214"/>
    <x v="480"/>
    <s v="Online"/>
  </r>
  <r>
    <s v="Sports Direct"/>
    <n v="1185732"/>
    <d v="2020-10-06T00:00:00"/>
    <x v="0"/>
    <s v="Florida"/>
    <s v="Miami"/>
    <s v="Men's Athletic Footwear"/>
    <n v="49"/>
    <n v="224"/>
    <x v="141"/>
    <x v="54"/>
    <s v="Online"/>
  </r>
  <r>
    <s v="Sports Direct"/>
    <n v="1185732"/>
    <d v="2020-10-07T00:00:00"/>
    <x v="0"/>
    <s v="Florida"/>
    <s v="Miami"/>
    <s v="Women's Street Footwear"/>
    <n v="46"/>
    <n v="224"/>
    <x v="231"/>
    <x v="155"/>
    <s v="Online"/>
  </r>
  <r>
    <s v="Kohl's"/>
    <n v="1185732"/>
    <d v="2021-12-10T00:00:00"/>
    <x v="4"/>
    <s v="Wyoming"/>
    <s v="Cheyenne"/>
    <s v="Men's Street Footwear"/>
    <n v="52"/>
    <n v="224"/>
    <x v="409"/>
    <x v="481"/>
    <s v="Online"/>
  </r>
  <r>
    <s v="West Gear"/>
    <n v="1185732"/>
    <d v="2021-07-10T00:00:00"/>
    <x v="4"/>
    <s v="Utah"/>
    <s v="Salt Lake City"/>
    <s v="Men's Street Footwear"/>
    <n v="34"/>
    <n v="224"/>
    <x v="432"/>
    <x v="186"/>
    <s v="Online"/>
  </r>
  <r>
    <s v="Sports Direct"/>
    <n v="1185732"/>
    <d v="2021-07-02T00:00:00"/>
    <x v="0"/>
    <s v="North Carolina"/>
    <s v="Charlotte"/>
    <s v="Men's Athletic Footwear"/>
    <n v="58"/>
    <n v="224"/>
    <x v="46"/>
    <x v="361"/>
    <s v="Online"/>
  </r>
  <r>
    <s v="Sports Direct"/>
    <n v="1197831"/>
    <d v="2020-07-24T00:00:00"/>
    <x v="1"/>
    <s v="Texas"/>
    <s v="Houston"/>
    <s v="Women's Apparel"/>
    <n v="25"/>
    <n v="224"/>
    <x v="482"/>
    <x v="74"/>
    <s v="Outlet"/>
  </r>
  <r>
    <s v="Sports Direct"/>
    <n v="1197831"/>
    <d v="2020-08-02T00:00:00"/>
    <x v="1"/>
    <s v="Texas"/>
    <s v="Houston"/>
    <s v="Women's Street Footwear"/>
    <n v="23"/>
    <n v="224"/>
    <x v="483"/>
    <x v="482"/>
    <s v="Outlet"/>
  </r>
  <r>
    <s v="Walmart"/>
    <n v="1197831"/>
    <d v="2020-08-27T00:00:00"/>
    <x v="1"/>
    <s v="Texas"/>
    <s v="Houston"/>
    <s v="Women's Athletic Footwear"/>
    <n v="28"/>
    <n v="224"/>
    <x v="484"/>
    <x v="483"/>
    <s v="Outlet"/>
  </r>
  <r>
    <s v="West Gear"/>
    <n v="1128299"/>
    <d v="2021-01-09T00:00:00"/>
    <x v="4"/>
    <s v="California"/>
    <s v="San Francisco"/>
    <s v="Women's Athletic Footwear"/>
    <n v="41"/>
    <n v="224"/>
    <x v="214"/>
    <x v="252"/>
    <s v="Outlet"/>
  </r>
  <r>
    <s v="West Gear"/>
    <n v="1128299"/>
    <d v="2021-02-04T00:00:00"/>
    <x v="4"/>
    <s v="California"/>
    <s v="San Francisco"/>
    <s v="Women's Apparel"/>
    <n v="46"/>
    <n v="224"/>
    <x v="231"/>
    <x v="484"/>
    <s v="Outlet"/>
  </r>
  <r>
    <s v="Kohl's"/>
    <n v="1189833"/>
    <d v="2021-02-17T00:00:00"/>
    <x v="4"/>
    <s v="California"/>
    <s v="San Francisco"/>
    <s v="Men's Street Footwear"/>
    <n v="26"/>
    <n v="224"/>
    <x v="485"/>
    <x v="485"/>
    <s v="Outlet"/>
  </r>
  <r>
    <s v="Kohl's"/>
    <n v="1189833"/>
    <d v="2021-02-18T00:00:00"/>
    <x v="4"/>
    <s v="California"/>
    <s v="San Francisco"/>
    <s v="Men's Athletic Footwear"/>
    <n v="35"/>
    <n v="224"/>
    <x v="486"/>
    <x v="486"/>
    <s v="Outlet"/>
  </r>
  <r>
    <s v="Kohl's"/>
    <n v="1189833"/>
    <d v="2021-04-29T00:00:00"/>
    <x v="4"/>
    <s v="California"/>
    <s v="Los Angeles"/>
    <s v="Men's Apparel"/>
    <n v="38"/>
    <n v="224"/>
    <x v="487"/>
    <x v="34"/>
    <s v="Outlet"/>
  </r>
  <r>
    <s v="Kohl's"/>
    <n v="1189833"/>
    <d v="2021-04-30T00:00:00"/>
    <x v="4"/>
    <s v="California"/>
    <s v="Los Angeles"/>
    <s v="Women's Apparel"/>
    <n v="51"/>
    <n v="224"/>
    <x v="400"/>
    <x v="487"/>
    <s v="Outlet"/>
  </r>
  <r>
    <s v="Kohl's"/>
    <n v="1189833"/>
    <d v="2021-05-28T00:00:00"/>
    <x v="4"/>
    <s v="California"/>
    <s v="Los Angeles"/>
    <s v="Women's Athletic Footwear"/>
    <n v="35"/>
    <n v="224"/>
    <x v="486"/>
    <x v="74"/>
    <s v="Outlet"/>
  </r>
  <r>
    <s v="Sports Direct"/>
    <n v="1197831"/>
    <d v="2021-08-25T00:00:00"/>
    <x v="1"/>
    <s v="Alabama"/>
    <s v="Birmingham"/>
    <s v="Men's Street Footwear"/>
    <n v="7"/>
    <n v="224"/>
    <x v="488"/>
    <x v="488"/>
    <s v="Outlet"/>
  </r>
  <r>
    <s v="Walmart"/>
    <n v="1128299"/>
    <d v="2021-06-17T00:00:00"/>
    <x v="0"/>
    <s v="Florida"/>
    <s v="Orlando"/>
    <s v="Men's Athletic Footwear"/>
    <n v="53"/>
    <n v="224"/>
    <x v="489"/>
    <x v="489"/>
    <s v="Outlet"/>
  </r>
  <r>
    <s v="Foot Locker"/>
    <n v="1128299"/>
    <d v="2021-07-23T00:00:00"/>
    <x v="0"/>
    <s v="Virginia"/>
    <s v="Richmond"/>
    <s v="Men's Athletic Footwear"/>
    <n v="60"/>
    <n v="224"/>
    <x v="360"/>
    <x v="34"/>
    <s v="Outlet"/>
  </r>
  <r>
    <s v="West Gear"/>
    <n v="1128299"/>
    <d v="2021-06-17T00:00:00"/>
    <x v="1"/>
    <s v="Louisiana"/>
    <s v="New Orleans"/>
    <s v="Men's Athletic Footwear"/>
    <n v="55"/>
    <n v="224"/>
    <x v="490"/>
    <x v="490"/>
    <s v="Outlet"/>
  </r>
  <r>
    <s v="West Gear"/>
    <n v="1128299"/>
    <d v="2021-11-17T00:00:00"/>
    <x v="1"/>
    <s v="Louisiana"/>
    <s v="New Orleans"/>
    <s v="Men's Athletic Footwear"/>
    <n v="35"/>
    <n v="224"/>
    <x v="486"/>
    <x v="308"/>
    <s v="Outlet"/>
  </r>
  <r>
    <s v="Kohl's"/>
    <n v="1128299"/>
    <d v="2021-06-26T00:00:00"/>
    <x v="4"/>
    <s v="New Mexico"/>
    <s v="Albuquerque"/>
    <s v="Men's Street Footwear"/>
    <n v="37"/>
    <n v="224"/>
    <x v="491"/>
    <x v="491"/>
    <s v="Outlet"/>
  </r>
  <r>
    <s v="Kohl's"/>
    <n v="1128299"/>
    <d v="2021-08-26T00:00:00"/>
    <x v="4"/>
    <s v="New Mexico"/>
    <s v="Albuquerque"/>
    <s v="Men's Street Footwear"/>
    <n v="40"/>
    <n v="224"/>
    <x v="135"/>
    <x v="492"/>
    <s v="Outlet"/>
  </r>
  <r>
    <s v="Amazon"/>
    <n v="1185732"/>
    <d v="2021-07-17T00:00:00"/>
    <x v="3"/>
    <s v="New Hampshire"/>
    <s v="Manchester"/>
    <s v="Men's Street Footwear"/>
    <n v="49"/>
    <n v="224"/>
    <x v="141"/>
    <x v="108"/>
    <s v="Outlet"/>
  </r>
  <r>
    <s v="West Gear"/>
    <n v="1128299"/>
    <d v="2020-11-07T00:00:00"/>
    <x v="4"/>
    <s v="California"/>
    <s v="San Francisco"/>
    <s v="Men's Street Footwear"/>
    <n v="37"/>
    <n v="223"/>
    <x v="492"/>
    <x v="480"/>
    <s v="Online"/>
  </r>
  <r>
    <s v="Sports Direct"/>
    <n v="1197831"/>
    <d v="2021-10-16T00:00:00"/>
    <x v="1"/>
    <s v="Texas"/>
    <s v="Dallas"/>
    <s v="Men's Street Footwear"/>
    <n v="59"/>
    <n v="223"/>
    <x v="91"/>
    <x v="493"/>
    <s v="Online"/>
  </r>
  <r>
    <s v="Sports Direct"/>
    <n v="1185732"/>
    <d v="2020-09-28T00:00:00"/>
    <x v="0"/>
    <s v="Florida"/>
    <s v="Miami"/>
    <s v="Women's Apparel"/>
    <n v="55"/>
    <n v="223"/>
    <x v="249"/>
    <x v="494"/>
    <s v="Online"/>
  </r>
  <r>
    <s v="Sports Direct"/>
    <n v="1185732"/>
    <d v="2020-10-04T00:00:00"/>
    <x v="0"/>
    <s v="Florida"/>
    <s v="Miami"/>
    <s v="Women's Apparel"/>
    <n v="59"/>
    <n v="223"/>
    <x v="91"/>
    <x v="495"/>
    <s v="Online"/>
  </r>
  <r>
    <s v="Sports Direct"/>
    <n v="1197831"/>
    <d v="2021-04-20T00:00:00"/>
    <x v="1"/>
    <s v="Tennessee"/>
    <s v="Knoxville"/>
    <s v="Women's Apparel"/>
    <n v="52"/>
    <n v="223"/>
    <x v="493"/>
    <x v="496"/>
    <s v="Online"/>
  </r>
  <r>
    <s v="Walmart"/>
    <n v="1128299"/>
    <d v="2021-06-17T00:00:00"/>
    <x v="0"/>
    <s v="Florida"/>
    <s v="Orlando"/>
    <s v="Men's Street Footwear"/>
    <n v="61"/>
    <n v="223"/>
    <x v="196"/>
    <x v="497"/>
    <s v="Online"/>
  </r>
  <r>
    <s v="Foot Locker"/>
    <n v="1185732"/>
    <d v="2021-09-05T00:00:00"/>
    <x v="0"/>
    <s v="South Carolina"/>
    <s v="Charleston"/>
    <s v="Men's Athletic Footwear"/>
    <n v="48"/>
    <n v="223"/>
    <x v="494"/>
    <x v="374"/>
    <s v="Online"/>
  </r>
  <r>
    <s v="West Gear"/>
    <n v="1128299"/>
    <d v="2021-02-02T00:00:00"/>
    <x v="4"/>
    <s v="California"/>
    <s v="San Francisco"/>
    <s v="Women's Athletic Footwear"/>
    <n v="42"/>
    <n v="223"/>
    <x v="495"/>
    <x v="498"/>
    <s v="Outlet"/>
  </r>
  <r>
    <s v="Kohl's"/>
    <n v="1189833"/>
    <d v="2021-03-15T00:00:00"/>
    <x v="4"/>
    <s v="California"/>
    <s v="Los Angeles"/>
    <s v="Women's Street Footwear"/>
    <n v="33"/>
    <n v="223"/>
    <x v="496"/>
    <x v="245"/>
    <s v="Outlet"/>
  </r>
  <r>
    <s v="Kohl's"/>
    <n v="1189833"/>
    <d v="2021-05-04T00:00:00"/>
    <x v="4"/>
    <s v="California"/>
    <s v="Los Angeles"/>
    <s v="Women's Athletic Footwear"/>
    <n v="36"/>
    <n v="223"/>
    <x v="497"/>
    <x v="121"/>
    <s v="Outlet"/>
  </r>
  <r>
    <s v="Kohl's"/>
    <n v="1189833"/>
    <d v="2021-05-21T00:00:00"/>
    <x v="4"/>
    <s v="California"/>
    <s v="Los Angeles"/>
    <s v="Women's Street Footwear"/>
    <n v="35"/>
    <n v="223"/>
    <x v="498"/>
    <x v="266"/>
    <s v="Outlet"/>
  </r>
  <r>
    <s v="Sports Direct"/>
    <n v="1197831"/>
    <d v="2021-05-10T00:00:00"/>
    <x v="1"/>
    <s v="Tennessee"/>
    <s v="Knoxville"/>
    <s v="Men's Athletic Footwear"/>
    <n v="21"/>
    <n v="223"/>
    <x v="499"/>
    <x v="338"/>
    <s v="Outlet"/>
  </r>
  <r>
    <s v="Foot Locker"/>
    <n v="1197831"/>
    <d v="2021-01-05T00:00:00"/>
    <x v="1"/>
    <s v="Louisiana"/>
    <s v="New Orleans"/>
    <s v="Men's Street Footwear"/>
    <n v="14"/>
    <n v="223"/>
    <x v="500"/>
    <x v="499"/>
    <s v="Outlet"/>
  </r>
  <r>
    <s v="Sports Direct"/>
    <n v="1197831"/>
    <d v="2021-11-05T00:00:00"/>
    <x v="4"/>
    <s v="Idaho"/>
    <s v="Boise"/>
    <s v="Men's Athletic Footwear"/>
    <n v="28"/>
    <n v="223"/>
    <x v="436"/>
    <x v="500"/>
    <s v="Outlet"/>
  </r>
  <r>
    <s v="Foot Locker"/>
    <n v="1197831"/>
    <d v="2021-12-04T00:00:00"/>
    <x v="4"/>
    <s v="Idaho"/>
    <s v="Boise"/>
    <s v="Women's Street Footwear"/>
    <n v="47"/>
    <n v="223"/>
    <x v="501"/>
    <x v="108"/>
    <s v="Outlet"/>
  </r>
  <r>
    <s v="Sports Direct"/>
    <n v="1128299"/>
    <d v="2021-12-12T00:00:00"/>
    <x v="0"/>
    <s v="Georgia"/>
    <s v="Atlanta"/>
    <s v="Men's Athletic Footwear"/>
    <n v="39"/>
    <n v="223"/>
    <x v="266"/>
    <x v="353"/>
    <s v="Outlet"/>
  </r>
  <r>
    <s v="Foot Locker"/>
    <n v="1185732"/>
    <d v="2021-03-16T00:00:00"/>
    <x v="1"/>
    <s v="Mississippi"/>
    <s v="Jackson"/>
    <s v="Men's Street Footwear"/>
    <n v="20"/>
    <n v="223"/>
    <x v="502"/>
    <x v="168"/>
    <s v="Outlet"/>
  </r>
  <r>
    <s v="Foot Locker"/>
    <n v="1185732"/>
    <d v="2021-04-17T00:00:00"/>
    <x v="1"/>
    <s v="Mississippi"/>
    <s v="Jackson"/>
    <s v="Men's Street Footwear"/>
    <n v="19"/>
    <n v="223"/>
    <x v="503"/>
    <x v="501"/>
    <s v="Outlet"/>
  </r>
  <r>
    <s v="Kohl's"/>
    <n v="1189833"/>
    <d v="2021-05-02T00:00:00"/>
    <x v="4"/>
    <s v="California"/>
    <s v="Los Angeles"/>
    <s v="Men's Athletic Footwear"/>
    <n v="51"/>
    <n v="221"/>
    <x v="445"/>
    <x v="309"/>
    <s v="Online"/>
  </r>
  <r>
    <s v="Foot Locker"/>
    <n v="1185732"/>
    <d v="2020-08-07T00:00:00"/>
    <x v="4"/>
    <s v="Washington"/>
    <s v="Seattle"/>
    <s v="Men's Athletic Footwear"/>
    <n v="41"/>
    <n v="221"/>
    <x v="504"/>
    <x v="224"/>
    <s v="Online"/>
  </r>
  <r>
    <s v="Foot Locker"/>
    <n v="1185732"/>
    <d v="2020-08-17T00:00:00"/>
    <x v="0"/>
    <s v="Florida"/>
    <s v="Miami"/>
    <s v="Women's Apparel"/>
    <n v="41"/>
    <n v="221"/>
    <x v="504"/>
    <x v="502"/>
    <s v="Online"/>
  </r>
  <r>
    <s v="Foot Locker"/>
    <n v="1185732"/>
    <d v="2021-07-16T00:00:00"/>
    <x v="1"/>
    <s v="Mississippi"/>
    <s v="Jackson"/>
    <s v="Men's Street Footwear"/>
    <n v="58"/>
    <n v="221"/>
    <x v="505"/>
    <x v="293"/>
    <s v="Online"/>
  </r>
  <r>
    <s v="Walmart"/>
    <n v="1197831"/>
    <d v="2020-08-22T00:00:00"/>
    <x v="1"/>
    <s v="Texas"/>
    <s v="Houston"/>
    <s v="Men's Apparel"/>
    <n v="29"/>
    <n v="221"/>
    <x v="506"/>
    <x v="168"/>
    <s v="Outlet"/>
  </r>
  <r>
    <s v="West Gear"/>
    <n v="1128299"/>
    <d v="2021-02-03T00:00:00"/>
    <x v="4"/>
    <s v="California"/>
    <s v="San Francisco"/>
    <s v="Men's Apparel"/>
    <n v="50"/>
    <n v="221"/>
    <x v="507"/>
    <x v="503"/>
    <s v="Outlet"/>
  </r>
  <r>
    <s v="Kohl's"/>
    <n v="1189833"/>
    <d v="2021-03-21T00:00:00"/>
    <x v="4"/>
    <s v="California"/>
    <s v="Los Angeles"/>
    <s v="Women's Street Footwear"/>
    <n v="33"/>
    <n v="221"/>
    <x v="508"/>
    <x v="89"/>
    <s v="Outlet"/>
  </r>
  <r>
    <s v="Kohl's"/>
    <n v="1189833"/>
    <d v="2021-04-14T00:00:00"/>
    <x v="4"/>
    <s v="California"/>
    <s v="Los Angeles"/>
    <s v="Men's Athletic Footwear"/>
    <n v="34"/>
    <n v="221"/>
    <x v="509"/>
    <x v="504"/>
    <s v="Outlet"/>
  </r>
  <r>
    <s v="Kohl's"/>
    <n v="1189833"/>
    <d v="2021-05-22T00:00:00"/>
    <x v="4"/>
    <s v="California"/>
    <s v="Los Angeles"/>
    <s v="Women's Athletic Footwear"/>
    <n v="33"/>
    <n v="221"/>
    <x v="508"/>
    <x v="505"/>
    <s v="Outlet"/>
  </r>
  <r>
    <s v="Sports Direct"/>
    <n v="1197831"/>
    <d v="2021-03-22T00:00:00"/>
    <x v="1"/>
    <s v="Tennessee"/>
    <s v="Knoxville"/>
    <s v="Men's Street Footwear"/>
    <n v="20"/>
    <n v="221"/>
    <x v="510"/>
    <x v="506"/>
    <s v="Outlet"/>
  </r>
  <r>
    <s v="West Gear"/>
    <n v="1185732"/>
    <d v="2021-01-12T00:00:00"/>
    <x v="0"/>
    <s v="Florida"/>
    <s v="Orlando"/>
    <s v="Men's Athletic Footwear"/>
    <n v="36"/>
    <n v="221"/>
    <x v="511"/>
    <x v="507"/>
    <s v="Outlet"/>
  </r>
  <r>
    <s v="West Gear"/>
    <n v="1185732"/>
    <d v="2021-01-12T00:00:00"/>
    <x v="0"/>
    <s v="Florida"/>
    <s v="Orlando"/>
    <s v="Women's Apparel"/>
    <n v="35"/>
    <n v="221"/>
    <x v="512"/>
    <x v="77"/>
    <s v="Outlet"/>
  </r>
  <r>
    <s v="Foot Locker"/>
    <n v="1128299"/>
    <d v="2021-06-24T00:00:00"/>
    <x v="0"/>
    <s v="Virginia"/>
    <s v="Richmond"/>
    <s v="Men's Athletic Footwear"/>
    <n v="45"/>
    <n v="221"/>
    <x v="286"/>
    <x v="81"/>
    <s v="Outlet"/>
  </r>
  <r>
    <s v="Foot Locker"/>
    <n v="1128299"/>
    <d v="2021-11-24T00:00:00"/>
    <x v="0"/>
    <s v="Virginia"/>
    <s v="Richmond"/>
    <s v="Men's Athletic Footwear"/>
    <n v="34"/>
    <n v="221"/>
    <x v="509"/>
    <x v="249"/>
    <s v="Outlet"/>
  </r>
  <r>
    <s v="West Gear"/>
    <n v="1128299"/>
    <d v="2021-07-23T00:00:00"/>
    <x v="4"/>
    <s v="Oregon"/>
    <s v="Portland"/>
    <s v="Women's Street Footwear"/>
    <n v="66"/>
    <n v="221"/>
    <x v="275"/>
    <x v="444"/>
    <s v="Outlet"/>
  </r>
  <r>
    <s v="West Gear"/>
    <n v="1128299"/>
    <d v="2021-07-16T00:00:00"/>
    <x v="1"/>
    <s v="Louisiana"/>
    <s v="New Orleans"/>
    <s v="Men's Apparel"/>
    <n v="73"/>
    <n v="221"/>
    <x v="513"/>
    <x v="508"/>
    <s v="Outlet"/>
  </r>
  <r>
    <s v="Walmart"/>
    <n v="1197831"/>
    <d v="2021-09-19T00:00:00"/>
    <x v="1"/>
    <s v="Arkansas"/>
    <s v="Little Rock"/>
    <s v="Men's Street Footwear"/>
    <n v="35"/>
    <n v="221"/>
    <x v="512"/>
    <x v="251"/>
    <s v="Outlet"/>
  </r>
  <r>
    <s v="Foot Locker"/>
    <n v="1197831"/>
    <d v="2021-11-13T00:00:00"/>
    <x v="2"/>
    <s v="Kansas"/>
    <s v="Wichita"/>
    <s v="Women's Street Footwear"/>
    <n v="25"/>
    <n v="220"/>
    <x v="181"/>
    <x v="196"/>
    <s v="Online"/>
  </r>
  <r>
    <s v="West Gear"/>
    <n v="1185732"/>
    <d v="2021-11-06T00:00:00"/>
    <x v="2"/>
    <s v="Iowa"/>
    <s v="Des Moines"/>
    <s v="Women's Street Footwear"/>
    <n v="35"/>
    <n v="220"/>
    <x v="514"/>
    <x v="509"/>
    <s v="In-store"/>
  </r>
  <r>
    <s v="West Gear"/>
    <n v="1128299"/>
    <d v="2021-01-11T00:00:00"/>
    <x v="4"/>
    <s v="California"/>
    <s v="San Francisco"/>
    <s v="Women's Apparel"/>
    <n v="72"/>
    <n v="219"/>
    <x v="515"/>
    <x v="270"/>
    <s v="Online"/>
  </r>
  <r>
    <s v="West Gear"/>
    <n v="1128299"/>
    <d v="2021-01-31T00:00:00"/>
    <x v="4"/>
    <s v="California"/>
    <s v="San Francisco"/>
    <s v="Men's Athletic Footwear"/>
    <n v="59"/>
    <n v="219"/>
    <x v="516"/>
    <x v="392"/>
    <s v="Online"/>
  </r>
  <r>
    <s v="Foot Locker"/>
    <n v="1185732"/>
    <d v="2020-05-24T00:00:00"/>
    <x v="0"/>
    <s v="Florida"/>
    <s v="Miami"/>
    <s v="Women's Apparel"/>
    <n v="64"/>
    <n v="219"/>
    <x v="517"/>
    <x v="510"/>
    <s v="Online"/>
  </r>
  <r>
    <s v="Foot Locker"/>
    <n v="1185732"/>
    <d v="2021-12-05T00:00:00"/>
    <x v="0"/>
    <s v="South Carolina"/>
    <s v="Charleston"/>
    <s v="Men's Athletic Footwear"/>
    <n v="58"/>
    <n v="219"/>
    <x v="518"/>
    <x v="511"/>
    <s v="Online"/>
  </r>
  <r>
    <s v="West Gear"/>
    <n v="1128299"/>
    <d v="2020-11-04T00:00:00"/>
    <x v="1"/>
    <s v="Texas"/>
    <s v="Houston"/>
    <s v="Women's Athletic Footwear"/>
    <n v="35"/>
    <n v="219"/>
    <x v="519"/>
    <x v="512"/>
    <s v="Outlet"/>
  </r>
  <r>
    <s v="Kohl's"/>
    <n v="1189833"/>
    <d v="2021-05-29T00:00:00"/>
    <x v="4"/>
    <s v="California"/>
    <s v="Los Angeles"/>
    <s v="Men's Apparel"/>
    <n v="43"/>
    <n v="219"/>
    <x v="520"/>
    <x v="513"/>
    <s v="Outlet"/>
  </r>
  <r>
    <s v="Sports Direct"/>
    <n v="1197831"/>
    <d v="2021-10-05T00:00:00"/>
    <x v="1"/>
    <s v="Texas"/>
    <s v="Dallas"/>
    <s v="Men's Athletic Footwear"/>
    <n v="29"/>
    <n v="219"/>
    <x v="521"/>
    <x v="380"/>
    <s v="Outlet"/>
  </r>
  <r>
    <s v="Sports Direct"/>
    <n v="1197831"/>
    <d v="2021-03-17T00:00:00"/>
    <x v="1"/>
    <s v="Tennessee"/>
    <s v="Knoxville"/>
    <s v="Men's Athletic Footwear"/>
    <n v="23"/>
    <n v="219"/>
    <x v="522"/>
    <x v="453"/>
    <s v="Outlet"/>
  </r>
  <r>
    <s v="Sports Direct"/>
    <n v="1197831"/>
    <d v="2021-05-02T00:00:00"/>
    <x v="1"/>
    <s v="Tennessee"/>
    <s v="Knoxville"/>
    <s v="Women's Apparel"/>
    <n v="30"/>
    <n v="219"/>
    <x v="523"/>
    <x v="452"/>
    <s v="Outlet"/>
  </r>
  <r>
    <s v="West Gear"/>
    <n v="1128299"/>
    <d v="2021-11-17T00:00:00"/>
    <x v="1"/>
    <s v="Louisiana"/>
    <s v="New Orleans"/>
    <s v="Men's Street Footwear"/>
    <n v="28"/>
    <n v="219"/>
    <x v="524"/>
    <x v="514"/>
    <s v="Outlet"/>
  </r>
  <r>
    <s v="Sports Direct"/>
    <n v="1197831"/>
    <d v="2021-09-05T00:00:00"/>
    <x v="4"/>
    <s v="Idaho"/>
    <s v="Boise"/>
    <s v="Men's Athletic Footwear"/>
    <n v="38"/>
    <n v="219"/>
    <x v="525"/>
    <x v="515"/>
    <s v="Outlet"/>
  </r>
  <r>
    <s v="Foot Locker"/>
    <n v="1185732"/>
    <d v="2021-06-18T00:00:00"/>
    <x v="1"/>
    <s v="Mississippi"/>
    <s v="Jackson"/>
    <s v="Women's Apparel"/>
    <n v="51"/>
    <n v="219"/>
    <x v="526"/>
    <x v="237"/>
    <s v="Outlet"/>
  </r>
  <r>
    <s v="West Gear"/>
    <n v="1128299"/>
    <d v="2021-01-02T00:00:00"/>
    <x v="4"/>
    <s v="California"/>
    <s v="San Francisco"/>
    <s v="Women's Street Footwear"/>
    <n v="60"/>
    <n v="218"/>
    <x v="527"/>
    <x v="294"/>
    <s v="Online"/>
  </r>
  <r>
    <s v="West Gear"/>
    <n v="1128299"/>
    <d v="2021-01-15T00:00:00"/>
    <x v="4"/>
    <s v="California"/>
    <s v="San Francisco"/>
    <s v="Women's Athletic Footwear"/>
    <n v="55"/>
    <n v="218"/>
    <x v="279"/>
    <x v="389"/>
    <s v="Online"/>
  </r>
  <r>
    <s v="West Gear"/>
    <n v="1128299"/>
    <d v="2021-01-28T00:00:00"/>
    <x v="4"/>
    <s v="California"/>
    <s v="San Francisco"/>
    <s v="Men's Apparel"/>
    <n v="63"/>
    <n v="218"/>
    <x v="470"/>
    <x v="516"/>
    <s v="Online"/>
  </r>
  <r>
    <s v="Kohl's"/>
    <n v="1189833"/>
    <d v="2021-04-27T00:00:00"/>
    <x v="4"/>
    <s v="California"/>
    <s v="Los Angeles"/>
    <s v="Women's Street Footwear"/>
    <n v="47"/>
    <n v="218"/>
    <x v="406"/>
    <x v="134"/>
    <s v="Online"/>
  </r>
  <r>
    <s v="Kohl's"/>
    <n v="1189833"/>
    <d v="2021-05-03T00:00:00"/>
    <x v="4"/>
    <s v="California"/>
    <s v="Los Angeles"/>
    <s v="Women's Street Footwear"/>
    <n v="48"/>
    <n v="218"/>
    <x v="281"/>
    <x v="386"/>
    <s v="Online"/>
  </r>
  <r>
    <s v="Sports Direct"/>
    <n v="1197831"/>
    <d v="2021-10-11T00:00:00"/>
    <x v="1"/>
    <s v="Texas"/>
    <s v="Dallas"/>
    <s v="Men's Athletic Footwear"/>
    <n v="37"/>
    <n v="218"/>
    <x v="528"/>
    <x v="80"/>
    <s v="Online"/>
  </r>
  <r>
    <s v="West Gear"/>
    <n v="1128299"/>
    <d v="2020-02-07T00:00:00"/>
    <x v="4"/>
    <s v="Nevada"/>
    <s v="Las Vegas"/>
    <s v="Men's Street Footwear"/>
    <n v="58"/>
    <n v="218"/>
    <x v="125"/>
    <x v="517"/>
    <s v="Online"/>
  </r>
  <r>
    <s v="Foot Locker"/>
    <n v="1185732"/>
    <d v="2020-08-16T00:00:00"/>
    <x v="0"/>
    <s v="Florida"/>
    <s v="Miami"/>
    <s v="Men's Apparel"/>
    <n v="53"/>
    <n v="218"/>
    <x v="431"/>
    <x v="359"/>
    <s v="Online"/>
  </r>
  <r>
    <s v="Sports Direct"/>
    <n v="1197831"/>
    <d v="2021-04-04T00:00:00"/>
    <x v="1"/>
    <s v="Tennessee"/>
    <s v="Knoxville"/>
    <s v="Men's Athletic Footwear"/>
    <n v="23"/>
    <n v="218"/>
    <x v="529"/>
    <x v="398"/>
    <s v="Online"/>
  </r>
  <r>
    <s v="Foot Locker"/>
    <n v="1128299"/>
    <d v="2021-08-10T00:00:00"/>
    <x v="4"/>
    <s v="Hawaii"/>
    <s v="Honolulu"/>
    <s v="Men's Athletic Footwear"/>
    <n v="71"/>
    <n v="218"/>
    <x v="433"/>
    <x v="341"/>
    <s v="Online"/>
  </r>
  <r>
    <s v="West Gear"/>
    <n v="1185732"/>
    <d v="2021-08-09T00:00:00"/>
    <x v="3"/>
    <s v="New York"/>
    <s v="Albany"/>
    <s v="Women's Apparel"/>
    <n v="55"/>
    <n v="218"/>
    <x v="279"/>
    <x v="518"/>
    <s v="Online"/>
  </r>
  <r>
    <s v="Kohl's"/>
    <n v="1185732"/>
    <d v="2021-11-11T00:00:00"/>
    <x v="4"/>
    <s v="Wyoming"/>
    <s v="Cheyenne"/>
    <s v="Men's Street Footwear"/>
    <n v="53"/>
    <n v="218"/>
    <x v="431"/>
    <x v="519"/>
    <s v="Online"/>
  </r>
  <r>
    <s v="West Gear"/>
    <n v="1185732"/>
    <d v="2021-02-11T00:00:00"/>
    <x v="2"/>
    <s v="Missouri"/>
    <s v="St. Louis"/>
    <s v="Men's Street Footwear"/>
    <n v="25"/>
    <n v="218"/>
    <x v="530"/>
    <x v="366"/>
    <s v="Online"/>
  </r>
  <r>
    <s v="West Gear"/>
    <n v="1128299"/>
    <d v="2021-12-23T00:00:00"/>
    <x v="4"/>
    <s v="Oregon"/>
    <s v="Portland"/>
    <s v="Men's Athletic Footwear"/>
    <n v="72"/>
    <n v="218"/>
    <x v="531"/>
    <x v="520"/>
    <s v="Online"/>
  </r>
  <r>
    <s v="West Gear"/>
    <n v="1197831"/>
    <d v="2021-05-05T00:00:00"/>
    <x v="4"/>
    <s v="Idaho"/>
    <s v="Boise"/>
    <s v="Women's Apparel"/>
    <n v="42"/>
    <n v="218"/>
    <x v="532"/>
    <x v="521"/>
    <s v="Online"/>
  </r>
  <r>
    <s v="Foot Locker"/>
    <n v="1185732"/>
    <d v="2021-02-07T00:00:00"/>
    <x v="0"/>
    <s v="Georgia"/>
    <s v="Atlanta"/>
    <s v="Men's Athletic Footwear"/>
    <n v="39"/>
    <n v="218"/>
    <x v="533"/>
    <x v="522"/>
    <s v="Online"/>
  </r>
  <r>
    <s v="Foot Locker"/>
    <n v="1185732"/>
    <d v="2021-06-07T00:00:00"/>
    <x v="0"/>
    <s v="South Carolina"/>
    <s v="Charleston"/>
    <s v="Women's Athletic Footwear"/>
    <n v="47"/>
    <n v="218"/>
    <x v="406"/>
    <x v="108"/>
    <s v="Online"/>
  </r>
  <r>
    <s v="Amazon"/>
    <n v="1185732"/>
    <d v="2021-12-02T00:00:00"/>
    <x v="0"/>
    <s v="North Carolina"/>
    <s v="Charlotte"/>
    <s v="Women's Street Footwear"/>
    <n v="55"/>
    <n v="218"/>
    <x v="279"/>
    <x v="523"/>
    <s v="Online"/>
  </r>
  <r>
    <s v="Amazon"/>
    <n v="1185732"/>
    <d v="2021-04-10T00:00:00"/>
    <x v="2"/>
    <s v="Ohio"/>
    <s v="Columbus"/>
    <s v="Men's Street Footwear"/>
    <n v="28"/>
    <n v="218"/>
    <x v="534"/>
    <x v="248"/>
    <s v="Online"/>
  </r>
  <r>
    <s v="Sports Direct"/>
    <n v="1197831"/>
    <d v="2021-10-11T00:00:00"/>
    <x v="1"/>
    <s v="Texas"/>
    <s v="Dallas"/>
    <s v="Men's Athletic Footwear"/>
    <n v="27"/>
    <n v="218"/>
    <x v="535"/>
    <x v="454"/>
    <s v="Outlet"/>
  </r>
  <r>
    <s v="Sports Direct"/>
    <n v="1197831"/>
    <d v="2021-08-26T00:00:00"/>
    <x v="1"/>
    <s v="Alabama"/>
    <s v="Birmingham"/>
    <s v="Men's Athletic Footwear"/>
    <n v="16"/>
    <n v="218"/>
    <x v="536"/>
    <x v="524"/>
    <s v="Outlet"/>
  </r>
  <r>
    <s v="Sports Direct"/>
    <n v="1128299"/>
    <d v="2021-07-12T00:00:00"/>
    <x v="0"/>
    <s v="Georgia"/>
    <s v="Atlanta"/>
    <s v="Men's Street Footwear"/>
    <n v="37"/>
    <n v="218"/>
    <x v="528"/>
    <x v="525"/>
    <s v="Outlet"/>
  </r>
  <r>
    <s v="West Gear"/>
    <n v="1128299"/>
    <d v="2020-11-03T00:00:00"/>
    <x v="1"/>
    <s v="Texas"/>
    <s v="Houston"/>
    <s v="Women's Street Footwear"/>
    <n v="46"/>
    <n v="217"/>
    <x v="68"/>
    <x v="102"/>
    <s v="Online"/>
  </r>
  <r>
    <s v="West Gear"/>
    <n v="1128299"/>
    <d v="2021-01-29T00:00:00"/>
    <x v="4"/>
    <s v="California"/>
    <s v="San Francisco"/>
    <s v="Women's Apparel"/>
    <n v="65"/>
    <n v="217"/>
    <x v="300"/>
    <x v="142"/>
    <s v="Online"/>
  </r>
  <r>
    <s v="West Gear"/>
    <n v="1128299"/>
    <d v="2020-07-07T00:00:00"/>
    <x v="4"/>
    <s v="Washington"/>
    <s v="Seattle"/>
    <s v="Men's Street Footwear"/>
    <n v="80"/>
    <n v="217"/>
    <x v="237"/>
    <x v="348"/>
    <s v="Online"/>
  </r>
  <r>
    <s v="Foot Locker"/>
    <n v="1185732"/>
    <d v="2020-08-20T00:00:00"/>
    <x v="0"/>
    <s v="Florida"/>
    <s v="Miami"/>
    <s v="Women's Street Footwear"/>
    <n v="32"/>
    <n v="217"/>
    <x v="324"/>
    <x v="526"/>
    <s v="Online"/>
  </r>
  <r>
    <s v="West Gear"/>
    <n v="1185732"/>
    <d v="2020-09-08T00:00:00"/>
    <x v="0"/>
    <s v="Florida"/>
    <s v="Miami"/>
    <s v="Women's Athletic Footwear"/>
    <n v="47"/>
    <n v="217"/>
    <x v="537"/>
    <x v="81"/>
    <s v="Online"/>
  </r>
  <r>
    <s v="Sports Direct"/>
    <n v="1197831"/>
    <d v="2021-04-09T00:00:00"/>
    <x v="1"/>
    <s v="Tennessee"/>
    <s v="Knoxville"/>
    <s v="Men's Street Footwear"/>
    <n v="36"/>
    <n v="217"/>
    <x v="498"/>
    <x v="153"/>
    <s v="Online"/>
  </r>
  <r>
    <s v="West Gear"/>
    <n v="1185732"/>
    <d v="2021-11-09T00:00:00"/>
    <x v="3"/>
    <s v="New York"/>
    <s v="Albany"/>
    <s v="Men's Street Footwear"/>
    <n v="56"/>
    <n v="217"/>
    <x v="323"/>
    <x v="118"/>
    <s v="Online"/>
  </r>
  <r>
    <s v="West Gear"/>
    <n v="1197831"/>
    <d v="2021-07-06T00:00:00"/>
    <x v="4"/>
    <s v="Idaho"/>
    <s v="Boise"/>
    <s v="Men's Street Footwear"/>
    <n v="48"/>
    <n v="217"/>
    <x v="314"/>
    <x v="527"/>
    <s v="Online"/>
  </r>
  <r>
    <s v="Foot Locker"/>
    <n v="1185732"/>
    <d v="2021-02-07T00:00:00"/>
    <x v="0"/>
    <s v="Georgia"/>
    <s v="Atlanta"/>
    <s v="Women's Street Footwear"/>
    <n v="29"/>
    <n v="217"/>
    <x v="414"/>
    <x v="528"/>
    <s v="Online"/>
  </r>
  <r>
    <s v="Walmart"/>
    <n v="1197831"/>
    <d v="2020-08-28T00:00:00"/>
    <x v="1"/>
    <s v="Texas"/>
    <s v="Houston"/>
    <s v="Men's Apparel"/>
    <n v="33"/>
    <n v="217"/>
    <x v="538"/>
    <x v="529"/>
    <s v="Outlet"/>
  </r>
  <r>
    <s v="Kohl's"/>
    <n v="1189833"/>
    <d v="2021-03-09T00:00:00"/>
    <x v="4"/>
    <s v="California"/>
    <s v="San Francisco"/>
    <s v="Women's Street Footwear"/>
    <n v="36"/>
    <n v="217"/>
    <x v="498"/>
    <x v="264"/>
    <s v="Outlet"/>
  </r>
  <r>
    <s v="Sports Direct"/>
    <n v="1197831"/>
    <d v="2021-10-08T00:00:00"/>
    <x v="1"/>
    <s v="Alabama"/>
    <s v="Birmingham"/>
    <s v="Women's Street Footwear"/>
    <n v="47"/>
    <n v="217"/>
    <x v="537"/>
    <x v="530"/>
    <s v="Outlet"/>
  </r>
  <r>
    <s v="West Gear"/>
    <n v="1128299"/>
    <d v="2021-07-23T00:00:00"/>
    <x v="4"/>
    <s v="Oregon"/>
    <s v="Portland"/>
    <s v="Men's Athletic Footwear"/>
    <n v="66"/>
    <n v="217"/>
    <x v="441"/>
    <x v="299"/>
    <s v="Outlet"/>
  </r>
  <r>
    <s v="West Gear"/>
    <n v="1128299"/>
    <d v="2021-08-17T00:00:00"/>
    <x v="1"/>
    <s v="Louisiana"/>
    <s v="New Orleans"/>
    <s v="Women's Street Footwear"/>
    <n v="50"/>
    <n v="217"/>
    <x v="23"/>
    <x v="313"/>
    <s v="Outlet"/>
  </r>
  <r>
    <s v="Kohl's"/>
    <n v="1128299"/>
    <d v="2021-12-25T00:00:00"/>
    <x v="4"/>
    <s v="New Mexico"/>
    <s v="Albuquerque"/>
    <s v="Men's Athletic Footwear"/>
    <n v="47"/>
    <n v="217"/>
    <x v="537"/>
    <x v="253"/>
    <s v="Outlet"/>
  </r>
  <r>
    <s v="Foot Locker"/>
    <n v="1185732"/>
    <d v="2020-01-28T00:00:00"/>
    <x v="3"/>
    <s v="New York"/>
    <s v="New York"/>
    <s v="Women's Athletic Footwear"/>
    <n v="43"/>
    <n v="216"/>
    <x v="539"/>
    <x v="340"/>
    <s v="Online"/>
  </r>
  <r>
    <s v="Walmart"/>
    <n v="1197831"/>
    <d v="2020-09-12T00:00:00"/>
    <x v="1"/>
    <s v="Texas"/>
    <s v="Houston"/>
    <s v="Men's Athletic Footwear"/>
    <n v="43"/>
    <n v="216"/>
    <x v="539"/>
    <x v="531"/>
    <s v="Online"/>
  </r>
  <r>
    <s v="Kohl's"/>
    <n v="1189833"/>
    <d v="2021-03-19T00:00:00"/>
    <x v="4"/>
    <s v="California"/>
    <s v="Los Angeles"/>
    <s v="Men's Street Footwear"/>
    <n v="32"/>
    <n v="216"/>
    <x v="540"/>
    <x v="423"/>
    <s v="Online"/>
  </r>
  <r>
    <s v="Kohl's"/>
    <n v="1189833"/>
    <d v="2021-04-26T00:00:00"/>
    <x v="4"/>
    <s v="California"/>
    <s v="Los Angeles"/>
    <s v="Men's Athletic Footwear"/>
    <n v="46"/>
    <n v="216"/>
    <x v="176"/>
    <x v="532"/>
    <s v="Online"/>
  </r>
  <r>
    <s v="Walmart"/>
    <n v="1128299"/>
    <d v="2021-12-16T00:00:00"/>
    <x v="0"/>
    <s v="Florida"/>
    <s v="Orlando"/>
    <s v="Men's Street Footwear"/>
    <n v="72"/>
    <n v="216"/>
    <x v="541"/>
    <x v="205"/>
    <s v="Online"/>
  </r>
  <r>
    <s v="Kohl's"/>
    <n v="1185732"/>
    <d v="2021-01-14T00:00:00"/>
    <x v="3"/>
    <s v="New York"/>
    <s v="Albany"/>
    <s v="Men's Street Footwear"/>
    <n v="39"/>
    <n v="216"/>
    <x v="277"/>
    <x v="82"/>
    <s v="Online"/>
  </r>
  <r>
    <s v="Sports Direct"/>
    <n v="1185732"/>
    <d v="2021-03-15T00:00:00"/>
    <x v="2"/>
    <s v="Michigan"/>
    <s v="Detroit"/>
    <s v="Men's Street Footwear"/>
    <n v="34"/>
    <n v="216"/>
    <x v="190"/>
    <x v="75"/>
    <s v="Online"/>
  </r>
  <r>
    <s v="West Gear"/>
    <n v="1128299"/>
    <d v="2021-12-16T00:00:00"/>
    <x v="1"/>
    <s v="Louisiana"/>
    <s v="New Orleans"/>
    <s v="Men's Athletic Footwear"/>
    <n v="72"/>
    <n v="216"/>
    <x v="541"/>
    <x v="533"/>
    <s v="Online"/>
  </r>
  <r>
    <s v="Foot Locker"/>
    <n v="1185732"/>
    <d v="2021-02-07T00:00:00"/>
    <x v="0"/>
    <s v="South Carolina"/>
    <s v="Charleston"/>
    <s v="Women's Apparel"/>
    <n v="34"/>
    <n v="216"/>
    <x v="190"/>
    <x v="115"/>
    <s v="Online"/>
  </r>
  <r>
    <s v="West Gear"/>
    <n v="1128299"/>
    <d v="2020-12-26T00:00:00"/>
    <x v="4"/>
    <s v="California"/>
    <s v="San Francisco"/>
    <s v="Men's Athletic Footwear"/>
    <n v="51"/>
    <n v="216"/>
    <x v="99"/>
    <x v="534"/>
    <s v="Outlet"/>
  </r>
  <r>
    <s v="West Gear"/>
    <n v="1128299"/>
    <d v="2020-03-09T00:00:00"/>
    <x v="4"/>
    <s v="Nevada"/>
    <s v="Las Vegas"/>
    <s v="Men's Street Footwear"/>
    <n v="47"/>
    <n v="216"/>
    <x v="542"/>
    <x v="220"/>
    <s v="Outlet"/>
  </r>
  <r>
    <s v="Foot Locker"/>
    <n v="1128299"/>
    <d v="2021-07-22T00:00:00"/>
    <x v="4"/>
    <s v="Arizona"/>
    <s v="Phoenix"/>
    <s v="Men's Street Footwear"/>
    <n v="40"/>
    <n v="216"/>
    <x v="543"/>
    <x v="535"/>
    <s v="Outlet"/>
  </r>
  <r>
    <s v="Walmart"/>
    <n v="1185732"/>
    <d v="2021-10-18T00:00:00"/>
    <x v="1"/>
    <s v="Mississippi"/>
    <s v="Jackson"/>
    <s v="Men's Street Footwear"/>
    <n v="24"/>
    <n v="216"/>
    <x v="544"/>
    <x v="536"/>
    <s v="Outlet"/>
  </r>
  <r>
    <s v="Amazon"/>
    <n v="1185732"/>
    <d v="2021-06-19T00:00:00"/>
    <x v="3"/>
    <s v="New Hampshire"/>
    <s v="Manchester"/>
    <s v="Men's Street Footwear"/>
    <n v="44"/>
    <n v="216"/>
    <x v="545"/>
    <x v="531"/>
    <s v="Outlet"/>
  </r>
  <r>
    <s v="Foot Locker"/>
    <n v="1185732"/>
    <d v="2020-02-04T00:00:00"/>
    <x v="3"/>
    <s v="New York"/>
    <s v="New York"/>
    <s v="Men's Apparel"/>
    <n v="56"/>
    <n v="215"/>
    <x v="388"/>
    <x v="288"/>
    <s v="Online"/>
  </r>
  <r>
    <s v="Kohl's"/>
    <n v="1189833"/>
    <d v="2021-05-20T00:00:00"/>
    <x v="4"/>
    <s v="California"/>
    <s v="Los Angeles"/>
    <s v="Men's Athletic Footwear"/>
    <n v="54"/>
    <n v="215"/>
    <x v="546"/>
    <x v="164"/>
    <s v="Online"/>
  </r>
  <r>
    <s v="Sports Direct"/>
    <n v="1197831"/>
    <d v="2021-09-17T00:00:00"/>
    <x v="1"/>
    <s v="Texas"/>
    <s v="Dallas"/>
    <s v="Men's Athletic Footwear"/>
    <n v="48"/>
    <n v="215"/>
    <x v="358"/>
    <x v="537"/>
    <s v="Online"/>
  </r>
  <r>
    <s v="West Gear"/>
    <n v="1185732"/>
    <d v="2020-09-13T00:00:00"/>
    <x v="0"/>
    <s v="Florida"/>
    <s v="Miami"/>
    <s v="Women's Street Footwear"/>
    <n v="50"/>
    <n v="215"/>
    <x v="261"/>
    <x v="153"/>
    <s v="Online"/>
  </r>
  <r>
    <s v="Sports Direct"/>
    <n v="1185732"/>
    <d v="2020-09-30T00:00:00"/>
    <x v="0"/>
    <s v="Florida"/>
    <s v="Miami"/>
    <s v="Men's Athletic Footwear"/>
    <n v="47"/>
    <n v="215"/>
    <x v="547"/>
    <x v="334"/>
    <s v="Online"/>
  </r>
  <r>
    <s v="Sports Direct"/>
    <n v="1197831"/>
    <d v="2021-04-15T00:00:00"/>
    <x v="1"/>
    <s v="Tennessee"/>
    <s v="Knoxville"/>
    <s v="Men's Street Footwear"/>
    <n v="36"/>
    <n v="215"/>
    <x v="512"/>
    <x v="164"/>
    <s v="Online"/>
  </r>
  <r>
    <s v="Sports Direct"/>
    <n v="1197831"/>
    <d v="2021-09-07T00:00:00"/>
    <x v="1"/>
    <s v="Alabama"/>
    <s v="Birmingham"/>
    <s v="Men's Athletic Footwear"/>
    <n v="49"/>
    <n v="215"/>
    <x v="349"/>
    <x v="538"/>
    <s v="Online"/>
  </r>
  <r>
    <s v="Sports Direct"/>
    <n v="1185732"/>
    <d v="2021-12-05T00:00:00"/>
    <x v="0"/>
    <s v="South Carolina"/>
    <s v="Charleston"/>
    <s v="Women's Street Footwear"/>
    <n v="56"/>
    <n v="215"/>
    <x v="388"/>
    <x v="291"/>
    <s v="Online"/>
  </r>
  <r>
    <s v="Sports Direct"/>
    <n v="1185732"/>
    <d v="2021-11-03T00:00:00"/>
    <x v="0"/>
    <s v="North Carolina"/>
    <s v="Charlotte"/>
    <s v="Men's Street Footwear"/>
    <n v="44"/>
    <n v="215"/>
    <x v="548"/>
    <x v="539"/>
    <s v="Online"/>
  </r>
  <r>
    <s v="Walmart"/>
    <n v="1185732"/>
    <d v="2021-08-17T00:00:00"/>
    <x v="1"/>
    <s v="Mississippi"/>
    <s v="Jackson"/>
    <s v="Men's Street Footwear"/>
    <n v="56"/>
    <n v="215"/>
    <x v="388"/>
    <x v="361"/>
    <s v="Online"/>
  </r>
  <r>
    <s v="Walmart"/>
    <n v="1197831"/>
    <d v="2020-09-02T00:00:00"/>
    <x v="1"/>
    <s v="Texas"/>
    <s v="Houston"/>
    <s v="Women's Athletic Footwear"/>
    <n v="30"/>
    <n v="215"/>
    <x v="549"/>
    <x v="540"/>
    <s v="Outlet"/>
  </r>
  <r>
    <s v="Kohl's"/>
    <n v="1189833"/>
    <d v="2021-03-14T00:00:00"/>
    <x v="4"/>
    <s v="California"/>
    <s v="Los Angeles"/>
    <s v="Men's Athletic Footwear"/>
    <n v="30"/>
    <n v="215"/>
    <x v="549"/>
    <x v="541"/>
    <s v="Outlet"/>
  </r>
  <r>
    <s v="Kohl's"/>
    <n v="1189833"/>
    <d v="2021-04-15T00:00:00"/>
    <x v="4"/>
    <s v="California"/>
    <s v="Los Angeles"/>
    <s v="Women's Street Footwear"/>
    <n v="36"/>
    <n v="215"/>
    <x v="512"/>
    <x v="95"/>
    <s v="Outlet"/>
  </r>
  <r>
    <s v="Sports Direct"/>
    <n v="1197831"/>
    <d v="2021-08-18T00:00:00"/>
    <x v="1"/>
    <s v="Texas"/>
    <s v="Dallas"/>
    <s v="Men's Athletic Footwear"/>
    <n v="23"/>
    <n v="215"/>
    <x v="550"/>
    <x v="542"/>
    <s v="Outlet"/>
  </r>
  <r>
    <s v="Sports Direct"/>
    <n v="1197831"/>
    <d v="2021-09-12T00:00:00"/>
    <x v="1"/>
    <s v="Texas"/>
    <s v="Dallas"/>
    <s v="Women's Street Footwear"/>
    <n v="30"/>
    <n v="215"/>
    <x v="549"/>
    <x v="543"/>
    <s v="Outlet"/>
  </r>
  <r>
    <s v="Sports Direct"/>
    <n v="1197831"/>
    <d v="2021-08-19T00:00:00"/>
    <x v="1"/>
    <s v="Alabama"/>
    <s v="Birmingham"/>
    <s v="Men's Street Footwear"/>
    <n v="15"/>
    <n v="215"/>
    <x v="551"/>
    <x v="544"/>
    <s v="Outlet"/>
  </r>
  <r>
    <s v="Foot Locker"/>
    <n v="1128299"/>
    <d v="2021-08-24T00:00:00"/>
    <x v="0"/>
    <s v="Virginia"/>
    <s v="Richmond"/>
    <s v="Women's Street Footwear"/>
    <n v="53"/>
    <n v="215"/>
    <x v="552"/>
    <x v="545"/>
    <s v="Outlet"/>
  </r>
  <r>
    <s v="West Gear"/>
    <n v="1128299"/>
    <d v="2021-08-24T00:00:00"/>
    <x v="4"/>
    <s v="Oregon"/>
    <s v="Portland"/>
    <s v="Women's Street Footwear"/>
    <n v="50"/>
    <n v="215"/>
    <x v="261"/>
    <x v="96"/>
    <s v="Outlet"/>
  </r>
  <r>
    <s v="West Gear"/>
    <n v="1197831"/>
    <d v="2021-04-05T00:00:00"/>
    <x v="4"/>
    <s v="Idaho"/>
    <s v="Boise"/>
    <s v="Men's Street Footwear"/>
    <n v="15"/>
    <n v="215"/>
    <x v="551"/>
    <x v="546"/>
    <s v="Outlet"/>
  </r>
  <r>
    <s v="West Gear"/>
    <n v="1197831"/>
    <d v="2021-04-05T00:00:00"/>
    <x v="4"/>
    <s v="Idaho"/>
    <s v="Boise"/>
    <s v="Men's Athletic Footwear"/>
    <n v="21"/>
    <n v="215"/>
    <x v="553"/>
    <x v="419"/>
    <s v="Outlet"/>
  </r>
  <r>
    <s v="Sports Direct"/>
    <n v="1197831"/>
    <d v="2021-01-23T00:00:00"/>
    <x v="1"/>
    <s v="Mississippi"/>
    <s v="Jackson"/>
    <s v="Men's Street Footwear"/>
    <n v="17"/>
    <n v="215"/>
    <x v="554"/>
    <x v="547"/>
    <s v="Outlet"/>
  </r>
  <r>
    <s v="Amazon"/>
    <n v="1185732"/>
    <d v="2021-08-11T00:00:00"/>
    <x v="3"/>
    <s v="Vermont"/>
    <s v="Burlington"/>
    <s v="Men's Street Footwear"/>
    <n v="42"/>
    <n v="215"/>
    <x v="555"/>
    <x v="108"/>
    <s v="Outlet"/>
  </r>
  <r>
    <s v="Sports Direct"/>
    <n v="1197831"/>
    <d v="2020-07-25T00:00:00"/>
    <x v="1"/>
    <s v="Texas"/>
    <s v="Houston"/>
    <s v="Men's Street Footwear"/>
    <n v="23"/>
    <n v="213"/>
    <x v="556"/>
    <x v="548"/>
    <s v="Online"/>
  </r>
  <r>
    <s v="Walmart"/>
    <n v="1197831"/>
    <d v="2020-09-06T00:00:00"/>
    <x v="1"/>
    <s v="Texas"/>
    <s v="Houston"/>
    <s v="Men's Athletic Footwear"/>
    <n v="41"/>
    <n v="213"/>
    <x v="557"/>
    <x v="167"/>
    <s v="Online"/>
  </r>
  <r>
    <s v="Walmart"/>
    <n v="1197831"/>
    <d v="2020-09-10T00:00:00"/>
    <x v="1"/>
    <s v="Texas"/>
    <s v="Houston"/>
    <s v="Women's Apparel"/>
    <n v="50"/>
    <n v="213"/>
    <x v="558"/>
    <x v="549"/>
    <s v="Online"/>
  </r>
  <r>
    <s v="Kohl's"/>
    <n v="1189833"/>
    <d v="2021-05-07T00:00:00"/>
    <x v="4"/>
    <s v="California"/>
    <s v="Los Angeles"/>
    <s v="Men's Street Footwear"/>
    <n v="47"/>
    <n v="213"/>
    <x v="173"/>
    <x v="418"/>
    <s v="Online"/>
  </r>
  <r>
    <s v="Sports Direct"/>
    <n v="1185732"/>
    <d v="2020-10-10T00:00:00"/>
    <x v="0"/>
    <s v="Florida"/>
    <s v="Miami"/>
    <s v="Women's Apparel"/>
    <n v="64"/>
    <n v="213"/>
    <x v="559"/>
    <x v="550"/>
    <s v="Online"/>
  </r>
  <r>
    <s v="Walmart"/>
    <n v="1128299"/>
    <d v="2021-08-17T00:00:00"/>
    <x v="0"/>
    <s v="Florida"/>
    <s v="Orlando"/>
    <s v="Men's Street Footwear"/>
    <n v="87"/>
    <n v="213"/>
    <x v="560"/>
    <x v="551"/>
    <s v="Online"/>
  </r>
  <r>
    <s v="Sports Direct"/>
    <n v="1197831"/>
    <d v="2020-07-28T00:00:00"/>
    <x v="1"/>
    <s v="Texas"/>
    <s v="Houston"/>
    <s v="Women's Athletic Footwear"/>
    <n v="26"/>
    <n v="213"/>
    <x v="561"/>
    <x v="552"/>
    <s v="Outlet"/>
  </r>
  <r>
    <s v="Sports Direct"/>
    <n v="1197831"/>
    <d v="2020-08-09T00:00:00"/>
    <x v="1"/>
    <s v="Texas"/>
    <s v="Houston"/>
    <s v="Women's Athletic Footwear"/>
    <n v="28"/>
    <n v="213"/>
    <x v="562"/>
    <x v="553"/>
    <s v="Outlet"/>
  </r>
  <r>
    <s v="Kohl's"/>
    <n v="1189833"/>
    <d v="2021-05-16T00:00:00"/>
    <x v="4"/>
    <s v="California"/>
    <s v="Los Angeles"/>
    <s v="Women's Athletic Footwear"/>
    <n v="33"/>
    <n v="213"/>
    <x v="563"/>
    <x v="92"/>
    <s v="Outlet"/>
  </r>
  <r>
    <s v="Sports Direct"/>
    <n v="1197831"/>
    <d v="2021-10-04T00:00:00"/>
    <x v="1"/>
    <s v="Texas"/>
    <s v="Dallas"/>
    <s v="Men's Street Footwear"/>
    <n v="30"/>
    <n v="213"/>
    <x v="564"/>
    <x v="246"/>
    <s v="Outlet"/>
  </r>
  <r>
    <s v="Sports Direct"/>
    <n v="1197831"/>
    <d v="2021-04-28T00:00:00"/>
    <x v="1"/>
    <s v="Tennessee"/>
    <s v="Knoxville"/>
    <s v="Men's Athletic Footwear"/>
    <n v="33"/>
    <n v="213"/>
    <x v="563"/>
    <x v="438"/>
    <s v="Outlet"/>
  </r>
  <r>
    <s v="Sports Direct"/>
    <n v="1197831"/>
    <d v="2021-09-20T00:00:00"/>
    <x v="1"/>
    <s v="Alabama"/>
    <s v="Birmingham"/>
    <s v="Women's Street Footwear"/>
    <n v="47"/>
    <n v="213"/>
    <x v="173"/>
    <x v="357"/>
    <s v="Outlet"/>
  </r>
  <r>
    <s v="Foot Locker"/>
    <n v="1128299"/>
    <d v="2021-12-22T00:00:00"/>
    <x v="4"/>
    <s v="Arizona"/>
    <s v="Phoenix"/>
    <s v="Men's Athletic Footwear"/>
    <n v="33"/>
    <n v="213"/>
    <x v="563"/>
    <x v="491"/>
    <s v="Outlet"/>
  </r>
  <r>
    <s v="Sports Direct"/>
    <n v="1197831"/>
    <d v="2020-07-21T00:00:00"/>
    <x v="3"/>
    <s v="New York"/>
    <s v="New York"/>
    <s v="Women's Street Footwear"/>
    <n v="33"/>
    <n v="210"/>
    <x v="565"/>
    <x v="424"/>
    <s v="Online"/>
  </r>
  <r>
    <s v="Walmart"/>
    <n v="1197831"/>
    <d v="2020-08-27T00:00:00"/>
    <x v="1"/>
    <s v="Texas"/>
    <s v="Houston"/>
    <s v="Women's Athletic Footwear"/>
    <n v="36"/>
    <n v="210"/>
    <x v="80"/>
    <x v="468"/>
    <s v="Online"/>
  </r>
  <r>
    <s v="Walmart"/>
    <n v="1197831"/>
    <d v="2020-09-16T00:00:00"/>
    <x v="1"/>
    <s v="Texas"/>
    <s v="Houston"/>
    <s v="Women's Apparel"/>
    <n v="53"/>
    <n v="210"/>
    <x v="566"/>
    <x v="114"/>
    <s v="Online"/>
  </r>
  <r>
    <s v="West Gear"/>
    <n v="1128299"/>
    <d v="2020-11-08T00:00:00"/>
    <x v="4"/>
    <s v="California"/>
    <s v="San Francisco"/>
    <s v="Men's Athletic Footwear"/>
    <n v="49"/>
    <n v="210"/>
    <x v="345"/>
    <x v="424"/>
    <s v="Online"/>
  </r>
  <r>
    <s v="West Gear"/>
    <n v="1128299"/>
    <d v="2020-12-24T00:00:00"/>
    <x v="4"/>
    <s v="California"/>
    <s v="San Francisco"/>
    <s v="Women's Apparel"/>
    <n v="54"/>
    <n v="210"/>
    <x v="79"/>
    <x v="505"/>
    <s v="Online"/>
  </r>
  <r>
    <s v="West Gear"/>
    <n v="1128299"/>
    <d v="2020-12-27T00:00:00"/>
    <x v="4"/>
    <s v="California"/>
    <s v="San Francisco"/>
    <s v="Women's Street Footwear"/>
    <n v="64"/>
    <n v="210"/>
    <x v="360"/>
    <x v="554"/>
    <s v="Online"/>
  </r>
  <r>
    <s v="West Gear"/>
    <n v="1128299"/>
    <d v="2021-01-09T00:00:00"/>
    <x v="4"/>
    <s v="California"/>
    <s v="San Francisco"/>
    <s v="Women's Athletic Footwear"/>
    <n v="59"/>
    <n v="210"/>
    <x v="567"/>
    <x v="555"/>
    <s v="Online"/>
  </r>
  <r>
    <s v="West Gear"/>
    <n v="1128299"/>
    <d v="2021-02-07T00:00:00"/>
    <x v="4"/>
    <s v="California"/>
    <s v="San Francisco"/>
    <s v="Women's Street Footwear"/>
    <n v="50"/>
    <n v="210"/>
    <x v="276"/>
    <x v="239"/>
    <s v="Online"/>
  </r>
  <r>
    <s v="West Gear"/>
    <n v="1128299"/>
    <d v="2021-02-08T00:00:00"/>
    <x v="4"/>
    <s v="California"/>
    <s v="San Francisco"/>
    <s v="Women's Athletic Footwear"/>
    <n v="53"/>
    <n v="210"/>
    <x v="566"/>
    <x v="29"/>
    <s v="Online"/>
  </r>
  <r>
    <s v="Kohl's"/>
    <n v="1189833"/>
    <d v="2021-05-28T00:00:00"/>
    <x v="4"/>
    <s v="California"/>
    <s v="Los Angeles"/>
    <s v="Women's Athletic Footwear"/>
    <n v="49"/>
    <n v="210"/>
    <x v="345"/>
    <x v="407"/>
    <s v="Online"/>
  </r>
  <r>
    <s v="West Gear"/>
    <n v="1128299"/>
    <d v="2020-02-13T00:00:00"/>
    <x v="4"/>
    <s v="Nevada"/>
    <s v="Las Vegas"/>
    <s v="Men's Street Footwear"/>
    <n v="62"/>
    <n v="210"/>
    <x v="568"/>
    <x v="114"/>
    <s v="Online"/>
  </r>
  <r>
    <s v="West Gear"/>
    <n v="1128299"/>
    <d v="2020-07-08T00:00:00"/>
    <x v="4"/>
    <s v="Washington"/>
    <s v="Seattle"/>
    <s v="Men's Athletic Footwear"/>
    <n v="77"/>
    <n v="210"/>
    <x v="437"/>
    <x v="556"/>
    <s v="Online"/>
  </r>
  <r>
    <s v="Foot Locker"/>
    <n v="1185732"/>
    <d v="2020-04-24T00:00:00"/>
    <x v="0"/>
    <s v="Florida"/>
    <s v="Miami"/>
    <s v="Men's Athletic Footwear"/>
    <n v="41"/>
    <n v="210"/>
    <x v="146"/>
    <x v="93"/>
    <s v="Online"/>
  </r>
  <r>
    <s v="Sports Direct"/>
    <n v="1185732"/>
    <d v="2020-09-26T00:00:00"/>
    <x v="0"/>
    <s v="Florida"/>
    <s v="Miami"/>
    <s v="Women's Athletic Footwear"/>
    <n v="42"/>
    <n v="210"/>
    <x v="78"/>
    <x v="113"/>
    <s v="Online"/>
  </r>
  <r>
    <s v="Sports Direct"/>
    <n v="1185732"/>
    <d v="2020-09-27T00:00:00"/>
    <x v="0"/>
    <s v="Florida"/>
    <s v="Miami"/>
    <s v="Men's Apparel"/>
    <n v="50"/>
    <n v="210"/>
    <x v="276"/>
    <x v="557"/>
    <s v="Online"/>
  </r>
  <r>
    <s v="Sports Direct"/>
    <n v="1197831"/>
    <d v="2021-03-10T00:00:00"/>
    <x v="2"/>
    <s v="Montana"/>
    <s v="Billings"/>
    <s v="Men's Street Footwear"/>
    <n v="18"/>
    <n v="210"/>
    <x v="569"/>
    <x v="558"/>
    <s v="Online"/>
  </r>
  <r>
    <s v="Sports Direct"/>
    <n v="1197831"/>
    <d v="2021-05-17T00:00:00"/>
    <x v="1"/>
    <s v="Tennessee"/>
    <s v="Knoxville"/>
    <s v="Women's Street Footwear"/>
    <n v="54"/>
    <n v="210"/>
    <x v="79"/>
    <x v="280"/>
    <s v="Online"/>
  </r>
  <r>
    <s v="Sports Direct"/>
    <n v="1197831"/>
    <d v="2021-09-13T00:00:00"/>
    <x v="1"/>
    <s v="Alabama"/>
    <s v="Birmingham"/>
    <s v="Men's Athletic Footwear"/>
    <n v="52"/>
    <n v="210"/>
    <x v="162"/>
    <x v="493"/>
    <s v="Online"/>
  </r>
  <r>
    <s v="Foot Locker"/>
    <n v="1128299"/>
    <d v="2021-06-10T00:00:00"/>
    <x v="4"/>
    <s v="Hawaii"/>
    <s v="Honolulu"/>
    <s v="Men's Street Footwear"/>
    <n v="67"/>
    <n v="210"/>
    <x v="570"/>
    <x v="559"/>
    <s v="Online"/>
  </r>
  <r>
    <s v="Foot Locker"/>
    <n v="1128299"/>
    <d v="2021-08-10T00:00:00"/>
    <x v="4"/>
    <s v="Hawaii"/>
    <s v="Honolulu"/>
    <s v="Men's Street Footwear"/>
    <n v="79"/>
    <n v="210"/>
    <x v="571"/>
    <x v="187"/>
    <s v="Online"/>
  </r>
  <r>
    <s v="Walmart"/>
    <n v="1128299"/>
    <d v="2021-06-17T00:00:00"/>
    <x v="0"/>
    <s v="Florida"/>
    <s v="Orlando"/>
    <s v="Women's Street Footwear"/>
    <n v="80"/>
    <n v="210"/>
    <x v="572"/>
    <x v="560"/>
    <s v="Online"/>
  </r>
  <r>
    <s v="West Gear"/>
    <n v="1185732"/>
    <d v="2021-08-09T00:00:00"/>
    <x v="3"/>
    <s v="New York"/>
    <s v="Albany"/>
    <s v="Men's Athletic Footwear"/>
    <n v="55"/>
    <n v="210"/>
    <x v="431"/>
    <x v="539"/>
    <s v="Online"/>
  </r>
  <r>
    <s v="Sports Direct"/>
    <n v="1185732"/>
    <d v="2021-07-15T00:00:00"/>
    <x v="2"/>
    <s v="Michigan"/>
    <s v="Detroit"/>
    <s v="Women's Apparel"/>
    <n v="62"/>
    <n v="210"/>
    <x v="568"/>
    <x v="561"/>
    <s v="Online"/>
  </r>
  <r>
    <s v="West Gear"/>
    <n v="1128299"/>
    <d v="2021-06-17T00:00:00"/>
    <x v="1"/>
    <s v="Louisiana"/>
    <s v="New Orleans"/>
    <s v="Men's Athletic Footwear"/>
    <n v="65"/>
    <n v="210"/>
    <x v="573"/>
    <x v="493"/>
    <s v="Online"/>
  </r>
  <r>
    <s v="West Gear"/>
    <n v="1128299"/>
    <d v="2021-11-17T00:00:00"/>
    <x v="1"/>
    <s v="Louisiana"/>
    <s v="New Orleans"/>
    <s v="Men's Athletic Footwear"/>
    <n v="42"/>
    <n v="210"/>
    <x v="78"/>
    <x v="181"/>
    <s v="Online"/>
  </r>
  <r>
    <s v="Foot Locker"/>
    <n v="1197831"/>
    <d v="2021-08-08T00:00:00"/>
    <x v="4"/>
    <s v="Idaho"/>
    <s v="Boise"/>
    <s v="Men's Street Footwear"/>
    <n v="46"/>
    <n v="210"/>
    <x v="67"/>
    <x v="82"/>
    <s v="Online"/>
  </r>
  <r>
    <s v="Kohl's"/>
    <n v="1128299"/>
    <d v="2021-12-25T00:00:00"/>
    <x v="4"/>
    <s v="New Mexico"/>
    <s v="Albuquerque"/>
    <s v="Men's Street Footwear"/>
    <n v="55"/>
    <n v="210"/>
    <x v="431"/>
    <x v="82"/>
    <s v="Online"/>
  </r>
  <r>
    <s v="Foot Locker"/>
    <n v="1185732"/>
    <d v="2021-03-05T00:00:00"/>
    <x v="0"/>
    <s v="South Carolina"/>
    <s v="Charleston"/>
    <s v="Men's Athletic Footwear"/>
    <n v="32"/>
    <n v="210"/>
    <x v="366"/>
    <x v="212"/>
    <s v="Online"/>
  </r>
  <r>
    <s v="Foot Locker"/>
    <n v="1185732"/>
    <d v="2021-05-05T00:00:00"/>
    <x v="0"/>
    <s v="South Carolina"/>
    <s v="Charleston"/>
    <s v="Women's Street Footwear"/>
    <n v="41"/>
    <n v="210"/>
    <x v="146"/>
    <x v="424"/>
    <s v="Online"/>
  </r>
  <r>
    <s v="Foot Locker"/>
    <n v="1185732"/>
    <d v="2021-09-05T00:00:00"/>
    <x v="0"/>
    <s v="South Carolina"/>
    <s v="Charleston"/>
    <s v="Women's Athletic Footwear"/>
    <n v="39"/>
    <n v="210"/>
    <x v="574"/>
    <x v="264"/>
    <s v="Online"/>
  </r>
  <r>
    <s v="Sports Direct"/>
    <n v="1185732"/>
    <d v="2021-08-03T00:00:00"/>
    <x v="0"/>
    <s v="North Carolina"/>
    <s v="Charlotte"/>
    <s v="Women's Street Footwear"/>
    <n v="54"/>
    <n v="210"/>
    <x v="79"/>
    <x v="51"/>
    <s v="Online"/>
  </r>
  <r>
    <s v="Sports Direct"/>
    <n v="1185732"/>
    <d v="2021-11-03T00:00:00"/>
    <x v="0"/>
    <s v="North Carolina"/>
    <s v="Charlotte"/>
    <s v="Women's Apparel"/>
    <n v="72"/>
    <n v="210"/>
    <x v="207"/>
    <x v="562"/>
    <s v="Online"/>
  </r>
  <r>
    <s v="Amazon"/>
    <n v="1185732"/>
    <d v="2021-10-11T00:00:00"/>
    <x v="2"/>
    <s v="Ohio"/>
    <s v="Columbus"/>
    <s v="Men's Street Footwear"/>
    <n v="36"/>
    <n v="210"/>
    <x v="80"/>
    <x v="73"/>
    <s v="Online"/>
  </r>
  <r>
    <s v="Foot Locker"/>
    <n v="1185732"/>
    <d v="2021-06-18T00:00:00"/>
    <x v="1"/>
    <s v="Mississippi"/>
    <s v="Jackson"/>
    <s v="Men's Street Footwear"/>
    <n v="44"/>
    <n v="210"/>
    <x v="236"/>
    <x v="389"/>
    <s v="Online"/>
  </r>
  <r>
    <s v="Walmart"/>
    <n v="1197831"/>
    <d v="2021-08-20T00:00:00"/>
    <x v="1"/>
    <s v="Arkansas"/>
    <s v="Little Rock"/>
    <s v="Men's Street Footwear"/>
    <n v="55"/>
    <n v="210"/>
    <x v="431"/>
    <x v="280"/>
    <s v="Online"/>
  </r>
  <r>
    <s v="Sports Direct"/>
    <n v="1197831"/>
    <d v="2020-07-22T00:00:00"/>
    <x v="3"/>
    <s v="New York"/>
    <s v="New York"/>
    <s v="Women's Athletic Footwear"/>
    <n v="27"/>
    <n v="210"/>
    <x v="575"/>
    <x v="92"/>
    <s v="Outlet"/>
  </r>
  <r>
    <s v="Walmart"/>
    <n v="1197831"/>
    <d v="2020-10-29T00:00:00"/>
    <x v="1"/>
    <s v="Texas"/>
    <s v="Houston"/>
    <s v="Women's Athletic Footwear"/>
    <n v="36"/>
    <n v="210"/>
    <x v="80"/>
    <x v="73"/>
    <s v="Outlet"/>
  </r>
  <r>
    <s v="West Gear"/>
    <n v="1128299"/>
    <d v="2020-11-12T00:00:00"/>
    <x v="4"/>
    <s v="California"/>
    <s v="San Francisco"/>
    <s v="Women's Apparel"/>
    <n v="33"/>
    <n v="210"/>
    <x v="565"/>
    <x v="563"/>
    <s v="Outlet"/>
  </r>
  <r>
    <s v="West Gear"/>
    <n v="1128299"/>
    <d v="2020-11-15T00:00:00"/>
    <x v="4"/>
    <s v="California"/>
    <s v="San Francisco"/>
    <s v="Women's Street Footwear"/>
    <n v="47"/>
    <n v="210"/>
    <x v="576"/>
    <x v="564"/>
    <s v="Outlet"/>
  </r>
  <r>
    <s v="West Gear"/>
    <n v="1128299"/>
    <d v="2021-02-01T00:00:00"/>
    <x v="4"/>
    <s v="California"/>
    <s v="San Francisco"/>
    <s v="Women's Street Footwear"/>
    <n v="42"/>
    <n v="210"/>
    <x v="78"/>
    <x v="406"/>
    <s v="Outlet"/>
  </r>
  <r>
    <s v="West Gear"/>
    <n v="1128299"/>
    <d v="2021-02-08T00:00:00"/>
    <x v="4"/>
    <s v="California"/>
    <s v="San Francisco"/>
    <s v="Women's Athletic Footwear"/>
    <n v="37"/>
    <n v="210"/>
    <x v="215"/>
    <x v="504"/>
    <s v="Outlet"/>
  </r>
  <r>
    <s v="Kohl's"/>
    <n v="1189833"/>
    <d v="2021-03-12T00:00:00"/>
    <x v="4"/>
    <s v="California"/>
    <s v="Los Angeles"/>
    <s v="Women's Apparel"/>
    <n v="29"/>
    <n v="210"/>
    <x v="577"/>
    <x v="445"/>
    <s v="Outlet"/>
  </r>
  <r>
    <s v="Kohl's"/>
    <n v="1189833"/>
    <d v="2021-04-08T00:00:00"/>
    <x v="4"/>
    <s v="California"/>
    <s v="Los Angeles"/>
    <s v="Men's Athletic Footwear"/>
    <n v="34"/>
    <n v="210"/>
    <x v="578"/>
    <x v="439"/>
    <s v="Outlet"/>
  </r>
  <r>
    <s v="Kohl's"/>
    <n v="1189833"/>
    <d v="2021-05-09T00:00:00"/>
    <x v="4"/>
    <s v="California"/>
    <s v="Los Angeles"/>
    <s v="Women's Street Footwear"/>
    <n v="38"/>
    <n v="210"/>
    <x v="454"/>
    <x v="266"/>
    <s v="Outlet"/>
  </r>
  <r>
    <s v="Kohl's"/>
    <n v="1189833"/>
    <d v="2021-05-12T00:00:00"/>
    <x v="4"/>
    <s v="California"/>
    <s v="Los Angeles"/>
    <s v="Women's Apparel"/>
    <n v="49"/>
    <n v="210"/>
    <x v="345"/>
    <x v="565"/>
    <s v="Outlet"/>
  </r>
  <r>
    <s v="Kohl's"/>
    <n v="1189833"/>
    <d v="2021-05-17T00:00:00"/>
    <x v="4"/>
    <s v="California"/>
    <s v="Los Angeles"/>
    <s v="Men's Apparel"/>
    <n v="46"/>
    <n v="210"/>
    <x v="67"/>
    <x v="566"/>
    <s v="Outlet"/>
  </r>
  <r>
    <s v="Sports Direct"/>
    <n v="1197831"/>
    <d v="2021-08-30T00:00:00"/>
    <x v="1"/>
    <s v="Texas"/>
    <s v="Dallas"/>
    <s v="Men's Athletic Footwear"/>
    <n v="21"/>
    <n v="210"/>
    <x v="579"/>
    <x v="419"/>
    <s v="Outlet"/>
  </r>
  <r>
    <s v="Sports Direct"/>
    <n v="1197831"/>
    <d v="2021-09-03T00:00:00"/>
    <x v="1"/>
    <s v="Texas"/>
    <s v="Dallas"/>
    <s v="Women's Apparel"/>
    <n v="22"/>
    <n v="210"/>
    <x v="580"/>
    <x v="487"/>
    <s v="Outlet"/>
  </r>
  <r>
    <s v="Sports Direct"/>
    <n v="1197831"/>
    <d v="2021-05-17T00:00:00"/>
    <x v="1"/>
    <s v="Tennessee"/>
    <s v="Knoxville"/>
    <s v="Women's Street Footwear"/>
    <n v="44"/>
    <n v="210"/>
    <x v="236"/>
    <x v="399"/>
    <s v="Outlet"/>
  </r>
  <r>
    <s v="Sports Direct"/>
    <n v="1197831"/>
    <d v="2021-09-03T00:00:00"/>
    <x v="1"/>
    <s v="Alabama"/>
    <s v="Birmingham"/>
    <s v="Women's Athletic Footwear"/>
    <n v="31"/>
    <n v="210"/>
    <x v="581"/>
    <x v="522"/>
    <s v="Outlet"/>
  </r>
  <r>
    <s v="Foot Locker"/>
    <n v="1128299"/>
    <d v="2021-07-23T00:00:00"/>
    <x v="0"/>
    <s v="Virginia"/>
    <s v="Richmond"/>
    <s v="Men's Apparel"/>
    <n v="72"/>
    <n v="210"/>
    <x v="207"/>
    <x v="361"/>
    <s v="Outlet"/>
  </r>
  <r>
    <s v="West Gear"/>
    <n v="1128299"/>
    <d v="2021-06-17T00:00:00"/>
    <x v="1"/>
    <s v="Louisiana"/>
    <s v="New Orleans"/>
    <s v="Women's Street Footwear"/>
    <n v="55"/>
    <n v="210"/>
    <x v="431"/>
    <x v="443"/>
    <s v="Outlet"/>
  </r>
  <r>
    <s v="West Gear"/>
    <n v="1128299"/>
    <d v="2021-07-16T00:00:00"/>
    <x v="1"/>
    <s v="Louisiana"/>
    <s v="New Orleans"/>
    <s v="Women's Street Footwear"/>
    <n v="69"/>
    <n v="210"/>
    <x v="582"/>
    <x v="567"/>
    <s v="Outlet"/>
  </r>
  <r>
    <s v="West Gear"/>
    <n v="1197831"/>
    <d v="2021-05-05T00:00:00"/>
    <x v="4"/>
    <s v="Idaho"/>
    <s v="Boise"/>
    <s v="Men's Street Footwear"/>
    <n v="14"/>
    <n v="210"/>
    <x v="583"/>
    <x v="568"/>
    <s v="Outlet"/>
  </r>
  <r>
    <s v="Sports Direct"/>
    <n v="1197831"/>
    <d v="2021-11-05T00:00:00"/>
    <x v="4"/>
    <s v="Idaho"/>
    <s v="Boise"/>
    <s v="Women's Street Footwear"/>
    <n v="42"/>
    <n v="210"/>
    <x v="78"/>
    <x v="435"/>
    <s v="Outlet"/>
  </r>
  <r>
    <s v="Kohl's"/>
    <n v="1128299"/>
    <d v="2021-07-25T00:00:00"/>
    <x v="4"/>
    <s v="New Mexico"/>
    <s v="Albuquerque"/>
    <s v="Men's Athletic Footwear"/>
    <n v="45"/>
    <n v="210"/>
    <x v="174"/>
    <x v="109"/>
    <s v="Outlet"/>
  </r>
  <r>
    <s v="Sports Direct"/>
    <n v="1197831"/>
    <d v="2021-02-21T00:00:00"/>
    <x v="1"/>
    <s v="Mississippi"/>
    <s v="Jackson"/>
    <s v="Men's Street Footwear"/>
    <n v="17"/>
    <n v="210"/>
    <x v="584"/>
    <x v="547"/>
    <s v="Outlet"/>
  </r>
  <r>
    <s v="West Gear"/>
    <n v="1128299"/>
    <d v="2020-11-01T00:00:00"/>
    <x v="1"/>
    <s v="Texas"/>
    <s v="Houston"/>
    <s v="Men's Street Footwear"/>
    <n v="37"/>
    <n v="209"/>
    <x v="178"/>
    <x v="95"/>
    <s v="Online"/>
  </r>
  <r>
    <s v="Sports Direct"/>
    <n v="1185732"/>
    <d v="2020-05-24T00:00:00"/>
    <x v="0"/>
    <s v="Florida"/>
    <s v="Miami"/>
    <s v="Women's Athletic Footwear"/>
    <n v="54"/>
    <n v="209"/>
    <x v="115"/>
    <x v="411"/>
    <s v="Online"/>
  </r>
  <r>
    <s v="Foot Locker"/>
    <n v="1197831"/>
    <d v="2021-12-04T00:00:00"/>
    <x v="4"/>
    <s v="Idaho"/>
    <s v="Boise"/>
    <s v="Men's Athletic Footwear"/>
    <n v="51"/>
    <n v="209"/>
    <x v="48"/>
    <x v="97"/>
    <s v="Online"/>
  </r>
  <r>
    <s v="Foot Locker"/>
    <n v="1185732"/>
    <d v="2021-04-06T00:00:00"/>
    <x v="0"/>
    <s v="South Carolina"/>
    <s v="Charleston"/>
    <s v="Women's Apparel"/>
    <n v="39"/>
    <n v="209"/>
    <x v="248"/>
    <x v="374"/>
    <s v="Online"/>
  </r>
  <r>
    <s v="Foot Locker"/>
    <n v="1185732"/>
    <d v="2021-06-07T00:00:00"/>
    <x v="0"/>
    <s v="South Carolina"/>
    <s v="Charleston"/>
    <s v="Women's Street Footwear"/>
    <n v="47"/>
    <n v="209"/>
    <x v="585"/>
    <x v="337"/>
    <s v="Online"/>
  </r>
  <r>
    <s v="West Gear"/>
    <n v="1128299"/>
    <d v="2020-03-10T00:00:00"/>
    <x v="4"/>
    <s v="Nevada"/>
    <s v="Las Vegas"/>
    <s v="Men's Athletic Footwear"/>
    <n v="50"/>
    <n v="209"/>
    <x v="354"/>
    <x v="404"/>
    <s v="Outlet"/>
  </r>
  <r>
    <s v="Sports Direct"/>
    <n v="1197831"/>
    <d v="2021-04-27T00:00:00"/>
    <x v="1"/>
    <s v="Tennessee"/>
    <s v="Knoxville"/>
    <s v="Men's Street Footwear"/>
    <n v="40"/>
    <n v="209"/>
    <x v="586"/>
    <x v="569"/>
    <s v="Outlet"/>
  </r>
  <r>
    <s v="Foot Locker"/>
    <n v="1197831"/>
    <d v="2021-01-05T00:00:00"/>
    <x v="1"/>
    <s v="Louisiana"/>
    <s v="New Orleans"/>
    <s v="Men's Athletic Footwear"/>
    <n v="20"/>
    <n v="209"/>
    <x v="587"/>
    <x v="570"/>
    <s v="Outlet"/>
  </r>
  <r>
    <s v="Sports Direct"/>
    <n v="1128299"/>
    <d v="2021-08-13T00:00:00"/>
    <x v="0"/>
    <s v="Georgia"/>
    <s v="Atlanta"/>
    <s v="Men's Street Footwear"/>
    <n v="39"/>
    <n v="209"/>
    <x v="248"/>
    <x v="392"/>
    <s v="Outlet"/>
  </r>
  <r>
    <s v="Sports Direct"/>
    <n v="1128299"/>
    <d v="2021-12-12T00:00:00"/>
    <x v="0"/>
    <s v="Georgia"/>
    <s v="Atlanta"/>
    <s v="Men's Street Footwear"/>
    <n v="42"/>
    <n v="209"/>
    <x v="588"/>
    <x v="480"/>
    <s v="Outlet"/>
  </r>
  <r>
    <s v="Foot Locker"/>
    <n v="1185732"/>
    <d v="2021-01-09T00:00:00"/>
    <x v="0"/>
    <s v="Georgia"/>
    <s v="Atlanta"/>
    <s v="Women's Athletic Footwear"/>
    <n v="25"/>
    <n v="209"/>
    <x v="589"/>
    <x v="571"/>
    <s v="Outlet"/>
  </r>
  <r>
    <s v="Walmart"/>
    <n v="1185732"/>
    <d v="2021-07-16T00:00:00"/>
    <x v="1"/>
    <s v="Mississippi"/>
    <s v="Jackson"/>
    <s v="Women's Apparel"/>
    <n v="49"/>
    <n v="209"/>
    <x v="590"/>
    <x v="572"/>
    <s v="Outlet"/>
  </r>
  <r>
    <s v="Amazon"/>
    <n v="1185732"/>
    <d v="2021-07-10T00:00:00"/>
    <x v="3"/>
    <s v="Vermont"/>
    <s v="Burlington"/>
    <s v="Men's Street Footwear"/>
    <n v="45"/>
    <n v="209"/>
    <x v="591"/>
    <x v="573"/>
    <s v="Outlet"/>
  </r>
  <r>
    <s v="West Gear"/>
    <n v="1128299"/>
    <d v="2021-02-16T00:00:00"/>
    <x v="4"/>
    <s v="California"/>
    <s v="San Francisco"/>
    <s v="Women's Apparel"/>
    <n v="67"/>
    <n v="208"/>
    <x v="42"/>
    <x v="58"/>
    <s v="Online"/>
  </r>
  <r>
    <s v="Kohl's"/>
    <n v="1189833"/>
    <d v="2021-04-13T00:00:00"/>
    <x v="4"/>
    <s v="California"/>
    <s v="Los Angeles"/>
    <s v="Men's Street Footwear"/>
    <n v="41"/>
    <n v="208"/>
    <x v="592"/>
    <x v="275"/>
    <s v="Online"/>
  </r>
  <r>
    <s v="Sports Direct"/>
    <n v="1197831"/>
    <d v="2021-09-22T00:00:00"/>
    <x v="1"/>
    <s v="Texas"/>
    <s v="Dallas"/>
    <s v="Men's Street Footwear"/>
    <n v="49"/>
    <n v="208"/>
    <x v="593"/>
    <x v="539"/>
    <s v="Online"/>
  </r>
  <r>
    <s v="Sports Direct"/>
    <n v="1197831"/>
    <d v="2021-09-23T00:00:00"/>
    <x v="1"/>
    <s v="Texas"/>
    <s v="Dallas"/>
    <s v="Men's Athletic Footwear"/>
    <n v="53"/>
    <n v="208"/>
    <x v="99"/>
    <x v="530"/>
    <s v="Online"/>
  </r>
  <r>
    <s v="West Gear"/>
    <n v="1185732"/>
    <d v="2020-04-24T00:00:00"/>
    <x v="0"/>
    <s v="Florida"/>
    <s v="Miami"/>
    <s v="Women's Apparel"/>
    <n v="44"/>
    <n v="208"/>
    <x v="594"/>
    <x v="478"/>
    <s v="Online"/>
  </r>
  <r>
    <s v="West Gear"/>
    <n v="1185732"/>
    <d v="2020-09-07T00:00:00"/>
    <x v="0"/>
    <s v="Florida"/>
    <s v="Miami"/>
    <s v="Women's Street Footwear"/>
    <n v="49"/>
    <n v="208"/>
    <x v="593"/>
    <x v="574"/>
    <s v="Online"/>
  </r>
  <r>
    <s v="West Gear"/>
    <n v="1185732"/>
    <d v="2020-09-15T00:00:00"/>
    <x v="0"/>
    <s v="Florida"/>
    <s v="Miami"/>
    <s v="Men's Apparel"/>
    <n v="61"/>
    <n v="208"/>
    <x v="595"/>
    <x v="205"/>
    <s v="Online"/>
  </r>
  <r>
    <s v="Foot Locker"/>
    <n v="1128299"/>
    <d v="2021-07-09T00:00:00"/>
    <x v="4"/>
    <s v="Hawaii"/>
    <s v="Honolulu"/>
    <s v="Men's Street Footwear"/>
    <n v="74"/>
    <n v="208"/>
    <x v="150"/>
    <x v="442"/>
    <s v="Online"/>
  </r>
  <r>
    <s v="West Gear"/>
    <n v="1185732"/>
    <d v="2021-10-10T00:00:00"/>
    <x v="3"/>
    <s v="New York"/>
    <s v="Albany"/>
    <s v="Men's Street Footwear"/>
    <n v="57"/>
    <n v="208"/>
    <x v="86"/>
    <x v="575"/>
    <s v="Online"/>
  </r>
  <r>
    <s v="Kohl's"/>
    <n v="1185732"/>
    <d v="2021-04-11T00:00:00"/>
    <x v="4"/>
    <s v="Wyoming"/>
    <s v="Cheyenne"/>
    <s v="Men's Street Footwear"/>
    <n v="39"/>
    <n v="208"/>
    <x v="596"/>
    <x v="576"/>
    <s v="Online"/>
  </r>
  <r>
    <s v="Kohl's"/>
    <n v="1185732"/>
    <d v="2021-09-10T00:00:00"/>
    <x v="4"/>
    <s v="Wyoming"/>
    <s v="Cheyenne"/>
    <s v="Men's Street Footwear"/>
    <n v="48"/>
    <n v="208"/>
    <x v="68"/>
    <x v="577"/>
    <s v="Online"/>
  </r>
  <r>
    <s v="Foot Locker"/>
    <n v="1197831"/>
    <d v="2021-07-06T00:00:00"/>
    <x v="4"/>
    <s v="Idaho"/>
    <s v="Boise"/>
    <s v="Women's Apparel"/>
    <n v="64"/>
    <n v="208"/>
    <x v="597"/>
    <x v="578"/>
    <s v="Online"/>
  </r>
  <r>
    <s v="Foot Locker"/>
    <n v="1185732"/>
    <d v="2021-10-07T00:00:00"/>
    <x v="0"/>
    <s v="South Carolina"/>
    <s v="Charleston"/>
    <s v="Men's Athletic Footwear"/>
    <n v="42"/>
    <n v="208"/>
    <x v="598"/>
    <x v="531"/>
    <s v="Online"/>
  </r>
  <r>
    <s v="Walmart"/>
    <n v="1197831"/>
    <d v="2020-10-30T00:00:00"/>
    <x v="1"/>
    <s v="Texas"/>
    <s v="Houston"/>
    <s v="Men's Apparel"/>
    <n v="30"/>
    <n v="208"/>
    <x v="436"/>
    <x v="504"/>
    <s v="Outlet"/>
  </r>
  <r>
    <s v="Kohl's"/>
    <n v="1189833"/>
    <d v="2021-03-18T00:00:00"/>
    <x v="4"/>
    <s v="California"/>
    <s v="Los Angeles"/>
    <s v="Women's Apparel"/>
    <n v="32"/>
    <n v="208"/>
    <x v="271"/>
    <x v="579"/>
    <s v="Outlet"/>
  </r>
  <r>
    <s v="Kohl's"/>
    <n v="1189833"/>
    <d v="2021-05-06T00:00:00"/>
    <x v="4"/>
    <s v="California"/>
    <s v="Los Angeles"/>
    <s v="Women's Apparel"/>
    <n v="46"/>
    <n v="208"/>
    <x v="599"/>
    <x v="580"/>
    <s v="Outlet"/>
  </r>
  <r>
    <s v="Kohl's"/>
    <n v="1189833"/>
    <d v="2021-05-15T00:00:00"/>
    <x v="4"/>
    <s v="California"/>
    <s v="Los Angeles"/>
    <s v="Women's Street Footwear"/>
    <n v="33"/>
    <n v="208"/>
    <x v="600"/>
    <x v="514"/>
    <s v="Outlet"/>
  </r>
  <r>
    <s v="Kohl's"/>
    <n v="1189833"/>
    <d v="2021-05-18T00:00:00"/>
    <x v="4"/>
    <s v="California"/>
    <s v="Los Angeles"/>
    <s v="Women's Apparel"/>
    <n v="46"/>
    <n v="208"/>
    <x v="599"/>
    <x v="451"/>
    <s v="Outlet"/>
  </r>
  <r>
    <s v="West Gear"/>
    <n v="1128299"/>
    <d v="2020-02-14T00:00:00"/>
    <x v="4"/>
    <s v="Nevada"/>
    <s v="Las Vegas"/>
    <s v="Men's Athletic Footwear"/>
    <n v="56"/>
    <n v="208"/>
    <x v="409"/>
    <x v="581"/>
    <s v="Outlet"/>
  </r>
  <r>
    <s v="Walmart"/>
    <n v="1128299"/>
    <d v="2021-07-16T00:00:00"/>
    <x v="0"/>
    <s v="Florida"/>
    <s v="Orlando"/>
    <s v="Men's Apparel"/>
    <n v="68"/>
    <n v="208"/>
    <x v="601"/>
    <x v="582"/>
    <s v="Outlet"/>
  </r>
  <r>
    <s v="Foot Locker"/>
    <n v="1128299"/>
    <d v="2021-06-24T00:00:00"/>
    <x v="0"/>
    <s v="Virginia"/>
    <s v="Richmond"/>
    <s v="Women's Street Footwear"/>
    <n v="58"/>
    <n v="208"/>
    <x v="424"/>
    <x v="78"/>
    <s v="Outlet"/>
  </r>
  <r>
    <s v="Foot Locker"/>
    <n v="1128299"/>
    <d v="2021-07-23T00:00:00"/>
    <x v="0"/>
    <s v="Virginia"/>
    <s v="Richmond"/>
    <s v="Women's Street Footwear"/>
    <n v="62"/>
    <n v="208"/>
    <x v="313"/>
    <x v="53"/>
    <s v="Outlet"/>
  </r>
  <r>
    <s v="West Gear"/>
    <n v="1185732"/>
    <d v="2021-06-11T00:00:00"/>
    <x v="4"/>
    <s v="Utah"/>
    <s v="Salt Lake City"/>
    <s v="Men's Street Footwear"/>
    <n v="21"/>
    <n v="208"/>
    <x v="449"/>
    <x v="335"/>
    <s v="Outlet"/>
  </r>
  <r>
    <s v="West Gear"/>
    <n v="1128299"/>
    <d v="2021-06-24T00:00:00"/>
    <x v="4"/>
    <s v="Oregon"/>
    <s v="Portland"/>
    <s v="Women's Street Footwear"/>
    <n v="53"/>
    <n v="208"/>
    <x v="99"/>
    <x v="96"/>
    <s v="Outlet"/>
  </r>
  <r>
    <s v="West Gear"/>
    <n v="1128299"/>
    <d v="2021-07-16T00:00:00"/>
    <x v="1"/>
    <s v="Louisiana"/>
    <s v="New Orleans"/>
    <s v="Women's Apparel"/>
    <n v="81"/>
    <n v="208"/>
    <x v="602"/>
    <x v="209"/>
    <s v="Outlet"/>
  </r>
  <r>
    <s v="Kohl's"/>
    <n v="1128299"/>
    <d v="2021-08-26T00:00:00"/>
    <x v="4"/>
    <s v="New Mexico"/>
    <s v="Albuquerque"/>
    <s v="Men's Athletic Footwear"/>
    <n v="44"/>
    <n v="208"/>
    <x v="594"/>
    <x v="80"/>
    <s v="Outlet"/>
  </r>
  <r>
    <s v="Sports Direct"/>
    <n v="1185732"/>
    <d v="2021-05-15T00:00:00"/>
    <x v="2"/>
    <s v="Michigan"/>
    <s v="Detroit"/>
    <s v="Men's Street Footwear"/>
    <n v="48"/>
    <n v="207"/>
    <x v="176"/>
    <x v="373"/>
    <s v="Online"/>
  </r>
  <r>
    <s v="Amazon"/>
    <n v="1185732"/>
    <d v="2021-05-09T00:00:00"/>
    <x v="2"/>
    <s v="Ohio"/>
    <s v="Columbus"/>
    <s v="Men's Street Footwear"/>
    <n v="42"/>
    <n v="207"/>
    <x v="603"/>
    <x v="163"/>
    <s v="Online"/>
  </r>
  <r>
    <s v="Foot Locker"/>
    <n v="1185732"/>
    <d v="2020-01-22T00:00:00"/>
    <x v="3"/>
    <s v="New York"/>
    <s v="New York"/>
    <s v="Women's Athletic Footwear"/>
    <n v="44"/>
    <n v="206"/>
    <x v="504"/>
    <x v="224"/>
    <s v="Online"/>
  </r>
  <r>
    <s v="Walmart"/>
    <n v="1197831"/>
    <d v="2020-10-22T00:00:00"/>
    <x v="1"/>
    <s v="Texas"/>
    <s v="Houston"/>
    <s v="Women's Street Footwear"/>
    <n v="47"/>
    <n v="206"/>
    <x v="478"/>
    <x v="583"/>
    <s v="Online"/>
  </r>
  <r>
    <s v="West Gear"/>
    <n v="1128299"/>
    <d v="2021-01-08T00:00:00"/>
    <x v="4"/>
    <s v="California"/>
    <s v="San Francisco"/>
    <s v="Women's Street Footwear"/>
    <n v="64"/>
    <n v="206"/>
    <x v="604"/>
    <x v="158"/>
    <s v="Online"/>
  </r>
  <r>
    <s v="West Gear"/>
    <n v="1185732"/>
    <d v="2020-04-24T00:00:00"/>
    <x v="0"/>
    <s v="Florida"/>
    <s v="Miami"/>
    <s v="Men's Athletic Footwear"/>
    <n v="54"/>
    <n v="206"/>
    <x v="605"/>
    <x v="267"/>
    <s v="Online"/>
  </r>
  <r>
    <s v="Sports Direct"/>
    <n v="1197831"/>
    <d v="2021-04-16T00:00:00"/>
    <x v="1"/>
    <s v="Tennessee"/>
    <s v="Knoxville"/>
    <s v="Men's Athletic Footwear"/>
    <n v="43"/>
    <n v="206"/>
    <x v="606"/>
    <x v="374"/>
    <s v="Online"/>
  </r>
  <r>
    <s v="Sports Direct"/>
    <n v="1197831"/>
    <d v="2021-09-06T00:00:00"/>
    <x v="1"/>
    <s v="Alabama"/>
    <s v="Birmingham"/>
    <s v="Men's Street Footwear"/>
    <n v="44"/>
    <n v="206"/>
    <x v="504"/>
    <x v="417"/>
    <s v="Online"/>
  </r>
  <r>
    <s v="Walmart"/>
    <n v="1128299"/>
    <d v="2021-08-17T00:00:00"/>
    <x v="0"/>
    <s v="Florida"/>
    <s v="Orlando"/>
    <s v="Men's Athletic Footwear"/>
    <n v="77"/>
    <n v="206"/>
    <x v="607"/>
    <x v="359"/>
    <s v="Online"/>
  </r>
  <r>
    <s v="Sports Direct"/>
    <n v="1185732"/>
    <d v="2021-06-17T00:00:00"/>
    <x v="2"/>
    <s v="Michigan"/>
    <s v="Detroit"/>
    <s v="Men's Street Footwear"/>
    <n v="52"/>
    <n v="206"/>
    <x v="375"/>
    <x v="584"/>
    <s v="Online"/>
  </r>
  <r>
    <s v="Foot Locker"/>
    <n v="1185732"/>
    <d v="2021-01-09T00:00:00"/>
    <x v="0"/>
    <s v="Georgia"/>
    <s v="Atlanta"/>
    <s v="Men's Athletic Footwear"/>
    <n v="37"/>
    <n v="206"/>
    <x v="432"/>
    <x v="160"/>
    <s v="Online"/>
  </r>
  <r>
    <s v="Foot Locker"/>
    <n v="1185732"/>
    <d v="2021-11-06T00:00:00"/>
    <x v="0"/>
    <s v="South Carolina"/>
    <s v="Charleston"/>
    <s v="Women's Apparel"/>
    <n v="74"/>
    <n v="206"/>
    <x v="295"/>
    <x v="585"/>
    <s v="Online"/>
  </r>
  <r>
    <s v="Walmart"/>
    <n v="1197831"/>
    <d v="2020-09-09T00:00:00"/>
    <x v="1"/>
    <s v="Texas"/>
    <s v="Houston"/>
    <s v="Men's Apparel"/>
    <n v="36"/>
    <n v="206"/>
    <x v="608"/>
    <x v="586"/>
    <s v="Outlet"/>
  </r>
  <r>
    <s v="Kohl's"/>
    <n v="1189833"/>
    <d v="2021-04-09T00:00:00"/>
    <x v="4"/>
    <s v="California"/>
    <s v="Los Angeles"/>
    <s v="Women's Street Footwear"/>
    <n v="38"/>
    <n v="206"/>
    <x v="609"/>
    <x v="308"/>
    <s v="Outlet"/>
  </r>
  <r>
    <s v="Kohl's"/>
    <n v="1189833"/>
    <d v="2021-04-18T00:00:00"/>
    <x v="4"/>
    <s v="California"/>
    <s v="Los Angeles"/>
    <s v="Women's Apparel"/>
    <n v="43"/>
    <n v="206"/>
    <x v="606"/>
    <x v="587"/>
    <s v="Outlet"/>
  </r>
  <r>
    <s v="Sports Direct"/>
    <n v="1197831"/>
    <d v="2021-08-07T00:00:00"/>
    <x v="1"/>
    <s v="Alabama"/>
    <s v="Birmingham"/>
    <s v="Men's Street Footwear"/>
    <n v="16"/>
    <n v="206"/>
    <x v="610"/>
    <x v="588"/>
    <s v="Outlet"/>
  </r>
  <r>
    <s v="Sports Direct"/>
    <n v="1197831"/>
    <d v="2021-09-18T00:00:00"/>
    <x v="1"/>
    <s v="Alabama"/>
    <s v="Birmingham"/>
    <s v="Men's Street Footwear"/>
    <n v="38"/>
    <n v="206"/>
    <x v="609"/>
    <x v="93"/>
    <s v="Outlet"/>
  </r>
  <r>
    <s v="Kohl's"/>
    <n v="1128299"/>
    <d v="2021-09-27T00:00:00"/>
    <x v="4"/>
    <s v="New Mexico"/>
    <s v="Albuquerque"/>
    <s v="Men's Street Footwear"/>
    <n v="37"/>
    <n v="206"/>
    <x v="432"/>
    <x v="535"/>
    <s v="Outlet"/>
  </r>
  <r>
    <s v="Walmart"/>
    <n v="1185732"/>
    <d v="2021-08-17T00:00:00"/>
    <x v="1"/>
    <s v="Mississippi"/>
    <s v="Jackson"/>
    <s v="Women's Apparel"/>
    <n v="42"/>
    <n v="206"/>
    <x v="338"/>
    <x v="57"/>
    <s v="Outlet"/>
  </r>
  <r>
    <s v="Sports Direct"/>
    <n v="1185732"/>
    <d v="2021-11-17T00:00:00"/>
    <x v="1"/>
    <s v="Mississippi"/>
    <s v="Jackson"/>
    <s v="Men's Street Footwear"/>
    <n v="22"/>
    <n v="206"/>
    <x v="611"/>
    <x v="589"/>
    <s v="Outlet"/>
  </r>
  <r>
    <s v="Walmart"/>
    <n v="1197831"/>
    <d v="2021-03-19T00:00:00"/>
    <x v="1"/>
    <s v="Arkansas"/>
    <s v="Little Rock"/>
    <s v="Men's Street Footwear"/>
    <n v="15"/>
    <n v="206"/>
    <x v="612"/>
    <x v="590"/>
    <s v="Outlet"/>
  </r>
  <r>
    <s v="West Gear"/>
    <n v="1197831"/>
    <d v="2021-02-21T00:00:00"/>
    <x v="1"/>
    <s v="Arkansas"/>
    <s v="Little Rock"/>
    <s v="Men's Street Footwear"/>
    <n v="18"/>
    <n v="206"/>
    <x v="613"/>
    <x v="591"/>
    <s v="Outlet"/>
  </r>
  <r>
    <s v="Sports Direct"/>
    <n v="1185732"/>
    <d v="2021-06-05T00:00:00"/>
    <x v="3"/>
    <s v="Connecticut"/>
    <s v="Hartford"/>
    <s v="Men's Street Footwear"/>
    <n v="40"/>
    <n v="206"/>
    <x v="102"/>
    <x v="364"/>
    <s v="Outlet"/>
  </r>
  <r>
    <s v="Sports Direct"/>
    <n v="1197831"/>
    <d v="2020-08-03T00:00:00"/>
    <x v="1"/>
    <s v="Texas"/>
    <s v="Houston"/>
    <s v="Women's Athletic Footwear"/>
    <n v="30"/>
    <n v="204"/>
    <x v="94"/>
    <x v="592"/>
    <s v="Outlet"/>
  </r>
  <r>
    <s v="Walmart"/>
    <n v="1197831"/>
    <d v="2020-09-14T00:00:00"/>
    <x v="1"/>
    <s v="Texas"/>
    <s v="Houston"/>
    <s v="Women's Athletic Footwear"/>
    <n v="36"/>
    <n v="204"/>
    <x v="190"/>
    <x v="422"/>
    <s v="Outlet"/>
  </r>
  <r>
    <s v="West Gear"/>
    <n v="1128299"/>
    <d v="2020-12-22T00:00:00"/>
    <x v="4"/>
    <s v="California"/>
    <s v="San Francisco"/>
    <s v="Women's Athletic Footwear"/>
    <n v="48"/>
    <n v="204"/>
    <x v="191"/>
    <x v="593"/>
    <s v="Outlet"/>
  </r>
  <r>
    <s v="Kohl's"/>
    <n v="1189833"/>
    <d v="2021-05-23T00:00:00"/>
    <x v="4"/>
    <s v="California"/>
    <s v="Los Angeles"/>
    <s v="Men's Apparel"/>
    <n v="46"/>
    <n v="204"/>
    <x v="614"/>
    <x v="276"/>
    <s v="Outlet"/>
  </r>
  <r>
    <s v="West Gear"/>
    <n v="1128299"/>
    <d v="2020-02-08T00:00:00"/>
    <x v="4"/>
    <s v="Nevada"/>
    <s v="Las Vegas"/>
    <s v="Men's Athletic Footwear"/>
    <n v="46"/>
    <n v="204"/>
    <x v="614"/>
    <x v="356"/>
    <s v="Outlet"/>
  </r>
  <r>
    <s v="Sports Direct"/>
    <n v="1197831"/>
    <d v="2021-04-05T00:00:00"/>
    <x v="1"/>
    <s v="Tennessee"/>
    <s v="Knoxville"/>
    <s v="Women's Street Footwear"/>
    <n v="14"/>
    <n v="204"/>
    <x v="615"/>
    <x v="594"/>
    <s v="Outlet"/>
  </r>
  <r>
    <s v="Sports Direct"/>
    <n v="1197831"/>
    <d v="2021-05-11T00:00:00"/>
    <x v="1"/>
    <s v="Tennessee"/>
    <s v="Knoxville"/>
    <s v="Women's Street Footwear"/>
    <n v="37"/>
    <n v="204"/>
    <x v="616"/>
    <x v="595"/>
    <s v="Outlet"/>
  </r>
  <r>
    <s v="West Gear"/>
    <n v="1128299"/>
    <d v="2021-12-16T00:00:00"/>
    <x v="0"/>
    <s v="Florida"/>
    <s v="Orlando"/>
    <s v="Women's Street Footwear"/>
    <n v="64"/>
    <n v="204"/>
    <x v="18"/>
    <x v="93"/>
    <s v="Outlet"/>
  </r>
  <r>
    <s v="West Gear"/>
    <n v="1128299"/>
    <d v="2021-12-16T00:00:00"/>
    <x v="0"/>
    <s v="Florida"/>
    <s v="Orlando"/>
    <s v="Women's Athletic Footwear"/>
    <n v="58"/>
    <n v="204"/>
    <x v="422"/>
    <x v="167"/>
    <s v="Outlet"/>
  </r>
  <r>
    <s v="West Gear"/>
    <n v="1185732"/>
    <d v="2021-02-10T00:00:00"/>
    <x v="0"/>
    <s v="Florida"/>
    <s v="Orlando"/>
    <s v="Women's Street Footwear"/>
    <n v="23"/>
    <n v="204"/>
    <x v="617"/>
    <x v="570"/>
    <s v="Outlet"/>
  </r>
  <r>
    <s v="West Gear"/>
    <n v="1185732"/>
    <d v="2021-07-10T00:00:00"/>
    <x v="4"/>
    <s v="Utah"/>
    <s v="Salt Lake City"/>
    <s v="Women's Apparel"/>
    <n v="32"/>
    <n v="204"/>
    <x v="618"/>
    <x v="266"/>
    <s v="Outlet"/>
  </r>
  <r>
    <s v="West Gear"/>
    <n v="1128299"/>
    <d v="2021-07-23T00:00:00"/>
    <x v="4"/>
    <s v="Oregon"/>
    <s v="Portland"/>
    <s v="Women's Apparel"/>
    <n v="78"/>
    <n v="204"/>
    <x v="11"/>
    <x v="537"/>
    <s v="Outlet"/>
  </r>
  <r>
    <s v="Sports Direct"/>
    <n v="1128299"/>
    <d v="2021-09-14T00:00:00"/>
    <x v="0"/>
    <s v="Georgia"/>
    <s v="Atlanta"/>
    <s v="Men's Street Footwear"/>
    <n v="31"/>
    <n v="204"/>
    <x v="398"/>
    <x v="406"/>
    <s v="Outlet"/>
  </r>
  <r>
    <s v="Walmart"/>
    <n v="1197831"/>
    <d v="2021-04-20T00:00:00"/>
    <x v="1"/>
    <s v="Arkansas"/>
    <s v="Little Rock"/>
    <s v="Men's Street Footwear"/>
    <n v="19"/>
    <n v="204"/>
    <x v="619"/>
    <x v="596"/>
    <s v="Outlet"/>
  </r>
  <r>
    <s v="Kohl's"/>
    <n v="1197831"/>
    <d v="2021-02-14T00:00:00"/>
    <x v="1"/>
    <s v="Oklahoma"/>
    <s v="Oklahoma City"/>
    <s v="Men's Street Footwear"/>
    <n v="18"/>
    <n v="204"/>
    <x v="620"/>
    <x v="597"/>
    <s v="Outlet"/>
  </r>
  <r>
    <s v="Sports Direct"/>
    <n v="1197831"/>
    <d v="2020-07-24T00:00:00"/>
    <x v="1"/>
    <s v="Texas"/>
    <s v="Houston"/>
    <s v="Women's Apparel"/>
    <n v="34"/>
    <n v="203"/>
    <x v="621"/>
    <x v="90"/>
    <s v="Online"/>
  </r>
  <r>
    <s v="Sports Direct"/>
    <n v="1197831"/>
    <d v="2020-08-08T00:00:00"/>
    <x v="1"/>
    <s v="Texas"/>
    <s v="Houston"/>
    <s v="Women's Street Footwear"/>
    <n v="34"/>
    <n v="203"/>
    <x v="621"/>
    <x v="598"/>
    <s v="Online"/>
  </r>
  <r>
    <s v="Walmart"/>
    <n v="1197831"/>
    <d v="2020-08-21T00:00:00"/>
    <x v="1"/>
    <s v="Texas"/>
    <s v="Houston"/>
    <s v="Women's Athletic Footwear"/>
    <n v="38"/>
    <n v="203"/>
    <x v="622"/>
    <x v="400"/>
    <s v="Online"/>
  </r>
  <r>
    <s v="Walmart"/>
    <n v="1197831"/>
    <d v="2020-10-23T00:00:00"/>
    <x v="1"/>
    <s v="Texas"/>
    <s v="Houston"/>
    <s v="Women's Athletic Footwear"/>
    <n v="48"/>
    <n v="203"/>
    <x v="423"/>
    <x v="599"/>
    <s v="Online"/>
  </r>
  <r>
    <s v="West Gear"/>
    <n v="1128299"/>
    <d v="2020-11-15T00:00:00"/>
    <x v="4"/>
    <s v="California"/>
    <s v="San Francisco"/>
    <s v="Women's Street Footwear"/>
    <n v="55"/>
    <n v="203"/>
    <x v="526"/>
    <x v="557"/>
    <s v="Online"/>
  </r>
  <r>
    <s v="West Gear"/>
    <n v="1128299"/>
    <d v="2020-12-26T00:00:00"/>
    <x v="4"/>
    <s v="California"/>
    <s v="San Francisco"/>
    <s v="Men's Athletic Footwear"/>
    <n v="62"/>
    <n v="203"/>
    <x v="623"/>
    <x v="532"/>
    <s v="Online"/>
  </r>
  <r>
    <s v="West Gear"/>
    <n v="1128299"/>
    <d v="2020-12-30T00:00:00"/>
    <x v="4"/>
    <s v="California"/>
    <s v="San Francisco"/>
    <s v="Women's Apparel"/>
    <n v="72"/>
    <n v="203"/>
    <x v="299"/>
    <x v="600"/>
    <s v="Online"/>
  </r>
  <r>
    <s v="West Gear"/>
    <n v="1128299"/>
    <d v="2021-01-27T00:00:00"/>
    <x v="4"/>
    <s v="California"/>
    <s v="San Francisco"/>
    <s v="Women's Athletic Footwear"/>
    <n v="53"/>
    <n v="203"/>
    <x v="399"/>
    <x v="252"/>
    <s v="Online"/>
  </r>
  <r>
    <s v="West Gear"/>
    <n v="1128299"/>
    <d v="2021-02-02T00:00:00"/>
    <x v="4"/>
    <s v="California"/>
    <s v="San Francisco"/>
    <s v="Women's Athletic Footwear"/>
    <n v="51"/>
    <n v="203"/>
    <x v="466"/>
    <x v="177"/>
    <s v="Online"/>
  </r>
  <r>
    <s v="Kohl's"/>
    <n v="1189833"/>
    <d v="2021-02-17T00:00:00"/>
    <x v="4"/>
    <s v="California"/>
    <s v="San Francisco"/>
    <s v="Men's Street Footwear"/>
    <n v="32"/>
    <n v="203"/>
    <x v="624"/>
    <x v="154"/>
    <s v="Online"/>
  </r>
  <r>
    <s v="Kohl's"/>
    <n v="1189833"/>
    <d v="2021-04-21T00:00:00"/>
    <x v="4"/>
    <s v="California"/>
    <s v="Los Angeles"/>
    <s v="Women's Street Footwear"/>
    <n v="48"/>
    <n v="203"/>
    <x v="423"/>
    <x v="599"/>
    <s v="Online"/>
  </r>
  <r>
    <s v="Kohl's"/>
    <n v="1189833"/>
    <d v="2021-04-30T00:00:00"/>
    <x v="4"/>
    <s v="California"/>
    <s v="Los Angeles"/>
    <s v="Women's Apparel"/>
    <n v="59"/>
    <n v="203"/>
    <x v="625"/>
    <x v="266"/>
    <s v="Online"/>
  </r>
  <r>
    <s v="Sports Direct"/>
    <n v="1197831"/>
    <d v="2021-09-30T00:00:00"/>
    <x v="1"/>
    <s v="Texas"/>
    <s v="Dallas"/>
    <s v="Women's Street Footwear"/>
    <n v="59"/>
    <n v="203"/>
    <x v="625"/>
    <x v="472"/>
    <s v="Online"/>
  </r>
  <r>
    <s v="Sports Direct"/>
    <n v="1197831"/>
    <d v="2021-10-03T00:00:00"/>
    <x v="1"/>
    <s v="Texas"/>
    <s v="Dallas"/>
    <s v="Women's Apparel"/>
    <n v="48"/>
    <n v="203"/>
    <x v="423"/>
    <x v="549"/>
    <s v="Online"/>
  </r>
  <r>
    <s v="West Gear"/>
    <n v="1128299"/>
    <d v="2020-05-20T00:00:00"/>
    <x v="4"/>
    <s v="Colorado"/>
    <s v="Denver"/>
    <s v="Men's Street Footwear"/>
    <n v="59"/>
    <n v="203"/>
    <x v="625"/>
    <x v="601"/>
    <s v="Online"/>
  </r>
  <r>
    <s v="West Gear"/>
    <n v="1185732"/>
    <d v="2020-04-24T00:00:00"/>
    <x v="0"/>
    <s v="Florida"/>
    <s v="Miami"/>
    <s v="Women's Street Footwear"/>
    <n v="32"/>
    <n v="203"/>
    <x v="624"/>
    <x v="112"/>
    <s v="Online"/>
  </r>
  <r>
    <s v="Sports Direct"/>
    <n v="1185732"/>
    <d v="2020-10-01T00:00:00"/>
    <x v="0"/>
    <s v="Florida"/>
    <s v="Miami"/>
    <s v="Women's Street Footwear"/>
    <n v="47"/>
    <n v="203"/>
    <x v="136"/>
    <x v="284"/>
    <s v="Online"/>
  </r>
  <r>
    <s v="Kohl's"/>
    <n v="1189833"/>
    <d v="2021-02-02T00:00:00"/>
    <x v="2"/>
    <s v="Montana"/>
    <s v="Billings"/>
    <s v="Men's Street Footwear"/>
    <n v="37"/>
    <n v="203"/>
    <x v="509"/>
    <x v="275"/>
    <s v="Online"/>
  </r>
  <r>
    <s v="Kohl's"/>
    <n v="1189833"/>
    <d v="2021-02-08T00:00:00"/>
    <x v="2"/>
    <s v="Montana"/>
    <s v="Billings"/>
    <s v="Men's Street Footwear"/>
    <n v="42"/>
    <n v="203"/>
    <x v="592"/>
    <x v="602"/>
    <s v="Online"/>
  </r>
  <r>
    <s v="Sports Direct"/>
    <n v="1197831"/>
    <d v="2021-08-01T00:00:00"/>
    <x v="2"/>
    <s v="Nebraska"/>
    <s v="Omaha"/>
    <s v="Men's Street Footwear"/>
    <n v="19"/>
    <n v="203"/>
    <x v="626"/>
    <x v="381"/>
    <s v="Online"/>
  </r>
  <r>
    <s v="Sports Direct"/>
    <n v="1197831"/>
    <d v="2021-08-25T00:00:00"/>
    <x v="1"/>
    <s v="Alabama"/>
    <s v="Birmingham"/>
    <s v="Men's Street Footwear"/>
    <n v="9"/>
    <n v="203"/>
    <x v="627"/>
    <x v="603"/>
    <s v="Online"/>
  </r>
  <r>
    <s v="Sports Direct"/>
    <n v="1197831"/>
    <d v="2021-08-30T00:00:00"/>
    <x v="1"/>
    <s v="Alabama"/>
    <s v="Birmingham"/>
    <s v="Women's Apparel"/>
    <n v="43"/>
    <n v="203"/>
    <x v="557"/>
    <x v="350"/>
    <s v="Online"/>
  </r>
  <r>
    <s v="Sports Direct"/>
    <n v="1197831"/>
    <d v="2021-08-31T00:00:00"/>
    <x v="1"/>
    <s v="Alabama"/>
    <s v="Birmingham"/>
    <s v="Men's Street Footwear"/>
    <n v="43"/>
    <n v="203"/>
    <x v="557"/>
    <x v="389"/>
    <s v="Online"/>
  </r>
  <r>
    <s v="Sports Direct"/>
    <n v="1197831"/>
    <d v="2021-09-01T00:00:00"/>
    <x v="1"/>
    <s v="Alabama"/>
    <s v="Birmingham"/>
    <s v="Men's Athletic Footwear"/>
    <n v="49"/>
    <n v="203"/>
    <x v="286"/>
    <x v="537"/>
    <s v="Online"/>
  </r>
  <r>
    <s v="Sports Direct"/>
    <n v="1197831"/>
    <d v="2021-10-11T00:00:00"/>
    <x v="1"/>
    <s v="Alabama"/>
    <s v="Birmingham"/>
    <s v="Women's Apparel"/>
    <n v="68"/>
    <n v="203"/>
    <x v="628"/>
    <x v="604"/>
    <s v="Online"/>
  </r>
  <r>
    <s v="Walmart"/>
    <n v="1128299"/>
    <d v="2021-06-17T00:00:00"/>
    <x v="0"/>
    <s v="Florida"/>
    <s v="Orlando"/>
    <s v="Men's Athletic Footwear"/>
    <n v="64"/>
    <n v="203"/>
    <x v="46"/>
    <x v="334"/>
    <s v="Online"/>
  </r>
  <r>
    <s v="Foot Locker"/>
    <n v="1128299"/>
    <d v="2021-07-23T00:00:00"/>
    <x v="0"/>
    <s v="Virginia"/>
    <s v="Richmond"/>
    <s v="Men's Athletic Footwear"/>
    <n v="81"/>
    <n v="203"/>
    <x v="629"/>
    <x v="416"/>
    <s v="Online"/>
  </r>
  <r>
    <s v="Sports Direct"/>
    <n v="1185732"/>
    <d v="2021-01-19T00:00:00"/>
    <x v="0"/>
    <s v="Virginia"/>
    <s v="Richmond"/>
    <s v="Men's Street Footwear"/>
    <n v="34"/>
    <n v="203"/>
    <x v="621"/>
    <x v="291"/>
    <s v="Online"/>
  </r>
  <r>
    <s v="Foot Locker"/>
    <n v="1185732"/>
    <d v="2021-07-17T00:00:00"/>
    <x v="2"/>
    <s v="Missouri"/>
    <s v="St. Louis"/>
    <s v="Men's Street Footwear"/>
    <n v="36"/>
    <n v="203"/>
    <x v="630"/>
    <x v="167"/>
    <s v="Online"/>
  </r>
  <r>
    <s v="Foot Locker"/>
    <n v="1185732"/>
    <d v="2021-08-18T00:00:00"/>
    <x v="2"/>
    <s v="Missouri"/>
    <s v="St. Louis"/>
    <s v="Men's Street Footwear"/>
    <n v="38"/>
    <n v="203"/>
    <x v="622"/>
    <x v="605"/>
    <s v="Online"/>
  </r>
  <r>
    <s v="West Gear"/>
    <n v="1185732"/>
    <d v="2021-08-11T00:00:00"/>
    <x v="4"/>
    <s v="Utah"/>
    <s v="Salt Lake City"/>
    <s v="Men's Street Footwear"/>
    <n v="33"/>
    <n v="203"/>
    <x v="325"/>
    <x v="89"/>
    <s v="Online"/>
  </r>
  <r>
    <s v="West Gear"/>
    <n v="1185732"/>
    <d v="2021-12-10T00:00:00"/>
    <x v="4"/>
    <s v="Utah"/>
    <s v="Salt Lake City"/>
    <s v="Men's Street Footwear"/>
    <n v="39"/>
    <n v="203"/>
    <x v="224"/>
    <x v="163"/>
    <s v="Online"/>
  </r>
  <r>
    <s v="West Gear"/>
    <n v="1128299"/>
    <d v="2021-06-17T00:00:00"/>
    <x v="1"/>
    <s v="Louisiana"/>
    <s v="New Orleans"/>
    <s v="Women's Street Footwear"/>
    <n v="83"/>
    <n v="203"/>
    <x v="602"/>
    <x v="606"/>
    <s v="Online"/>
  </r>
  <r>
    <s v="West Gear"/>
    <n v="1128299"/>
    <d v="2021-07-16T00:00:00"/>
    <x v="1"/>
    <s v="Louisiana"/>
    <s v="New Orleans"/>
    <s v="Men's Athletic Footwear"/>
    <n v="92"/>
    <n v="203"/>
    <x v="631"/>
    <x v="607"/>
    <s v="Online"/>
  </r>
  <r>
    <s v="West Gear"/>
    <n v="1197831"/>
    <d v="2021-05-05T00:00:00"/>
    <x v="4"/>
    <s v="Idaho"/>
    <s v="Boise"/>
    <s v="Men's Street Footwear"/>
    <n v="18"/>
    <n v="203"/>
    <x v="632"/>
    <x v="571"/>
    <s v="Online"/>
  </r>
  <r>
    <s v="Kohl's"/>
    <n v="1128299"/>
    <d v="2021-06-26T00:00:00"/>
    <x v="4"/>
    <s v="New Mexico"/>
    <s v="Albuquerque"/>
    <s v="Men's Street Footwear"/>
    <n v="52"/>
    <n v="203"/>
    <x v="357"/>
    <x v="242"/>
    <s v="Online"/>
  </r>
  <r>
    <s v="Kohl's"/>
    <n v="1128299"/>
    <d v="2021-07-25T00:00:00"/>
    <x v="4"/>
    <s v="New Mexico"/>
    <s v="Albuquerque"/>
    <s v="Men's Street Footwear"/>
    <n v="54"/>
    <n v="203"/>
    <x v="633"/>
    <x v="407"/>
    <s v="Online"/>
  </r>
  <r>
    <s v="Sports Direct"/>
    <n v="1128299"/>
    <d v="2021-12-12T00:00:00"/>
    <x v="0"/>
    <s v="Georgia"/>
    <s v="Atlanta"/>
    <s v="Men's Street Footwear"/>
    <n v="50"/>
    <n v="203"/>
    <x v="542"/>
    <x v="608"/>
    <s v="Online"/>
  </r>
  <r>
    <s v="Foot Locker"/>
    <n v="1185732"/>
    <d v="2021-01-09T00:00:00"/>
    <x v="0"/>
    <s v="Georgia"/>
    <s v="Atlanta"/>
    <s v="Women's Athletic Footwear"/>
    <n v="34"/>
    <n v="203"/>
    <x v="621"/>
    <x v="609"/>
    <s v="Online"/>
  </r>
  <r>
    <s v="Sports Direct"/>
    <n v="1185732"/>
    <d v="2021-02-04T00:00:00"/>
    <x v="0"/>
    <s v="North Carolina"/>
    <s v="Charlotte"/>
    <s v="Women's Apparel"/>
    <n v="29"/>
    <n v="203"/>
    <x v="535"/>
    <x v="610"/>
    <s v="Online"/>
  </r>
  <r>
    <s v="Sports Direct"/>
    <n v="1185732"/>
    <d v="2021-05-02T00:00:00"/>
    <x v="0"/>
    <s v="North Carolina"/>
    <s v="Charlotte"/>
    <s v="Women's Apparel"/>
    <n v="51"/>
    <n v="203"/>
    <x v="466"/>
    <x v="257"/>
    <s v="Online"/>
  </r>
  <r>
    <s v="Sports Direct"/>
    <n v="1185732"/>
    <d v="2021-07-02T00:00:00"/>
    <x v="0"/>
    <s v="North Carolina"/>
    <s v="Charlotte"/>
    <s v="Women's Athletic Footwear"/>
    <n v="52"/>
    <n v="203"/>
    <x v="357"/>
    <x v="141"/>
    <s v="Online"/>
  </r>
  <r>
    <s v="Sports Direct"/>
    <n v="1185732"/>
    <d v="2021-09-02T00:00:00"/>
    <x v="0"/>
    <s v="North Carolina"/>
    <s v="Charlotte"/>
    <s v="Women's Apparel"/>
    <n v="41"/>
    <n v="203"/>
    <x v="525"/>
    <x v="443"/>
    <s v="Online"/>
  </r>
  <r>
    <s v="Walmart"/>
    <n v="1185732"/>
    <d v="2021-09-16T00:00:00"/>
    <x v="1"/>
    <s v="Mississippi"/>
    <s v="Jackson"/>
    <s v="Men's Street Footwear"/>
    <n v="47"/>
    <n v="203"/>
    <x v="136"/>
    <x v="407"/>
    <s v="Online"/>
  </r>
  <r>
    <s v="Walmart"/>
    <n v="1197831"/>
    <d v="2021-06-21T00:00:00"/>
    <x v="1"/>
    <s v="Arkansas"/>
    <s v="Little Rock"/>
    <s v="Men's Street Footwear"/>
    <n v="36"/>
    <n v="203"/>
    <x v="630"/>
    <x v="45"/>
    <s v="Online"/>
  </r>
  <r>
    <s v="West Gear"/>
    <n v="1197831"/>
    <d v="2021-12-19T00:00:00"/>
    <x v="1"/>
    <s v="Arkansas"/>
    <s v="Little Rock"/>
    <s v="Men's Street Footwear"/>
    <n v="67"/>
    <n v="203"/>
    <x v="196"/>
    <x v="611"/>
    <s v="Online"/>
  </r>
  <r>
    <s v="Sports Direct"/>
    <n v="1197831"/>
    <d v="2021-08-23T00:00:00"/>
    <x v="1"/>
    <s v="Texas"/>
    <s v="Dallas"/>
    <s v="Men's Street Footwear"/>
    <n v="21"/>
    <n v="203"/>
    <x v="634"/>
    <x v="612"/>
    <s v="Outlet"/>
  </r>
  <r>
    <s v="Sports Direct"/>
    <n v="1197831"/>
    <d v="2021-09-29T00:00:00"/>
    <x v="1"/>
    <s v="Texas"/>
    <s v="Dallas"/>
    <s v="Men's Athletic Footwear"/>
    <n v="38"/>
    <n v="203"/>
    <x v="622"/>
    <x v="339"/>
    <s v="Outlet"/>
  </r>
  <r>
    <s v="Sports Direct"/>
    <n v="1197831"/>
    <d v="2021-03-28T00:00:00"/>
    <x v="1"/>
    <s v="Tennessee"/>
    <s v="Knoxville"/>
    <s v="Men's Street Footwear"/>
    <n v="13"/>
    <n v="203"/>
    <x v="635"/>
    <x v="613"/>
    <s v="Outlet"/>
  </r>
  <r>
    <s v="Sports Direct"/>
    <n v="1197831"/>
    <d v="2021-03-29T00:00:00"/>
    <x v="1"/>
    <s v="Tennessee"/>
    <s v="Knoxville"/>
    <s v="Men's Athletic Footwear"/>
    <n v="17"/>
    <n v="203"/>
    <x v="636"/>
    <x v="590"/>
    <s v="Outlet"/>
  </r>
  <r>
    <s v="Sports Direct"/>
    <n v="1197831"/>
    <d v="2021-04-29T00:00:00"/>
    <x v="1"/>
    <s v="Tennessee"/>
    <s v="Knoxville"/>
    <s v="Women's Street Footwear"/>
    <n v="40"/>
    <n v="203"/>
    <x v="637"/>
    <x v="44"/>
    <s v="Outlet"/>
  </r>
  <r>
    <s v="Sports Direct"/>
    <n v="1197831"/>
    <d v="2021-05-09T00:00:00"/>
    <x v="1"/>
    <s v="Tennessee"/>
    <s v="Knoxville"/>
    <s v="Men's Street Footwear"/>
    <n v="24"/>
    <n v="203"/>
    <x v="638"/>
    <x v="614"/>
    <s v="Outlet"/>
  </r>
  <r>
    <s v="Sports Direct"/>
    <n v="1197831"/>
    <d v="2021-09-17T00:00:00"/>
    <x v="1"/>
    <s v="Alabama"/>
    <s v="Birmingham"/>
    <s v="Women's Apparel"/>
    <n v="39"/>
    <n v="203"/>
    <x v="224"/>
    <x v="467"/>
    <s v="Outlet"/>
  </r>
  <r>
    <s v="Sports Direct"/>
    <n v="1197831"/>
    <d v="2021-09-05T00:00:00"/>
    <x v="4"/>
    <s v="Idaho"/>
    <s v="Boise"/>
    <s v="Women's Street Footwear"/>
    <n v="43"/>
    <n v="203"/>
    <x v="557"/>
    <x v="73"/>
    <s v="Outlet"/>
  </r>
  <r>
    <s v="Sports Direct"/>
    <n v="1197831"/>
    <d v="2021-11-05T00:00:00"/>
    <x v="4"/>
    <s v="Idaho"/>
    <s v="Boise"/>
    <s v="Men's Street Footwear"/>
    <n v="27"/>
    <n v="203"/>
    <x v="639"/>
    <x v="543"/>
    <s v="Outlet"/>
  </r>
  <r>
    <s v="Sports Direct"/>
    <n v="1128299"/>
    <d v="2021-06-13T00:00:00"/>
    <x v="0"/>
    <s v="Georgia"/>
    <s v="Atlanta"/>
    <s v="Men's Street Footwear"/>
    <n v="35"/>
    <n v="203"/>
    <x v="640"/>
    <x v="505"/>
    <s v="Outlet"/>
  </r>
  <r>
    <s v="Amazon"/>
    <n v="1185732"/>
    <d v="2021-08-18T00:00:00"/>
    <x v="3"/>
    <s v="New Hampshire"/>
    <s v="Manchester"/>
    <s v="Men's Street Footwear"/>
    <n v="48"/>
    <n v="203"/>
    <x v="423"/>
    <x v="75"/>
    <s v="Outlet"/>
  </r>
  <r>
    <s v="West Gear"/>
    <n v="1128299"/>
    <d v="2021-02-10T00:00:00"/>
    <x v="4"/>
    <s v="California"/>
    <s v="San Francisco"/>
    <s v="Women's Apparel"/>
    <n v="67"/>
    <n v="202"/>
    <x v="641"/>
    <x v="287"/>
    <s v="Online"/>
  </r>
  <r>
    <s v="West Gear"/>
    <n v="1128299"/>
    <d v="2020-04-20T00:00:00"/>
    <x v="4"/>
    <s v="Colorado"/>
    <s v="Denver"/>
    <s v="Men's Street Footwear"/>
    <n v="64"/>
    <n v="202"/>
    <x v="159"/>
    <x v="615"/>
    <s v="Online"/>
  </r>
  <r>
    <s v="Sports Direct"/>
    <n v="1185732"/>
    <d v="2020-10-08T00:00:00"/>
    <x v="0"/>
    <s v="Florida"/>
    <s v="Miami"/>
    <s v="Women's Athletic Footwear"/>
    <n v="49"/>
    <n v="202"/>
    <x v="642"/>
    <x v="292"/>
    <s v="Online"/>
  </r>
  <r>
    <s v="Foot Locker"/>
    <n v="1185732"/>
    <d v="2020-05-24T00:00:00"/>
    <x v="0"/>
    <s v="Florida"/>
    <s v="Miami"/>
    <s v="Men's Apparel"/>
    <n v="60"/>
    <n v="202"/>
    <x v="403"/>
    <x v="226"/>
    <s v="Online"/>
  </r>
  <r>
    <s v="Sports Direct"/>
    <n v="1197831"/>
    <d v="2021-04-08T00:00:00"/>
    <x v="1"/>
    <s v="Tennessee"/>
    <s v="Knoxville"/>
    <s v="Women's Apparel"/>
    <n v="38"/>
    <n v="202"/>
    <x v="265"/>
    <x v="374"/>
    <s v="Online"/>
  </r>
  <r>
    <s v="Sports Direct"/>
    <n v="1197831"/>
    <d v="2021-04-10T00:00:00"/>
    <x v="1"/>
    <s v="Tennessee"/>
    <s v="Knoxville"/>
    <s v="Men's Athletic Footwear"/>
    <n v="42"/>
    <n v="202"/>
    <x v="81"/>
    <x v="286"/>
    <s v="Online"/>
  </r>
  <r>
    <s v="Kohl's"/>
    <n v="1185732"/>
    <d v="2021-10-12T00:00:00"/>
    <x v="4"/>
    <s v="Wyoming"/>
    <s v="Cheyenne"/>
    <s v="Men's Street Footwear"/>
    <n v="50"/>
    <n v="202"/>
    <x v="643"/>
    <x v="616"/>
    <s v="Online"/>
  </r>
  <r>
    <s v="Foot Locker"/>
    <n v="1128299"/>
    <d v="2021-08-24T00:00:00"/>
    <x v="0"/>
    <s v="Virginia"/>
    <s v="Richmond"/>
    <s v="Men's Athletic Footwear"/>
    <n v="76"/>
    <n v="202"/>
    <x v="644"/>
    <x v="617"/>
    <s v="Online"/>
  </r>
  <r>
    <s v="West Gear"/>
    <n v="1197831"/>
    <d v="2021-07-06T00:00:00"/>
    <x v="4"/>
    <s v="Idaho"/>
    <s v="Boise"/>
    <s v="Men's Athletic Footwear"/>
    <n v="52"/>
    <n v="202"/>
    <x v="276"/>
    <x v="59"/>
    <s v="Online"/>
  </r>
  <r>
    <s v="Foot Locker"/>
    <n v="1185732"/>
    <d v="2021-07-05T00:00:00"/>
    <x v="0"/>
    <s v="South Carolina"/>
    <s v="Charleston"/>
    <s v="Women's Athletic Footwear"/>
    <n v="52"/>
    <n v="202"/>
    <x v="276"/>
    <x v="164"/>
    <s v="Online"/>
  </r>
  <r>
    <s v="Foot Locker"/>
    <n v="1185732"/>
    <d v="2021-11-06T00:00:00"/>
    <x v="0"/>
    <s v="South Carolina"/>
    <s v="Charleston"/>
    <s v="Women's Street Footwear"/>
    <n v="43"/>
    <n v="202"/>
    <x v="603"/>
    <x v="609"/>
    <s v="Online"/>
  </r>
  <r>
    <s v="Sports Direct"/>
    <n v="1185732"/>
    <d v="2021-12-02T00:00:00"/>
    <x v="0"/>
    <s v="North Carolina"/>
    <s v="Charlotte"/>
    <s v="Men's Athletic Footwear"/>
    <n v="55"/>
    <n v="202"/>
    <x v="645"/>
    <x v="214"/>
    <s v="Online"/>
  </r>
  <r>
    <s v="Sports Direct"/>
    <n v="1197831"/>
    <d v="2021-03-16T00:00:00"/>
    <x v="1"/>
    <s v="Tennessee"/>
    <s v="Knoxville"/>
    <s v="Men's Street Footwear"/>
    <n v="18"/>
    <n v="202"/>
    <x v="646"/>
    <x v="546"/>
    <s v="Outlet"/>
  </r>
  <r>
    <s v="Sports Direct"/>
    <n v="1197831"/>
    <d v="2021-04-11T00:00:00"/>
    <x v="1"/>
    <s v="Tennessee"/>
    <s v="Knoxville"/>
    <s v="Women's Street Footwear"/>
    <n v="26"/>
    <n v="202"/>
    <x v="647"/>
    <x v="618"/>
    <s v="Outlet"/>
  </r>
  <r>
    <s v="Sports Direct"/>
    <n v="1197831"/>
    <d v="2021-05-14T00:00:00"/>
    <x v="1"/>
    <s v="Tennessee"/>
    <s v="Knoxville"/>
    <s v="Women's Apparel"/>
    <n v="43"/>
    <n v="202"/>
    <x v="603"/>
    <x v="619"/>
    <s v="Outlet"/>
  </r>
  <r>
    <s v="Sports Direct"/>
    <n v="1197831"/>
    <d v="2021-08-20T00:00:00"/>
    <x v="1"/>
    <s v="Alabama"/>
    <s v="Birmingham"/>
    <s v="Men's Athletic Footwear"/>
    <n v="16"/>
    <n v="202"/>
    <x v="551"/>
    <x v="563"/>
    <s v="Outlet"/>
  </r>
  <r>
    <s v="West Gear"/>
    <n v="1185732"/>
    <d v="2021-01-12T00:00:00"/>
    <x v="0"/>
    <s v="Florida"/>
    <s v="Orlando"/>
    <s v="Women's Street Footwear"/>
    <n v="26"/>
    <n v="202"/>
    <x v="647"/>
    <x v="563"/>
    <s v="Outlet"/>
  </r>
  <r>
    <s v="West Gear"/>
    <n v="1128299"/>
    <d v="2021-06-24T00:00:00"/>
    <x v="4"/>
    <s v="Oregon"/>
    <s v="Portland"/>
    <s v="Men's Athletic Footwear"/>
    <n v="47"/>
    <n v="202"/>
    <x v="97"/>
    <x v="620"/>
    <s v="Outlet"/>
  </r>
  <r>
    <s v="West Gear"/>
    <n v="1128299"/>
    <d v="2021-11-24T00:00:00"/>
    <x v="4"/>
    <s v="Oregon"/>
    <s v="Portland"/>
    <s v="Men's Athletic Footwear"/>
    <n v="37"/>
    <n v="202"/>
    <x v="648"/>
    <x v="406"/>
    <s v="Outlet"/>
  </r>
  <r>
    <s v="Sports Direct"/>
    <n v="1197831"/>
    <d v="2021-09-19T00:00:00"/>
    <x v="1"/>
    <s v="Texas"/>
    <s v="Dallas"/>
    <s v="Women's Athletic Footwear"/>
    <n v="32"/>
    <n v="201"/>
    <x v="380"/>
    <x v="337"/>
    <s v="Outlet"/>
  </r>
  <r>
    <s v="West Gear"/>
    <n v="1128299"/>
    <d v="2020-03-04T00:00:00"/>
    <x v="4"/>
    <s v="Nevada"/>
    <s v="Las Vegas"/>
    <s v="Men's Athletic Footwear"/>
    <n v="52"/>
    <n v="201"/>
    <x v="354"/>
    <x v="404"/>
    <s v="Outlet"/>
  </r>
  <r>
    <s v="Sports Direct"/>
    <n v="1197831"/>
    <d v="2021-05-03T00:00:00"/>
    <x v="1"/>
    <s v="Tennessee"/>
    <s v="Knoxville"/>
    <s v="Men's Street Footwear"/>
    <n v="28"/>
    <n v="201"/>
    <x v="649"/>
    <x v="405"/>
    <s v="Outlet"/>
  </r>
  <r>
    <s v="Walmart"/>
    <n v="1128299"/>
    <d v="2021-05-18T00:00:00"/>
    <x v="0"/>
    <s v="Florida"/>
    <s v="Orlando"/>
    <s v="Men's Street Footwear"/>
    <n v="44"/>
    <n v="201"/>
    <x v="372"/>
    <x v="213"/>
    <s v="Outlet"/>
  </r>
  <r>
    <s v="West Gear"/>
    <n v="1185732"/>
    <d v="2021-10-11T00:00:00"/>
    <x v="4"/>
    <s v="Utah"/>
    <s v="Salt Lake City"/>
    <s v="Men's Street Footwear"/>
    <n v="24"/>
    <n v="201"/>
    <x v="650"/>
    <x v="621"/>
    <s v="Outlet"/>
  </r>
  <r>
    <s v="West Gear"/>
    <n v="1128299"/>
    <d v="2021-12-23T00:00:00"/>
    <x v="4"/>
    <s v="Oregon"/>
    <s v="Portland"/>
    <s v="Women's Apparel"/>
    <n v="55"/>
    <n v="201"/>
    <x v="651"/>
    <x v="220"/>
    <s v="Outlet"/>
  </r>
  <r>
    <s v="Sports Direct"/>
    <n v="1197831"/>
    <d v="2021-10-04T00:00:00"/>
    <x v="4"/>
    <s v="Idaho"/>
    <s v="Boise"/>
    <s v="Men's Street Footwear"/>
    <n v="30"/>
    <n v="201"/>
    <x v="652"/>
    <x v="552"/>
    <s v="Outlet"/>
  </r>
  <r>
    <s v="Foot Locker"/>
    <n v="1128299"/>
    <d v="2021-09-24T00:00:00"/>
    <x v="4"/>
    <s v="Arizona"/>
    <s v="Phoenix"/>
    <s v="Men's Athletic Footwear"/>
    <n v="34"/>
    <n v="201"/>
    <x v="653"/>
    <x v="58"/>
    <s v="Outlet"/>
  </r>
  <r>
    <s v="Sports Direct"/>
    <n v="1185732"/>
    <d v="2021-12-16T00:00:00"/>
    <x v="1"/>
    <s v="Mississippi"/>
    <s v="Jackson"/>
    <s v="Men's Athletic Footwear"/>
    <n v="44"/>
    <n v="201"/>
    <x v="372"/>
    <x v="622"/>
    <s v="Outlet"/>
  </r>
  <r>
    <s v="Foot Locker"/>
    <n v="1185732"/>
    <d v="2021-07-02T00:00:00"/>
    <x v="2"/>
    <s v="Illinois"/>
    <s v="Chicago"/>
    <s v="Women's Street Footwear"/>
    <n v="40"/>
    <n v="200"/>
    <x v="13"/>
    <x v="15"/>
    <s v="Outlet"/>
  </r>
  <r>
    <s v="Foot Locker"/>
    <n v="1185732"/>
    <d v="2021-07-09T00:00:00"/>
    <x v="2"/>
    <s v="Illinois"/>
    <s v="Chicago"/>
    <s v="Women's Athletic Footwear"/>
    <n v="40"/>
    <n v="200"/>
    <x v="13"/>
    <x v="16"/>
    <s v="Outlet"/>
  </r>
  <r>
    <s v="Foot Locker"/>
    <n v="1185732"/>
    <d v="2021-07-20T00:00:00"/>
    <x v="2"/>
    <s v="Illinois"/>
    <s v="Chicago"/>
    <s v="Women's Street Footwear"/>
    <n v="40"/>
    <n v="200"/>
    <x v="13"/>
    <x v="15"/>
    <s v="Outlet"/>
  </r>
  <r>
    <s v="Foot Locker"/>
    <n v="1185732"/>
    <d v="2021-12-11T00:00:00"/>
    <x v="3"/>
    <s v="Pennsylvania"/>
    <s v="Philadelphia"/>
    <s v="Women's Street Footwear"/>
    <n v="45"/>
    <n v="200"/>
    <x v="5"/>
    <x v="2"/>
    <s v="Outlet"/>
  </r>
  <r>
    <s v="West Gear"/>
    <n v="1128299"/>
    <d v="2020-03-25T00:00:00"/>
    <x v="4"/>
    <s v="Colorado"/>
    <s v="Denver"/>
    <s v="Men's Apparel"/>
    <n v="45"/>
    <n v="200"/>
    <x v="5"/>
    <x v="623"/>
    <s v="In-store"/>
  </r>
  <r>
    <s v="Foot Locker"/>
    <n v="1185732"/>
    <d v="2020-10-25T00:00:00"/>
    <x v="2"/>
    <s v="Minnesota"/>
    <s v="Minneapolis"/>
    <s v="Women's Street Footwear"/>
    <n v="25"/>
    <n v="200"/>
    <x v="303"/>
    <x v="324"/>
    <s v="In-store"/>
  </r>
  <r>
    <s v="Foot Locker"/>
    <n v="1185732"/>
    <d v="2020-12-09T00:00:00"/>
    <x v="2"/>
    <s v="Minnesota"/>
    <s v="Minneapolis"/>
    <s v="Women's Apparel"/>
    <n v="40"/>
    <n v="200"/>
    <x v="13"/>
    <x v="127"/>
    <s v="Outlet"/>
  </r>
  <r>
    <s v="Foot Locker"/>
    <n v="1185732"/>
    <d v="2020-12-11T00:00:00"/>
    <x v="2"/>
    <s v="Minnesota"/>
    <s v="Minneapolis"/>
    <s v="Men's Athletic Footwear"/>
    <n v="35"/>
    <n v="200"/>
    <x v="2"/>
    <x v="41"/>
    <s v="Outlet"/>
  </r>
  <r>
    <s v="Foot Locker"/>
    <n v="1185732"/>
    <d v="2020-12-17T00:00:00"/>
    <x v="2"/>
    <s v="Minnesota"/>
    <s v="Minneapolis"/>
    <s v="Men's Athletic Footwear"/>
    <n v="40"/>
    <n v="200"/>
    <x v="13"/>
    <x v="17"/>
    <s v="Outlet"/>
  </r>
  <r>
    <s v="Kohl's"/>
    <n v="1189833"/>
    <d v="2021-01-19T00:00:00"/>
    <x v="2"/>
    <s v="Montana"/>
    <s v="Billings"/>
    <s v="Men's Apparel"/>
    <n v="45"/>
    <n v="200"/>
    <x v="5"/>
    <x v="624"/>
    <s v="Outlet"/>
  </r>
  <r>
    <s v="Foot Locker"/>
    <n v="1185732"/>
    <d v="2021-06-01T00:00:00"/>
    <x v="2"/>
    <s v="Nebraska"/>
    <s v="Omaha"/>
    <s v="Women's Apparel"/>
    <n v="35"/>
    <n v="200"/>
    <x v="2"/>
    <x v="38"/>
    <s v="Outlet"/>
  </r>
  <r>
    <s v="Foot Locker"/>
    <n v="1185732"/>
    <d v="2021-07-04T00:00:00"/>
    <x v="2"/>
    <s v="Nebraska"/>
    <s v="Omaha"/>
    <s v="Women's Street Footwear"/>
    <n v="40"/>
    <n v="200"/>
    <x v="13"/>
    <x v="15"/>
    <s v="Outlet"/>
  </r>
  <r>
    <s v="Foot Locker"/>
    <n v="1185732"/>
    <d v="2021-07-09T00:00:00"/>
    <x v="2"/>
    <s v="Nebraska"/>
    <s v="Omaha"/>
    <s v="Men's Athletic Footwear"/>
    <n v="35"/>
    <n v="200"/>
    <x v="2"/>
    <x v="42"/>
    <s v="Outlet"/>
  </r>
  <r>
    <s v="Foot Locker"/>
    <n v="1185732"/>
    <d v="2021-07-28T00:00:00"/>
    <x v="2"/>
    <s v="Nebraska"/>
    <s v="Omaha"/>
    <s v="Women's Street Footwear"/>
    <n v="40"/>
    <n v="200"/>
    <x v="13"/>
    <x v="15"/>
    <s v="Outlet"/>
  </r>
  <r>
    <s v="Amazon"/>
    <n v="1185732"/>
    <d v="2021-10-20T00:00:00"/>
    <x v="3"/>
    <s v="Maine"/>
    <s v="Portland"/>
    <s v="Women's Street Footwear"/>
    <n v="30"/>
    <n v="200"/>
    <x v="14"/>
    <x v="17"/>
    <s v="Outlet"/>
  </r>
  <r>
    <s v="Amazon"/>
    <n v="1185732"/>
    <d v="2021-10-26T00:00:00"/>
    <x v="3"/>
    <s v="Maine"/>
    <s v="Portland"/>
    <s v="Women's Street Footwear"/>
    <n v="30"/>
    <n v="200"/>
    <x v="14"/>
    <x v="17"/>
    <s v="Outlet"/>
  </r>
  <r>
    <s v="Amazon"/>
    <n v="1185732"/>
    <d v="2021-10-29T00:00:00"/>
    <x v="3"/>
    <s v="Maine"/>
    <s v="Portland"/>
    <s v="Women's Apparel"/>
    <n v="40"/>
    <n v="200"/>
    <x v="13"/>
    <x v="16"/>
    <s v="Outlet"/>
  </r>
  <r>
    <s v="Amazon"/>
    <n v="1185732"/>
    <d v="2021-11-13T00:00:00"/>
    <x v="3"/>
    <s v="Maine"/>
    <s v="Portland"/>
    <s v="Women's Street Footwear"/>
    <n v="45"/>
    <n v="200"/>
    <x v="5"/>
    <x v="127"/>
    <s v="Outlet"/>
  </r>
  <r>
    <s v="Foot Locker"/>
    <n v="1128299"/>
    <d v="2021-01-24T00:00:00"/>
    <x v="4"/>
    <s v="Wyoming"/>
    <s v="Cheyenne"/>
    <s v="Women's Athletic Footwear"/>
    <n v="40"/>
    <n v="200"/>
    <x v="13"/>
    <x v="15"/>
    <s v="In-store"/>
  </r>
  <r>
    <s v="Foot Locker"/>
    <n v="1128299"/>
    <d v="2021-02-24T00:00:00"/>
    <x v="0"/>
    <s v="Virginia"/>
    <s v="Richmond"/>
    <s v="Women's Athletic Footwear"/>
    <n v="40"/>
    <n v="200"/>
    <x v="13"/>
    <x v="15"/>
    <s v="In-store"/>
  </r>
  <r>
    <s v="Foot Locker"/>
    <n v="1185732"/>
    <d v="2021-03-17T00:00:00"/>
    <x v="2"/>
    <s v="Missouri"/>
    <s v="St. Louis"/>
    <s v="Women's Athletic Footwear"/>
    <n v="30"/>
    <n v="200"/>
    <x v="14"/>
    <x v="17"/>
    <s v="In-store"/>
  </r>
  <r>
    <s v="Foot Locker"/>
    <n v="1185732"/>
    <d v="2021-04-18T00:00:00"/>
    <x v="2"/>
    <s v="Missouri"/>
    <s v="St. Louis"/>
    <s v="Women's Athletic Footwear"/>
    <n v="25"/>
    <n v="200"/>
    <x v="303"/>
    <x v="322"/>
    <s v="In-store"/>
  </r>
  <r>
    <s v="West Gear"/>
    <n v="1128299"/>
    <d v="2021-01-24T00:00:00"/>
    <x v="4"/>
    <s v="Utah"/>
    <s v="Salt Lake City"/>
    <s v="Women's Athletic Footwear"/>
    <n v="40"/>
    <n v="200"/>
    <x v="13"/>
    <x v="15"/>
    <s v="In-store"/>
  </r>
  <r>
    <s v="West Gear"/>
    <n v="1128299"/>
    <d v="2021-02-24T00:00:00"/>
    <x v="4"/>
    <s v="Oregon"/>
    <s v="Portland"/>
    <s v="Women's Athletic Footwear"/>
    <n v="40"/>
    <n v="200"/>
    <x v="13"/>
    <x v="15"/>
    <s v="In-store"/>
  </r>
  <r>
    <s v="Amazon"/>
    <n v="1185732"/>
    <d v="2021-02-22T00:00:00"/>
    <x v="2"/>
    <s v="Ohio"/>
    <s v="Columbus"/>
    <s v="Men's Athletic Footwear"/>
    <n v="40"/>
    <n v="200"/>
    <x v="13"/>
    <x v="15"/>
    <s v="Online"/>
  </r>
  <r>
    <s v="Amazon"/>
    <n v="1185732"/>
    <d v="2021-05-23T00:00:00"/>
    <x v="0"/>
    <s v="Kentucky"/>
    <s v="Louisville"/>
    <s v="Women's Street Footwear"/>
    <n v="40"/>
    <n v="200"/>
    <x v="13"/>
    <x v="16"/>
    <s v="Online"/>
  </r>
  <r>
    <s v="Amazon"/>
    <n v="1185732"/>
    <d v="2021-06-22T00:00:00"/>
    <x v="0"/>
    <s v="Kentucky"/>
    <s v="Louisville"/>
    <s v="Women's Athletic Footwear"/>
    <n v="30"/>
    <n v="200"/>
    <x v="14"/>
    <x v="17"/>
    <s v="Online"/>
  </r>
  <r>
    <s v="Amazon"/>
    <n v="1185732"/>
    <d v="2021-09-23T00:00:00"/>
    <x v="0"/>
    <s v="Kentucky"/>
    <s v="Louisville"/>
    <s v="Women's Athletic Footwear"/>
    <n v="35"/>
    <n v="200"/>
    <x v="2"/>
    <x v="15"/>
    <s v="Online"/>
  </r>
  <r>
    <s v="Amazon"/>
    <n v="1185732"/>
    <d v="2021-09-23T00:00:00"/>
    <x v="0"/>
    <s v="Kentucky"/>
    <s v="Louisville"/>
    <s v="Men's Apparel"/>
    <n v="45"/>
    <n v="200"/>
    <x v="5"/>
    <x v="2"/>
    <s v="Online"/>
  </r>
  <r>
    <s v="Walmart"/>
    <n v="1197831"/>
    <d v="2021-03-19T00:00:00"/>
    <x v="1"/>
    <s v="Arkansas"/>
    <s v="Little Rock"/>
    <s v="Women's Athletic Footwear"/>
    <n v="20"/>
    <n v="200"/>
    <x v="654"/>
    <x v="625"/>
    <s v="Online"/>
  </r>
  <r>
    <s v="West Gear"/>
    <n v="1197831"/>
    <d v="2021-10-21T00:00:00"/>
    <x v="1"/>
    <s v="Oklahoma"/>
    <s v="Oklahoma City"/>
    <s v="Women's Athletic Footwear"/>
    <n v="20"/>
    <n v="200"/>
    <x v="654"/>
    <x v="625"/>
    <s v="Online"/>
  </r>
  <r>
    <s v="West Gear"/>
    <n v="1197831"/>
    <d v="2021-10-21T00:00:00"/>
    <x v="1"/>
    <s v="Oklahoma"/>
    <s v="Oklahoma City"/>
    <s v="Men's Apparel"/>
    <n v="30"/>
    <n v="200"/>
    <x v="14"/>
    <x v="41"/>
    <s v="Online"/>
  </r>
  <r>
    <s v="Kohl's"/>
    <n v="1197831"/>
    <d v="2021-01-16T00:00:00"/>
    <x v="1"/>
    <s v="Oklahoma"/>
    <s v="Oklahoma City"/>
    <s v="Women's Athletic Footwear"/>
    <n v="20"/>
    <n v="200"/>
    <x v="654"/>
    <x v="40"/>
    <s v="Online"/>
  </r>
  <r>
    <s v="Kohl's"/>
    <n v="1197831"/>
    <d v="2021-04-13T00:00:00"/>
    <x v="2"/>
    <s v="Kansas"/>
    <s v="Wichita"/>
    <s v="Men's Athletic Footwear"/>
    <n v="25"/>
    <n v="200"/>
    <x v="303"/>
    <x v="323"/>
    <s v="Online"/>
  </r>
  <r>
    <s v="Kohl's"/>
    <n v="1197831"/>
    <d v="2021-04-13T00:00:00"/>
    <x v="2"/>
    <s v="Kansas"/>
    <s v="Wichita"/>
    <s v="Women's Street Footwear"/>
    <n v="15"/>
    <n v="200"/>
    <x v="655"/>
    <x v="99"/>
    <s v="Online"/>
  </r>
  <r>
    <s v="Kohl's"/>
    <n v="1197831"/>
    <d v="2021-05-12T00:00:00"/>
    <x v="2"/>
    <s v="Kansas"/>
    <s v="Wichita"/>
    <s v="Women's Athletic Footwear"/>
    <n v="35"/>
    <n v="200"/>
    <x v="2"/>
    <x v="42"/>
    <s v="Online"/>
  </r>
  <r>
    <s v="Kohl's"/>
    <n v="1197831"/>
    <d v="2021-10-14T00:00:00"/>
    <x v="2"/>
    <s v="Kansas"/>
    <s v="Wichita"/>
    <s v="Women's Street Footwear"/>
    <n v="20"/>
    <n v="200"/>
    <x v="654"/>
    <x v="40"/>
    <s v="Online"/>
  </r>
  <r>
    <s v="Foot Locker"/>
    <n v="1185732"/>
    <d v="2021-03-11T00:00:00"/>
    <x v="2"/>
    <s v="South Dakota"/>
    <s v="Sioux Falls"/>
    <s v="Men's Athletic Footwear"/>
    <n v="40"/>
    <n v="200"/>
    <x v="13"/>
    <x v="17"/>
    <s v="Online"/>
  </r>
  <r>
    <s v="Foot Locker"/>
    <n v="1185732"/>
    <d v="2021-06-12T00:00:00"/>
    <x v="2"/>
    <s v="South Dakota"/>
    <s v="Sioux Falls"/>
    <s v="Women's Street Footwear"/>
    <n v="35"/>
    <n v="200"/>
    <x v="2"/>
    <x v="41"/>
    <s v="Online"/>
  </r>
  <r>
    <s v="Foot Locker"/>
    <n v="1185732"/>
    <d v="2021-08-12T00:00:00"/>
    <x v="2"/>
    <s v="South Dakota"/>
    <s v="Sioux Falls"/>
    <s v="Women's Athletic Footwear"/>
    <n v="40"/>
    <n v="200"/>
    <x v="13"/>
    <x v="17"/>
    <s v="Online"/>
  </r>
  <r>
    <s v="Sports Direct"/>
    <n v="1185732"/>
    <d v="2021-03-08T00:00:00"/>
    <x v="2"/>
    <s v="North Dakota"/>
    <s v="Fargo"/>
    <s v="Men's Athletic Footwear"/>
    <n v="30"/>
    <n v="200"/>
    <x v="14"/>
    <x v="128"/>
    <s v="Online"/>
  </r>
  <r>
    <s v="Sports Direct"/>
    <n v="1185732"/>
    <d v="2021-05-10T00:00:00"/>
    <x v="2"/>
    <s v="North Dakota"/>
    <s v="Fargo"/>
    <s v="Men's Athletic Footwear"/>
    <n v="45"/>
    <n v="200"/>
    <x v="5"/>
    <x v="6"/>
    <s v="In-store"/>
  </r>
  <r>
    <s v="Sports Direct"/>
    <n v="1185732"/>
    <d v="2021-06-09T00:00:00"/>
    <x v="2"/>
    <s v="North Dakota"/>
    <s v="Fargo"/>
    <s v="Women's Street Footwear"/>
    <n v="30"/>
    <n v="200"/>
    <x v="14"/>
    <x v="128"/>
    <s v="In-store"/>
  </r>
  <r>
    <s v="Sports Direct"/>
    <n v="1185732"/>
    <d v="2021-08-09T00:00:00"/>
    <x v="2"/>
    <s v="North Dakota"/>
    <s v="Fargo"/>
    <s v="Women's Athletic Footwear"/>
    <n v="40"/>
    <n v="200"/>
    <x v="13"/>
    <x v="17"/>
    <s v="In-store"/>
  </r>
  <r>
    <s v="Foot Locker"/>
    <n v="1185732"/>
    <d v="2021-02-06T00:00:00"/>
    <x v="2"/>
    <s v="North Dakota"/>
    <s v="Fargo"/>
    <s v="Women's Street Footwear"/>
    <n v="20"/>
    <n v="200"/>
    <x v="654"/>
    <x v="626"/>
    <s v="In-store"/>
  </r>
  <r>
    <s v="Foot Locker"/>
    <n v="1185732"/>
    <d v="2021-05-07T00:00:00"/>
    <x v="2"/>
    <s v="Iowa"/>
    <s v="Des Moines"/>
    <s v="Women's Street Footwear"/>
    <n v="35"/>
    <n v="200"/>
    <x v="2"/>
    <x v="41"/>
    <s v="In-store"/>
  </r>
  <r>
    <s v="Foot Locker"/>
    <n v="1185732"/>
    <d v="2021-06-06T00:00:00"/>
    <x v="2"/>
    <s v="Iowa"/>
    <s v="Des Moines"/>
    <s v="Women's Street Footwear"/>
    <n v="25"/>
    <n v="200"/>
    <x v="303"/>
    <x v="324"/>
    <s v="In-store"/>
  </r>
  <r>
    <s v="Foot Locker"/>
    <n v="1185732"/>
    <d v="2021-08-06T00:00:00"/>
    <x v="2"/>
    <s v="Iowa"/>
    <s v="Des Moines"/>
    <s v="Women's Athletic Footwear"/>
    <n v="40"/>
    <n v="200"/>
    <x v="13"/>
    <x v="17"/>
    <s v="In-store"/>
  </r>
  <r>
    <s v="West Gear"/>
    <n v="1185732"/>
    <d v="2021-11-06T00:00:00"/>
    <x v="2"/>
    <s v="Iowa"/>
    <s v="Des Moines"/>
    <s v="Women's Athletic Footwear"/>
    <n v="35"/>
    <n v="200"/>
    <x v="2"/>
    <x v="41"/>
    <s v="In-store"/>
  </r>
  <r>
    <s v="West Gear"/>
    <n v="1185732"/>
    <d v="2021-02-03T00:00:00"/>
    <x v="2"/>
    <s v="Iowa"/>
    <s v="Des Moines"/>
    <s v="Women's Street Footwear"/>
    <n v="20"/>
    <n v="200"/>
    <x v="654"/>
    <x v="626"/>
    <s v="In-store"/>
  </r>
  <r>
    <s v="West Gear"/>
    <n v="1185732"/>
    <d v="2021-05-04T00:00:00"/>
    <x v="2"/>
    <s v="Wisconsin"/>
    <s v="Milwaukee"/>
    <s v="Men's Athletic Footwear"/>
    <n v="40"/>
    <n v="200"/>
    <x v="13"/>
    <x v="15"/>
    <s v="In-store"/>
  </r>
  <r>
    <s v="West Gear"/>
    <n v="1185732"/>
    <d v="2021-06-03T00:00:00"/>
    <x v="2"/>
    <s v="Wisconsin"/>
    <s v="Milwaukee"/>
    <s v="Women's Street Footwear"/>
    <n v="25"/>
    <n v="200"/>
    <x v="303"/>
    <x v="324"/>
    <s v="In-store"/>
  </r>
  <r>
    <s v="West Gear"/>
    <n v="1185732"/>
    <d v="2021-08-03T00:00:00"/>
    <x v="2"/>
    <s v="Wisconsin"/>
    <s v="Milwaukee"/>
    <s v="Women's Athletic Footwear"/>
    <n v="40"/>
    <n v="200"/>
    <x v="13"/>
    <x v="17"/>
    <s v="In-store"/>
  </r>
  <r>
    <s v="West Gear"/>
    <n v="1185732"/>
    <d v="2021-09-04T00:00:00"/>
    <x v="2"/>
    <s v="Wisconsin"/>
    <s v="Milwaukee"/>
    <s v="Women's Apparel"/>
    <n v="40"/>
    <n v="200"/>
    <x v="13"/>
    <x v="16"/>
    <s v="In-store"/>
  </r>
  <r>
    <s v="West Gear"/>
    <n v="1185732"/>
    <d v="2021-01-10T00:00:00"/>
    <x v="2"/>
    <s v="Wisconsin"/>
    <s v="Milwaukee"/>
    <s v="Men's Apparel"/>
    <n v="45"/>
    <n v="200"/>
    <x v="5"/>
    <x v="6"/>
    <s v="In-store"/>
  </r>
  <r>
    <s v="West Gear"/>
    <n v="1185732"/>
    <d v="2021-02-10T00:00:00"/>
    <x v="2"/>
    <s v="Wisconsin"/>
    <s v="Milwaukee"/>
    <s v="Men's Athletic Footwear"/>
    <n v="35"/>
    <n v="200"/>
    <x v="2"/>
    <x v="15"/>
    <s v="In-store"/>
  </r>
  <r>
    <s v="West Gear"/>
    <n v="1185732"/>
    <d v="2021-02-10T00:00:00"/>
    <x v="2"/>
    <s v="Indiana"/>
    <s v="Indianapolis"/>
    <s v="Men's Apparel"/>
    <n v="45"/>
    <n v="200"/>
    <x v="5"/>
    <x v="6"/>
    <s v="In-store"/>
  </r>
  <r>
    <s v="West Gear"/>
    <n v="1185732"/>
    <d v="2021-04-10T00:00:00"/>
    <x v="2"/>
    <s v="Indiana"/>
    <s v="Indianapolis"/>
    <s v="Men's Athletic Footwear"/>
    <n v="25"/>
    <n v="200"/>
    <x v="303"/>
    <x v="322"/>
    <s v="In-store"/>
  </r>
  <r>
    <s v="West Gear"/>
    <n v="1185732"/>
    <d v="2021-04-10T00:00:00"/>
    <x v="2"/>
    <s v="Indiana"/>
    <s v="Indianapolis"/>
    <s v="Women's Street Footwear"/>
    <n v="15"/>
    <n v="200"/>
    <x v="655"/>
    <x v="99"/>
    <s v="In-store"/>
  </r>
  <r>
    <s v="West Gear"/>
    <n v="1185732"/>
    <d v="2021-05-11T00:00:00"/>
    <x v="2"/>
    <s v="Indiana"/>
    <s v="Indianapolis"/>
    <s v="Men's Apparel"/>
    <n v="45"/>
    <n v="200"/>
    <x v="5"/>
    <x v="6"/>
    <s v="In-store"/>
  </r>
  <r>
    <s v="West Gear"/>
    <n v="1185732"/>
    <d v="2021-06-10T00:00:00"/>
    <x v="2"/>
    <s v="Indiana"/>
    <s v="Indianapolis"/>
    <s v="Women's Street Footwear"/>
    <n v="30"/>
    <n v="200"/>
    <x v="14"/>
    <x v="41"/>
    <s v="In-store"/>
  </r>
  <r>
    <s v="West Gear"/>
    <n v="1185732"/>
    <d v="2021-08-10T00:00:00"/>
    <x v="2"/>
    <s v="Indiana"/>
    <s v="Indianapolis"/>
    <s v="Women's Athletic Footwear"/>
    <n v="40"/>
    <n v="200"/>
    <x v="13"/>
    <x v="15"/>
    <s v="In-store"/>
  </r>
  <r>
    <s v="West Gear"/>
    <n v="1185732"/>
    <d v="2021-01-17T00:00:00"/>
    <x v="2"/>
    <s v="Indiana"/>
    <s v="Indianapolis"/>
    <s v="Men's Apparel"/>
    <n v="45"/>
    <n v="200"/>
    <x v="5"/>
    <x v="127"/>
    <s v="In-store"/>
  </r>
  <r>
    <s v="West Gear"/>
    <n v="1185732"/>
    <d v="2021-02-17T00:00:00"/>
    <x v="2"/>
    <s v="Indiana"/>
    <s v="Indianapolis"/>
    <s v="Men's Athletic Footwear"/>
    <n v="40"/>
    <n v="200"/>
    <x v="13"/>
    <x v="16"/>
    <s v="In-store"/>
  </r>
  <r>
    <s v="West Gear"/>
    <n v="1185732"/>
    <d v="2021-05-18T00:00:00"/>
    <x v="3"/>
    <s v="West Virginia"/>
    <s v="Charleston"/>
    <s v="Women's Athletic Footwear"/>
    <n v="35"/>
    <n v="200"/>
    <x v="2"/>
    <x v="15"/>
    <s v="In-store"/>
  </r>
  <r>
    <s v="West Gear"/>
    <n v="1185732"/>
    <d v="2021-04-21T00:00:00"/>
    <x v="3"/>
    <s v="Maryland"/>
    <s v="Baltimore"/>
    <s v="Women's Apparel"/>
    <n v="35"/>
    <n v="200"/>
    <x v="2"/>
    <x v="41"/>
    <s v="In-store"/>
  </r>
  <r>
    <s v="Sports Direct"/>
    <n v="1185732"/>
    <d v="2021-07-20T00:00:00"/>
    <x v="3"/>
    <s v="Maryland"/>
    <s v="Baltimore"/>
    <s v="Women's Street Footwear"/>
    <n v="40"/>
    <n v="200"/>
    <x v="13"/>
    <x v="15"/>
    <s v="In-store"/>
  </r>
  <r>
    <s v="Sports Direct"/>
    <n v="1185732"/>
    <d v="2021-08-21T00:00:00"/>
    <x v="3"/>
    <s v="Maryland"/>
    <s v="Baltimore"/>
    <s v="Women's Street Footwear"/>
    <n v="40"/>
    <n v="200"/>
    <x v="13"/>
    <x v="15"/>
    <s v="In-store"/>
  </r>
  <r>
    <s v="Foot Locker"/>
    <n v="1185732"/>
    <d v="2021-09-13T00:00:00"/>
    <x v="3"/>
    <s v="Delaware"/>
    <s v="Wilmington"/>
    <s v="Women's Athletic Footwear"/>
    <n v="45"/>
    <n v="200"/>
    <x v="5"/>
    <x v="127"/>
    <s v="In-store"/>
  </r>
  <r>
    <s v="Kohl's"/>
    <n v="1185732"/>
    <d v="2021-03-06T00:00:00"/>
    <x v="3"/>
    <s v="New Jersey"/>
    <s v="Newark"/>
    <s v="Men's Athletic Footwear"/>
    <n v="35"/>
    <n v="200"/>
    <x v="2"/>
    <x v="42"/>
    <s v="In-store"/>
  </r>
  <r>
    <s v="Kohl's"/>
    <n v="1185732"/>
    <d v="2021-05-06T00:00:00"/>
    <x v="3"/>
    <s v="New Jersey"/>
    <s v="Newark"/>
    <s v="Women's Athletic Footwear"/>
    <n v="40"/>
    <n v="200"/>
    <x v="13"/>
    <x v="16"/>
    <s v="In-store"/>
  </r>
  <r>
    <s v="Kohl's"/>
    <n v="1185732"/>
    <d v="2021-08-07T00:00:00"/>
    <x v="3"/>
    <s v="New Jersey"/>
    <s v="Newark"/>
    <s v="Women's Athletic Footwear"/>
    <n v="40"/>
    <n v="200"/>
    <x v="13"/>
    <x v="16"/>
    <s v="In-store"/>
  </r>
  <r>
    <s v="Sports Direct"/>
    <n v="1185732"/>
    <d v="2021-02-05T00:00:00"/>
    <x v="3"/>
    <s v="New Jersey"/>
    <s v="Newark"/>
    <s v="Men's Athletic Footwear"/>
    <n v="40"/>
    <n v="200"/>
    <x v="13"/>
    <x v="16"/>
    <s v="In-store"/>
  </r>
  <r>
    <s v="Sports Direct"/>
    <n v="1185732"/>
    <d v="2021-04-04T00:00:00"/>
    <x v="3"/>
    <s v="Connecticut"/>
    <s v="Hartford"/>
    <s v="Men's Athletic Footwear"/>
    <n v="40"/>
    <n v="200"/>
    <x v="13"/>
    <x v="16"/>
    <s v="In-store"/>
  </r>
  <r>
    <s v="Sports Direct"/>
    <n v="1185732"/>
    <d v="2021-04-04T00:00:00"/>
    <x v="3"/>
    <s v="Connecticut"/>
    <s v="Hartford"/>
    <s v="Women's Street Footwear"/>
    <n v="30"/>
    <n v="200"/>
    <x v="14"/>
    <x v="128"/>
    <s v="In-store"/>
  </r>
  <r>
    <s v="Sports Direct"/>
    <n v="1185732"/>
    <d v="2021-09-03T00:00:00"/>
    <x v="3"/>
    <s v="Connecticut"/>
    <s v="Hartford"/>
    <s v="Women's Street Footwear"/>
    <n v="45"/>
    <n v="200"/>
    <x v="5"/>
    <x v="6"/>
    <s v="In-store"/>
  </r>
  <r>
    <s v="Foot Locker"/>
    <n v="1185732"/>
    <d v="2021-04-07T00:00:00"/>
    <x v="3"/>
    <s v="Rhode Island"/>
    <s v="Providence"/>
    <s v="Women's Apparel"/>
    <n v="35"/>
    <n v="200"/>
    <x v="2"/>
    <x v="15"/>
    <s v="In-store"/>
  </r>
  <r>
    <s v="Foot Locker"/>
    <n v="1185732"/>
    <d v="2021-05-06T00:00:00"/>
    <x v="3"/>
    <s v="Rhode Island"/>
    <s v="Providence"/>
    <s v="Women's Street Footwear"/>
    <n v="40"/>
    <n v="200"/>
    <x v="13"/>
    <x v="16"/>
    <s v="In-store"/>
  </r>
  <r>
    <s v="Foot Locker"/>
    <n v="1185732"/>
    <d v="2021-06-08T00:00:00"/>
    <x v="3"/>
    <s v="Rhode Island"/>
    <s v="Providence"/>
    <s v="Women's Athletic Footwear"/>
    <n v="40"/>
    <n v="200"/>
    <x v="13"/>
    <x v="16"/>
    <s v="In-store"/>
  </r>
  <r>
    <s v="Foot Locker"/>
    <n v="1185732"/>
    <d v="2021-07-06T00:00:00"/>
    <x v="3"/>
    <s v="Rhode Island"/>
    <s v="Providence"/>
    <s v="Women's Athletic Footwear"/>
    <n v="40"/>
    <n v="200"/>
    <x v="13"/>
    <x v="16"/>
    <s v="In-store"/>
  </r>
  <r>
    <s v="Sports Direct"/>
    <n v="1185732"/>
    <d v="2021-02-15T00:00:00"/>
    <x v="3"/>
    <s v="Rhode Island"/>
    <s v="Providence"/>
    <s v="Women's Street Footwear"/>
    <n v="30"/>
    <n v="200"/>
    <x v="14"/>
    <x v="324"/>
    <s v="In-store"/>
  </r>
  <r>
    <s v="Sports Direct"/>
    <n v="1185732"/>
    <d v="2021-03-13T00:00:00"/>
    <x v="3"/>
    <s v="Massachusetts"/>
    <s v="Boston"/>
    <s v="Women's Street Footwear"/>
    <n v="30"/>
    <n v="200"/>
    <x v="14"/>
    <x v="324"/>
    <s v="In-store"/>
  </r>
  <r>
    <s v="Sports Direct"/>
    <n v="1185732"/>
    <d v="2021-03-13T00:00:00"/>
    <x v="3"/>
    <s v="Massachusetts"/>
    <s v="Boston"/>
    <s v="Women's Apparel"/>
    <n v="40"/>
    <n v="200"/>
    <x v="13"/>
    <x v="17"/>
    <s v="In-store"/>
  </r>
  <r>
    <s v="Amazon"/>
    <n v="1185732"/>
    <d v="2021-02-19T00:00:00"/>
    <x v="3"/>
    <s v="New Hampshire"/>
    <s v="Manchester"/>
    <s v="Women's Athletic Footwear"/>
    <n v="45"/>
    <n v="200"/>
    <x v="5"/>
    <x v="6"/>
    <s v="In-store"/>
  </r>
  <r>
    <s v="West Gear"/>
    <n v="1128299"/>
    <d v="2021-01-20T00:00:00"/>
    <x v="4"/>
    <s v="California"/>
    <s v="San Francisco"/>
    <s v="Women's Street Footwear"/>
    <n v="60"/>
    <n v="200"/>
    <x v="166"/>
    <x v="269"/>
    <s v="Online"/>
  </r>
  <r>
    <s v="Kohl's"/>
    <n v="1189833"/>
    <d v="2021-04-24T00:00:00"/>
    <x v="4"/>
    <s v="California"/>
    <s v="Los Angeles"/>
    <s v="Women's Apparel"/>
    <n v="60"/>
    <n v="200"/>
    <x v="166"/>
    <x v="284"/>
    <s v="Online"/>
  </r>
  <r>
    <s v="Sports Direct"/>
    <n v="1197831"/>
    <d v="2021-09-11T00:00:00"/>
    <x v="1"/>
    <s v="Texas"/>
    <s v="Dallas"/>
    <s v="Men's Athletic Footwear"/>
    <n v="49"/>
    <n v="200"/>
    <x v="370"/>
    <x v="136"/>
    <s v="Online"/>
  </r>
  <r>
    <s v="Sports Direct"/>
    <n v="1197831"/>
    <d v="2021-05-15T00:00:00"/>
    <x v="1"/>
    <s v="Tennessee"/>
    <s v="Knoxville"/>
    <s v="Men's Street Footwear"/>
    <n v="53"/>
    <n v="200"/>
    <x v="656"/>
    <x v="311"/>
    <s v="Online"/>
  </r>
  <r>
    <s v="Walmart"/>
    <n v="1128299"/>
    <d v="2021-12-16T00:00:00"/>
    <x v="0"/>
    <s v="Florida"/>
    <s v="Orlando"/>
    <s v="Men's Athletic Footwear"/>
    <n v="82"/>
    <n v="200"/>
    <x v="657"/>
    <x v="627"/>
    <s v="Online"/>
  </r>
  <r>
    <s v="Sports Direct"/>
    <n v="1185732"/>
    <d v="2021-02-17T00:00:00"/>
    <x v="0"/>
    <s v="Virginia"/>
    <s v="Richmond"/>
    <s v="Men's Street Footwear"/>
    <n v="34"/>
    <n v="200"/>
    <x v="658"/>
    <x v="208"/>
    <s v="Online"/>
  </r>
  <r>
    <s v="West Gear"/>
    <n v="1128299"/>
    <d v="2021-08-24T00:00:00"/>
    <x v="4"/>
    <s v="Oregon"/>
    <s v="Portland"/>
    <s v="Men's Street Footwear"/>
    <n v="81"/>
    <n v="200"/>
    <x v="659"/>
    <x v="533"/>
    <s v="Online"/>
  </r>
  <r>
    <s v="Foot Locker"/>
    <n v="1185732"/>
    <d v="2021-05-05T00:00:00"/>
    <x v="0"/>
    <s v="South Carolina"/>
    <s v="Charleston"/>
    <s v="Women's Apparel"/>
    <n v="59"/>
    <n v="200"/>
    <x v="72"/>
    <x v="414"/>
    <s v="Online"/>
  </r>
  <r>
    <s v="Foot Locker"/>
    <n v="1185732"/>
    <d v="2021-06-07T00:00:00"/>
    <x v="0"/>
    <s v="South Carolina"/>
    <s v="Charleston"/>
    <s v="Men's Athletic Footwear"/>
    <n v="49"/>
    <n v="200"/>
    <x v="370"/>
    <x v="164"/>
    <s v="Online"/>
  </r>
  <r>
    <s v="Sports Direct"/>
    <n v="1185732"/>
    <d v="2021-08-03T00:00:00"/>
    <x v="0"/>
    <s v="North Carolina"/>
    <s v="Charlotte"/>
    <s v="Men's Athletic Footwear"/>
    <n v="58"/>
    <n v="200"/>
    <x v="493"/>
    <x v="425"/>
    <s v="Online"/>
  </r>
  <r>
    <s v="Walmart"/>
    <n v="1197831"/>
    <d v="2020-09-08T00:00:00"/>
    <x v="1"/>
    <s v="Texas"/>
    <s v="Houston"/>
    <s v="Women's Athletic Footwear"/>
    <n v="37"/>
    <n v="200"/>
    <x v="660"/>
    <x v="435"/>
    <s v="Outlet"/>
  </r>
  <r>
    <s v="Sports Direct"/>
    <n v="1197831"/>
    <d v="2021-09-06T00:00:00"/>
    <x v="1"/>
    <s v="Texas"/>
    <s v="Dallas"/>
    <s v="Women's Street Footwear"/>
    <n v="19"/>
    <n v="200"/>
    <x v="661"/>
    <x v="563"/>
    <s v="Outlet"/>
  </r>
  <r>
    <s v="Sports Direct"/>
    <n v="1197831"/>
    <d v="2021-10-01T00:00:00"/>
    <x v="1"/>
    <s v="Alabama"/>
    <s v="Birmingham"/>
    <s v="Men's Athletic Footwear"/>
    <n v="14"/>
    <n v="200"/>
    <x v="662"/>
    <x v="628"/>
    <s v="Outlet"/>
  </r>
  <r>
    <s v="West Gear"/>
    <n v="1128299"/>
    <d v="2021-12-16T00:00:00"/>
    <x v="0"/>
    <s v="Florida"/>
    <s v="Orlando"/>
    <s v="Women's Apparel"/>
    <n v="64"/>
    <n v="200"/>
    <x v="17"/>
    <x v="187"/>
    <s v="Outlet"/>
  </r>
  <r>
    <s v="Foot Locker"/>
    <n v="1197831"/>
    <d v="2021-02-04T00:00:00"/>
    <x v="1"/>
    <s v="Louisiana"/>
    <s v="New Orleans"/>
    <s v="Men's Street Footwear"/>
    <n v="18"/>
    <n v="200"/>
    <x v="663"/>
    <x v="420"/>
    <s v="Outlet"/>
  </r>
  <r>
    <s v="Foot Locker"/>
    <n v="1197831"/>
    <d v="2021-03-06T00:00:00"/>
    <x v="4"/>
    <s v="Idaho"/>
    <s v="Boise"/>
    <s v="Men's Street Footwear"/>
    <n v="21"/>
    <n v="200"/>
    <x v="664"/>
    <x v="588"/>
    <s v="Outlet"/>
  </r>
  <r>
    <s v="Sports Direct"/>
    <n v="1197831"/>
    <d v="2021-09-05T00:00:00"/>
    <x v="4"/>
    <s v="Idaho"/>
    <s v="Boise"/>
    <s v="Women's Apparel"/>
    <n v="36"/>
    <n v="200"/>
    <x v="665"/>
    <x v="569"/>
    <s v="Outlet"/>
  </r>
  <r>
    <s v="Sports Direct"/>
    <n v="1128299"/>
    <d v="2021-08-13T00:00:00"/>
    <x v="0"/>
    <s v="Georgia"/>
    <s v="Atlanta"/>
    <s v="Men's Athletic Footwear"/>
    <n v="44"/>
    <n v="200"/>
    <x v="666"/>
    <x v="435"/>
    <s v="Outlet"/>
  </r>
  <r>
    <s v="Kohl's"/>
    <n v="1197831"/>
    <d v="2021-12-19T00:00:00"/>
    <x v="1"/>
    <s v="Oklahoma"/>
    <s v="Oklahoma City"/>
    <s v="Men's Street Footwear"/>
    <n v="55"/>
    <n v="200"/>
    <x v="396"/>
    <x v="61"/>
    <s v="Outlet"/>
  </r>
  <r>
    <s v="Foot Locker"/>
    <n v="1185732"/>
    <d v="2021-12-17T00:00:00"/>
    <x v="3"/>
    <s v="New Hampshire"/>
    <s v="Manchester"/>
    <s v="Men's Street Footwear"/>
    <n v="49"/>
    <n v="200"/>
    <x v="370"/>
    <x v="108"/>
    <s v="Outlet"/>
  </r>
  <r>
    <s v="Kohl's"/>
    <n v="1189833"/>
    <d v="2021-04-12T00:00:00"/>
    <x v="4"/>
    <s v="California"/>
    <s v="Los Angeles"/>
    <s v="Women's Apparel"/>
    <n v="49"/>
    <n v="198"/>
    <x v="667"/>
    <x v="629"/>
    <s v="Outlet"/>
  </r>
  <r>
    <s v="Sports Direct"/>
    <n v="1197831"/>
    <d v="2021-04-12T00:00:00"/>
    <x v="1"/>
    <s v="Tennessee"/>
    <s v="Knoxville"/>
    <s v="Women's Athletic Footwear"/>
    <n v="29"/>
    <n v="198"/>
    <x v="668"/>
    <x v="630"/>
    <s v="Outlet"/>
  </r>
  <r>
    <s v="Walmart"/>
    <n v="1128299"/>
    <d v="2021-11-17T00:00:00"/>
    <x v="0"/>
    <s v="Florida"/>
    <s v="Orlando"/>
    <s v="Women's Apparel"/>
    <n v="66"/>
    <n v="198"/>
    <x v="172"/>
    <x v="227"/>
    <s v="Outlet"/>
  </r>
  <r>
    <s v="West Gear"/>
    <n v="1128299"/>
    <d v="2021-07-23T00:00:00"/>
    <x v="4"/>
    <s v="Oregon"/>
    <s v="Portland"/>
    <s v="Men's Apparel"/>
    <n v="68"/>
    <n v="198"/>
    <x v="227"/>
    <x v="384"/>
    <s v="Outlet"/>
  </r>
  <r>
    <s v="West Gear"/>
    <n v="1128299"/>
    <d v="2021-07-16T00:00:00"/>
    <x v="1"/>
    <s v="Louisiana"/>
    <s v="New Orleans"/>
    <s v="Women's Athletic Footwear"/>
    <n v="62"/>
    <n v="198"/>
    <x v="24"/>
    <x v="270"/>
    <s v="Outlet"/>
  </r>
  <r>
    <s v="Sports Direct"/>
    <n v="1128299"/>
    <d v="2021-09-14T00:00:00"/>
    <x v="0"/>
    <s v="Georgia"/>
    <s v="Atlanta"/>
    <s v="Men's Athletic Footwear"/>
    <n v="38"/>
    <n v="198"/>
    <x v="669"/>
    <x v="154"/>
    <s v="Outlet"/>
  </r>
  <r>
    <s v="Walmart"/>
    <n v="1185732"/>
    <d v="2021-08-17T00:00:00"/>
    <x v="1"/>
    <s v="Mississippi"/>
    <s v="Jackson"/>
    <s v="Men's Athletic Footwear"/>
    <n v="44"/>
    <n v="198"/>
    <x v="223"/>
    <x v="574"/>
    <s v="Outlet"/>
  </r>
  <r>
    <s v="Walmart"/>
    <n v="1197831"/>
    <d v="2021-07-19T00:00:00"/>
    <x v="1"/>
    <s v="Arkansas"/>
    <s v="Little Rock"/>
    <s v="Women's Apparel"/>
    <n v="50"/>
    <n v="198"/>
    <x v="642"/>
    <x v="334"/>
    <s v="Outlet"/>
  </r>
  <r>
    <s v="Sports Direct"/>
    <n v="1197831"/>
    <d v="2020-07-30T00:00:00"/>
    <x v="1"/>
    <s v="Texas"/>
    <s v="Houston"/>
    <s v="Women's Apparel"/>
    <n v="34"/>
    <n v="196"/>
    <x v="271"/>
    <x v="239"/>
    <s v="Online"/>
  </r>
  <r>
    <s v="Walmart"/>
    <n v="1197831"/>
    <d v="2020-08-28T00:00:00"/>
    <x v="1"/>
    <s v="Texas"/>
    <s v="Houston"/>
    <s v="Men's Apparel"/>
    <n v="41"/>
    <n v="196"/>
    <x v="670"/>
    <x v="58"/>
    <s v="Online"/>
  </r>
  <r>
    <s v="West Gear"/>
    <n v="1128299"/>
    <d v="2020-11-09T00:00:00"/>
    <x v="4"/>
    <s v="California"/>
    <s v="San Francisco"/>
    <s v="Women's Street Footwear"/>
    <n v="49"/>
    <n v="196"/>
    <x v="369"/>
    <x v="399"/>
    <s v="Online"/>
  </r>
  <r>
    <s v="West Gear"/>
    <n v="1128299"/>
    <d v="2021-02-04T00:00:00"/>
    <x v="4"/>
    <s v="California"/>
    <s v="San Francisco"/>
    <s v="Women's Apparel"/>
    <n v="63"/>
    <n v="196"/>
    <x v="333"/>
    <x v="287"/>
    <s v="Online"/>
  </r>
  <r>
    <s v="Kohl's"/>
    <n v="1189833"/>
    <d v="2021-02-18T00:00:00"/>
    <x v="4"/>
    <s v="California"/>
    <s v="San Francisco"/>
    <s v="Men's Athletic Footwear"/>
    <n v="41"/>
    <n v="196"/>
    <x v="670"/>
    <x v="366"/>
    <s v="Online"/>
  </r>
  <r>
    <s v="Kohl's"/>
    <n v="1189833"/>
    <d v="2021-05-09T00:00:00"/>
    <x v="4"/>
    <s v="California"/>
    <s v="Los Angeles"/>
    <s v="Women's Street Footwear"/>
    <n v="46"/>
    <n v="196"/>
    <x v="671"/>
    <x v="309"/>
    <s v="Online"/>
  </r>
  <r>
    <s v="Kohl's"/>
    <n v="1189833"/>
    <d v="2021-05-30T00:00:00"/>
    <x v="4"/>
    <s v="California"/>
    <s v="Los Angeles"/>
    <s v="Women's Apparel"/>
    <n v="59"/>
    <n v="196"/>
    <x v="390"/>
    <x v="86"/>
    <s v="Online"/>
  </r>
  <r>
    <s v="Sports Direct"/>
    <n v="1197831"/>
    <d v="2021-08-12T00:00:00"/>
    <x v="2"/>
    <s v="Illinois"/>
    <s v="Chicago"/>
    <s v="Men's Athletic Footwear"/>
    <n v="28"/>
    <n v="196"/>
    <x v="672"/>
    <x v="580"/>
    <s v="Online"/>
  </r>
  <r>
    <s v="West Gear"/>
    <n v="1128299"/>
    <d v="2020-03-09T00:00:00"/>
    <x v="4"/>
    <s v="Nevada"/>
    <s v="Las Vegas"/>
    <s v="Men's Street Footwear"/>
    <n v="58"/>
    <n v="196"/>
    <x v="425"/>
    <x v="386"/>
    <s v="Online"/>
  </r>
  <r>
    <s v="West Gear"/>
    <n v="1128299"/>
    <d v="2020-04-26T00:00:00"/>
    <x v="4"/>
    <s v="Colorado"/>
    <s v="Denver"/>
    <s v="Men's Street Footwear"/>
    <n v="63"/>
    <n v="196"/>
    <x v="333"/>
    <x v="215"/>
    <s v="Online"/>
  </r>
  <r>
    <s v="West Gear"/>
    <n v="1185732"/>
    <d v="2020-04-24T00:00:00"/>
    <x v="0"/>
    <s v="Florida"/>
    <s v="Miami"/>
    <s v="Men's Apparel"/>
    <n v="52"/>
    <n v="196"/>
    <x v="593"/>
    <x v="181"/>
    <s v="Online"/>
  </r>
  <r>
    <s v="West Gear"/>
    <n v="1185732"/>
    <d v="2020-04-24T00:00:00"/>
    <x v="0"/>
    <s v="Florida"/>
    <s v="Miami"/>
    <s v="Men's Apparel"/>
    <n v="58"/>
    <n v="196"/>
    <x v="425"/>
    <x v="386"/>
    <s v="Online"/>
  </r>
  <r>
    <s v="Kohl's"/>
    <n v="1189833"/>
    <d v="2021-03-04T00:00:00"/>
    <x v="2"/>
    <s v="Montana"/>
    <s v="Billings"/>
    <s v="Men's Street Footwear"/>
    <n v="41"/>
    <n v="196"/>
    <x v="670"/>
    <x v="393"/>
    <s v="Online"/>
  </r>
  <r>
    <s v="Sports Direct"/>
    <n v="1197831"/>
    <d v="2021-05-09T00:00:00"/>
    <x v="1"/>
    <s v="Tennessee"/>
    <s v="Knoxville"/>
    <s v="Men's Street Footwear"/>
    <n v="29"/>
    <n v="196"/>
    <x v="673"/>
    <x v="507"/>
    <s v="Online"/>
  </r>
  <r>
    <s v="Sports Direct"/>
    <n v="1197831"/>
    <d v="2021-08-02T00:00:00"/>
    <x v="2"/>
    <s v="Nebraska"/>
    <s v="Omaha"/>
    <s v="Men's Athletic Footwear"/>
    <n v="29"/>
    <n v="196"/>
    <x v="673"/>
    <x v="296"/>
    <s v="Online"/>
  </r>
  <r>
    <s v="West Gear"/>
    <n v="1185732"/>
    <d v="2021-07-08T00:00:00"/>
    <x v="3"/>
    <s v="New York"/>
    <s v="Albany"/>
    <s v="Men's Athletic Footwear"/>
    <n v="56"/>
    <n v="196"/>
    <x v="141"/>
    <x v="631"/>
    <s v="Online"/>
  </r>
  <r>
    <s v="Kohl's"/>
    <n v="1185732"/>
    <d v="2021-07-10T00:00:00"/>
    <x v="4"/>
    <s v="Wyoming"/>
    <s v="Cheyenne"/>
    <s v="Women's Apparel"/>
    <n v="51"/>
    <n v="196"/>
    <x v="377"/>
    <x v="632"/>
    <s v="Online"/>
  </r>
  <r>
    <s v="Kohl's"/>
    <n v="1185732"/>
    <d v="2021-08-11T00:00:00"/>
    <x v="4"/>
    <s v="Wyoming"/>
    <s v="Cheyenne"/>
    <s v="Women's Apparel"/>
    <n v="52"/>
    <n v="196"/>
    <x v="593"/>
    <x v="81"/>
    <s v="Online"/>
  </r>
  <r>
    <s v="Sports Direct"/>
    <n v="1185732"/>
    <d v="2021-11-16T00:00:00"/>
    <x v="2"/>
    <s v="Michigan"/>
    <s v="Detroit"/>
    <s v="Men's Street Footwear"/>
    <n v="49"/>
    <n v="196"/>
    <x v="369"/>
    <x v="469"/>
    <s v="Online"/>
  </r>
  <r>
    <s v="West Gear"/>
    <n v="1185732"/>
    <d v="2021-01-11T00:00:00"/>
    <x v="2"/>
    <s v="Missouri"/>
    <s v="St. Louis"/>
    <s v="Men's Street Footwear"/>
    <n v="23"/>
    <n v="196"/>
    <x v="674"/>
    <x v="633"/>
    <s v="Online"/>
  </r>
  <r>
    <s v="West Gear"/>
    <n v="1128299"/>
    <d v="2021-07-23T00:00:00"/>
    <x v="4"/>
    <s v="Oregon"/>
    <s v="Portland"/>
    <s v="Men's Athletic Footwear"/>
    <n v="85"/>
    <n v="196"/>
    <x v="675"/>
    <x v="274"/>
    <s v="Online"/>
  </r>
  <r>
    <s v="West Gear"/>
    <n v="1128299"/>
    <d v="2021-07-16T00:00:00"/>
    <x v="1"/>
    <s v="Louisiana"/>
    <s v="New Orleans"/>
    <s v="Women's Street Footwear"/>
    <n v="90"/>
    <n v="196"/>
    <x v="124"/>
    <x v="273"/>
    <s v="Online"/>
  </r>
  <r>
    <s v="Foot Locker"/>
    <n v="1197831"/>
    <d v="2021-01-05T00:00:00"/>
    <x v="1"/>
    <s v="Louisiana"/>
    <s v="New Orleans"/>
    <s v="Men's Athletic Footwear"/>
    <n v="28"/>
    <n v="196"/>
    <x v="672"/>
    <x v="634"/>
    <s v="Online"/>
  </r>
  <r>
    <s v="West Gear"/>
    <n v="1197831"/>
    <d v="2021-05-05T00:00:00"/>
    <x v="4"/>
    <s v="Idaho"/>
    <s v="Boise"/>
    <s v="Men's Athletic Footwear"/>
    <n v="28"/>
    <n v="196"/>
    <x v="672"/>
    <x v="487"/>
    <s v="Online"/>
  </r>
  <r>
    <s v="Sports Direct"/>
    <n v="1197831"/>
    <d v="2021-08-08T00:00:00"/>
    <x v="4"/>
    <s v="Idaho"/>
    <s v="Boise"/>
    <s v="Women's Apparel"/>
    <n v="54"/>
    <n v="196"/>
    <x v="444"/>
    <x v="358"/>
    <s v="Online"/>
  </r>
  <r>
    <s v="Foot Locker"/>
    <n v="1197831"/>
    <d v="2021-12-04T00:00:00"/>
    <x v="4"/>
    <s v="Idaho"/>
    <s v="Boise"/>
    <s v="Women's Apparel"/>
    <n v="60"/>
    <n v="196"/>
    <x v="163"/>
    <x v="19"/>
    <s v="Online"/>
  </r>
  <r>
    <s v="Foot Locker"/>
    <n v="1128299"/>
    <d v="2021-07-22T00:00:00"/>
    <x v="4"/>
    <s v="Arizona"/>
    <s v="Phoenix"/>
    <s v="Men's Street Footwear"/>
    <n v="49"/>
    <n v="196"/>
    <x v="369"/>
    <x v="399"/>
    <s v="Online"/>
  </r>
  <r>
    <s v="Sports Direct"/>
    <n v="1128299"/>
    <d v="2021-07-12T00:00:00"/>
    <x v="0"/>
    <s v="Georgia"/>
    <s v="Atlanta"/>
    <s v="Men's Street Footwear"/>
    <n v="47"/>
    <n v="196"/>
    <x v="247"/>
    <x v="108"/>
    <s v="Online"/>
  </r>
  <r>
    <s v="Foot Locker"/>
    <n v="1185732"/>
    <d v="2021-05-05T00:00:00"/>
    <x v="0"/>
    <s v="South Carolina"/>
    <s v="Charleston"/>
    <s v="Men's Apparel"/>
    <n v="53"/>
    <n v="196"/>
    <x v="676"/>
    <x v="503"/>
    <s v="Online"/>
  </r>
  <r>
    <s v="Foot Locker"/>
    <n v="1185732"/>
    <d v="2021-09-05T00:00:00"/>
    <x v="0"/>
    <s v="South Carolina"/>
    <s v="Charleston"/>
    <s v="Women's Street Footwear"/>
    <n v="38"/>
    <n v="196"/>
    <x v="677"/>
    <x v="498"/>
    <s v="Online"/>
  </r>
  <r>
    <s v="Foot Locker"/>
    <n v="1185732"/>
    <d v="2021-11-06T00:00:00"/>
    <x v="0"/>
    <s v="South Carolina"/>
    <s v="Charleston"/>
    <s v="Men's Apparel"/>
    <n v="66"/>
    <n v="196"/>
    <x v="429"/>
    <x v="178"/>
    <s v="Online"/>
  </r>
  <r>
    <s v="Sports Direct"/>
    <n v="1185732"/>
    <d v="2021-01-06T00:00:00"/>
    <x v="0"/>
    <s v="South Carolina"/>
    <s v="Charleston"/>
    <s v="Women's Apparel"/>
    <n v="34"/>
    <n v="196"/>
    <x v="271"/>
    <x v="49"/>
    <s v="Online"/>
  </r>
  <r>
    <s v="Sports Direct"/>
    <n v="1185732"/>
    <d v="2021-07-02T00:00:00"/>
    <x v="0"/>
    <s v="North Carolina"/>
    <s v="Charlotte"/>
    <s v="Women's Street Footwear"/>
    <n v="53"/>
    <n v="196"/>
    <x v="676"/>
    <x v="635"/>
    <s v="Online"/>
  </r>
  <r>
    <s v="Sports Direct"/>
    <n v="1185732"/>
    <d v="2021-10-04T00:00:00"/>
    <x v="0"/>
    <s v="North Carolina"/>
    <s v="Charlotte"/>
    <s v="Men's Athletic Footwear"/>
    <n v="33"/>
    <n v="196"/>
    <x v="678"/>
    <x v="380"/>
    <s v="Online"/>
  </r>
  <r>
    <s v="Amazon"/>
    <n v="1185732"/>
    <d v="2021-12-02T00:00:00"/>
    <x v="0"/>
    <s v="North Carolina"/>
    <s v="Charlotte"/>
    <s v="Women's Athletic Footwear"/>
    <n v="55"/>
    <n v="196"/>
    <x v="679"/>
    <x v="636"/>
    <s v="Online"/>
  </r>
  <r>
    <s v="Amazon"/>
    <n v="1185732"/>
    <d v="2021-06-11T00:00:00"/>
    <x v="2"/>
    <s v="Ohio"/>
    <s v="Columbus"/>
    <s v="Women's Apparel"/>
    <n v="64"/>
    <n v="196"/>
    <x v="52"/>
    <x v="533"/>
    <s v="Online"/>
  </r>
  <r>
    <s v="Amazon"/>
    <n v="1185732"/>
    <d v="2021-07-17T00:00:00"/>
    <x v="3"/>
    <s v="New Hampshire"/>
    <s v="Manchester"/>
    <s v="Men's Street Footwear"/>
    <n v="64"/>
    <n v="196"/>
    <x v="52"/>
    <x v="149"/>
    <s v="Online"/>
  </r>
  <r>
    <s v="Amazon"/>
    <n v="1185732"/>
    <d v="2021-08-18T00:00:00"/>
    <x v="3"/>
    <s v="New Hampshire"/>
    <s v="Manchester"/>
    <s v="Men's Street Footwear"/>
    <n v="60"/>
    <n v="196"/>
    <x v="163"/>
    <x v="446"/>
    <s v="Online"/>
  </r>
  <r>
    <s v="West Gear"/>
    <n v="1128299"/>
    <d v="2021-01-10T00:00:00"/>
    <x v="4"/>
    <s v="California"/>
    <s v="San Francisco"/>
    <s v="Men's Apparel"/>
    <n v="44"/>
    <n v="196"/>
    <x v="416"/>
    <x v="341"/>
    <s v="Outlet"/>
  </r>
  <r>
    <s v="West Gear"/>
    <n v="1128299"/>
    <d v="2020-03-03T00:00:00"/>
    <x v="4"/>
    <s v="Nevada"/>
    <s v="Las Vegas"/>
    <s v="Men's Street Footwear"/>
    <n v="47"/>
    <n v="196"/>
    <x v="247"/>
    <x v="364"/>
    <s v="Outlet"/>
  </r>
  <r>
    <s v="Sports Direct"/>
    <n v="1197831"/>
    <d v="2021-04-02T00:00:00"/>
    <x v="1"/>
    <s v="Tennessee"/>
    <s v="Knoxville"/>
    <s v="Women's Apparel"/>
    <n v="18"/>
    <n v="196"/>
    <x v="680"/>
    <x v="283"/>
    <s v="Outlet"/>
  </r>
  <r>
    <s v="Sports Direct"/>
    <n v="1197831"/>
    <d v="2021-04-18T00:00:00"/>
    <x v="1"/>
    <s v="Tennessee"/>
    <s v="Knoxville"/>
    <s v="Women's Athletic Footwear"/>
    <n v="32"/>
    <n v="196"/>
    <x v="484"/>
    <x v="138"/>
    <s v="Outlet"/>
  </r>
  <r>
    <s v="Sports Direct"/>
    <n v="1197831"/>
    <d v="2021-09-09T00:00:00"/>
    <x v="1"/>
    <s v="Alabama"/>
    <s v="Birmingham"/>
    <s v="Women's Athletic Footwear"/>
    <n v="36"/>
    <n v="196"/>
    <x v="681"/>
    <x v="47"/>
    <s v="Outlet"/>
  </r>
  <r>
    <s v="Sports Direct"/>
    <n v="1197831"/>
    <d v="2021-10-02T00:00:00"/>
    <x v="1"/>
    <s v="Alabama"/>
    <s v="Birmingham"/>
    <s v="Women's Street Footwear"/>
    <n v="33"/>
    <n v="196"/>
    <x v="678"/>
    <x v="466"/>
    <s v="Outlet"/>
  </r>
  <r>
    <s v="Walmart"/>
    <n v="1128299"/>
    <d v="2021-06-17T00:00:00"/>
    <x v="0"/>
    <s v="Florida"/>
    <s v="Orlando"/>
    <s v="Women's Athletic Footwear"/>
    <n v="66"/>
    <n v="196"/>
    <x v="429"/>
    <x v="253"/>
    <s v="Outlet"/>
  </r>
  <r>
    <s v="West Gear"/>
    <n v="1197831"/>
    <d v="2021-09-19T00:00:00"/>
    <x v="1"/>
    <s v="Oklahoma"/>
    <s v="Oklahoma City"/>
    <s v="Men's Street Footwear"/>
    <n v="35"/>
    <n v="196"/>
    <x v="600"/>
    <x v="637"/>
    <s v="Outlet"/>
  </r>
  <r>
    <s v="Sports Direct"/>
    <n v="1185732"/>
    <d v="2021-06-15T00:00:00"/>
    <x v="3"/>
    <s v="Massachusetts"/>
    <s v="Boston"/>
    <s v="Men's Street Footwear"/>
    <n v="39"/>
    <n v="196"/>
    <x v="682"/>
    <x v="500"/>
    <s v="Outlet"/>
  </r>
  <r>
    <s v="Sports Direct"/>
    <n v="1185732"/>
    <d v="2021-08-14T00:00:00"/>
    <x v="3"/>
    <s v="Massachusetts"/>
    <s v="Boston"/>
    <s v="Men's Street Footwear"/>
    <n v="40"/>
    <n v="196"/>
    <x v="486"/>
    <x v="638"/>
    <s v="Outlet"/>
  </r>
  <r>
    <s v="Amazon"/>
    <n v="1185732"/>
    <d v="2021-05-17T00:00:00"/>
    <x v="3"/>
    <s v="New Hampshire"/>
    <s v="Manchester"/>
    <s v="Men's Street Footwear"/>
    <n v="47"/>
    <n v="196"/>
    <x v="247"/>
    <x v="186"/>
    <s v="Outlet"/>
  </r>
  <r>
    <s v="Sports Direct"/>
    <n v="1185732"/>
    <d v="2021-11-12T00:00:00"/>
    <x v="2"/>
    <s v="South Dakota"/>
    <s v="Sioux Falls"/>
    <s v="Women's Street Footwear"/>
    <n v="45"/>
    <n v="195"/>
    <x v="683"/>
    <x v="639"/>
    <s v="Online"/>
  </r>
  <r>
    <s v="Foot Locker"/>
    <n v="1185732"/>
    <d v="2021-11-09T00:00:00"/>
    <x v="2"/>
    <s v="North Dakota"/>
    <s v="Fargo"/>
    <s v="Women's Street Footwear"/>
    <n v="40"/>
    <n v="195"/>
    <x v="684"/>
    <x v="640"/>
    <s v="In-store"/>
  </r>
  <r>
    <s v="Walmart"/>
    <n v="1197831"/>
    <d v="2020-10-24T00:00:00"/>
    <x v="1"/>
    <s v="Texas"/>
    <s v="Houston"/>
    <s v="Men's Apparel"/>
    <n v="42"/>
    <n v="195"/>
    <x v="574"/>
    <x v="641"/>
    <s v="Online"/>
  </r>
  <r>
    <s v="Kohl's"/>
    <n v="1189833"/>
    <d v="2021-03-14T00:00:00"/>
    <x v="4"/>
    <s v="California"/>
    <s v="Los Angeles"/>
    <s v="Men's Athletic Footwear"/>
    <n v="43"/>
    <n v="195"/>
    <x v="411"/>
    <x v="89"/>
    <s v="Online"/>
  </r>
  <r>
    <s v="Kohl's"/>
    <n v="1189833"/>
    <d v="2021-03-20T00:00:00"/>
    <x v="4"/>
    <s v="California"/>
    <s v="Los Angeles"/>
    <s v="Men's Athletic Footwear"/>
    <n v="41"/>
    <n v="195"/>
    <x v="685"/>
    <x v="333"/>
    <s v="Online"/>
  </r>
  <r>
    <s v="Sports Direct"/>
    <n v="1197831"/>
    <d v="2021-09-04T00:00:00"/>
    <x v="1"/>
    <s v="Texas"/>
    <s v="Dallas"/>
    <s v="Men's Street Footwear"/>
    <n v="19"/>
    <n v="195"/>
    <x v="613"/>
    <x v="642"/>
    <s v="Online"/>
  </r>
  <r>
    <s v="West Gear"/>
    <n v="1128299"/>
    <d v="2020-06-25T00:00:00"/>
    <x v="4"/>
    <s v="Washington"/>
    <s v="Seattle"/>
    <s v="Men's Street Footwear"/>
    <n v="71"/>
    <n v="195"/>
    <x v="686"/>
    <x v="643"/>
    <s v="Online"/>
  </r>
  <r>
    <s v="West Gear"/>
    <n v="1128299"/>
    <d v="2020-08-01T00:00:00"/>
    <x v="4"/>
    <s v="Washington"/>
    <s v="Seattle"/>
    <s v="Men's Athletic Footwear"/>
    <n v="77"/>
    <n v="195"/>
    <x v="687"/>
    <x v="635"/>
    <s v="Online"/>
  </r>
  <r>
    <s v="Foot Locker"/>
    <n v="1185732"/>
    <d v="2020-08-10T00:00:00"/>
    <x v="0"/>
    <s v="Florida"/>
    <s v="Miami"/>
    <s v="Men's Apparel"/>
    <n v="50"/>
    <n v="195"/>
    <x v="688"/>
    <x v="644"/>
    <s v="Online"/>
  </r>
  <r>
    <s v="Foot Locker"/>
    <n v="1185732"/>
    <d v="2020-08-13T00:00:00"/>
    <x v="0"/>
    <s v="Florida"/>
    <s v="Miami"/>
    <s v="Men's Athletic Footwear"/>
    <n v="43"/>
    <n v="195"/>
    <x v="411"/>
    <x v="645"/>
    <s v="Online"/>
  </r>
  <r>
    <s v="Sports Direct"/>
    <n v="1185732"/>
    <d v="2020-10-09T00:00:00"/>
    <x v="0"/>
    <s v="Florida"/>
    <s v="Miami"/>
    <s v="Men's Apparel"/>
    <n v="64"/>
    <n v="195"/>
    <x v="87"/>
    <x v="280"/>
    <s v="Online"/>
  </r>
  <r>
    <s v="Sports Direct"/>
    <n v="1197831"/>
    <d v="2021-08-19T00:00:00"/>
    <x v="1"/>
    <s v="Alabama"/>
    <s v="Birmingham"/>
    <s v="Men's Street Footwear"/>
    <n v="19"/>
    <n v="195"/>
    <x v="613"/>
    <x v="283"/>
    <s v="Online"/>
  </r>
  <r>
    <s v="Walmart"/>
    <n v="1128299"/>
    <d v="2021-07-16T00:00:00"/>
    <x v="0"/>
    <s v="Florida"/>
    <s v="Orlando"/>
    <s v="Men's Apparel"/>
    <n v="89"/>
    <n v="195"/>
    <x v="237"/>
    <x v="359"/>
    <s v="Online"/>
  </r>
  <r>
    <s v="Foot Locker"/>
    <n v="1128299"/>
    <d v="2021-06-24T00:00:00"/>
    <x v="0"/>
    <s v="Virginia"/>
    <s v="Richmond"/>
    <s v="Women's Street Footwear"/>
    <n v="73"/>
    <n v="195"/>
    <x v="689"/>
    <x v="310"/>
    <s v="Online"/>
  </r>
  <r>
    <s v="Sports Direct"/>
    <n v="1185732"/>
    <d v="2021-08-16T00:00:00"/>
    <x v="2"/>
    <s v="Michigan"/>
    <s v="Detroit"/>
    <s v="Men's Athletic Footwear"/>
    <n v="50"/>
    <n v="195"/>
    <x v="688"/>
    <x v="644"/>
    <s v="Online"/>
  </r>
  <r>
    <s v="West Gear"/>
    <n v="1128299"/>
    <d v="2021-08-24T00:00:00"/>
    <x v="4"/>
    <s v="Oregon"/>
    <s v="Portland"/>
    <s v="Women's Street Footwear"/>
    <n v="68"/>
    <n v="195"/>
    <x v="287"/>
    <x v="361"/>
    <s v="Online"/>
  </r>
  <r>
    <s v="West Gear"/>
    <n v="1128299"/>
    <d v="2021-11-24T00:00:00"/>
    <x v="4"/>
    <s v="Oregon"/>
    <s v="Portland"/>
    <s v="Men's Athletic Footwear"/>
    <n v="48"/>
    <n v="195"/>
    <x v="690"/>
    <x v="395"/>
    <s v="Online"/>
  </r>
  <r>
    <s v="West Gear"/>
    <n v="1128299"/>
    <d v="2021-06-17T00:00:00"/>
    <x v="1"/>
    <s v="Louisiana"/>
    <s v="New Orleans"/>
    <s v="Women's Apparel"/>
    <n v="100"/>
    <n v="195"/>
    <x v="691"/>
    <x v="646"/>
    <s v="Online"/>
  </r>
  <r>
    <s v="West Gear"/>
    <n v="1197831"/>
    <d v="2021-04-05T00:00:00"/>
    <x v="4"/>
    <s v="Idaho"/>
    <s v="Boise"/>
    <s v="Men's Street Footwear"/>
    <n v="19"/>
    <n v="195"/>
    <x v="613"/>
    <x v="596"/>
    <s v="Online"/>
  </r>
  <r>
    <s v="West Gear"/>
    <n v="1197831"/>
    <d v="2021-04-05T00:00:00"/>
    <x v="4"/>
    <s v="Idaho"/>
    <s v="Boise"/>
    <s v="Men's Athletic Footwear"/>
    <n v="29"/>
    <n v="195"/>
    <x v="692"/>
    <x v="449"/>
    <s v="Online"/>
  </r>
  <r>
    <s v="West Gear"/>
    <n v="1197831"/>
    <d v="2021-06-04T00:00:00"/>
    <x v="4"/>
    <s v="Idaho"/>
    <s v="Boise"/>
    <s v="Men's Street Footwear"/>
    <n v="42"/>
    <n v="195"/>
    <x v="574"/>
    <x v="60"/>
    <s v="Online"/>
  </r>
  <r>
    <s v="Foot Locker"/>
    <n v="1197831"/>
    <d v="2021-08-08T00:00:00"/>
    <x v="4"/>
    <s v="Idaho"/>
    <s v="Boise"/>
    <s v="Men's Athletic Footwear"/>
    <n v="53"/>
    <n v="195"/>
    <x v="62"/>
    <x v="367"/>
    <s v="Online"/>
  </r>
  <r>
    <s v="Foot Locker"/>
    <n v="1185732"/>
    <d v="2021-06-07T00:00:00"/>
    <x v="0"/>
    <s v="South Carolina"/>
    <s v="Charleston"/>
    <s v="Men's Apparel"/>
    <n v="62"/>
    <n v="195"/>
    <x v="693"/>
    <x v="124"/>
    <s v="Online"/>
  </r>
  <r>
    <s v="Sports Direct"/>
    <n v="1185732"/>
    <d v="2021-11-03T00:00:00"/>
    <x v="0"/>
    <s v="North Carolina"/>
    <s v="Charlotte"/>
    <s v="Men's Athletic Footwear"/>
    <n v="32"/>
    <n v="195"/>
    <x v="436"/>
    <x v="405"/>
    <s v="Online"/>
  </r>
  <r>
    <s v="Amazon"/>
    <n v="1185732"/>
    <d v="2021-07-09T00:00:00"/>
    <x v="2"/>
    <s v="Ohio"/>
    <s v="Columbus"/>
    <s v="Men's Athletic Footwear"/>
    <n v="56"/>
    <n v="195"/>
    <x v="162"/>
    <x v="91"/>
    <s v="Online"/>
  </r>
  <r>
    <s v="Amazon"/>
    <n v="1185732"/>
    <d v="2021-08-10T00:00:00"/>
    <x v="2"/>
    <s v="Ohio"/>
    <s v="Columbus"/>
    <s v="Men's Athletic Footwear"/>
    <n v="58"/>
    <n v="195"/>
    <x v="694"/>
    <x v="539"/>
    <s v="Online"/>
  </r>
  <r>
    <s v="Walmart"/>
    <n v="1197831"/>
    <d v="2020-10-24T00:00:00"/>
    <x v="1"/>
    <s v="Texas"/>
    <s v="Houston"/>
    <s v="Men's Apparel"/>
    <n v="30"/>
    <n v="195"/>
    <x v="695"/>
    <x v="647"/>
    <s v="Outlet"/>
  </r>
  <r>
    <s v="Kohl's"/>
    <n v="1189833"/>
    <d v="2021-05-10T00:00:00"/>
    <x v="4"/>
    <s v="California"/>
    <s v="Los Angeles"/>
    <s v="Women's Athletic Footwear"/>
    <n v="39"/>
    <n v="195"/>
    <x v="696"/>
    <x v="609"/>
    <s v="Outlet"/>
  </r>
  <r>
    <s v="Kohl's"/>
    <n v="1189833"/>
    <d v="2021-05-11T00:00:00"/>
    <x v="4"/>
    <s v="California"/>
    <s v="Los Angeles"/>
    <s v="Men's Apparel"/>
    <n v="44"/>
    <n v="195"/>
    <x v="421"/>
    <x v="174"/>
    <s v="Outlet"/>
  </r>
  <r>
    <s v="Sports Direct"/>
    <n v="1197831"/>
    <d v="2021-03-23T00:00:00"/>
    <x v="1"/>
    <s v="Tennessee"/>
    <s v="Knoxville"/>
    <s v="Men's Athletic Footwear"/>
    <n v="31"/>
    <n v="195"/>
    <x v="697"/>
    <x v="287"/>
    <s v="Outlet"/>
  </r>
  <r>
    <s v="Walmart"/>
    <n v="1128299"/>
    <d v="2021-07-16T00:00:00"/>
    <x v="0"/>
    <s v="Florida"/>
    <s v="Orlando"/>
    <s v="Women's Apparel"/>
    <n v="75"/>
    <n v="195"/>
    <x v="698"/>
    <x v="648"/>
    <s v="Outlet"/>
  </r>
  <r>
    <s v="Sports Direct"/>
    <n v="1185732"/>
    <d v="2021-07-03T00:00:00"/>
    <x v="3"/>
    <s v="Connecticut"/>
    <s v="Hartford"/>
    <s v="Men's Street Footwear"/>
    <n v="42"/>
    <n v="195"/>
    <x v="574"/>
    <x v="641"/>
    <s v="Outlet"/>
  </r>
  <r>
    <s v="Amazon"/>
    <n v="1185732"/>
    <d v="2021-06-12T00:00:00"/>
    <x v="3"/>
    <s v="Vermont"/>
    <s v="Burlington"/>
    <s v="Men's Street Footwear"/>
    <n v="47"/>
    <n v="195"/>
    <x v="699"/>
    <x v="102"/>
    <s v="Outlet"/>
  </r>
  <r>
    <s v="West Gear"/>
    <n v="1128299"/>
    <d v="2020-11-02T00:00:00"/>
    <x v="1"/>
    <s v="Texas"/>
    <s v="Houston"/>
    <s v="Men's Athletic Footwear"/>
    <n v="49"/>
    <n v="194"/>
    <x v="700"/>
    <x v="92"/>
    <s v="Online"/>
  </r>
  <r>
    <s v="West Gear"/>
    <n v="1128299"/>
    <d v="2021-02-14T00:00:00"/>
    <x v="4"/>
    <s v="California"/>
    <s v="San Francisco"/>
    <s v="Women's Athletic Footwear"/>
    <n v="51"/>
    <n v="194"/>
    <x v="448"/>
    <x v="186"/>
    <s v="Online"/>
  </r>
  <r>
    <s v="Sports Direct"/>
    <n v="1197831"/>
    <d v="2021-09-05T00:00:00"/>
    <x v="1"/>
    <s v="Texas"/>
    <s v="Dallas"/>
    <s v="Men's Athletic Footwear"/>
    <n v="29"/>
    <n v="194"/>
    <x v="649"/>
    <x v="512"/>
    <s v="Online"/>
  </r>
  <r>
    <s v="West Gear"/>
    <n v="1185732"/>
    <d v="2020-04-24T00:00:00"/>
    <x v="0"/>
    <s v="Florida"/>
    <s v="Miami"/>
    <s v="Men's Athletic Footwear"/>
    <n v="54"/>
    <n v="194"/>
    <x v="501"/>
    <x v="649"/>
    <s v="Online"/>
  </r>
  <r>
    <s v="West Gear"/>
    <n v="1185732"/>
    <d v="2021-07-08T00:00:00"/>
    <x v="3"/>
    <s v="New York"/>
    <s v="Albany"/>
    <s v="Women's Apparel"/>
    <n v="66"/>
    <n v="194"/>
    <x v="17"/>
    <x v="650"/>
    <s v="Online"/>
  </r>
  <r>
    <s v="Sports Direct"/>
    <n v="1185732"/>
    <d v="2021-12-05T00:00:00"/>
    <x v="0"/>
    <s v="South Carolina"/>
    <s v="Charleston"/>
    <s v="Women's Athletic Footwear"/>
    <n v="59"/>
    <n v="194"/>
    <x v="701"/>
    <x v="407"/>
    <s v="Online"/>
  </r>
  <r>
    <s v="Amazon"/>
    <n v="1185732"/>
    <d v="2021-01-13T00:00:00"/>
    <x v="0"/>
    <s v="North Carolina"/>
    <s v="Charlotte"/>
    <s v="Men's Street Footwear"/>
    <n v="32"/>
    <n v="194"/>
    <x v="702"/>
    <x v="491"/>
    <s v="Online"/>
  </r>
  <r>
    <s v="Foot Locker"/>
    <n v="1185732"/>
    <d v="2021-05-16T00:00:00"/>
    <x v="1"/>
    <s v="Mississippi"/>
    <s v="Jackson"/>
    <s v="Men's Street Footwear"/>
    <n v="39"/>
    <n v="194"/>
    <x v="703"/>
    <x v="218"/>
    <s v="Online"/>
  </r>
  <r>
    <s v="Sports Direct"/>
    <n v="1185732"/>
    <d v="2021-12-16T00:00:00"/>
    <x v="1"/>
    <s v="Mississippi"/>
    <s v="Jackson"/>
    <s v="Men's Street Footwear"/>
    <n v="68"/>
    <n v="194"/>
    <x v="704"/>
    <x v="651"/>
    <s v="Online"/>
  </r>
  <r>
    <s v="Kohl's"/>
    <n v="1189833"/>
    <d v="2021-04-06T00:00:00"/>
    <x v="4"/>
    <s v="California"/>
    <s v="Los Angeles"/>
    <s v="Women's Apparel"/>
    <n v="33"/>
    <n v="194"/>
    <x v="705"/>
    <x v="597"/>
    <s v="Outlet"/>
  </r>
  <r>
    <s v="Kohl's"/>
    <n v="1189833"/>
    <d v="2021-04-22T00:00:00"/>
    <x v="4"/>
    <s v="California"/>
    <s v="Los Angeles"/>
    <s v="Women's Athletic Footwear"/>
    <n v="32"/>
    <n v="194"/>
    <x v="702"/>
    <x v="451"/>
    <s v="Outlet"/>
  </r>
  <r>
    <s v="Sports Direct"/>
    <n v="1197831"/>
    <d v="2021-08-13T00:00:00"/>
    <x v="1"/>
    <s v="Alabama"/>
    <s v="Birmingham"/>
    <s v="Men's Street Footwear"/>
    <n v="23"/>
    <n v="194"/>
    <x v="502"/>
    <x v="652"/>
    <s v="Outlet"/>
  </r>
  <r>
    <s v="Sports Direct"/>
    <n v="1197831"/>
    <d v="2021-08-14T00:00:00"/>
    <x v="1"/>
    <s v="Alabama"/>
    <s v="Birmingham"/>
    <s v="Men's Athletic Footwear"/>
    <n v="32"/>
    <n v="194"/>
    <x v="702"/>
    <x v="213"/>
    <s v="Outlet"/>
  </r>
  <r>
    <s v="West Gear"/>
    <n v="1185732"/>
    <d v="2021-04-11T00:00:00"/>
    <x v="4"/>
    <s v="Utah"/>
    <s v="Salt Lake City"/>
    <s v="Men's Street Footwear"/>
    <n v="20"/>
    <n v="194"/>
    <x v="619"/>
    <x v="542"/>
    <s v="Outlet"/>
  </r>
  <r>
    <s v="Foot Locker"/>
    <n v="1128299"/>
    <d v="2021-12-16T00:00:00"/>
    <x v="1"/>
    <s v="Louisiana"/>
    <s v="New Orleans"/>
    <s v="Women's Apparel"/>
    <n v="59"/>
    <n v="194"/>
    <x v="701"/>
    <x v="653"/>
    <s v="Outlet"/>
  </r>
  <r>
    <s v="Sports Direct"/>
    <n v="1197831"/>
    <d v="2021-11-05T00:00:00"/>
    <x v="4"/>
    <s v="Idaho"/>
    <s v="Boise"/>
    <s v="Women's Apparel"/>
    <n v="51"/>
    <n v="194"/>
    <x v="448"/>
    <x v="513"/>
    <s v="Outlet"/>
  </r>
  <r>
    <s v="Foot Locker"/>
    <n v="1128299"/>
    <d v="2021-06-23T00:00:00"/>
    <x v="4"/>
    <s v="Arizona"/>
    <s v="Phoenix"/>
    <s v="Men's Street Footwear"/>
    <n v="37"/>
    <n v="194"/>
    <x v="706"/>
    <x v="333"/>
    <s v="Outlet"/>
  </r>
  <r>
    <s v="Foot Locker"/>
    <n v="1128299"/>
    <d v="2021-08-23T00:00:00"/>
    <x v="4"/>
    <s v="Arizona"/>
    <s v="Phoenix"/>
    <s v="Men's Street Footwear"/>
    <n v="41"/>
    <n v="194"/>
    <x v="707"/>
    <x v="507"/>
    <s v="Outlet"/>
  </r>
  <r>
    <s v="Foot Locker"/>
    <n v="1128299"/>
    <d v="2021-12-22T00:00:00"/>
    <x v="4"/>
    <s v="Arizona"/>
    <s v="Phoenix"/>
    <s v="Men's Street Footwear"/>
    <n v="35"/>
    <n v="194"/>
    <x v="708"/>
    <x v="654"/>
    <s v="Outlet"/>
  </r>
  <r>
    <s v="Sports Direct"/>
    <n v="1185732"/>
    <d v="2021-08-04T00:00:00"/>
    <x v="3"/>
    <s v="Connecticut"/>
    <s v="Hartford"/>
    <s v="Men's Street Footwear"/>
    <n v="40"/>
    <n v="194"/>
    <x v="709"/>
    <x v="483"/>
    <s v="Outlet"/>
  </r>
  <r>
    <s v="Kohl's"/>
    <n v="1189833"/>
    <d v="2021-04-16T00:00:00"/>
    <x v="4"/>
    <s v="California"/>
    <s v="Los Angeles"/>
    <s v="Women's Athletic Footwear"/>
    <n v="33"/>
    <n v="193"/>
    <x v="391"/>
    <x v="655"/>
    <s v="Outlet"/>
  </r>
  <r>
    <s v="West Gear"/>
    <n v="1128299"/>
    <d v="2020-02-26T00:00:00"/>
    <x v="4"/>
    <s v="Nevada"/>
    <s v="Las Vegas"/>
    <s v="Men's Athletic Footwear"/>
    <n v="50"/>
    <n v="193"/>
    <x v="710"/>
    <x v="656"/>
    <s v="Outlet"/>
  </r>
  <r>
    <s v="Sports Direct"/>
    <n v="1197831"/>
    <d v="2021-10-09T00:00:00"/>
    <x v="1"/>
    <s v="Alabama"/>
    <s v="Birmingham"/>
    <s v="Women's Athletic Footwear"/>
    <n v="52"/>
    <n v="193"/>
    <x v="711"/>
    <x v="657"/>
    <s v="Outlet"/>
  </r>
  <r>
    <s v="West Gear"/>
    <n v="1185732"/>
    <d v="2021-01-12T00:00:00"/>
    <x v="0"/>
    <s v="Florida"/>
    <s v="Orlando"/>
    <s v="Men's Apparel"/>
    <n v="36"/>
    <n v="193"/>
    <x v="712"/>
    <x v="243"/>
    <s v="Outlet"/>
  </r>
  <r>
    <s v="Sports Direct"/>
    <n v="1185732"/>
    <d v="2021-01-19T00:00:00"/>
    <x v="0"/>
    <s v="Virginia"/>
    <s v="Richmond"/>
    <s v="Women's Apparel"/>
    <n v="25"/>
    <n v="193"/>
    <x v="713"/>
    <x v="333"/>
    <s v="Outlet"/>
  </r>
  <r>
    <s v="West Gear"/>
    <n v="1128299"/>
    <d v="2021-12-23T00:00:00"/>
    <x v="4"/>
    <s v="Oregon"/>
    <s v="Portland"/>
    <s v="Women's Street Footwear"/>
    <n v="48"/>
    <n v="193"/>
    <x v="714"/>
    <x v="658"/>
    <s v="Outlet"/>
  </r>
  <r>
    <s v="Kohl's"/>
    <n v="1128299"/>
    <d v="2021-06-26T00:00:00"/>
    <x v="4"/>
    <s v="New Mexico"/>
    <s v="Albuquerque"/>
    <s v="Women's Street Footwear"/>
    <n v="41"/>
    <n v="193"/>
    <x v="715"/>
    <x v="598"/>
    <s v="Outlet"/>
  </r>
  <r>
    <s v="Walmart"/>
    <n v="1197831"/>
    <d v="2021-08-20T00:00:00"/>
    <x v="1"/>
    <s v="Arkansas"/>
    <s v="Little Rock"/>
    <s v="Women's Apparel"/>
    <n v="40"/>
    <n v="193"/>
    <x v="716"/>
    <x v="339"/>
    <s v="Outlet"/>
  </r>
  <r>
    <s v="Amazon"/>
    <n v="1185732"/>
    <d v="2021-09-17T00:00:00"/>
    <x v="3"/>
    <s v="New Hampshire"/>
    <s v="Manchester"/>
    <s v="Men's Street Footwear"/>
    <n v="51"/>
    <n v="193"/>
    <x v="256"/>
    <x v="286"/>
    <s v="Outlet"/>
  </r>
  <r>
    <s v="Sports Direct"/>
    <n v="1197831"/>
    <d v="2021-09-13T00:00:00"/>
    <x v="1"/>
    <s v="Texas"/>
    <s v="Dallas"/>
    <s v="Women's Athletic Footwear"/>
    <n v="29"/>
    <n v="192"/>
    <x v="426"/>
    <x v="456"/>
    <s v="Outlet"/>
  </r>
  <r>
    <s v="West Gear"/>
    <n v="1128299"/>
    <d v="2020-02-06T00:00:00"/>
    <x v="4"/>
    <s v="Nevada"/>
    <s v="Las Vegas"/>
    <s v="Women's Apparel"/>
    <n v="57"/>
    <n v="192"/>
    <x v="452"/>
    <x v="505"/>
    <s v="Outlet"/>
  </r>
  <r>
    <s v="Sports Direct"/>
    <n v="1197831"/>
    <d v="2021-08-08T00:00:00"/>
    <x v="1"/>
    <s v="Alabama"/>
    <s v="Birmingham"/>
    <s v="Men's Athletic Footwear"/>
    <n v="26"/>
    <n v="192"/>
    <x v="717"/>
    <x v="659"/>
    <s v="Outlet"/>
  </r>
  <r>
    <s v="Foot Locker"/>
    <n v="1128299"/>
    <d v="2021-12-16T00:00:00"/>
    <x v="1"/>
    <s v="Louisiana"/>
    <s v="New Orleans"/>
    <s v="Women's Street Footwear"/>
    <n v="53"/>
    <n v="192"/>
    <x v="718"/>
    <x v="660"/>
    <s v="Outlet"/>
  </r>
  <r>
    <s v="Foot Locker"/>
    <n v="1128299"/>
    <d v="2021-12-16T00:00:00"/>
    <x v="1"/>
    <s v="Louisiana"/>
    <s v="New Orleans"/>
    <s v="Women's Athletic Footwear"/>
    <n v="53"/>
    <n v="192"/>
    <x v="718"/>
    <x v="76"/>
    <s v="Outlet"/>
  </r>
  <r>
    <s v="Kohl's"/>
    <n v="1128299"/>
    <d v="2021-06-26T00:00:00"/>
    <x v="4"/>
    <s v="New Mexico"/>
    <s v="Albuquerque"/>
    <s v="Women's Apparel"/>
    <n v="50"/>
    <n v="192"/>
    <x v="369"/>
    <x v="661"/>
    <s v="Outlet"/>
  </r>
  <r>
    <s v="Walmart"/>
    <n v="1185732"/>
    <d v="2021-07-16T00:00:00"/>
    <x v="1"/>
    <s v="Mississippi"/>
    <s v="Jackson"/>
    <s v="Men's Athletic Footwear"/>
    <n v="42"/>
    <n v="192"/>
    <x v="719"/>
    <x v="505"/>
    <s v="Outlet"/>
  </r>
  <r>
    <s v="West Gear"/>
    <n v="1197831"/>
    <d v="2021-06-21T00:00:00"/>
    <x v="1"/>
    <s v="Oklahoma"/>
    <s v="Oklahoma City"/>
    <s v="Men's Street Footwear"/>
    <n v="32"/>
    <n v="192"/>
    <x v="720"/>
    <x v="662"/>
    <s v="Outlet"/>
  </r>
  <r>
    <s v="Sports Direct"/>
    <n v="1185732"/>
    <d v="2021-05-03T00:00:00"/>
    <x v="3"/>
    <s v="Connecticut"/>
    <s v="Hartford"/>
    <s v="Men's Street Footwear"/>
    <n v="40"/>
    <n v="191"/>
    <x v="682"/>
    <x v="248"/>
    <s v="Outlet"/>
  </r>
  <r>
    <s v="West Gear"/>
    <n v="1128299"/>
    <d v="2020-11-10T00:00:00"/>
    <x v="4"/>
    <s v="California"/>
    <s v="San Francisco"/>
    <s v="Women's Athletic Footwear"/>
    <n v="39"/>
    <n v="190"/>
    <x v="721"/>
    <x v="543"/>
    <s v="Outlet"/>
  </r>
  <r>
    <s v="Sports Direct"/>
    <n v="1197831"/>
    <d v="2021-10-06T00:00:00"/>
    <x v="1"/>
    <s v="Texas"/>
    <s v="Dallas"/>
    <s v="Women's Street Footwear"/>
    <n v="32"/>
    <n v="190"/>
    <x v="722"/>
    <x v="500"/>
    <s v="Outlet"/>
  </r>
  <r>
    <s v="Sports Direct"/>
    <n v="1197831"/>
    <d v="2021-10-09T00:00:00"/>
    <x v="1"/>
    <s v="Texas"/>
    <s v="Dallas"/>
    <s v="Women's Apparel"/>
    <n v="39"/>
    <n v="190"/>
    <x v="721"/>
    <x v="96"/>
    <s v="Outlet"/>
  </r>
  <r>
    <s v="Sports Direct"/>
    <n v="1197831"/>
    <d v="2021-10-19T00:00:00"/>
    <x v="1"/>
    <s v="Texas"/>
    <s v="Dallas"/>
    <s v="Women's Athletic Footwear"/>
    <n v="44"/>
    <n v="190"/>
    <x v="586"/>
    <x v="395"/>
    <s v="Outlet"/>
  </r>
  <r>
    <s v="Sports Direct"/>
    <n v="1197831"/>
    <d v="2021-08-27T00:00:00"/>
    <x v="1"/>
    <s v="Alabama"/>
    <s v="Birmingham"/>
    <s v="Women's Street Footwear"/>
    <n v="11"/>
    <n v="190"/>
    <x v="723"/>
    <x v="663"/>
    <s v="Outlet"/>
  </r>
  <r>
    <s v="Sports Direct"/>
    <n v="1197831"/>
    <d v="2021-09-23T00:00:00"/>
    <x v="1"/>
    <s v="Alabama"/>
    <s v="Birmingham"/>
    <s v="Women's Apparel"/>
    <n v="26"/>
    <n v="190"/>
    <x v="724"/>
    <x v="466"/>
    <s v="Outlet"/>
  </r>
  <r>
    <s v="Walmart"/>
    <n v="1128299"/>
    <d v="2021-10-17T00:00:00"/>
    <x v="0"/>
    <s v="Florida"/>
    <s v="Orlando"/>
    <s v="Men's Athletic Footwear"/>
    <n v="43"/>
    <n v="190"/>
    <x v="725"/>
    <x v="664"/>
    <s v="Outlet"/>
  </r>
  <r>
    <s v="Sports Direct"/>
    <n v="1128299"/>
    <d v="2021-12-23T00:00:00"/>
    <x v="0"/>
    <s v="Virginia"/>
    <s v="Richmond"/>
    <s v="Women's Apparel"/>
    <n v="65"/>
    <n v="190"/>
    <x v="333"/>
    <x v="388"/>
    <s v="Outlet"/>
  </r>
  <r>
    <s v="West Gear"/>
    <n v="1185732"/>
    <d v="2021-06-11T00:00:00"/>
    <x v="4"/>
    <s v="Utah"/>
    <s v="Salt Lake City"/>
    <s v="Women's Apparel"/>
    <n v="32"/>
    <n v="190"/>
    <x v="722"/>
    <x v="264"/>
    <s v="Outlet"/>
  </r>
  <r>
    <s v="West Gear"/>
    <n v="1128299"/>
    <d v="2021-11-24T00:00:00"/>
    <x v="4"/>
    <s v="Oregon"/>
    <s v="Portland"/>
    <s v="Men's Street Footwear"/>
    <n v="34"/>
    <n v="190"/>
    <x v="726"/>
    <x v="665"/>
    <s v="Outlet"/>
  </r>
  <r>
    <s v="Sports Direct"/>
    <n v="1197831"/>
    <d v="2021-10-04T00:00:00"/>
    <x v="4"/>
    <s v="Idaho"/>
    <s v="Boise"/>
    <s v="Men's Athletic Footwear"/>
    <n v="27"/>
    <n v="190"/>
    <x v="727"/>
    <x v="666"/>
    <s v="Outlet"/>
  </r>
  <r>
    <s v="Foot Locker"/>
    <n v="1128299"/>
    <d v="2021-08-23T00:00:00"/>
    <x v="4"/>
    <s v="Arizona"/>
    <s v="Phoenix"/>
    <s v="Men's Athletic Footwear"/>
    <n v="46"/>
    <n v="190"/>
    <x v="598"/>
    <x v="667"/>
    <s v="Outlet"/>
  </r>
  <r>
    <s v="Sports Direct"/>
    <n v="1128299"/>
    <d v="2021-06-13T00:00:00"/>
    <x v="0"/>
    <s v="Georgia"/>
    <s v="Atlanta"/>
    <s v="Women's Apparel"/>
    <n v="53"/>
    <n v="190"/>
    <x v="103"/>
    <x v="630"/>
    <s v="Outlet"/>
  </r>
  <r>
    <s v="Sports Direct"/>
    <n v="1197831"/>
    <d v="2020-08-05T00:00:00"/>
    <x v="1"/>
    <s v="Texas"/>
    <s v="Houston"/>
    <s v="Women's Apparel"/>
    <n v="39"/>
    <n v="189"/>
    <x v="291"/>
    <x v="90"/>
    <s v="Online"/>
  </r>
  <r>
    <s v="Walmart"/>
    <n v="1197831"/>
    <d v="2020-08-15T00:00:00"/>
    <x v="1"/>
    <s v="Texas"/>
    <s v="Houston"/>
    <s v="Women's Athletic Footwear"/>
    <n v="39"/>
    <n v="189"/>
    <x v="291"/>
    <x v="208"/>
    <s v="Online"/>
  </r>
  <r>
    <s v="Walmart"/>
    <n v="1197831"/>
    <d v="2020-09-02T00:00:00"/>
    <x v="1"/>
    <s v="Texas"/>
    <s v="Houston"/>
    <s v="Women's Athletic Footwear"/>
    <n v="38"/>
    <n v="189"/>
    <x v="706"/>
    <x v="668"/>
    <s v="Online"/>
  </r>
  <r>
    <s v="West Gear"/>
    <n v="1128299"/>
    <d v="2021-01-05T00:00:00"/>
    <x v="4"/>
    <s v="California"/>
    <s v="San Francisco"/>
    <s v="Women's Apparel"/>
    <n v="72"/>
    <n v="189"/>
    <x v="728"/>
    <x v="102"/>
    <s v="Online"/>
  </r>
  <r>
    <s v="Kohl's"/>
    <n v="1189833"/>
    <d v="2021-03-09T00:00:00"/>
    <x v="4"/>
    <s v="California"/>
    <s v="San Francisco"/>
    <s v="Women's Street Footwear"/>
    <n v="41"/>
    <n v="189"/>
    <x v="729"/>
    <x v="80"/>
    <s v="Online"/>
  </r>
  <r>
    <s v="Kohl's"/>
    <n v="1189833"/>
    <d v="2021-04-28T00:00:00"/>
    <x v="4"/>
    <s v="California"/>
    <s v="Los Angeles"/>
    <s v="Women's Athletic Footwear"/>
    <n v="44"/>
    <n v="189"/>
    <x v="525"/>
    <x v="669"/>
    <s v="Online"/>
  </r>
  <r>
    <s v="Kohl's"/>
    <n v="1189833"/>
    <d v="2021-04-29T00:00:00"/>
    <x v="4"/>
    <s v="California"/>
    <s v="Los Angeles"/>
    <s v="Men's Apparel"/>
    <n v="46"/>
    <n v="189"/>
    <x v="603"/>
    <x v="627"/>
    <s v="Online"/>
  </r>
  <r>
    <s v="Kohl's"/>
    <n v="1189833"/>
    <d v="2021-05-06T00:00:00"/>
    <x v="4"/>
    <s v="California"/>
    <s v="Los Angeles"/>
    <s v="Women's Apparel"/>
    <n v="61"/>
    <n v="189"/>
    <x v="730"/>
    <x v="211"/>
    <s v="Online"/>
  </r>
  <r>
    <s v="Kohl's"/>
    <n v="1189833"/>
    <d v="2021-05-12T00:00:00"/>
    <x v="4"/>
    <s v="California"/>
    <s v="Los Angeles"/>
    <s v="Women's Apparel"/>
    <n v="59"/>
    <n v="189"/>
    <x v="731"/>
    <x v="423"/>
    <s v="Online"/>
  </r>
  <r>
    <s v="Kohl's"/>
    <n v="1189833"/>
    <d v="2021-05-24T00:00:00"/>
    <x v="4"/>
    <s v="California"/>
    <s v="Los Angeles"/>
    <s v="Women's Apparel"/>
    <n v="59"/>
    <n v="189"/>
    <x v="731"/>
    <x v="113"/>
    <s v="Online"/>
  </r>
  <r>
    <s v="Sports Direct"/>
    <n v="1197831"/>
    <d v="2021-08-11T00:00:00"/>
    <x v="2"/>
    <s v="Illinois"/>
    <s v="Chicago"/>
    <s v="Men's Street Footwear"/>
    <n v="20"/>
    <n v="189"/>
    <x v="569"/>
    <x v="670"/>
    <s v="Online"/>
  </r>
  <r>
    <s v="Sports Direct"/>
    <n v="1197831"/>
    <d v="2021-10-18T00:00:00"/>
    <x v="1"/>
    <s v="Texas"/>
    <s v="Dallas"/>
    <s v="Women's Street Footwear"/>
    <n v="62"/>
    <n v="189"/>
    <x v="732"/>
    <x v="671"/>
    <s v="Online"/>
  </r>
  <r>
    <s v="West Gear"/>
    <n v="1128299"/>
    <d v="2020-02-01T00:00:00"/>
    <x v="4"/>
    <s v="Nevada"/>
    <s v="Las Vegas"/>
    <s v="Men's Street Footwear"/>
    <n v="56"/>
    <n v="189"/>
    <x v="444"/>
    <x v="428"/>
    <s v="Online"/>
  </r>
  <r>
    <s v="West Gear"/>
    <n v="1128299"/>
    <d v="2020-03-10T00:00:00"/>
    <x v="4"/>
    <s v="Nevada"/>
    <s v="Las Vegas"/>
    <s v="Men's Athletic Footwear"/>
    <n v="62"/>
    <n v="189"/>
    <x v="732"/>
    <x v="153"/>
    <s v="Online"/>
  </r>
  <r>
    <s v="West Gear"/>
    <n v="1128299"/>
    <d v="2020-04-14T00:00:00"/>
    <x v="4"/>
    <s v="Colorado"/>
    <s v="Denver"/>
    <s v="Men's Street Footwear"/>
    <n v="54"/>
    <n v="189"/>
    <x v="177"/>
    <x v="227"/>
    <s v="Online"/>
  </r>
  <r>
    <s v="West Gear"/>
    <n v="1128299"/>
    <d v="2020-04-27T00:00:00"/>
    <x v="4"/>
    <s v="Colorado"/>
    <s v="Denver"/>
    <s v="Men's Athletic Footwear"/>
    <n v="73"/>
    <n v="189"/>
    <x v="628"/>
    <x v="281"/>
    <s v="Online"/>
  </r>
  <r>
    <s v="West Gear"/>
    <n v="1185732"/>
    <d v="2020-04-24T00:00:00"/>
    <x v="0"/>
    <s v="Florida"/>
    <s v="Miami"/>
    <s v="Women's Athletic Footwear"/>
    <n v="38"/>
    <n v="189"/>
    <x v="706"/>
    <x v="491"/>
    <s v="Online"/>
  </r>
  <r>
    <s v="Sports Direct"/>
    <n v="1185732"/>
    <d v="2020-10-03T00:00:00"/>
    <x v="0"/>
    <s v="Florida"/>
    <s v="Miami"/>
    <s v="Men's Apparel"/>
    <n v="57"/>
    <n v="189"/>
    <x v="733"/>
    <x v="298"/>
    <s v="Online"/>
  </r>
  <r>
    <s v="Sports Direct"/>
    <n v="1197831"/>
    <d v="2021-03-22T00:00:00"/>
    <x v="1"/>
    <s v="Tennessee"/>
    <s v="Knoxville"/>
    <s v="Men's Street Footwear"/>
    <n v="27"/>
    <n v="189"/>
    <x v="285"/>
    <x v="112"/>
    <s v="Online"/>
  </r>
  <r>
    <s v="Sports Direct"/>
    <n v="1197831"/>
    <d v="2021-04-03T00:00:00"/>
    <x v="1"/>
    <s v="Tennessee"/>
    <s v="Knoxville"/>
    <s v="Men's Street Footwear"/>
    <n v="14"/>
    <n v="189"/>
    <x v="734"/>
    <x v="672"/>
    <s v="Online"/>
  </r>
  <r>
    <s v="Sports Direct"/>
    <n v="1197831"/>
    <d v="2021-05-10T00:00:00"/>
    <x v="1"/>
    <s v="Tennessee"/>
    <s v="Knoxville"/>
    <s v="Men's Athletic Footwear"/>
    <n v="29"/>
    <n v="189"/>
    <x v="639"/>
    <x v="296"/>
    <s v="Online"/>
  </r>
  <r>
    <s v="Sports Direct"/>
    <n v="1197831"/>
    <d v="2021-08-20T00:00:00"/>
    <x v="1"/>
    <s v="Alabama"/>
    <s v="Birmingham"/>
    <s v="Men's Athletic Footwear"/>
    <n v="19"/>
    <n v="189"/>
    <x v="735"/>
    <x v="673"/>
    <s v="Online"/>
  </r>
  <r>
    <s v="Sports Direct"/>
    <n v="1197831"/>
    <d v="2021-08-26T00:00:00"/>
    <x v="1"/>
    <s v="Alabama"/>
    <s v="Birmingham"/>
    <s v="Men's Athletic Footwear"/>
    <n v="19"/>
    <n v="189"/>
    <x v="735"/>
    <x v="674"/>
    <s v="Online"/>
  </r>
  <r>
    <s v="Sports Direct"/>
    <n v="1197831"/>
    <d v="2021-09-02T00:00:00"/>
    <x v="1"/>
    <s v="Alabama"/>
    <s v="Birmingham"/>
    <s v="Women's Street Footwear"/>
    <n v="44"/>
    <n v="189"/>
    <x v="525"/>
    <x v="314"/>
    <s v="Online"/>
  </r>
  <r>
    <s v="Amazon"/>
    <n v="1185732"/>
    <d v="2021-06-22T00:00:00"/>
    <x v="4"/>
    <s v="Alaska"/>
    <s v="Anchorage"/>
    <s v="Men's Street Footwear"/>
    <n v="59"/>
    <n v="189"/>
    <x v="731"/>
    <x v="91"/>
    <s v="Online"/>
  </r>
  <r>
    <s v="Walmart"/>
    <n v="1128299"/>
    <d v="2021-12-09T00:00:00"/>
    <x v="4"/>
    <s v="Hawaii"/>
    <s v="Honolulu"/>
    <s v="Men's Street Footwear"/>
    <n v="68"/>
    <n v="189"/>
    <x v="736"/>
    <x v="374"/>
    <s v="Online"/>
  </r>
  <r>
    <s v="Walmart"/>
    <n v="1128299"/>
    <d v="2021-07-16T00:00:00"/>
    <x v="0"/>
    <s v="Florida"/>
    <s v="Orlando"/>
    <s v="Women's Street Footwear"/>
    <n v="86"/>
    <n v="189"/>
    <x v="310"/>
    <x v="675"/>
    <s v="Online"/>
  </r>
  <r>
    <s v="Walmart"/>
    <n v="1128299"/>
    <d v="2021-08-17T00:00:00"/>
    <x v="0"/>
    <s v="Florida"/>
    <s v="Orlando"/>
    <s v="Women's Street Footwear"/>
    <n v="78"/>
    <n v="189"/>
    <x v="137"/>
    <x v="402"/>
    <s v="Online"/>
  </r>
  <r>
    <s v="West Gear"/>
    <n v="1185732"/>
    <d v="2021-01-12T00:00:00"/>
    <x v="0"/>
    <s v="Florida"/>
    <s v="Orlando"/>
    <s v="Men's Athletic Footwear"/>
    <n v="44"/>
    <n v="189"/>
    <x v="525"/>
    <x v="522"/>
    <s v="Online"/>
  </r>
  <r>
    <s v="Foot Locker"/>
    <n v="1128299"/>
    <d v="2021-08-24T00:00:00"/>
    <x v="0"/>
    <s v="Virginia"/>
    <s v="Richmond"/>
    <s v="Women's Street Footwear"/>
    <n v="69"/>
    <n v="189"/>
    <x v="74"/>
    <x v="479"/>
    <s v="Online"/>
  </r>
  <r>
    <s v="Sports Direct"/>
    <n v="1185732"/>
    <d v="2021-07-15T00:00:00"/>
    <x v="2"/>
    <s v="Michigan"/>
    <s v="Detroit"/>
    <s v="Men's Athletic Footwear"/>
    <n v="53"/>
    <n v="189"/>
    <x v="410"/>
    <x v="34"/>
    <s v="Online"/>
  </r>
  <r>
    <s v="West Gear"/>
    <n v="1128299"/>
    <d v="2021-06-24T00:00:00"/>
    <x v="4"/>
    <s v="Oregon"/>
    <s v="Portland"/>
    <s v="Women's Street Footwear"/>
    <n v="78"/>
    <n v="189"/>
    <x v="137"/>
    <x v="676"/>
    <s v="Online"/>
  </r>
  <r>
    <s v="West Gear"/>
    <n v="1128299"/>
    <d v="2021-06-24T00:00:00"/>
    <x v="4"/>
    <s v="Oregon"/>
    <s v="Portland"/>
    <s v="Women's Apparel"/>
    <n v="95"/>
    <n v="189"/>
    <x v="737"/>
    <x v="677"/>
    <s v="Online"/>
  </r>
  <r>
    <s v="West Gear"/>
    <n v="1128299"/>
    <d v="2021-07-16T00:00:00"/>
    <x v="1"/>
    <s v="Louisiana"/>
    <s v="New Orleans"/>
    <s v="Men's Apparel"/>
    <n v="86"/>
    <n v="189"/>
    <x v="310"/>
    <x v="678"/>
    <s v="Online"/>
  </r>
  <r>
    <s v="West Gear"/>
    <n v="1128299"/>
    <d v="2021-08-17T00:00:00"/>
    <x v="1"/>
    <s v="Louisiana"/>
    <s v="New Orleans"/>
    <s v="Women's Street Footwear"/>
    <n v="70"/>
    <n v="189"/>
    <x v="738"/>
    <x v="679"/>
    <s v="Online"/>
  </r>
  <r>
    <s v="Sports Direct"/>
    <n v="1197831"/>
    <d v="2021-11-05T00:00:00"/>
    <x v="4"/>
    <s v="Idaho"/>
    <s v="Boise"/>
    <s v="Men's Athletic Footwear"/>
    <n v="32"/>
    <n v="189"/>
    <x v="697"/>
    <x v="74"/>
    <s v="Online"/>
  </r>
  <r>
    <s v="Sports Direct"/>
    <n v="1128299"/>
    <d v="2021-12-12T00:00:00"/>
    <x v="0"/>
    <s v="Georgia"/>
    <s v="Atlanta"/>
    <s v="Men's Athletic Footwear"/>
    <n v="58"/>
    <n v="189"/>
    <x v="633"/>
    <x v="643"/>
    <s v="Online"/>
  </r>
  <r>
    <s v="Foot Locker"/>
    <n v="1185732"/>
    <d v="2021-01-09T00:00:00"/>
    <x v="0"/>
    <s v="Georgia"/>
    <s v="Atlanta"/>
    <s v="Men's Apparel"/>
    <n v="47"/>
    <n v="189"/>
    <x v="739"/>
    <x v="569"/>
    <s v="Online"/>
  </r>
  <r>
    <s v="Foot Locker"/>
    <n v="1185732"/>
    <d v="2021-02-07T00:00:00"/>
    <x v="0"/>
    <s v="South Carolina"/>
    <s v="Charleston"/>
    <s v="Men's Apparel"/>
    <n v="49"/>
    <n v="189"/>
    <x v="714"/>
    <x v="163"/>
    <s v="Online"/>
  </r>
  <r>
    <s v="Foot Locker"/>
    <n v="1185732"/>
    <d v="2021-03-05T00:00:00"/>
    <x v="0"/>
    <s v="South Carolina"/>
    <s v="Charleston"/>
    <s v="Women's Apparel"/>
    <n v="32"/>
    <n v="189"/>
    <x v="697"/>
    <x v="155"/>
    <s v="Online"/>
  </r>
  <r>
    <s v="Foot Locker"/>
    <n v="1185732"/>
    <d v="2021-10-07T00:00:00"/>
    <x v="0"/>
    <s v="South Carolina"/>
    <s v="Charleston"/>
    <s v="Men's Apparel"/>
    <n v="52"/>
    <n v="189"/>
    <x v="297"/>
    <x v="156"/>
    <s v="Online"/>
  </r>
  <r>
    <s v="Sports Direct"/>
    <n v="1185732"/>
    <d v="2021-01-06T00:00:00"/>
    <x v="0"/>
    <s v="South Carolina"/>
    <s v="Charleston"/>
    <s v="Women's Street Footwear"/>
    <n v="24"/>
    <n v="189"/>
    <x v="740"/>
    <x v="548"/>
    <s v="Online"/>
  </r>
  <r>
    <s v="Sports Direct"/>
    <n v="1185732"/>
    <d v="2021-04-03T00:00:00"/>
    <x v="0"/>
    <s v="North Carolina"/>
    <s v="Charlotte"/>
    <s v="Women's Apparel"/>
    <n v="32"/>
    <n v="189"/>
    <x v="697"/>
    <x v="641"/>
    <s v="Online"/>
  </r>
  <r>
    <s v="Foot Locker"/>
    <n v="1185732"/>
    <d v="2021-01-20T00:00:00"/>
    <x v="0"/>
    <s v="Kentucky"/>
    <s v="Louisville"/>
    <s v="Men's Street Footwear"/>
    <n v="29"/>
    <n v="189"/>
    <x v="639"/>
    <x v="680"/>
    <s v="Online"/>
  </r>
  <r>
    <s v="Sports Direct"/>
    <n v="1197831"/>
    <d v="2021-02-21T00:00:00"/>
    <x v="1"/>
    <s v="Mississippi"/>
    <s v="Jackson"/>
    <s v="Men's Street Footwear"/>
    <n v="24"/>
    <n v="189"/>
    <x v="740"/>
    <x v="618"/>
    <s v="Online"/>
  </r>
  <r>
    <s v="West Gear"/>
    <n v="1197831"/>
    <d v="2021-08-20T00:00:00"/>
    <x v="1"/>
    <s v="Oklahoma"/>
    <s v="Oklahoma City"/>
    <s v="Men's Street Footwear"/>
    <n v="56"/>
    <n v="189"/>
    <x v="444"/>
    <x v="681"/>
    <s v="Online"/>
  </r>
  <r>
    <s v="Kohl's"/>
    <n v="1197831"/>
    <d v="2021-08-13T00:00:00"/>
    <x v="2"/>
    <s v="Kansas"/>
    <s v="Wichita"/>
    <s v="Men's Street Footwear"/>
    <n v="56"/>
    <n v="189"/>
    <x v="444"/>
    <x v="147"/>
    <s v="Online"/>
  </r>
  <r>
    <s v="Foot Locker"/>
    <n v="1185732"/>
    <d v="2021-06-15T00:00:00"/>
    <x v="3"/>
    <s v="Delaware"/>
    <s v="Wilmington"/>
    <s v="Men's Street Footwear"/>
    <n v="51"/>
    <n v="189"/>
    <x v="741"/>
    <x v="275"/>
    <s v="Online"/>
  </r>
  <r>
    <s v="Sports Direct"/>
    <n v="1185732"/>
    <d v="2021-07-03T00:00:00"/>
    <x v="3"/>
    <s v="Connecticut"/>
    <s v="Hartford"/>
    <s v="Men's Street Footwear"/>
    <n v="54"/>
    <n v="189"/>
    <x v="177"/>
    <x v="530"/>
    <s v="Online"/>
  </r>
  <r>
    <s v="Walmart"/>
    <n v="1197831"/>
    <d v="2020-09-13T00:00:00"/>
    <x v="1"/>
    <s v="Texas"/>
    <s v="Houston"/>
    <s v="Women's Street Footwear"/>
    <n v="48"/>
    <n v="188"/>
    <x v="671"/>
    <x v="668"/>
    <s v="Online"/>
  </r>
  <r>
    <s v="West Gear"/>
    <n v="1128299"/>
    <d v="2020-12-28T00:00:00"/>
    <x v="4"/>
    <s v="California"/>
    <s v="San Francisco"/>
    <s v="Women's Athletic Footwear"/>
    <n v="54"/>
    <n v="188"/>
    <x v="542"/>
    <x v="218"/>
    <s v="Online"/>
  </r>
  <r>
    <s v="West Gear"/>
    <n v="1128299"/>
    <d v="2021-01-21T00:00:00"/>
    <x v="4"/>
    <s v="California"/>
    <s v="San Francisco"/>
    <s v="Women's Athletic Footwear"/>
    <n v="59"/>
    <n v="188"/>
    <x v="233"/>
    <x v="334"/>
    <s v="Online"/>
  </r>
  <r>
    <s v="West Gear"/>
    <n v="1128299"/>
    <d v="2021-01-22T00:00:00"/>
    <x v="4"/>
    <s v="California"/>
    <s v="San Francisco"/>
    <s v="Men's Apparel"/>
    <n v="69"/>
    <n v="188"/>
    <x v="742"/>
    <x v="508"/>
    <s v="Online"/>
  </r>
  <r>
    <s v="Kohl's"/>
    <n v="1189833"/>
    <d v="2021-04-06T00:00:00"/>
    <x v="4"/>
    <s v="California"/>
    <s v="Los Angeles"/>
    <s v="Women's Apparel"/>
    <n v="41"/>
    <n v="188"/>
    <x v="622"/>
    <x v="401"/>
    <s v="Online"/>
  </r>
  <r>
    <s v="West Gear"/>
    <n v="1128299"/>
    <d v="2020-04-21T00:00:00"/>
    <x v="4"/>
    <s v="Colorado"/>
    <s v="Denver"/>
    <s v="Men's Athletic Footwear"/>
    <n v="67"/>
    <n v="188"/>
    <x v="34"/>
    <x v="682"/>
    <s v="Online"/>
  </r>
  <r>
    <s v="West Gear"/>
    <n v="1128299"/>
    <d v="2020-06-26T00:00:00"/>
    <x v="4"/>
    <s v="Washington"/>
    <s v="Seattle"/>
    <s v="Men's Athletic Footwear"/>
    <n v="74"/>
    <n v="188"/>
    <x v="453"/>
    <x v="407"/>
    <s v="Online"/>
  </r>
  <r>
    <s v="West Gear"/>
    <n v="1128299"/>
    <d v="2020-07-26T00:00:00"/>
    <x v="4"/>
    <s v="Washington"/>
    <s v="Seattle"/>
    <s v="Men's Athletic Footwear"/>
    <n v="60"/>
    <n v="188"/>
    <x v="743"/>
    <x v="193"/>
    <s v="Online"/>
  </r>
  <r>
    <s v="West Gear"/>
    <n v="1128299"/>
    <d v="2020-07-31T00:00:00"/>
    <x v="4"/>
    <s v="Washington"/>
    <s v="Seattle"/>
    <s v="Men's Street Footwear"/>
    <n v="78"/>
    <n v="188"/>
    <x v="744"/>
    <x v="299"/>
    <s v="Online"/>
  </r>
  <r>
    <s v="West Gear"/>
    <n v="1185732"/>
    <d v="2020-04-24T00:00:00"/>
    <x v="0"/>
    <s v="Florida"/>
    <s v="Miami"/>
    <s v="Women's Street Footwear"/>
    <n v="47"/>
    <n v="188"/>
    <x v="372"/>
    <x v="622"/>
    <s v="Online"/>
  </r>
  <r>
    <s v="Kohl's"/>
    <n v="1189833"/>
    <d v="2021-02-09T00:00:00"/>
    <x v="2"/>
    <s v="Montana"/>
    <s v="Billings"/>
    <s v="Men's Athletic Footwear"/>
    <n v="54"/>
    <n v="188"/>
    <x v="542"/>
    <x v="531"/>
    <s v="Online"/>
  </r>
  <r>
    <s v="Sports Direct"/>
    <n v="1197831"/>
    <d v="2021-08-14T00:00:00"/>
    <x v="1"/>
    <s v="Alabama"/>
    <s v="Birmingham"/>
    <s v="Men's Athletic Footwear"/>
    <n v="36"/>
    <n v="188"/>
    <x v="745"/>
    <x v="284"/>
    <s v="Online"/>
  </r>
  <r>
    <s v="Sports Direct"/>
    <n v="1197831"/>
    <d v="2021-09-20T00:00:00"/>
    <x v="1"/>
    <s v="Alabama"/>
    <s v="Birmingham"/>
    <s v="Women's Street Footwear"/>
    <n v="59"/>
    <n v="188"/>
    <x v="233"/>
    <x v="651"/>
    <s v="Online"/>
  </r>
  <r>
    <s v="Sports Direct"/>
    <n v="1197831"/>
    <d v="2021-10-05T00:00:00"/>
    <x v="1"/>
    <s v="Alabama"/>
    <s v="Birmingham"/>
    <s v="Women's Apparel"/>
    <n v="56"/>
    <n v="188"/>
    <x v="213"/>
    <x v="650"/>
    <s v="Online"/>
  </r>
  <r>
    <s v="West Gear"/>
    <n v="1185732"/>
    <d v="2021-08-09T00:00:00"/>
    <x v="3"/>
    <s v="New York"/>
    <s v="Albany"/>
    <s v="Women's Street Footwear"/>
    <n v="51"/>
    <n v="188"/>
    <x v="746"/>
    <x v="422"/>
    <s v="Online"/>
  </r>
  <r>
    <s v="West Gear"/>
    <n v="1128299"/>
    <d v="2021-12-23T00:00:00"/>
    <x v="4"/>
    <s v="Oregon"/>
    <s v="Portland"/>
    <s v="Men's Street Footwear"/>
    <n v="61"/>
    <n v="188"/>
    <x v="747"/>
    <x v="683"/>
    <s v="Online"/>
  </r>
  <r>
    <s v="West Gear"/>
    <n v="1128299"/>
    <d v="2021-11-17T00:00:00"/>
    <x v="1"/>
    <s v="Louisiana"/>
    <s v="New Orleans"/>
    <s v="Men's Street Footwear"/>
    <n v="39"/>
    <n v="188"/>
    <x v="748"/>
    <x v="667"/>
    <s v="Online"/>
  </r>
  <r>
    <s v="West Gear"/>
    <n v="1197831"/>
    <d v="2021-06-04T00:00:00"/>
    <x v="4"/>
    <s v="Idaho"/>
    <s v="Boise"/>
    <s v="Men's Athletic Footwear"/>
    <n v="46"/>
    <n v="188"/>
    <x v="338"/>
    <x v="564"/>
    <s v="Online"/>
  </r>
  <r>
    <s v="Sports Direct"/>
    <n v="1197831"/>
    <d v="2021-09-05T00:00:00"/>
    <x v="4"/>
    <s v="Idaho"/>
    <s v="Boise"/>
    <s v="Men's Athletic Footwear"/>
    <n v="50"/>
    <n v="188"/>
    <x v="749"/>
    <x v="573"/>
    <s v="Online"/>
  </r>
  <r>
    <s v="Foot Locker"/>
    <n v="1185732"/>
    <d v="2021-04-06T00:00:00"/>
    <x v="0"/>
    <s v="South Carolina"/>
    <s v="Charleston"/>
    <s v="Men's Apparel"/>
    <n v="47"/>
    <n v="188"/>
    <x v="372"/>
    <x v="90"/>
    <s v="Online"/>
  </r>
  <r>
    <s v="Foot Locker"/>
    <n v="1185732"/>
    <d v="2021-05-05T00:00:00"/>
    <x v="0"/>
    <s v="South Carolina"/>
    <s v="Charleston"/>
    <s v="Men's Athletic Footwear"/>
    <n v="45"/>
    <n v="188"/>
    <x v="750"/>
    <x v="155"/>
    <s v="Online"/>
  </r>
  <r>
    <s v="Foot Locker"/>
    <n v="1185732"/>
    <d v="2021-11-06T00:00:00"/>
    <x v="0"/>
    <s v="South Carolina"/>
    <s v="Charleston"/>
    <s v="Men's Athletic Footwear"/>
    <n v="44"/>
    <n v="188"/>
    <x v="751"/>
    <x v="284"/>
    <s v="Online"/>
  </r>
  <r>
    <s v="Sports Direct"/>
    <n v="1185732"/>
    <d v="2021-02-04T00:00:00"/>
    <x v="0"/>
    <s v="South Carolina"/>
    <s v="Charleston"/>
    <s v="Men's Athletic Footwear"/>
    <n v="34"/>
    <n v="188"/>
    <x v="564"/>
    <x v="296"/>
    <s v="Online"/>
  </r>
  <r>
    <s v="Foot Locker"/>
    <n v="1185732"/>
    <d v="2021-06-18T00:00:00"/>
    <x v="1"/>
    <s v="Mississippi"/>
    <s v="Jackson"/>
    <s v="Women's Apparel"/>
    <n v="60"/>
    <n v="188"/>
    <x v="743"/>
    <x v="481"/>
    <s v="Online"/>
  </r>
  <r>
    <s v="Kohl's"/>
    <n v="1185732"/>
    <d v="2021-07-06T00:00:00"/>
    <x v="3"/>
    <s v="New Jersey"/>
    <s v="Newark"/>
    <s v="Men's Street Footwear"/>
    <n v="47"/>
    <n v="188"/>
    <x v="372"/>
    <x v="564"/>
    <s v="Online"/>
  </r>
  <r>
    <s v="West Gear"/>
    <n v="1128299"/>
    <d v="2020-12-28T00:00:00"/>
    <x v="4"/>
    <s v="California"/>
    <s v="San Francisco"/>
    <s v="Women's Athletic Footwear"/>
    <n v="48"/>
    <n v="188"/>
    <x v="671"/>
    <x v="296"/>
    <s v="Outlet"/>
  </r>
  <r>
    <s v="Sports Direct"/>
    <n v="1197831"/>
    <d v="2021-09-30T00:00:00"/>
    <x v="1"/>
    <s v="Alabama"/>
    <s v="Birmingham"/>
    <s v="Men's Street Footwear"/>
    <n v="14"/>
    <n v="188"/>
    <x v="752"/>
    <x v="570"/>
    <s v="Outlet"/>
  </r>
  <r>
    <s v="Sports Direct"/>
    <n v="1197831"/>
    <d v="2021-10-05T00:00:00"/>
    <x v="1"/>
    <s v="Alabama"/>
    <s v="Birmingham"/>
    <s v="Women's Apparel"/>
    <n v="45"/>
    <n v="188"/>
    <x v="750"/>
    <x v="513"/>
    <s v="Outlet"/>
  </r>
  <r>
    <s v="Walmart"/>
    <n v="1128299"/>
    <d v="2021-11-17T00:00:00"/>
    <x v="0"/>
    <s v="Florida"/>
    <s v="Orlando"/>
    <s v="Men's Street Footwear"/>
    <n v="41"/>
    <n v="188"/>
    <x v="622"/>
    <x v="629"/>
    <s v="Outlet"/>
  </r>
  <r>
    <s v="Foot Locker"/>
    <n v="1197831"/>
    <d v="2021-03-06T00:00:00"/>
    <x v="4"/>
    <s v="Idaho"/>
    <s v="Boise"/>
    <s v="Men's Athletic Footwear"/>
    <n v="27"/>
    <n v="188"/>
    <x v="753"/>
    <x v="684"/>
    <s v="Outlet"/>
  </r>
  <r>
    <s v="Kohl's"/>
    <n v="1128299"/>
    <d v="2021-09-27T00:00:00"/>
    <x v="4"/>
    <s v="New Mexico"/>
    <s v="Albuquerque"/>
    <s v="Men's Athletic Footwear"/>
    <n v="39"/>
    <n v="188"/>
    <x v="748"/>
    <x v="290"/>
    <s v="Outlet"/>
  </r>
  <r>
    <s v="Amazon"/>
    <n v="1185732"/>
    <d v="2021-03-17T00:00:00"/>
    <x v="3"/>
    <s v="New Hampshire"/>
    <s v="Manchester"/>
    <s v="Men's Street Footwear"/>
    <n v="39"/>
    <n v="188"/>
    <x v="748"/>
    <x v="290"/>
    <s v="Outlet"/>
  </r>
  <r>
    <s v="Foot Locker"/>
    <n v="1185732"/>
    <d v="2021-03-16T00:00:00"/>
    <x v="1"/>
    <s v="Mississippi"/>
    <s v="Jackson"/>
    <s v="Men's Street Footwear"/>
    <n v="23"/>
    <n v="187"/>
    <x v="754"/>
    <x v="664"/>
    <s v="Online"/>
  </r>
  <r>
    <s v="Foot Locker"/>
    <n v="1128299"/>
    <d v="2021-07-23T00:00:00"/>
    <x v="0"/>
    <s v="Virginia"/>
    <s v="Richmond"/>
    <s v="Women's Athletic Footwear"/>
    <n v="65"/>
    <n v="187"/>
    <x v="755"/>
    <x v="34"/>
    <s v="Outlet"/>
  </r>
  <r>
    <s v="Sports Direct"/>
    <n v="1185732"/>
    <d v="2021-01-19T00:00:00"/>
    <x v="0"/>
    <s v="Virginia"/>
    <s v="Richmond"/>
    <s v="Men's Athletic Footwear"/>
    <n v="28"/>
    <n v="187"/>
    <x v="459"/>
    <x v="685"/>
    <s v="Outlet"/>
  </r>
  <r>
    <s v="West Gear"/>
    <n v="1197831"/>
    <d v="2021-06-04T00:00:00"/>
    <x v="4"/>
    <s v="Idaho"/>
    <s v="Boise"/>
    <s v="Women's Athletic Footwear"/>
    <n v="33"/>
    <n v="187"/>
    <x v="756"/>
    <x v="307"/>
    <s v="Outlet"/>
  </r>
  <r>
    <s v="Kohl's"/>
    <n v="1128299"/>
    <d v="2021-03-25T00:00:00"/>
    <x v="4"/>
    <s v="New Mexico"/>
    <s v="Albuquerque"/>
    <s v="Men's Street Footwear"/>
    <n v="30"/>
    <n v="187"/>
    <x v="757"/>
    <x v="451"/>
    <s v="Outlet"/>
  </r>
  <r>
    <s v="Kohl's"/>
    <n v="1128299"/>
    <d v="2021-06-26T00:00:00"/>
    <x v="4"/>
    <s v="New Mexico"/>
    <s v="Albuquerque"/>
    <s v="Men's Athletic Footwear"/>
    <n v="47"/>
    <n v="187"/>
    <x v="758"/>
    <x v="532"/>
    <s v="Outlet"/>
  </r>
  <r>
    <s v="Sports Direct"/>
    <n v="1128299"/>
    <d v="2021-05-14T00:00:00"/>
    <x v="0"/>
    <s v="Georgia"/>
    <s v="Atlanta"/>
    <s v="Men's Street Footwear"/>
    <n v="37"/>
    <n v="187"/>
    <x v="759"/>
    <x v="507"/>
    <s v="Outlet"/>
  </r>
  <r>
    <s v="Amazon"/>
    <n v="1185732"/>
    <d v="2021-04-18T00:00:00"/>
    <x v="3"/>
    <s v="New Hampshire"/>
    <s v="Manchester"/>
    <s v="Men's Street Footwear"/>
    <n v="33"/>
    <n v="187"/>
    <x v="756"/>
    <x v="638"/>
    <s v="Outlet"/>
  </r>
  <r>
    <s v="Foot Locker"/>
    <n v="1185732"/>
    <d v="2021-03-17T00:00:00"/>
    <x v="2"/>
    <s v="Missouri"/>
    <s v="St. Louis"/>
    <s v="Men's Street Footwear"/>
    <n v="34"/>
    <n v="186"/>
    <x v="398"/>
    <x v="491"/>
    <s v="Online"/>
  </r>
  <r>
    <s v="West Gear"/>
    <n v="1128299"/>
    <d v="2020-02-19T00:00:00"/>
    <x v="4"/>
    <s v="Nevada"/>
    <s v="Las Vegas"/>
    <s v="Men's Street Footwear"/>
    <n v="41"/>
    <n v="186"/>
    <x v="760"/>
    <x v="498"/>
    <s v="Outlet"/>
  </r>
  <r>
    <s v="Walmart"/>
    <n v="1128299"/>
    <d v="2021-07-16T00:00:00"/>
    <x v="0"/>
    <s v="Florida"/>
    <s v="Orlando"/>
    <s v="Women's Athletic Footwear"/>
    <n v="59"/>
    <n v="186"/>
    <x v="761"/>
    <x v="166"/>
    <s v="Outlet"/>
  </r>
  <r>
    <s v="Foot Locker"/>
    <n v="1128299"/>
    <d v="2021-07-23T00:00:00"/>
    <x v="0"/>
    <s v="Virginia"/>
    <s v="Richmond"/>
    <s v="Women's Apparel"/>
    <n v="82"/>
    <n v="186"/>
    <x v="762"/>
    <x v="576"/>
    <s v="Outlet"/>
  </r>
  <r>
    <s v="West Gear"/>
    <n v="1197831"/>
    <d v="2021-06-04T00:00:00"/>
    <x v="4"/>
    <s v="Idaho"/>
    <s v="Boise"/>
    <s v="Women's Street Footwear"/>
    <n v="34"/>
    <n v="186"/>
    <x v="398"/>
    <x v="638"/>
    <s v="Outlet"/>
  </r>
  <r>
    <s v="Amazon"/>
    <n v="1185732"/>
    <d v="2021-12-10T00:00:00"/>
    <x v="3"/>
    <s v="Vermont"/>
    <s v="Burlington"/>
    <s v="Men's Street Footwear"/>
    <n v="48"/>
    <n v="186"/>
    <x v="763"/>
    <x v="135"/>
    <s v="Outlet"/>
  </r>
  <r>
    <s v="Amazon"/>
    <n v="1185732"/>
    <d v="2021-02-19T00:00:00"/>
    <x v="3"/>
    <s v="Vermont"/>
    <s v="Burlington"/>
    <s v="Men's Street Footwear"/>
    <n v="34"/>
    <n v="186"/>
    <x v="398"/>
    <x v="249"/>
    <s v="Outlet"/>
  </r>
  <r>
    <s v="Amazon"/>
    <n v="1185732"/>
    <d v="2021-03-10T00:00:00"/>
    <x v="3"/>
    <s v="Vermont"/>
    <s v="Burlington"/>
    <s v="Men's Street Footwear"/>
    <n v="35"/>
    <n v="185"/>
    <x v="764"/>
    <x v="598"/>
    <s v="Outlet"/>
  </r>
  <r>
    <s v="Walmart"/>
    <n v="1197831"/>
    <d v="2020-09-15T00:00:00"/>
    <x v="1"/>
    <s v="Texas"/>
    <s v="Houston"/>
    <s v="Men's Apparel"/>
    <n v="35"/>
    <n v="184"/>
    <x v="765"/>
    <x v="536"/>
    <s v="Outlet"/>
  </r>
  <r>
    <s v="Sports Direct"/>
    <n v="1197831"/>
    <d v="2021-09-20T00:00:00"/>
    <x v="1"/>
    <s v="Texas"/>
    <s v="Dallas"/>
    <s v="Men's Apparel"/>
    <n v="39"/>
    <n v="184"/>
    <x v="706"/>
    <x v="456"/>
    <s v="Outlet"/>
  </r>
  <r>
    <s v="Sports Direct"/>
    <n v="1197831"/>
    <d v="2021-09-24T00:00:00"/>
    <x v="1"/>
    <s v="Alabama"/>
    <s v="Birmingham"/>
    <s v="Men's Street Footwear"/>
    <n v="20"/>
    <n v="184"/>
    <x v="766"/>
    <x v="686"/>
    <s v="Outlet"/>
  </r>
  <r>
    <s v="Foot Locker"/>
    <n v="1128299"/>
    <d v="2021-06-24T00:00:00"/>
    <x v="0"/>
    <s v="Virginia"/>
    <s v="Richmond"/>
    <s v="Women's Athletic Footwear"/>
    <n v="61"/>
    <n v="184"/>
    <x v="278"/>
    <x v="394"/>
    <s v="Outlet"/>
  </r>
  <r>
    <s v="West Gear"/>
    <n v="1185732"/>
    <d v="2021-08-11T00:00:00"/>
    <x v="4"/>
    <s v="Utah"/>
    <s v="Salt Lake City"/>
    <s v="Women's Apparel"/>
    <n v="27"/>
    <n v="184"/>
    <x v="767"/>
    <x v="662"/>
    <s v="Outlet"/>
  </r>
  <r>
    <s v="West Gear"/>
    <n v="1128299"/>
    <d v="2021-06-17T00:00:00"/>
    <x v="1"/>
    <s v="Louisiana"/>
    <s v="New Orleans"/>
    <s v="Women's Athletic Footwear"/>
    <n v="59"/>
    <n v="184"/>
    <x v="768"/>
    <x v="687"/>
    <s v="Outlet"/>
  </r>
  <r>
    <s v="West Gear"/>
    <n v="1128299"/>
    <d v="2021-10-17T00:00:00"/>
    <x v="1"/>
    <s v="Louisiana"/>
    <s v="New Orleans"/>
    <s v="Men's Athletic Footwear"/>
    <n v="34"/>
    <n v="184"/>
    <x v="769"/>
    <x v="116"/>
    <s v="Outlet"/>
  </r>
  <r>
    <s v="West Gear"/>
    <n v="1197831"/>
    <d v="2021-05-05T00:00:00"/>
    <x v="4"/>
    <s v="Idaho"/>
    <s v="Boise"/>
    <s v="Women's Street Footwear"/>
    <n v="18"/>
    <n v="184"/>
    <x v="770"/>
    <x v="688"/>
    <s v="Outlet"/>
  </r>
  <r>
    <s v="Foot Locker"/>
    <n v="1197831"/>
    <d v="2021-12-04T00:00:00"/>
    <x v="4"/>
    <s v="Idaho"/>
    <s v="Boise"/>
    <s v="Women's Athletic Footwear"/>
    <n v="44"/>
    <n v="184"/>
    <x v="771"/>
    <x v="291"/>
    <s v="Outlet"/>
  </r>
  <r>
    <s v="Foot Locker"/>
    <n v="1128299"/>
    <d v="2021-05-24T00:00:00"/>
    <x v="4"/>
    <s v="Arizona"/>
    <s v="Phoenix"/>
    <s v="Men's Street Footwear"/>
    <n v="38"/>
    <n v="184"/>
    <x v="772"/>
    <x v="689"/>
    <s v="Outlet"/>
  </r>
  <r>
    <s v="Foot Locker"/>
    <n v="1128299"/>
    <d v="2021-09-24T00:00:00"/>
    <x v="4"/>
    <s v="Arizona"/>
    <s v="Phoenix"/>
    <s v="Men's Street Footwear"/>
    <n v="35"/>
    <n v="184"/>
    <x v="765"/>
    <x v="401"/>
    <s v="Outlet"/>
  </r>
  <r>
    <s v="Kohl's"/>
    <n v="1128299"/>
    <d v="2021-05-27T00:00:00"/>
    <x v="4"/>
    <s v="New Mexico"/>
    <s v="Albuquerque"/>
    <s v="Men's Street Footwear"/>
    <n v="43"/>
    <n v="184"/>
    <x v="715"/>
    <x v="436"/>
    <s v="Outlet"/>
  </r>
  <r>
    <s v="Sports Direct"/>
    <n v="1128299"/>
    <d v="2021-07-12T00:00:00"/>
    <x v="0"/>
    <s v="Georgia"/>
    <s v="Atlanta"/>
    <s v="Women's Street Footwear"/>
    <n v="41"/>
    <n v="184"/>
    <x v="773"/>
    <x v="245"/>
    <s v="Outlet"/>
  </r>
  <r>
    <s v="Sports Direct"/>
    <n v="1128299"/>
    <d v="2021-11-13T00:00:00"/>
    <x v="0"/>
    <s v="Georgia"/>
    <s v="Atlanta"/>
    <s v="Men's Athletic Footwear"/>
    <n v="40"/>
    <n v="184"/>
    <x v="496"/>
    <x v="436"/>
    <s v="Outlet"/>
  </r>
  <r>
    <s v="West Gear"/>
    <n v="1197831"/>
    <d v="2021-04-20T00:00:00"/>
    <x v="1"/>
    <s v="Oklahoma"/>
    <s v="Oklahoma City"/>
    <s v="Men's Street Footwear"/>
    <n v="20"/>
    <n v="184"/>
    <x v="766"/>
    <x v="690"/>
    <s v="Outlet"/>
  </r>
  <r>
    <s v="Amazon"/>
    <n v="1185732"/>
    <d v="2021-02-12T00:00:00"/>
    <x v="3"/>
    <s v="Massachusetts"/>
    <s v="Boston"/>
    <s v="Men's Street Footwear"/>
    <n v="33"/>
    <n v="184"/>
    <x v="774"/>
    <x v="243"/>
    <s v="Outlet"/>
  </r>
  <r>
    <s v="Foot Locker"/>
    <n v="1185732"/>
    <d v="2021-02-22T00:00:00"/>
    <x v="3"/>
    <s v="New Hampshire"/>
    <s v="Manchester"/>
    <s v="Men's Street Footwear"/>
    <n v="41"/>
    <n v="184"/>
    <x v="773"/>
    <x v="157"/>
    <s v="Outlet"/>
  </r>
  <r>
    <s v="Sports Direct"/>
    <n v="1197831"/>
    <d v="2020-08-02T00:00:00"/>
    <x v="1"/>
    <s v="Texas"/>
    <s v="Houston"/>
    <s v="Women's Street Footwear"/>
    <n v="32"/>
    <n v="182"/>
    <x v="485"/>
    <x v="243"/>
    <s v="Online"/>
  </r>
  <r>
    <s v="Walmart"/>
    <n v="1197831"/>
    <d v="2020-10-29T00:00:00"/>
    <x v="1"/>
    <s v="Texas"/>
    <s v="Houston"/>
    <s v="Women's Athletic Footwear"/>
    <n v="47"/>
    <n v="182"/>
    <x v="153"/>
    <x v="117"/>
    <s v="Online"/>
  </r>
  <r>
    <s v="West Gear"/>
    <n v="1128299"/>
    <d v="2020-11-12T00:00:00"/>
    <x v="4"/>
    <s v="California"/>
    <s v="San Francisco"/>
    <s v="Women's Apparel"/>
    <n v="46"/>
    <n v="182"/>
    <x v="775"/>
    <x v="614"/>
    <s v="Online"/>
  </r>
  <r>
    <s v="West Gear"/>
    <n v="1128299"/>
    <d v="2021-01-03T00:00:00"/>
    <x v="4"/>
    <s v="California"/>
    <s v="San Francisco"/>
    <s v="Women's Athletic Footwear"/>
    <n v="56"/>
    <n v="182"/>
    <x v="593"/>
    <x v="181"/>
    <s v="Online"/>
  </r>
  <r>
    <s v="West Gear"/>
    <n v="1128299"/>
    <d v="2021-02-01T00:00:00"/>
    <x v="4"/>
    <s v="California"/>
    <s v="San Francisco"/>
    <s v="Women's Street Footwear"/>
    <n v="50"/>
    <n v="182"/>
    <x v="776"/>
    <x v="122"/>
    <s v="Online"/>
  </r>
  <r>
    <s v="West Gear"/>
    <n v="1128299"/>
    <d v="2021-02-03T00:00:00"/>
    <x v="4"/>
    <s v="California"/>
    <s v="San Francisco"/>
    <s v="Men's Apparel"/>
    <n v="59"/>
    <n v="182"/>
    <x v="777"/>
    <x v="601"/>
    <s v="Online"/>
  </r>
  <r>
    <s v="Kohl's"/>
    <n v="1189833"/>
    <d v="2021-03-12T00:00:00"/>
    <x v="4"/>
    <s v="California"/>
    <s v="Los Angeles"/>
    <s v="Women's Apparel"/>
    <n v="41"/>
    <n v="182"/>
    <x v="778"/>
    <x v="618"/>
    <s v="Online"/>
  </r>
  <r>
    <s v="Kohl's"/>
    <n v="1189833"/>
    <d v="2021-05-05T00:00:00"/>
    <x v="4"/>
    <s v="California"/>
    <s v="Los Angeles"/>
    <s v="Men's Apparel"/>
    <n v="58"/>
    <n v="182"/>
    <x v="357"/>
    <x v="329"/>
    <s v="Online"/>
  </r>
  <r>
    <s v="Kohl's"/>
    <n v="1189833"/>
    <d v="2021-05-27T00:00:00"/>
    <x v="4"/>
    <s v="California"/>
    <s v="Los Angeles"/>
    <s v="Women's Street Footwear"/>
    <n v="46"/>
    <n v="182"/>
    <x v="775"/>
    <x v="33"/>
    <s v="Online"/>
  </r>
  <r>
    <s v="Sports Direct"/>
    <n v="1197831"/>
    <d v="2021-08-23T00:00:00"/>
    <x v="1"/>
    <s v="Texas"/>
    <s v="Dallas"/>
    <s v="Men's Street Footwear"/>
    <n v="29"/>
    <n v="182"/>
    <x v="779"/>
    <x v="408"/>
    <s v="Online"/>
  </r>
  <r>
    <s v="Sports Direct"/>
    <n v="1197831"/>
    <d v="2021-08-29T00:00:00"/>
    <x v="1"/>
    <s v="Texas"/>
    <s v="Dallas"/>
    <s v="Men's Street Footwear"/>
    <n v="18"/>
    <n v="182"/>
    <x v="780"/>
    <x v="597"/>
    <s v="Online"/>
  </r>
  <r>
    <s v="West Gear"/>
    <n v="1128299"/>
    <d v="2020-02-14T00:00:00"/>
    <x v="4"/>
    <s v="Nevada"/>
    <s v="Las Vegas"/>
    <s v="Men's Athletic Footwear"/>
    <n v="64"/>
    <n v="182"/>
    <x v="409"/>
    <x v="468"/>
    <s v="Online"/>
  </r>
  <r>
    <s v="West Gear"/>
    <n v="1128299"/>
    <d v="2020-05-21T00:00:00"/>
    <x v="4"/>
    <s v="Colorado"/>
    <s v="Denver"/>
    <s v="Men's Athletic Footwear"/>
    <n v="64"/>
    <n v="182"/>
    <x v="409"/>
    <x v="275"/>
    <s v="Online"/>
  </r>
  <r>
    <s v="West Gear"/>
    <n v="1128299"/>
    <d v="2020-06-30T00:00:00"/>
    <x v="4"/>
    <s v="Washington"/>
    <s v="Seattle"/>
    <s v="Women's Apparel"/>
    <n v="98"/>
    <n v="182"/>
    <x v="781"/>
    <x v="373"/>
    <s v="Online"/>
  </r>
  <r>
    <s v="West Gear"/>
    <n v="1128299"/>
    <d v="2020-07-02T00:00:00"/>
    <x v="4"/>
    <s v="Washington"/>
    <s v="Seattle"/>
    <s v="Men's Athletic Footwear"/>
    <n v="82"/>
    <n v="182"/>
    <x v="782"/>
    <x v="254"/>
    <s v="Online"/>
  </r>
  <r>
    <s v="Foot Locker"/>
    <n v="1185732"/>
    <d v="2020-08-22T00:00:00"/>
    <x v="0"/>
    <s v="Florida"/>
    <s v="Miami"/>
    <s v="Men's Apparel"/>
    <n v="53"/>
    <n v="182"/>
    <x v="710"/>
    <x v="224"/>
    <s v="Online"/>
  </r>
  <r>
    <s v="Sports Direct"/>
    <n v="1185732"/>
    <d v="2020-10-02T00:00:00"/>
    <x v="0"/>
    <s v="Florida"/>
    <s v="Miami"/>
    <s v="Women's Athletic Footwear"/>
    <n v="45"/>
    <n v="182"/>
    <x v="574"/>
    <x v="632"/>
    <s v="Online"/>
  </r>
  <r>
    <s v="Kohl's"/>
    <n v="1189833"/>
    <d v="2021-03-05T00:00:00"/>
    <x v="2"/>
    <s v="Montana"/>
    <s v="Billings"/>
    <s v="Men's Athletic Footwear"/>
    <n v="45"/>
    <n v="182"/>
    <x v="574"/>
    <x v="691"/>
    <s v="Online"/>
  </r>
  <r>
    <s v="Sports Direct"/>
    <n v="1197831"/>
    <d v="2021-03-11T00:00:00"/>
    <x v="2"/>
    <s v="Montana"/>
    <s v="Billings"/>
    <s v="Men's Athletic Footwear"/>
    <n v="29"/>
    <n v="182"/>
    <x v="779"/>
    <x v="526"/>
    <s v="Online"/>
  </r>
  <r>
    <s v="Sports Direct"/>
    <n v="1197831"/>
    <d v="2021-04-27T00:00:00"/>
    <x v="1"/>
    <s v="Tennessee"/>
    <s v="Knoxville"/>
    <s v="Men's Street Footwear"/>
    <n v="49"/>
    <n v="182"/>
    <x v="783"/>
    <x v="276"/>
    <s v="Online"/>
  </r>
  <r>
    <s v="Sports Direct"/>
    <n v="1197831"/>
    <d v="2021-04-29T00:00:00"/>
    <x v="1"/>
    <s v="Tennessee"/>
    <s v="Knoxville"/>
    <s v="Women's Street Footwear"/>
    <n v="54"/>
    <n v="182"/>
    <x v="297"/>
    <x v="417"/>
    <s v="Online"/>
  </r>
  <r>
    <s v="Sports Direct"/>
    <n v="1197831"/>
    <d v="2021-09-17T00:00:00"/>
    <x v="1"/>
    <s v="Alabama"/>
    <s v="Birmingham"/>
    <s v="Women's Apparel"/>
    <n v="59"/>
    <n v="182"/>
    <x v="777"/>
    <x v="692"/>
    <s v="Online"/>
  </r>
  <r>
    <s v="Amazon"/>
    <n v="1185732"/>
    <d v="2021-07-20T00:00:00"/>
    <x v="4"/>
    <s v="Alaska"/>
    <s v="Anchorage"/>
    <s v="Men's Street Footwear"/>
    <n v="63"/>
    <n v="182"/>
    <x v="747"/>
    <x v="54"/>
    <s v="Online"/>
  </r>
  <r>
    <s v="Foot Locker"/>
    <n v="1128299"/>
    <d v="2021-07-09T00:00:00"/>
    <x v="4"/>
    <s v="Hawaii"/>
    <s v="Honolulu"/>
    <s v="Men's Athletic Footwear"/>
    <n v="81"/>
    <n v="182"/>
    <x v="137"/>
    <x v="475"/>
    <s v="Online"/>
  </r>
  <r>
    <s v="Walmart"/>
    <n v="1128299"/>
    <d v="2021-12-09T00:00:00"/>
    <x v="4"/>
    <s v="Hawaii"/>
    <s v="Honolulu"/>
    <s v="Men's Athletic Footwear"/>
    <n v="77"/>
    <n v="182"/>
    <x v="784"/>
    <x v="239"/>
    <s v="Online"/>
  </r>
  <r>
    <s v="West Gear"/>
    <n v="1185732"/>
    <d v="2021-02-10T00:00:00"/>
    <x v="3"/>
    <s v="New York"/>
    <s v="Albany"/>
    <s v="Women's Apparel"/>
    <n v="42"/>
    <n v="182"/>
    <x v="682"/>
    <x v="573"/>
    <s v="Online"/>
  </r>
  <r>
    <s v="Kohl's"/>
    <n v="1185732"/>
    <d v="2021-12-08T00:00:00"/>
    <x v="3"/>
    <s v="New York"/>
    <s v="Albany"/>
    <s v="Women's Apparel"/>
    <n v="69"/>
    <n v="182"/>
    <x v="188"/>
    <x v="693"/>
    <s v="Online"/>
  </r>
  <r>
    <s v="Foot Locker"/>
    <n v="1128299"/>
    <d v="2021-06-24T00:00:00"/>
    <x v="0"/>
    <s v="Virginia"/>
    <s v="Richmond"/>
    <s v="Women's Apparel"/>
    <n v="96"/>
    <n v="182"/>
    <x v="785"/>
    <x v="651"/>
    <s v="Online"/>
  </r>
  <r>
    <s v="Foot Locker"/>
    <n v="1128299"/>
    <d v="2021-07-23T00:00:00"/>
    <x v="0"/>
    <s v="Virginia"/>
    <s v="Richmond"/>
    <s v="Women's Street Footwear"/>
    <n v="86"/>
    <n v="182"/>
    <x v="786"/>
    <x v="694"/>
    <s v="Online"/>
  </r>
  <r>
    <s v="Foot Locker"/>
    <n v="1185732"/>
    <d v="2021-02-18T00:00:00"/>
    <x v="2"/>
    <s v="Michigan"/>
    <s v="Detroit"/>
    <s v="Men's Street Footwear"/>
    <n v="29"/>
    <n v="182"/>
    <x v="779"/>
    <x v="333"/>
    <s v="Online"/>
  </r>
  <r>
    <s v="West Gear"/>
    <n v="1185732"/>
    <d v="2021-06-11T00:00:00"/>
    <x v="4"/>
    <s v="Utah"/>
    <s v="Salt Lake City"/>
    <s v="Men's Street Footwear"/>
    <n v="28"/>
    <n v="182"/>
    <x v="285"/>
    <x v="112"/>
    <s v="Online"/>
  </r>
  <r>
    <s v="Foot Locker"/>
    <n v="1197831"/>
    <d v="2021-01-05T00:00:00"/>
    <x v="1"/>
    <s v="Louisiana"/>
    <s v="New Orleans"/>
    <s v="Men's Street Footwear"/>
    <n v="19"/>
    <n v="182"/>
    <x v="787"/>
    <x v="695"/>
    <s v="Online"/>
  </r>
  <r>
    <s v="Sports Direct"/>
    <n v="1197831"/>
    <d v="2021-09-05T00:00:00"/>
    <x v="4"/>
    <s v="Idaho"/>
    <s v="Boise"/>
    <s v="Women's Street Footwear"/>
    <n v="56"/>
    <n v="182"/>
    <x v="593"/>
    <x v="192"/>
    <s v="Online"/>
  </r>
  <r>
    <s v="Sports Direct"/>
    <n v="1197831"/>
    <d v="2021-11-05T00:00:00"/>
    <x v="4"/>
    <s v="Idaho"/>
    <s v="Boise"/>
    <s v="Men's Street Footwear"/>
    <n v="33"/>
    <n v="182"/>
    <x v="438"/>
    <x v="438"/>
    <s v="Online"/>
  </r>
  <r>
    <s v="Kohl's"/>
    <n v="1128299"/>
    <d v="2021-12-25T00:00:00"/>
    <x v="4"/>
    <s v="New Mexico"/>
    <s v="Albuquerque"/>
    <s v="Men's Athletic Footwear"/>
    <n v="61"/>
    <n v="182"/>
    <x v="788"/>
    <x v="359"/>
    <s v="Online"/>
  </r>
  <r>
    <s v="Sports Direct"/>
    <n v="1128299"/>
    <d v="2021-08-13T00:00:00"/>
    <x v="0"/>
    <s v="Georgia"/>
    <s v="Atlanta"/>
    <s v="Men's Street Footwear"/>
    <n v="53"/>
    <n v="182"/>
    <x v="710"/>
    <x v="421"/>
    <s v="Online"/>
  </r>
  <r>
    <s v="Foot Locker"/>
    <n v="1185732"/>
    <d v="2021-04-06T00:00:00"/>
    <x v="0"/>
    <s v="South Carolina"/>
    <s v="Charleston"/>
    <s v="Men's Athletic Footwear"/>
    <n v="34"/>
    <n v="182"/>
    <x v="789"/>
    <x v="243"/>
    <s v="Online"/>
  </r>
  <r>
    <s v="Foot Locker"/>
    <n v="1185732"/>
    <d v="2021-04-06T00:00:00"/>
    <x v="0"/>
    <s v="South Carolina"/>
    <s v="Charleston"/>
    <s v="Women's Street Footwear"/>
    <n v="24"/>
    <n v="182"/>
    <x v="449"/>
    <x v="612"/>
    <s v="Online"/>
  </r>
  <r>
    <s v="Foot Locker"/>
    <n v="1185732"/>
    <d v="2021-05-05T00:00:00"/>
    <x v="0"/>
    <s v="South Carolina"/>
    <s v="Charleston"/>
    <s v="Women's Athletic Footwear"/>
    <n v="43"/>
    <n v="182"/>
    <x v="609"/>
    <x v="212"/>
    <s v="Online"/>
  </r>
  <r>
    <s v="Sports Direct"/>
    <n v="1185732"/>
    <d v="2021-05-02T00:00:00"/>
    <x v="0"/>
    <s v="North Carolina"/>
    <s v="Charlotte"/>
    <s v="Men's Athletic Footwear"/>
    <n v="42"/>
    <n v="182"/>
    <x v="682"/>
    <x v="691"/>
    <s v="Online"/>
  </r>
  <r>
    <s v="Sports Direct"/>
    <n v="1185732"/>
    <d v="2021-06-04T00:00:00"/>
    <x v="0"/>
    <s v="North Carolina"/>
    <s v="Charlotte"/>
    <s v="Men's Athletic Footwear"/>
    <n v="42"/>
    <n v="182"/>
    <x v="682"/>
    <x v="266"/>
    <s v="Online"/>
  </r>
  <r>
    <s v="Sports Direct"/>
    <n v="1185732"/>
    <d v="2021-07-02T00:00:00"/>
    <x v="0"/>
    <s v="North Carolina"/>
    <s v="Charlotte"/>
    <s v="Men's Apparel"/>
    <n v="59"/>
    <n v="182"/>
    <x v="777"/>
    <x v="341"/>
    <s v="Online"/>
  </r>
  <r>
    <s v="Sports Direct"/>
    <n v="1185732"/>
    <d v="2021-08-03T00:00:00"/>
    <x v="0"/>
    <s v="North Carolina"/>
    <s v="Charlotte"/>
    <s v="Women's Athletic Footwear"/>
    <n v="44"/>
    <n v="182"/>
    <x v="790"/>
    <x v="668"/>
    <s v="Online"/>
  </r>
  <r>
    <s v="Walmart"/>
    <n v="1197831"/>
    <d v="2021-09-19T00:00:00"/>
    <x v="1"/>
    <s v="Arkansas"/>
    <s v="Little Rock"/>
    <s v="Men's Street Footwear"/>
    <n v="48"/>
    <n v="182"/>
    <x v="598"/>
    <x v="468"/>
    <s v="Online"/>
  </r>
  <r>
    <s v="West Gear"/>
    <n v="1197831"/>
    <d v="2021-07-19T00:00:00"/>
    <x v="1"/>
    <s v="Oklahoma"/>
    <s v="Oklahoma City"/>
    <s v="Men's Street Footwear"/>
    <n v="50"/>
    <n v="182"/>
    <x v="776"/>
    <x v="47"/>
    <s v="Online"/>
  </r>
  <r>
    <s v="Kohl's"/>
    <n v="1197831"/>
    <d v="2021-07-12T00:00:00"/>
    <x v="2"/>
    <s v="Kansas"/>
    <s v="Wichita"/>
    <s v="Men's Street Footwear"/>
    <n v="51"/>
    <n v="182"/>
    <x v="376"/>
    <x v="340"/>
    <s v="Online"/>
  </r>
  <r>
    <s v="West Gear"/>
    <n v="1185732"/>
    <d v="2021-07-16T00:00:00"/>
    <x v="3"/>
    <s v="West Virginia"/>
    <s v="Charleston"/>
    <s v="Men's Street Footwear"/>
    <n v="55"/>
    <n v="182"/>
    <x v="173"/>
    <x v="527"/>
    <s v="Online"/>
  </r>
  <r>
    <s v="Foot Locker"/>
    <n v="1185732"/>
    <d v="2021-07-13T00:00:00"/>
    <x v="3"/>
    <s v="Delaware"/>
    <s v="Wilmington"/>
    <s v="Men's Street Footwear"/>
    <n v="53"/>
    <n v="182"/>
    <x v="710"/>
    <x v="84"/>
    <s v="Online"/>
  </r>
  <r>
    <s v="Amazon"/>
    <n v="1185732"/>
    <d v="2021-07-10T00:00:00"/>
    <x v="3"/>
    <s v="Vermont"/>
    <s v="Burlington"/>
    <s v="Men's Street Footwear"/>
    <n v="54"/>
    <n v="182"/>
    <x v="297"/>
    <x v="696"/>
    <s v="Online"/>
  </r>
  <r>
    <s v="West Gear"/>
    <n v="1128299"/>
    <d v="2021-01-04T00:00:00"/>
    <x v="4"/>
    <s v="California"/>
    <s v="San Francisco"/>
    <s v="Men's Apparel"/>
    <n v="49"/>
    <n v="182"/>
    <x v="783"/>
    <x v="443"/>
    <s v="Outlet"/>
  </r>
  <r>
    <s v="Kohl's"/>
    <n v="1189833"/>
    <d v="2021-03-10T00:00:00"/>
    <x v="4"/>
    <s v="California"/>
    <s v="San Francisco"/>
    <s v="Women's Athletic Footwear"/>
    <n v="33"/>
    <n v="182"/>
    <x v="438"/>
    <x v="697"/>
    <s v="Outlet"/>
  </r>
  <r>
    <s v="Sports Direct"/>
    <n v="1197831"/>
    <d v="2021-09-07T00:00:00"/>
    <x v="1"/>
    <s v="Texas"/>
    <s v="Dallas"/>
    <s v="Women's Athletic Footwear"/>
    <n v="27"/>
    <n v="182"/>
    <x v="791"/>
    <x v="656"/>
    <s v="Outlet"/>
  </r>
  <r>
    <s v="West Gear"/>
    <n v="1128299"/>
    <d v="2020-01-14T00:00:00"/>
    <x v="4"/>
    <s v="Nevada"/>
    <s v="Las Vegas"/>
    <s v="Men's Street Footwear"/>
    <n v="31"/>
    <n v="182"/>
    <x v="792"/>
    <x v="698"/>
    <s v="Outlet"/>
  </r>
  <r>
    <s v="West Gear"/>
    <n v="1128299"/>
    <d v="2020-02-02T00:00:00"/>
    <x v="4"/>
    <s v="Nevada"/>
    <s v="Las Vegas"/>
    <s v="Men's Athletic Footwear"/>
    <n v="51"/>
    <n v="182"/>
    <x v="376"/>
    <x v="699"/>
    <s v="Outlet"/>
  </r>
  <r>
    <s v="Sports Direct"/>
    <n v="1197831"/>
    <d v="2021-04-19T00:00:00"/>
    <x v="1"/>
    <s v="Tennessee"/>
    <s v="Knoxville"/>
    <s v="Men's Apparel"/>
    <n v="33"/>
    <n v="182"/>
    <x v="438"/>
    <x v="401"/>
    <s v="Outlet"/>
  </r>
  <r>
    <s v="West Gear"/>
    <n v="1185732"/>
    <d v="2021-07-10T00:00:00"/>
    <x v="4"/>
    <s v="Utah"/>
    <s v="Salt Lake City"/>
    <s v="Men's Athletic Footwear"/>
    <n v="20"/>
    <n v="182"/>
    <x v="646"/>
    <x v="700"/>
    <s v="Outlet"/>
  </r>
  <r>
    <s v="Kohl's"/>
    <n v="1128299"/>
    <d v="2021-10-26T00:00:00"/>
    <x v="4"/>
    <s v="New Mexico"/>
    <s v="Albuquerque"/>
    <s v="Men's Athletic Footwear"/>
    <n v="38"/>
    <n v="182"/>
    <x v="759"/>
    <x v="701"/>
    <s v="Outlet"/>
  </r>
  <r>
    <s v="West Gear"/>
    <n v="1197831"/>
    <d v="2021-03-19T00:00:00"/>
    <x v="1"/>
    <s v="Oklahoma"/>
    <s v="Oklahoma City"/>
    <s v="Men's Street Footwear"/>
    <n v="14"/>
    <n v="182"/>
    <x v="793"/>
    <x v="702"/>
    <s v="Outlet"/>
  </r>
  <r>
    <s v="Sports Direct"/>
    <n v="1185732"/>
    <d v="2021-03-03T00:00:00"/>
    <x v="3"/>
    <s v="Connecticut"/>
    <s v="Hartford"/>
    <s v="Men's Street Footwear"/>
    <n v="26"/>
    <n v="182"/>
    <x v="794"/>
    <x v="256"/>
    <s v="Outlet"/>
  </r>
  <r>
    <s v="Foot Locker"/>
    <n v="1185732"/>
    <d v="2021-08-07T00:00:00"/>
    <x v="3"/>
    <s v="Rhode Island"/>
    <s v="Providence"/>
    <s v="Men's Street Footwear"/>
    <n v="38"/>
    <n v="182"/>
    <x v="759"/>
    <x v="287"/>
    <s v="Outlet"/>
  </r>
  <r>
    <s v="Walmart"/>
    <n v="1197831"/>
    <d v="2020-09-08T00:00:00"/>
    <x v="1"/>
    <s v="Texas"/>
    <s v="Houston"/>
    <s v="Women's Athletic Footwear"/>
    <n v="47"/>
    <n v="181"/>
    <x v="487"/>
    <x v="395"/>
    <s v="Online"/>
  </r>
  <r>
    <s v="West Gear"/>
    <n v="1128299"/>
    <d v="2021-01-23T00:00:00"/>
    <x v="4"/>
    <s v="California"/>
    <s v="San Francisco"/>
    <s v="Women's Apparel"/>
    <n v="76"/>
    <n v="181"/>
    <x v="795"/>
    <x v="489"/>
    <s v="Online"/>
  </r>
  <r>
    <s v="Kohl's"/>
    <n v="1189833"/>
    <d v="2021-04-18T00:00:00"/>
    <x v="4"/>
    <s v="California"/>
    <s v="Los Angeles"/>
    <s v="Women's Apparel"/>
    <n v="64"/>
    <n v="181"/>
    <x v="114"/>
    <x v="266"/>
    <s v="Online"/>
  </r>
  <r>
    <s v="Sports Direct"/>
    <n v="1197831"/>
    <d v="2021-09-28T00:00:00"/>
    <x v="1"/>
    <s v="Texas"/>
    <s v="Dallas"/>
    <s v="Men's Street Footwear"/>
    <n v="53"/>
    <n v="181"/>
    <x v="746"/>
    <x v="268"/>
    <s v="Online"/>
  </r>
  <r>
    <s v="Sports Direct"/>
    <n v="1197831"/>
    <d v="2021-10-10T00:00:00"/>
    <x v="1"/>
    <s v="Texas"/>
    <s v="Dallas"/>
    <s v="Men's Street Footwear"/>
    <n v="38"/>
    <n v="181"/>
    <x v="796"/>
    <x v="532"/>
    <s v="Online"/>
  </r>
  <r>
    <s v="West Gear"/>
    <n v="1128299"/>
    <d v="2020-04-19T00:00:00"/>
    <x v="4"/>
    <s v="Colorado"/>
    <s v="Denver"/>
    <s v="Women's Apparel"/>
    <n v="83"/>
    <n v="181"/>
    <x v="687"/>
    <x v="616"/>
    <s v="Online"/>
  </r>
  <r>
    <s v="Sports Direct"/>
    <n v="1197831"/>
    <d v="2021-03-17T00:00:00"/>
    <x v="1"/>
    <s v="Tennessee"/>
    <s v="Knoxville"/>
    <s v="Men's Athletic Footwear"/>
    <n v="33"/>
    <n v="181"/>
    <x v="797"/>
    <x v="191"/>
    <s v="Online"/>
  </r>
  <r>
    <s v="Sports Direct"/>
    <n v="1197831"/>
    <d v="2021-04-26T00:00:00"/>
    <x v="1"/>
    <s v="Tennessee"/>
    <s v="Knoxville"/>
    <s v="Women's Apparel"/>
    <n v="53"/>
    <n v="181"/>
    <x v="746"/>
    <x v="567"/>
    <s v="Online"/>
  </r>
  <r>
    <s v="West Gear"/>
    <n v="1185732"/>
    <d v="2021-06-10T00:00:00"/>
    <x v="3"/>
    <s v="New York"/>
    <s v="Albany"/>
    <s v="Women's Apparel"/>
    <n v="69"/>
    <n v="181"/>
    <x v="798"/>
    <x v="703"/>
    <s v="Online"/>
  </r>
  <r>
    <s v="Sports Direct"/>
    <n v="1185732"/>
    <d v="2021-04-16T00:00:00"/>
    <x v="2"/>
    <s v="Michigan"/>
    <s v="Detroit"/>
    <s v="Men's Street Footwear"/>
    <n v="32"/>
    <n v="181"/>
    <x v="799"/>
    <x v="95"/>
    <s v="Online"/>
  </r>
  <r>
    <s v="West Gear"/>
    <n v="1185732"/>
    <d v="2021-04-11T00:00:00"/>
    <x v="4"/>
    <s v="Utah"/>
    <s v="Salt Lake City"/>
    <s v="Men's Street Footwear"/>
    <n v="27"/>
    <n v="181"/>
    <x v="800"/>
    <x v="704"/>
    <s v="Online"/>
  </r>
  <r>
    <s v="Sports Direct"/>
    <n v="1197831"/>
    <d v="2021-09-05T00:00:00"/>
    <x v="4"/>
    <s v="Idaho"/>
    <s v="Boise"/>
    <s v="Women's Apparel"/>
    <n v="49"/>
    <n v="181"/>
    <x v="96"/>
    <x v="226"/>
    <s v="Online"/>
  </r>
  <r>
    <s v="Foot Locker"/>
    <n v="1128299"/>
    <d v="2021-12-22T00:00:00"/>
    <x v="4"/>
    <s v="Arizona"/>
    <s v="Phoenix"/>
    <s v="Men's Street Footwear"/>
    <n v="44"/>
    <n v="181"/>
    <x v="511"/>
    <x v="244"/>
    <s v="Online"/>
  </r>
  <r>
    <s v="Foot Locker"/>
    <n v="1185732"/>
    <d v="2021-03-05T00:00:00"/>
    <x v="0"/>
    <s v="South Carolina"/>
    <s v="Charleston"/>
    <s v="Women's Street Footwear"/>
    <n v="24"/>
    <n v="181"/>
    <x v="801"/>
    <x v="705"/>
    <s v="Online"/>
  </r>
  <r>
    <s v="Foot Locker"/>
    <n v="1185732"/>
    <d v="2021-03-05T00:00:00"/>
    <x v="0"/>
    <s v="South Carolina"/>
    <s v="Charleston"/>
    <s v="Men's Apparel"/>
    <n v="41"/>
    <n v="181"/>
    <x v="608"/>
    <x v="466"/>
    <s v="Online"/>
  </r>
  <r>
    <s v="Sports Direct"/>
    <n v="1185732"/>
    <d v="2021-01-06T00:00:00"/>
    <x v="0"/>
    <s v="South Carolina"/>
    <s v="Charleston"/>
    <s v="Men's Athletic Footwear"/>
    <n v="34"/>
    <n v="181"/>
    <x v="802"/>
    <x v="263"/>
    <s v="Online"/>
  </r>
  <r>
    <s v="Sports Direct"/>
    <n v="1185732"/>
    <d v="2021-03-02T00:00:00"/>
    <x v="0"/>
    <s v="North Carolina"/>
    <s v="Charlotte"/>
    <s v="Women's Street Footwear"/>
    <n v="19"/>
    <n v="181"/>
    <x v="803"/>
    <x v="706"/>
    <s v="Online"/>
  </r>
  <r>
    <s v="Sports Direct"/>
    <n v="1185732"/>
    <d v="2021-09-02T00:00:00"/>
    <x v="0"/>
    <s v="North Carolina"/>
    <s v="Charlotte"/>
    <s v="Men's Athletic Footwear"/>
    <n v="49"/>
    <n v="181"/>
    <x v="96"/>
    <x v="275"/>
    <s v="Online"/>
  </r>
  <r>
    <s v="Amazon"/>
    <n v="1185732"/>
    <d v="2021-07-09T00:00:00"/>
    <x v="2"/>
    <s v="Ohio"/>
    <s v="Columbus"/>
    <s v="Women's Apparel"/>
    <n v="69"/>
    <n v="181"/>
    <x v="798"/>
    <x v="172"/>
    <s v="Online"/>
  </r>
  <r>
    <s v="Amazon"/>
    <n v="1185732"/>
    <d v="2021-12-09T00:00:00"/>
    <x v="2"/>
    <s v="Ohio"/>
    <s v="Columbus"/>
    <s v="Men's Athletic Footwear"/>
    <n v="60"/>
    <n v="181"/>
    <x v="768"/>
    <x v="687"/>
    <s v="Online"/>
  </r>
  <r>
    <s v="Walmart"/>
    <n v="1197831"/>
    <d v="2021-03-19T00:00:00"/>
    <x v="1"/>
    <s v="Arkansas"/>
    <s v="Little Rock"/>
    <s v="Men's Street Footwear"/>
    <n v="18"/>
    <n v="181"/>
    <x v="804"/>
    <x v="579"/>
    <s v="Online"/>
  </r>
  <r>
    <s v="Walmart"/>
    <n v="1197831"/>
    <d v="2021-05-19T00:00:00"/>
    <x v="1"/>
    <s v="Arkansas"/>
    <s v="Little Rock"/>
    <s v="Men's Street Footwear"/>
    <n v="39"/>
    <n v="181"/>
    <x v="681"/>
    <x v="155"/>
    <s v="Online"/>
  </r>
  <r>
    <s v="Kohl's"/>
    <n v="1189833"/>
    <d v="2021-02-14T00:00:00"/>
    <x v="2"/>
    <s v="Montana"/>
    <s v="Billings"/>
    <s v="Men's Street Footwear"/>
    <n v="41"/>
    <n v="180"/>
    <x v="805"/>
    <x v="208"/>
    <s v="Online"/>
  </r>
  <r>
    <s v="Sports Direct"/>
    <n v="1197831"/>
    <d v="2021-04-05T00:00:00"/>
    <x v="1"/>
    <s v="Tennessee"/>
    <s v="Knoxville"/>
    <s v="Women's Street Footwear"/>
    <n v="19"/>
    <n v="180"/>
    <x v="806"/>
    <x v="642"/>
    <s v="Online"/>
  </r>
  <r>
    <s v="Sports Direct"/>
    <n v="1197831"/>
    <d v="2021-09-03T00:00:00"/>
    <x v="1"/>
    <s v="Alabama"/>
    <s v="Birmingham"/>
    <s v="Women's Athletic Footwear"/>
    <n v="41"/>
    <n v="180"/>
    <x v="805"/>
    <x v="707"/>
    <s v="Online"/>
  </r>
  <r>
    <s v="Foot Locker"/>
    <n v="1128299"/>
    <d v="2021-06-10T00:00:00"/>
    <x v="4"/>
    <s v="Hawaii"/>
    <s v="Honolulu"/>
    <s v="Women's Street Footwear"/>
    <n v="71"/>
    <n v="180"/>
    <x v="194"/>
    <x v="394"/>
    <s v="Online"/>
  </r>
  <r>
    <s v="Walmart"/>
    <n v="1128299"/>
    <d v="2021-07-16T00:00:00"/>
    <x v="0"/>
    <s v="Florida"/>
    <s v="Orlando"/>
    <s v="Women's Athletic Footwear"/>
    <n v="82"/>
    <n v="180"/>
    <x v="807"/>
    <x v="472"/>
    <s v="Online"/>
  </r>
  <r>
    <s v="West Gear"/>
    <n v="1128299"/>
    <d v="2021-12-16T00:00:00"/>
    <x v="0"/>
    <s v="Florida"/>
    <s v="Orlando"/>
    <s v="Women's Athletic Footwear"/>
    <n v="78"/>
    <n v="180"/>
    <x v="808"/>
    <x v="97"/>
    <s v="Online"/>
  </r>
  <r>
    <s v="Foot Locker"/>
    <n v="1128299"/>
    <d v="2021-07-23T00:00:00"/>
    <x v="0"/>
    <s v="Virginia"/>
    <s v="Richmond"/>
    <s v="Women's Apparel"/>
    <n v="96"/>
    <n v="180"/>
    <x v="809"/>
    <x v="209"/>
    <s v="Online"/>
  </r>
  <r>
    <s v="Foot Locker"/>
    <n v="1185732"/>
    <d v="2021-05-19T00:00:00"/>
    <x v="2"/>
    <s v="Missouri"/>
    <s v="St. Louis"/>
    <s v="Men's Street Footwear"/>
    <n v="39"/>
    <n v="180"/>
    <x v="212"/>
    <x v="515"/>
    <s v="Online"/>
  </r>
  <r>
    <s v="Kohl's"/>
    <n v="1128299"/>
    <d v="2021-07-25T00:00:00"/>
    <x v="4"/>
    <s v="New Mexico"/>
    <s v="Albuquerque"/>
    <s v="Men's Athletic Footwear"/>
    <n v="56"/>
    <n v="180"/>
    <x v="164"/>
    <x v="124"/>
    <s v="Online"/>
  </r>
  <r>
    <s v="Sports Direct"/>
    <n v="1128299"/>
    <d v="2021-09-14T00:00:00"/>
    <x v="0"/>
    <s v="Georgia"/>
    <s v="Atlanta"/>
    <s v="Men's Street Footwear"/>
    <n v="43"/>
    <n v="180"/>
    <x v="512"/>
    <x v="569"/>
    <s v="Online"/>
  </r>
  <r>
    <s v="Foot Locker"/>
    <n v="1185732"/>
    <d v="2021-04-06T00:00:00"/>
    <x v="0"/>
    <s v="South Carolina"/>
    <s v="Charleston"/>
    <s v="Women's Athletic Footwear"/>
    <n v="27"/>
    <n v="180"/>
    <x v="810"/>
    <x v="306"/>
    <s v="Online"/>
  </r>
  <r>
    <s v="Sports Direct"/>
    <n v="1185732"/>
    <d v="2021-02-04T00:00:00"/>
    <x v="0"/>
    <s v="North Carolina"/>
    <s v="Charlotte"/>
    <s v="Men's Apparel"/>
    <n v="44"/>
    <n v="180"/>
    <x v="224"/>
    <x v="186"/>
    <s v="Online"/>
  </r>
  <r>
    <s v="Kohl's"/>
    <n v="1185732"/>
    <d v="2021-08-07T00:00:00"/>
    <x v="3"/>
    <s v="New Jersey"/>
    <s v="Newark"/>
    <s v="Men's Street Footwear"/>
    <n v="47"/>
    <n v="180"/>
    <x v="750"/>
    <x v="109"/>
    <s v="Online"/>
  </r>
  <r>
    <s v="Amazon"/>
    <n v="1185732"/>
    <d v="2021-02-19T00:00:00"/>
    <x v="3"/>
    <s v="Vermont"/>
    <s v="Burlington"/>
    <s v="Men's Street Footwear"/>
    <n v="49"/>
    <n v="180"/>
    <x v="78"/>
    <x v="104"/>
    <s v="Online"/>
  </r>
  <r>
    <s v="Walmart"/>
    <n v="1197831"/>
    <d v="2020-08-16T00:00:00"/>
    <x v="1"/>
    <s v="Texas"/>
    <s v="Houston"/>
    <s v="Men's Apparel"/>
    <n v="35"/>
    <n v="180"/>
    <x v="477"/>
    <x v="666"/>
    <s v="Outlet"/>
  </r>
  <r>
    <s v="West Gear"/>
    <n v="1128299"/>
    <d v="2020-02-20T00:00:00"/>
    <x v="4"/>
    <s v="Nevada"/>
    <s v="Las Vegas"/>
    <s v="Men's Athletic Footwear"/>
    <n v="51"/>
    <n v="180"/>
    <x v="214"/>
    <x v="633"/>
    <s v="Outlet"/>
  </r>
  <r>
    <s v="West Gear"/>
    <n v="1128299"/>
    <d v="2021-11-17T00:00:00"/>
    <x v="1"/>
    <s v="Louisiana"/>
    <s v="New Orleans"/>
    <s v="Women's Apparel"/>
    <n v="64"/>
    <n v="180"/>
    <x v="69"/>
    <x v="156"/>
    <s v="Outlet"/>
  </r>
  <r>
    <s v="Foot Locker"/>
    <n v="1197831"/>
    <d v="2021-02-04T00:00:00"/>
    <x v="1"/>
    <s v="Louisiana"/>
    <s v="New Orleans"/>
    <s v="Men's Athletic Footwear"/>
    <n v="28"/>
    <n v="180"/>
    <x v="522"/>
    <x v="612"/>
    <s v="Outlet"/>
  </r>
  <r>
    <s v="Kohl's"/>
    <n v="1128299"/>
    <d v="2021-11-26T00:00:00"/>
    <x v="4"/>
    <s v="New Mexico"/>
    <s v="Albuquerque"/>
    <s v="Men's Athletic Footwear"/>
    <n v="44"/>
    <n v="180"/>
    <x v="224"/>
    <x v="250"/>
    <s v="Outlet"/>
  </r>
  <r>
    <s v="Walmart"/>
    <n v="1197831"/>
    <d v="2021-10-21T00:00:00"/>
    <x v="1"/>
    <s v="Arkansas"/>
    <s v="Little Rock"/>
    <s v="Men's Street Footwear"/>
    <n v="21"/>
    <n v="180"/>
    <x v="569"/>
    <x v="708"/>
    <s v="Outlet"/>
  </r>
  <r>
    <s v="Sports Direct"/>
    <n v="1185732"/>
    <d v="2021-07-13T00:00:00"/>
    <x v="3"/>
    <s v="Massachusetts"/>
    <s v="Boston"/>
    <s v="Men's Street Footwear"/>
    <n v="37"/>
    <n v="180"/>
    <x v="271"/>
    <x v="580"/>
    <s v="Outlet"/>
  </r>
  <r>
    <s v="West Gear"/>
    <n v="1185732"/>
    <d v="2021-05-18T00:00:00"/>
    <x v="3"/>
    <s v="West Virginia"/>
    <s v="Charleston"/>
    <s v="Men's Street Footwear"/>
    <n v="58"/>
    <n v="179"/>
    <x v="811"/>
    <x v="681"/>
    <s v="Online"/>
  </r>
  <r>
    <s v="Walmart"/>
    <n v="1197831"/>
    <d v="2020-08-10T00:00:00"/>
    <x v="1"/>
    <s v="Texas"/>
    <s v="Houston"/>
    <s v="Men's Apparel"/>
    <n v="34"/>
    <n v="179"/>
    <x v="577"/>
    <x v="439"/>
    <s v="Outlet"/>
  </r>
  <r>
    <s v="Kohl's"/>
    <n v="1189833"/>
    <d v="2021-03-16T00:00:00"/>
    <x v="4"/>
    <s v="California"/>
    <s v="Los Angeles"/>
    <s v="Women's Athletic Footwear"/>
    <n v="34"/>
    <n v="179"/>
    <x v="577"/>
    <x v="485"/>
    <s v="Outlet"/>
  </r>
  <r>
    <s v="Sports Direct"/>
    <n v="1197831"/>
    <d v="2021-08-31T00:00:00"/>
    <x v="1"/>
    <s v="Texas"/>
    <s v="Dallas"/>
    <s v="Women's Street Footwear"/>
    <n v="20"/>
    <n v="179"/>
    <x v="812"/>
    <x v="445"/>
    <s v="Outlet"/>
  </r>
  <r>
    <s v="Foot Locker"/>
    <n v="1185732"/>
    <d v="2021-12-03T00:00:00"/>
    <x v="3"/>
    <s v="Pennsylvania"/>
    <s v="Philadelphia"/>
    <s v="Men's Street Footwear"/>
    <n v="51"/>
    <n v="179"/>
    <x v="813"/>
    <x v="147"/>
    <s v="Outlet"/>
  </r>
  <r>
    <s v="West Gear"/>
    <n v="1128299"/>
    <d v="2020-02-15T00:00:00"/>
    <x v="4"/>
    <s v="Nevada"/>
    <s v="Las Vegas"/>
    <s v="Women's Street Footwear"/>
    <n v="44"/>
    <n v="179"/>
    <x v="479"/>
    <x v="154"/>
    <s v="Outlet"/>
  </r>
  <r>
    <s v="Sports Direct"/>
    <n v="1197831"/>
    <d v="2021-04-06T00:00:00"/>
    <x v="1"/>
    <s v="Tennessee"/>
    <s v="Knoxville"/>
    <s v="Women's Athletic Footwear"/>
    <n v="20"/>
    <n v="179"/>
    <x v="812"/>
    <x v="709"/>
    <s v="Outlet"/>
  </r>
  <r>
    <s v="Sports Direct"/>
    <n v="1197831"/>
    <d v="2021-05-08T00:00:00"/>
    <x v="1"/>
    <s v="Tennessee"/>
    <s v="Knoxville"/>
    <s v="Women's Apparel"/>
    <n v="29"/>
    <n v="179"/>
    <x v="814"/>
    <x v="95"/>
    <s v="Outlet"/>
  </r>
  <r>
    <s v="Sports Direct"/>
    <n v="1197831"/>
    <d v="2021-09-10T00:00:00"/>
    <x v="1"/>
    <s v="Alabama"/>
    <s v="Birmingham"/>
    <s v="Men's Apparel"/>
    <n v="35"/>
    <n v="179"/>
    <x v="484"/>
    <x v="483"/>
    <s v="Outlet"/>
  </r>
  <r>
    <s v="West Gear"/>
    <n v="1128299"/>
    <d v="2021-12-16T00:00:00"/>
    <x v="0"/>
    <s v="Florida"/>
    <s v="Orlando"/>
    <s v="Men's Apparel"/>
    <n v="64"/>
    <n v="179"/>
    <x v="815"/>
    <x v="380"/>
    <s v="Outlet"/>
  </r>
  <r>
    <s v="West Gear"/>
    <n v="1185732"/>
    <d v="2021-08-11T00:00:00"/>
    <x v="4"/>
    <s v="Utah"/>
    <s v="Salt Lake City"/>
    <s v="Men's Athletic Footwear"/>
    <n v="28"/>
    <n v="179"/>
    <x v="529"/>
    <x v="233"/>
    <s v="Outlet"/>
  </r>
  <r>
    <s v="West Gear"/>
    <n v="1128299"/>
    <d v="2021-06-24T00:00:00"/>
    <x v="4"/>
    <s v="Oregon"/>
    <s v="Portland"/>
    <s v="Women's Athletic Footwear"/>
    <n v="62"/>
    <n v="179"/>
    <x v="788"/>
    <x v="334"/>
    <s v="Outlet"/>
  </r>
  <r>
    <s v="West Gear"/>
    <n v="1128299"/>
    <d v="2021-10-24T00:00:00"/>
    <x v="4"/>
    <s v="Oregon"/>
    <s v="Portland"/>
    <s v="Men's Athletic Footwear"/>
    <n v="37"/>
    <n v="179"/>
    <x v="816"/>
    <x v="543"/>
    <s v="Outlet"/>
  </r>
  <r>
    <s v="West Gear"/>
    <n v="1128299"/>
    <d v="2021-03-16T00:00:00"/>
    <x v="1"/>
    <s v="Louisiana"/>
    <s v="New Orleans"/>
    <s v="Men's Street Footwear"/>
    <n v="29"/>
    <n v="179"/>
    <x v="814"/>
    <x v="665"/>
    <s v="Outlet"/>
  </r>
  <r>
    <s v="Sports Direct"/>
    <n v="1197831"/>
    <d v="2021-10-04T00:00:00"/>
    <x v="4"/>
    <s v="Idaho"/>
    <s v="Boise"/>
    <s v="Women's Street Footwear"/>
    <n v="31"/>
    <n v="179"/>
    <x v="817"/>
    <x v="528"/>
    <s v="Outlet"/>
  </r>
  <r>
    <s v="Sports Direct"/>
    <n v="1197831"/>
    <d v="2021-10-04T00:00:00"/>
    <x v="4"/>
    <s v="Idaho"/>
    <s v="Boise"/>
    <s v="Women's Apparel"/>
    <n v="34"/>
    <n v="179"/>
    <x v="577"/>
    <x v="266"/>
    <s v="Outlet"/>
  </r>
  <r>
    <s v="Sports Direct"/>
    <n v="1128299"/>
    <d v="2021-04-13T00:00:00"/>
    <x v="0"/>
    <s v="Georgia"/>
    <s v="Atlanta"/>
    <s v="Men's Street Footwear"/>
    <n v="37"/>
    <n v="179"/>
    <x v="816"/>
    <x v="243"/>
    <s v="Outlet"/>
  </r>
  <r>
    <s v="Walmart"/>
    <n v="1185732"/>
    <d v="2021-08-17T00:00:00"/>
    <x v="1"/>
    <s v="Mississippi"/>
    <s v="Jackson"/>
    <s v="Women's Street Footwear"/>
    <n v="37"/>
    <n v="179"/>
    <x v="816"/>
    <x v="406"/>
    <s v="Outlet"/>
  </r>
  <r>
    <s v="West Gear"/>
    <n v="1197831"/>
    <d v="2021-05-19T00:00:00"/>
    <x v="1"/>
    <s v="Oklahoma"/>
    <s v="Oklahoma City"/>
    <s v="Men's Street Footwear"/>
    <n v="28"/>
    <n v="179"/>
    <x v="529"/>
    <x v="482"/>
    <s v="Outlet"/>
  </r>
  <r>
    <s v="Amazon"/>
    <n v="1185732"/>
    <d v="2021-01-14T00:00:00"/>
    <x v="3"/>
    <s v="Massachusetts"/>
    <s v="Boston"/>
    <s v="Men's Street Footwear"/>
    <n v="35"/>
    <n v="179"/>
    <x v="484"/>
    <x v="483"/>
    <s v="Outlet"/>
  </r>
  <r>
    <s v="Amazon"/>
    <n v="1185732"/>
    <d v="2021-09-10T00:00:00"/>
    <x v="3"/>
    <s v="Vermont"/>
    <s v="Burlington"/>
    <s v="Men's Street Footwear"/>
    <n v="44"/>
    <n v="179"/>
    <x v="479"/>
    <x v="605"/>
    <s v="Outlet"/>
  </r>
  <r>
    <s v="Sports Direct"/>
    <n v="1197831"/>
    <d v="2021-05-04T00:00:00"/>
    <x v="1"/>
    <s v="Tennessee"/>
    <s v="Knoxville"/>
    <s v="Men's Athletic Footwear"/>
    <n v="25"/>
    <n v="178"/>
    <x v="818"/>
    <x v="710"/>
    <s v="Outlet"/>
  </r>
  <r>
    <s v="West Gear"/>
    <n v="1128299"/>
    <d v="2021-05-18T00:00:00"/>
    <x v="1"/>
    <s v="Louisiana"/>
    <s v="New Orleans"/>
    <s v="Women's Apparel"/>
    <n v="46"/>
    <n v="178"/>
    <x v="574"/>
    <x v="264"/>
    <s v="Outlet"/>
  </r>
  <r>
    <s v="Sports Direct"/>
    <n v="1185732"/>
    <d v="2021-12-16T00:00:00"/>
    <x v="1"/>
    <s v="Mississippi"/>
    <s v="Jackson"/>
    <s v="Women's Apparel"/>
    <n v="53"/>
    <n v="178"/>
    <x v="450"/>
    <x v="503"/>
    <s v="Outlet"/>
  </r>
  <r>
    <s v="West Gear"/>
    <n v="1197831"/>
    <d v="2021-01-23T00:00:00"/>
    <x v="1"/>
    <s v="Arkansas"/>
    <s v="Little Rock"/>
    <s v="Men's Street Footwear"/>
    <n v="17"/>
    <n v="178"/>
    <x v="412"/>
    <x v="700"/>
    <s v="Outlet"/>
  </r>
  <r>
    <s v="Amazon"/>
    <n v="1185732"/>
    <d v="2021-12-13T00:00:00"/>
    <x v="3"/>
    <s v="Massachusetts"/>
    <s v="Boston"/>
    <s v="Men's Street Footwear"/>
    <n v="51"/>
    <n v="178"/>
    <x v="819"/>
    <x v="507"/>
    <s v="Outlet"/>
  </r>
  <r>
    <s v="Amazon"/>
    <n v="1185732"/>
    <d v="2021-05-10T00:00:00"/>
    <x v="3"/>
    <s v="Vermont"/>
    <s v="Burlington"/>
    <s v="Men's Street Footwear"/>
    <n v="48"/>
    <n v="177"/>
    <x v="533"/>
    <x v="286"/>
    <s v="Outlet"/>
  </r>
  <r>
    <s v="Sports Direct"/>
    <n v="1197831"/>
    <d v="2020-07-27T00:00:00"/>
    <x v="1"/>
    <s v="Texas"/>
    <s v="Houston"/>
    <s v="Women's Street Footwear"/>
    <n v="32"/>
    <n v="176"/>
    <x v="649"/>
    <x v="356"/>
    <s v="Online"/>
  </r>
  <r>
    <s v="Kohl's"/>
    <n v="1189833"/>
    <d v="2021-03-18T00:00:00"/>
    <x v="4"/>
    <s v="California"/>
    <s v="Los Angeles"/>
    <s v="Women's Apparel"/>
    <n v="41"/>
    <n v="176"/>
    <x v="418"/>
    <x v="482"/>
    <s v="Online"/>
  </r>
  <r>
    <s v="Kohl's"/>
    <n v="1189833"/>
    <d v="2021-05-10T00:00:00"/>
    <x v="4"/>
    <s v="California"/>
    <s v="Los Angeles"/>
    <s v="Women's Athletic Footwear"/>
    <n v="46"/>
    <n v="176"/>
    <x v="771"/>
    <x v="86"/>
    <s v="Online"/>
  </r>
  <r>
    <s v="Kohl's"/>
    <n v="1189833"/>
    <d v="2021-05-15T00:00:00"/>
    <x v="4"/>
    <s v="California"/>
    <s v="Los Angeles"/>
    <s v="Women's Street Footwear"/>
    <n v="49"/>
    <n v="176"/>
    <x v="416"/>
    <x v="400"/>
    <s v="Online"/>
  </r>
  <r>
    <s v="Kohl's"/>
    <n v="1189833"/>
    <d v="2021-05-18T00:00:00"/>
    <x v="4"/>
    <s v="California"/>
    <s v="Los Angeles"/>
    <s v="Women's Apparel"/>
    <n v="62"/>
    <n v="176"/>
    <x v="820"/>
    <x v="122"/>
    <s v="Online"/>
  </r>
  <r>
    <s v="Kohl's"/>
    <n v="1189833"/>
    <d v="2021-05-22T00:00:00"/>
    <x v="4"/>
    <s v="California"/>
    <s v="Los Angeles"/>
    <s v="Women's Athletic Footwear"/>
    <n v="47"/>
    <n v="176"/>
    <x v="751"/>
    <x v="284"/>
    <s v="Online"/>
  </r>
  <r>
    <s v="Sports Direct"/>
    <n v="1197831"/>
    <d v="2021-08-17T00:00:00"/>
    <x v="1"/>
    <s v="Texas"/>
    <s v="Dallas"/>
    <s v="Men's Street Footwear"/>
    <n v="23"/>
    <n v="176"/>
    <x v="821"/>
    <x v="596"/>
    <s v="Online"/>
  </r>
  <r>
    <s v="Sports Direct"/>
    <n v="1197831"/>
    <d v="2021-09-12T00:00:00"/>
    <x v="1"/>
    <s v="Texas"/>
    <s v="Dallas"/>
    <s v="Women's Street Footwear"/>
    <n v="44"/>
    <n v="176"/>
    <x v="512"/>
    <x v="88"/>
    <s v="Online"/>
  </r>
  <r>
    <s v="Sports Direct"/>
    <n v="1197831"/>
    <d v="2021-09-29T00:00:00"/>
    <x v="1"/>
    <s v="Texas"/>
    <s v="Dallas"/>
    <s v="Men's Athletic Footwear"/>
    <n v="54"/>
    <n v="176"/>
    <x v="545"/>
    <x v="411"/>
    <s v="Online"/>
  </r>
  <r>
    <s v="Sports Direct"/>
    <n v="1197831"/>
    <d v="2021-10-12T00:00:00"/>
    <x v="1"/>
    <s v="Texas"/>
    <s v="Dallas"/>
    <s v="Women's Street Footwear"/>
    <n v="63"/>
    <n v="176"/>
    <x v="233"/>
    <x v="327"/>
    <s v="Online"/>
  </r>
  <r>
    <s v="Sports Direct"/>
    <n v="1197831"/>
    <d v="2021-10-15T00:00:00"/>
    <x v="1"/>
    <s v="Texas"/>
    <s v="Dallas"/>
    <s v="Women's Apparel"/>
    <n v="67"/>
    <n v="176"/>
    <x v="822"/>
    <x v="711"/>
    <s v="Online"/>
  </r>
  <r>
    <s v="Sports Direct"/>
    <n v="1197831"/>
    <d v="2021-03-29T00:00:00"/>
    <x v="1"/>
    <s v="Tennessee"/>
    <s v="Knoxville"/>
    <s v="Men's Athletic Footwear"/>
    <n v="24"/>
    <n v="176"/>
    <x v="823"/>
    <x v="283"/>
    <s v="Online"/>
  </r>
  <r>
    <s v="West Gear"/>
    <n v="1185732"/>
    <d v="2021-01-12T00:00:00"/>
    <x v="0"/>
    <s v="Florida"/>
    <s v="Orlando"/>
    <s v="Women's Apparel"/>
    <n v="44"/>
    <n v="176"/>
    <x v="512"/>
    <x v="576"/>
    <s v="Online"/>
  </r>
  <r>
    <s v="West Gear"/>
    <n v="1185732"/>
    <d v="2021-11-09T00:00:00"/>
    <x v="3"/>
    <s v="New York"/>
    <s v="Albany"/>
    <s v="Women's Apparel"/>
    <n v="68"/>
    <n v="176"/>
    <x v="824"/>
    <x v="711"/>
    <s v="Online"/>
  </r>
  <r>
    <s v="Foot Locker"/>
    <n v="1128299"/>
    <d v="2021-06-24T00:00:00"/>
    <x v="0"/>
    <s v="Virginia"/>
    <s v="Richmond"/>
    <s v="Men's Athletic Footwear"/>
    <n v="62"/>
    <n v="176"/>
    <x v="820"/>
    <x v="110"/>
    <s v="Online"/>
  </r>
  <r>
    <s v="Sports Direct"/>
    <n v="1185732"/>
    <d v="2021-08-16T00:00:00"/>
    <x v="2"/>
    <s v="Michigan"/>
    <s v="Detroit"/>
    <s v="Women's Apparel"/>
    <n v="45"/>
    <n v="176"/>
    <x v="224"/>
    <x v="298"/>
    <s v="Online"/>
  </r>
  <r>
    <s v="Sports Direct"/>
    <n v="1185732"/>
    <d v="2021-12-15T00:00:00"/>
    <x v="2"/>
    <s v="Michigan"/>
    <s v="Detroit"/>
    <s v="Men's Athletic Footwear"/>
    <n v="46"/>
    <n v="176"/>
    <x v="771"/>
    <x v="135"/>
    <s v="Online"/>
  </r>
  <r>
    <s v="Sports Direct"/>
    <n v="1197831"/>
    <d v="2021-09-05T00:00:00"/>
    <x v="4"/>
    <s v="Idaho"/>
    <s v="Boise"/>
    <s v="Men's Street Footwear"/>
    <n v="50"/>
    <n v="176"/>
    <x v="666"/>
    <x v="400"/>
    <s v="Online"/>
  </r>
  <r>
    <s v="Foot Locker"/>
    <n v="1197831"/>
    <d v="2021-12-04T00:00:00"/>
    <x v="4"/>
    <s v="Idaho"/>
    <s v="Boise"/>
    <s v="Women's Street Footwear"/>
    <n v="56"/>
    <n v="176"/>
    <x v="825"/>
    <x v="91"/>
    <s v="Online"/>
  </r>
  <r>
    <s v="Kohl's"/>
    <n v="1128299"/>
    <d v="2021-08-26T00:00:00"/>
    <x v="4"/>
    <s v="New Mexico"/>
    <s v="Albuquerque"/>
    <s v="Men's Athletic Footwear"/>
    <n v="60"/>
    <n v="176"/>
    <x v="357"/>
    <x v="478"/>
    <s v="Online"/>
  </r>
  <r>
    <s v="Sports Direct"/>
    <n v="1128299"/>
    <d v="2021-06-13T00:00:00"/>
    <x v="0"/>
    <s v="Georgia"/>
    <s v="Atlanta"/>
    <s v="Men's Street Footwear"/>
    <n v="46"/>
    <n v="176"/>
    <x v="771"/>
    <x v="135"/>
    <s v="Online"/>
  </r>
  <r>
    <s v="Foot Locker"/>
    <n v="1185732"/>
    <d v="2021-10-07T00:00:00"/>
    <x v="0"/>
    <s v="South Carolina"/>
    <s v="Charleston"/>
    <s v="Women's Street Footwear"/>
    <n v="41"/>
    <n v="176"/>
    <x v="418"/>
    <x v="246"/>
    <s v="Online"/>
  </r>
  <r>
    <s v="Foot Locker"/>
    <n v="1185732"/>
    <d v="2021-10-07T00:00:00"/>
    <x v="0"/>
    <s v="South Carolina"/>
    <s v="Charleston"/>
    <s v="Women's Athletic Footwear"/>
    <n v="41"/>
    <n v="176"/>
    <x v="418"/>
    <x v="366"/>
    <s v="Online"/>
  </r>
  <r>
    <s v="Sports Direct"/>
    <n v="1185732"/>
    <d v="2021-08-03T00:00:00"/>
    <x v="0"/>
    <s v="North Carolina"/>
    <s v="Charlotte"/>
    <s v="Men's Apparel"/>
    <n v="53"/>
    <n v="176"/>
    <x v="826"/>
    <x v="75"/>
    <s v="Online"/>
  </r>
  <r>
    <s v="Sports Direct"/>
    <n v="1185732"/>
    <d v="2021-10-04T00:00:00"/>
    <x v="0"/>
    <s v="North Carolina"/>
    <s v="Charlotte"/>
    <s v="Women's Apparel"/>
    <n v="48"/>
    <n v="176"/>
    <x v="827"/>
    <x v="174"/>
    <s v="Online"/>
  </r>
  <r>
    <s v="Walmart"/>
    <n v="1185732"/>
    <d v="2021-07-16T00:00:00"/>
    <x v="1"/>
    <s v="Mississippi"/>
    <s v="Jackson"/>
    <s v="Women's Apparel"/>
    <n v="61"/>
    <n v="176"/>
    <x v="777"/>
    <x v="712"/>
    <s v="Online"/>
  </r>
  <r>
    <s v="Walmart"/>
    <n v="1185732"/>
    <d v="2021-10-18T00:00:00"/>
    <x v="1"/>
    <s v="Mississippi"/>
    <s v="Jackson"/>
    <s v="Men's Street Footwear"/>
    <n v="32"/>
    <n v="176"/>
    <x v="649"/>
    <x v="609"/>
    <s v="Online"/>
  </r>
  <r>
    <s v="Sports Direct"/>
    <n v="1197831"/>
    <d v="2021-01-23T00:00:00"/>
    <x v="1"/>
    <s v="Mississippi"/>
    <s v="Jackson"/>
    <s v="Men's Street Footwear"/>
    <n v="24"/>
    <n v="176"/>
    <x v="823"/>
    <x v="283"/>
    <s v="Online"/>
  </r>
  <r>
    <s v="Foot Locker"/>
    <n v="1185732"/>
    <d v="2021-12-16T00:00:00"/>
    <x v="3"/>
    <s v="West Virginia"/>
    <s v="Charleston"/>
    <s v="Men's Street Footwear"/>
    <n v="60"/>
    <n v="176"/>
    <x v="357"/>
    <x v="478"/>
    <s v="Online"/>
  </r>
  <r>
    <s v="Amazon"/>
    <n v="1185732"/>
    <d v="2021-08-11T00:00:00"/>
    <x v="3"/>
    <s v="Vermont"/>
    <s v="Burlington"/>
    <s v="Men's Street Footwear"/>
    <n v="58"/>
    <n v="176"/>
    <x v="177"/>
    <x v="497"/>
    <s v="Online"/>
  </r>
  <r>
    <s v="Sports Direct"/>
    <n v="1197831"/>
    <d v="2020-07-23T00:00:00"/>
    <x v="1"/>
    <s v="Texas"/>
    <s v="Houston"/>
    <s v="Men's Apparel"/>
    <n v="26"/>
    <n v="176"/>
    <x v="828"/>
    <x v="347"/>
    <s v="Outlet"/>
  </r>
  <r>
    <s v="Kohl's"/>
    <n v="1189833"/>
    <d v="2021-03-22T00:00:00"/>
    <x v="4"/>
    <s v="California"/>
    <s v="Los Angeles"/>
    <s v="Women's Athletic Footwear"/>
    <n v="36"/>
    <n v="176"/>
    <x v="228"/>
    <x v="634"/>
    <s v="Outlet"/>
  </r>
  <r>
    <s v="West Gear"/>
    <n v="1128299"/>
    <d v="2020-02-03T00:00:00"/>
    <x v="4"/>
    <s v="Nevada"/>
    <s v="Las Vegas"/>
    <s v="Women's Street Footwear"/>
    <n v="46"/>
    <n v="176"/>
    <x v="771"/>
    <x v="620"/>
    <s v="Outlet"/>
  </r>
  <r>
    <s v="Sports Direct"/>
    <n v="1197831"/>
    <d v="2021-05-18T00:00:00"/>
    <x v="1"/>
    <s v="Tennessee"/>
    <s v="Knoxville"/>
    <s v="Women's Athletic Footwear"/>
    <n v="44"/>
    <n v="176"/>
    <x v="512"/>
    <x v="583"/>
    <s v="Outlet"/>
  </r>
  <r>
    <s v="Foot Locker"/>
    <n v="1128299"/>
    <d v="2021-11-24T00:00:00"/>
    <x v="0"/>
    <s v="Virginia"/>
    <s v="Richmond"/>
    <s v="Women's Apparel"/>
    <n v="60"/>
    <n v="176"/>
    <x v="357"/>
    <x v="95"/>
    <s v="Outlet"/>
  </r>
  <r>
    <s v="Sports Direct"/>
    <n v="1128299"/>
    <d v="2021-12-23T00:00:00"/>
    <x v="0"/>
    <s v="Virginia"/>
    <s v="Richmond"/>
    <s v="Women's Athletic Footwear"/>
    <n v="51"/>
    <n v="176"/>
    <x v="234"/>
    <x v="231"/>
    <s v="Outlet"/>
  </r>
  <r>
    <s v="Sports Direct"/>
    <n v="1185732"/>
    <d v="2021-01-19T00:00:00"/>
    <x v="0"/>
    <s v="Virginia"/>
    <s v="Richmond"/>
    <s v="Women's Street Footwear"/>
    <n v="18"/>
    <n v="176"/>
    <x v="829"/>
    <x v="713"/>
    <s v="Outlet"/>
  </r>
  <r>
    <s v="West Gear"/>
    <n v="1128299"/>
    <d v="2021-05-18T00:00:00"/>
    <x v="1"/>
    <s v="Louisiana"/>
    <s v="New Orleans"/>
    <s v="Men's Street Footwear"/>
    <n v="32"/>
    <n v="176"/>
    <x v="649"/>
    <x v="655"/>
    <s v="Outlet"/>
  </r>
  <r>
    <s v="West Gear"/>
    <n v="1197831"/>
    <d v="2021-04-05T00:00:00"/>
    <x v="4"/>
    <s v="Idaho"/>
    <s v="Boise"/>
    <s v="Women's Apparel"/>
    <n v="23"/>
    <n v="176"/>
    <x v="821"/>
    <x v="618"/>
    <s v="Outlet"/>
  </r>
  <r>
    <s v="Kohl's"/>
    <n v="1128299"/>
    <d v="2021-11-26T00:00:00"/>
    <x v="4"/>
    <s v="New Mexico"/>
    <s v="Albuquerque"/>
    <s v="Men's Street Footwear"/>
    <n v="47"/>
    <n v="176"/>
    <x v="751"/>
    <x v="142"/>
    <s v="Outlet"/>
  </r>
  <r>
    <s v="West Gear"/>
    <n v="1197831"/>
    <d v="2021-11-20T00:00:00"/>
    <x v="1"/>
    <s v="Arkansas"/>
    <s v="Little Rock"/>
    <s v="Men's Street Footwear"/>
    <n v="18"/>
    <n v="176"/>
    <x v="829"/>
    <x v="628"/>
    <s v="Outlet"/>
  </r>
  <r>
    <s v="Kohl's"/>
    <n v="1197831"/>
    <d v="2021-01-16T00:00:00"/>
    <x v="1"/>
    <s v="Oklahoma"/>
    <s v="Oklahoma City"/>
    <s v="Men's Street Footwear"/>
    <n v="17"/>
    <n v="176"/>
    <x v="830"/>
    <x v="714"/>
    <s v="Outlet"/>
  </r>
  <r>
    <s v="Foot Locker"/>
    <n v="1185732"/>
    <d v="2021-06-08T00:00:00"/>
    <x v="3"/>
    <s v="Rhode Island"/>
    <s v="Providence"/>
    <s v="Men's Street Footwear"/>
    <n v="36"/>
    <n v="176"/>
    <x v="228"/>
    <x v="356"/>
    <s v="Outlet"/>
  </r>
  <r>
    <s v="Foot Locker"/>
    <n v="1185732"/>
    <d v="2021-06-07T00:00:00"/>
    <x v="2"/>
    <s v="Illinois"/>
    <s v="Chicago"/>
    <s v="Men's Athletic Footwear"/>
    <n v="45"/>
    <n v="175"/>
    <x v="461"/>
    <x v="457"/>
    <s v="Outlet"/>
  </r>
  <r>
    <s v="Foot Locker"/>
    <n v="1185732"/>
    <d v="2021-06-26T00:00:00"/>
    <x v="2"/>
    <s v="Illinois"/>
    <s v="Chicago"/>
    <s v="Women's Street Footwear"/>
    <n v="50"/>
    <n v="175"/>
    <x v="30"/>
    <x v="37"/>
    <s v="Outlet"/>
  </r>
  <r>
    <s v="Foot Locker"/>
    <n v="1185732"/>
    <d v="2021-07-03T00:00:00"/>
    <x v="2"/>
    <s v="Illinois"/>
    <s v="Chicago"/>
    <s v="Women's Athletic Footwear"/>
    <n v="40"/>
    <n v="175"/>
    <x v="2"/>
    <x v="15"/>
    <s v="Outlet"/>
  </r>
  <r>
    <s v="Foot Locker"/>
    <n v="1185732"/>
    <d v="2021-07-04T00:00:00"/>
    <x v="2"/>
    <s v="Illinois"/>
    <s v="Chicago"/>
    <s v="Men's Apparel"/>
    <n v="50"/>
    <n v="175"/>
    <x v="30"/>
    <x v="37"/>
    <s v="Outlet"/>
  </r>
  <r>
    <s v="Foot Locker"/>
    <n v="1185732"/>
    <d v="2021-07-21T00:00:00"/>
    <x v="2"/>
    <s v="Illinois"/>
    <s v="Chicago"/>
    <s v="Women's Athletic Footwear"/>
    <n v="40"/>
    <n v="175"/>
    <x v="2"/>
    <x v="15"/>
    <s v="Outlet"/>
  </r>
  <r>
    <s v="Foot Locker"/>
    <n v="1185732"/>
    <d v="2021-07-22T00:00:00"/>
    <x v="2"/>
    <s v="Illinois"/>
    <s v="Chicago"/>
    <s v="Men's Apparel"/>
    <n v="50"/>
    <n v="175"/>
    <x v="30"/>
    <x v="37"/>
    <s v="Outlet"/>
  </r>
  <r>
    <s v="Foot Locker"/>
    <n v="1185732"/>
    <d v="2021-08-02T00:00:00"/>
    <x v="2"/>
    <s v="Illinois"/>
    <s v="Chicago"/>
    <s v="Women's Athletic Footwear"/>
    <n v="50"/>
    <n v="175"/>
    <x v="30"/>
    <x v="38"/>
    <s v="Outlet"/>
  </r>
  <r>
    <s v="Foot Locker"/>
    <n v="1185732"/>
    <d v="2021-10-30T00:00:00"/>
    <x v="3"/>
    <s v="Pennsylvania"/>
    <s v="Philadelphia"/>
    <s v="Women's Street Footwear"/>
    <n v="35"/>
    <n v="175"/>
    <x v="342"/>
    <x v="42"/>
    <s v="Outlet"/>
  </r>
  <r>
    <s v="Foot Locker"/>
    <n v="1185732"/>
    <d v="2021-11-05T00:00:00"/>
    <x v="3"/>
    <s v="Pennsylvania"/>
    <s v="Philadelphia"/>
    <s v="Women's Street Footwear"/>
    <n v="40"/>
    <n v="175"/>
    <x v="2"/>
    <x v="15"/>
    <s v="Outlet"/>
  </r>
  <r>
    <s v="Foot Locker"/>
    <n v="1185732"/>
    <d v="2021-11-08T00:00:00"/>
    <x v="3"/>
    <s v="Pennsylvania"/>
    <s v="Philadelphia"/>
    <s v="Women's Apparel"/>
    <n v="50"/>
    <n v="175"/>
    <x v="30"/>
    <x v="321"/>
    <s v="Outlet"/>
  </r>
  <r>
    <s v="Foot Locker"/>
    <n v="1185732"/>
    <d v="2021-12-12T00:00:00"/>
    <x v="3"/>
    <s v="Pennsylvania"/>
    <s v="Philadelphia"/>
    <s v="Women's Athletic Footwear"/>
    <n v="45"/>
    <n v="175"/>
    <x v="461"/>
    <x v="457"/>
    <s v="Outlet"/>
  </r>
  <r>
    <s v="Foot Locker"/>
    <n v="1185732"/>
    <d v="2020-10-31T00:00:00"/>
    <x v="2"/>
    <s v="Minnesota"/>
    <s v="Minneapolis"/>
    <s v="Women's Street Footwear"/>
    <n v="30"/>
    <n v="175"/>
    <x v="32"/>
    <x v="126"/>
    <s v="In-store"/>
  </r>
  <r>
    <s v="Foot Locker"/>
    <n v="1185732"/>
    <d v="2020-11-03T00:00:00"/>
    <x v="2"/>
    <s v="Minnesota"/>
    <s v="Minneapolis"/>
    <s v="Women's Apparel"/>
    <n v="40"/>
    <n v="175"/>
    <x v="2"/>
    <x v="2"/>
    <s v="In-store"/>
  </r>
  <r>
    <s v="Foot Locker"/>
    <n v="1185732"/>
    <d v="2020-11-09T00:00:00"/>
    <x v="2"/>
    <s v="Minnesota"/>
    <s v="Minneapolis"/>
    <s v="Women's Apparel"/>
    <n v="40"/>
    <n v="175"/>
    <x v="2"/>
    <x v="2"/>
    <s v="In-store"/>
  </r>
  <r>
    <s v="Foot Locker"/>
    <n v="1185732"/>
    <d v="2020-11-17T00:00:00"/>
    <x v="2"/>
    <s v="Minnesota"/>
    <s v="Minneapolis"/>
    <s v="Men's Athletic Footwear"/>
    <n v="40"/>
    <n v="175"/>
    <x v="2"/>
    <x v="41"/>
    <s v="Outlet"/>
  </r>
  <r>
    <s v="Foot Locker"/>
    <n v="1185732"/>
    <d v="2020-11-18T00:00:00"/>
    <x v="2"/>
    <s v="Minnesota"/>
    <s v="Minneapolis"/>
    <s v="Women's Street Footwear"/>
    <n v="35"/>
    <n v="175"/>
    <x v="342"/>
    <x v="43"/>
    <s v="Outlet"/>
  </r>
  <r>
    <s v="Foot Locker"/>
    <n v="1185732"/>
    <d v="2020-11-25T00:00:00"/>
    <x v="2"/>
    <s v="Minnesota"/>
    <s v="Minneapolis"/>
    <s v="Women's Athletic Footwear"/>
    <n v="40"/>
    <n v="175"/>
    <x v="2"/>
    <x v="42"/>
    <s v="Outlet"/>
  </r>
  <r>
    <s v="Foot Locker"/>
    <n v="1185732"/>
    <d v="2020-12-01T00:00:00"/>
    <x v="2"/>
    <s v="Minnesota"/>
    <s v="Minneapolis"/>
    <s v="Women's Athletic Footwear"/>
    <n v="35"/>
    <n v="175"/>
    <x v="342"/>
    <x v="715"/>
    <s v="Outlet"/>
  </r>
  <r>
    <s v="Foot Locker"/>
    <n v="1185732"/>
    <d v="2020-12-25T00:00:00"/>
    <x v="2"/>
    <s v="Minnesota"/>
    <s v="Minneapolis"/>
    <s v="Women's Athletic Footwear"/>
    <n v="45"/>
    <n v="175"/>
    <x v="461"/>
    <x v="457"/>
    <s v="Outlet"/>
  </r>
  <r>
    <s v="Foot Locker"/>
    <n v="1185732"/>
    <d v="2021-05-29T00:00:00"/>
    <x v="2"/>
    <s v="Nebraska"/>
    <s v="Omaha"/>
    <s v="Women's Street Footwear"/>
    <n v="25"/>
    <n v="175"/>
    <x v="831"/>
    <x v="716"/>
    <s v="Outlet"/>
  </r>
  <r>
    <s v="Foot Locker"/>
    <n v="1185732"/>
    <d v="2021-06-22T00:00:00"/>
    <x v="2"/>
    <s v="Nebraska"/>
    <s v="Omaha"/>
    <s v="Women's Street Footwear"/>
    <n v="30"/>
    <n v="175"/>
    <x v="32"/>
    <x v="43"/>
    <s v="Outlet"/>
  </r>
  <r>
    <s v="Foot Locker"/>
    <n v="1185732"/>
    <d v="2021-06-29T00:00:00"/>
    <x v="2"/>
    <s v="Nebraska"/>
    <s v="Omaha"/>
    <s v="Women's Athletic Footwear"/>
    <n v="35"/>
    <n v="175"/>
    <x v="342"/>
    <x v="42"/>
    <s v="Outlet"/>
  </r>
  <r>
    <s v="Foot Locker"/>
    <n v="1185732"/>
    <d v="2021-06-30T00:00:00"/>
    <x v="2"/>
    <s v="Nebraska"/>
    <s v="Omaha"/>
    <s v="Men's Apparel"/>
    <n v="45"/>
    <n v="175"/>
    <x v="461"/>
    <x v="457"/>
    <s v="Outlet"/>
  </r>
  <r>
    <s v="Amazon"/>
    <n v="1185732"/>
    <d v="2021-10-25T00:00:00"/>
    <x v="3"/>
    <s v="Maine"/>
    <s v="Portland"/>
    <s v="Men's Athletic Footwear"/>
    <n v="40"/>
    <n v="175"/>
    <x v="2"/>
    <x v="42"/>
    <s v="Outlet"/>
  </r>
  <r>
    <s v="Amazon"/>
    <n v="1185732"/>
    <d v="2021-11-07T00:00:00"/>
    <x v="3"/>
    <s v="Maine"/>
    <s v="Portland"/>
    <s v="Women's Street Footwear"/>
    <n v="45"/>
    <n v="175"/>
    <x v="461"/>
    <x v="2"/>
    <s v="Outlet"/>
  </r>
  <r>
    <s v="Amazon"/>
    <n v="1185732"/>
    <d v="2021-11-14T00:00:00"/>
    <x v="3"/>
    <s v="Maine"/>
    <s v="Portland"/>
    <s v="Women's Athletic Footwear"/>
    <n v="45"/>
    <n v="175"/>
    <x v="461"/>
    <x v="464"/>
    <s v="Outlet"/>
  </r>
  <r>
    <s v="Amazon"/>
    <n v="1185732"/>
    <d v="2021-11-20T00:00:00"/>
    <x v="3"/>
    <s v="Maine"/>
    <s v="Portland"/>
    <s v="Women's Athletic Footwear"/>
    <n v="45"/>
    <n v="175"/>
    <x v="461"/>
    <x v="464"/>
    <s v="Outlet"/>
  </r>
  <r>
    <s v="Amazon"/>
    <n v="1185732"/>
    <d v="2021-12-24T00:00:00"/>
    <x v="3"/>
    <s v="Maine"/>
    <s v="Portland"/>
    <s v="Women's Athletic Footwear"/>
    <n v="45"/>
    <n v="175"/>
    <x v="461"/>
    <x v="464"/>
    <s v="Outlet"/>
  </r>
  <r>
    <s v="Amazon"/>
    <n v="1185732"/>
    <d v="2021-02-22T00:00:00"/>
    <x v="4"/>
    <s v="Alaska"/>
    <s v="Anchorage"/>
    <s v="Women's Athletic Footwear"/>
    <n v="50"/>
    <n v="175"/>
    <x v="30"/>
    <x v="321"/>
    <s v="Outlet"/>
  </r>
  <r>
    <s v="Foot Locker"/>
    <n v="1128299"/>
    <d v="2021-01-10T00:00:00"/>
    <x v="4"/>
    <s v="Alaska"/>
    <s v="Anchorage"/>
    <s v="Men's Apparel"/>
    <n v="50"/>
    <n v="175"/>
    <x v="30"/>
    <x v="325"/>
    <s v="Outlet"/>
  </r>
  <r>
    <s v="Foot Locker"/>
    <n v="1128299"/>
    <d v="2021-05-25T00:00:00"/>
    <x v="0"/>
    <s v="Virginia"/>
    <s v="Richmond"/>
    <s v="Men's Apparel"/>
    <n v="45"/>
    <n v="175"/>
    <x v="461"/>
    <x v="2"/>
    <s v="In-store"/>
  </r>
  <r>
    <s v="West Gear"/>
    <n v="1128299"/>
    <d v="2021-05-25T00:00:00"/>
    <x v="4"/>
    <s v="Oregon"/>
    <s v="Portland"/>
    <s v="Men's Apparel"/>
    <n v="45"/>
    <n v="175"/>
    <x v="461"/>
    <x v="2"/>
    <s v="In-store"/>
  </r>
  <r>
    <s v="West Gear"/>
    <n v="1128299"/>
    <d v="2021-02-17T00:00:00"/>
    <x v="1"/>
    <s v="Louisiana"/>
    <s v="New Orleans"/>
    <s v="Men's Apparel"/>
    <n v="50"/>
    <n v="175"/>
    <x v="30"/>
    <x v="319"/>
    <s v="In-store"/>
  </r>
  <r>
    <s v="West Gear"/>
    <n v="1128299"/>
    <d v="2021-04-17T00:00:00"/>
    <x v="1"/>
    <s v="Louisiana"/>
    <s v="New Orleans"/>
    <s v="Men's Apparel"/>
    <n v="45"/>
    <n v="175"/>
    <x v="461"/>
    <x v="458"/>
    <s v="In-store"/>
  </r>
  <r>
    <s v="Sports Direct"/>
    <n v="1128299"/>
    <d v="2021-02-13T00:00:00"/>
    <x v="0"/>
    <s v="Georgia"/>
    <s v="Atlanta"/>
    <s v="Men's Apparel"/>
    <n v="45"/>
    <n v="175"/>
    <x v="461"/>
    <x v="457"/>
    <s v="Online"/>
  </r>
  <r>
    <s v="Amazon"/>
    <n v="1185732"/>
    <d v="2021-04-22T00:00:00"/>
    <x v="0"/>
    <s v="Kentucky"/>
    <s v="Louisville"/>
    <s v="Men's Athletic Footwear"/>
    <n v="45"/>
    <n v="175"/>
    <x v="461"/>
    <x v="457"/>
    <s v="Online"/>
  </r>
  <r>
    <s v="Amazon"/>
    <n v="1185732"/>
    <d v="2021-04-22T00:00:00"/>
    <x v="0"/>
    <s v="Kentucky"/>
    <s v="Louisville"/>
    <s v="Women's Street Footwear"/>
    <n v="40"/>
    <n v="175"/>
    <x v="2"/>
    <x v="15"/>
    <s v="Online"/>
  </r>
  <r>
    <s v="Amazon"/>
    <n v="1185732"/>
    <d v="2021-10-22T00:00:00"/>
    <x v="0"/>
    <s v="Kentucky"/>
    <s v="Louisville"/>
    <s v="Women's Street Footwear"/>
    <n v="45"/>
    <n v="175"/>
    <x v="461"/>
    <x v="2"/>
    <s v="Online"/>
  </r>
  <r>
    <s v="West Gear"/>
    <n v="1197831"/>
    <d v="2021-02-21T00:00:00"/>
    <x v="1"/>
    <s v="Oklahoma"/>
    <s v="Oklahoma City"/>
    <s v="Women's Athletic Footwear"/>
    <n v="20"/>
    <n v="175"/>
    <x v="31"/>
    <x v="40"/>
    <s v="Online"/>
  </r>
  <r>
    <s v="West Gear"/>
    <n v="1197831"/>
    <d v="2021-03-19T00:00:00"/>
    <x v="1"/>
    <s v="Oklahoma"/>
    <s v="Oklahoma City"/>
    <s v="Men's Apparel"/>
    <n v="35"/>
    <n v="175"/>
    <x v="342"/>
    <x v="715"/>
    <s v="Online"/>
  </r>
  <r>
    <s v="West Gear"/>
    <n v="1197831"/>
    <d v="2021-04-20T00:00:00"/>
    <x v="1"/>
    <s v="Oklahoma"/>
    <s v="Oklahoma City"/>
    <s v="Men's Apparel"/>
    <n v="40"/>
    <n v="175"/>
    <x v="2"/>
    <x v="42"/>
    <s v="Online"/>
  </r>
  <r>
    <s v="Kohl's"/>
    <n v="1197831"/>
    <d v="2021-10-14T00:00:00"/>
    <x v="2"/>
    <s v="Kansas"/>
    <s v="Wichita"/>
    <s v="Women's Athletic Footwear"/>
    <n v="20"/>
    <n v="175"/>
    <x v="31"/>
    <x v="39"/>
    <s v="Online"/>
  </r>
  <r>
    <s v="Kohl's"/>
    <n v="1197831"/>
    <d v="2021-10-14T00:00:00"/>
    <x v="2"/>
    <s v="Kansas"/>
    <s v="Wichita"/>
    <s v="Men's Apparel"/>
    <n v="30"/>
    <n v="175"/>
    <x v="32"/>
    <x v="43"/>
    <s v="Online"/>
  </r>
  <r>
    <s v="Foot Locker"/>
    <n v="1185732"/>
    <d v="2021-01-12T00:00:00"/>
    <x v="2"/>
    <s v="Kansas"/>
    <s v="Wichita"/>
    <s v="Men's Apparel"/>
    <n v="50"/>
    <n v="175"/>
    <x v="30"/>
    <x v="37"/>
    <s v="Online"/>
  </r>
  <r>
    <s v="Foot Locker"/>
    <n v="1185732"/>
    <d v="2021-02-12T00:00:00"/>
    <x v="2"/>
    <s v="Kansas"/>
    <s v="Wichita"/>
    <s v="Men's Athletic Footwear"/>
    <n v="40"/>
    <n v="175"/>
    <x v="2"/>
    <x v="41"/>
    <s v="Online"/>
  </r>
  <r>
    <s v="Foot Locker"/>
    <n v="1185732"/>
    <d v="2021-02-12T00:00:00"/>
    <x v="2"/>
    <s v="South Dakota"/>
    <s v="Sioux Falls"/>
    <s v="Men's Apparel"/>
    <n v="50"/>
    <n v="175"/>
    <x v="30"/>
    <x v="37"/>
    <s v="Online"/>
  </r>
  <r>
    <s v="Foot Locker"/>
    <n v="1185732"/>
    <d v="2021-05-13T00:00:00"/>
    <x v="2"/>
    <s v="South Dakota"/>
    <s v="Sioux Falls"/>
    <s v="Women's Street Footwear"/>
    <n v="45"/>
    <n v="175"/>
    <x v="461"/>
    <x v="464"/>
    <s v="Online"/>
  </r>
  <r>
    <s v="Foot Locker"/>
    <n v="1185732"/>
    <d v="2021-06-12T00:00:00"/>
    <x v="2"/>
    <s v="South Dakota"/>
    <s v="Sioux Falls"/>
    <s v="Women's Athletic Footwear"/>
    <n v="35"/>
    <n v="175"/>
    <x v="342"/>
    <x v="43"/>
    <s v="Online"/>
  </r>
  <r>
    <s v="Foot Locker"/>
    <n v="1185732"/>
    <d v="2021-06-12T00:00:00"/>
    <x v="2"/>
    <s v="South Dakota"/>
    <s v="Sioux Falls"/>
    <s v="Men's Apparel"/>
    <n v="45"/>
    <n v="175"/>
    <x v="461"/>
    <x v="457"/>
    <s v="Online"/>
  </r>
  <r>
    <s v="Foot Locker"/>
    <n v="1185732"/>
    <d v="2021-07-11T00:00:00"/>
    <x v="2"/>
    <s v="South Dakota"/>
    <s v="Sioux Falls"/>
    <s v="Women's Athletic Footwear"/>
    <n v="40"/>
    <n v="175"/>
    <x v="2"/>
    <x v="41"/>
    <s v="Online"/>
  </r>
  <r>
    <s v="Foot Locker"/>
    <n v="1185732"/>
    <d v="2021-08-12T00:00:00"/>
    <x v="2"/>
    <s v="South Dakota"/>
    <s v="Sioux Falls"/>
    <s v="Men's Apparel"/>
    <n v="50"/>
    <n v="175"/>
    <x v="30"/>
    <x v="37"/>
    <s v="Online"/>
  </r>
  <r>
    <s v="Foot Locker"/>
    <n v="1185732"/>
    <d v="2021-09-13T00:00:00"/>
    <x v="2"/>
    <s v="South Dakota"/>
    <s v="Sioux Falls"/>
    <s v="Women's Street Footwear"/>
    <n v="35"/>
    <n v="175"/>
    <x v="342"/>
    <x v="43"/>
    <s v="Online"/>
  </r>
  <r>
    <s v="Sports Direct"/>
    <n v="1185732"/>
    <d v="2021-11-12T00:00:00"/>
    <x v="2"/>
    <s v="South Dakota"/>
    <s v="Sioux Falls"/>
    <s v="Women's Athletic Footwear"/>
    <n v="45"/>
    <n v="175"/>
    <x v="461"/>
    <x v="464"/>
    <s v="Online"/>
  </r>
  <r>
    <s v="Sports Direct"/>
    <n v="1185732"/>
    <d v="2021-01-09T00:00:00"/>
    <x v="2"/>
    <s v="South Dakota"/>
    <s v="Sioux Falls"/>
    <s v="Men's Apparel"/>
    <n v="45"/>
    <n v="175"/>
    <x v="461"/>
    <x v="457"/>
    <s v="Online"/>
  </r>
  <r>
    <s v="Sports Direct"/>
    <n v="1185732"/>
    <d v="2021-02-09T00:00:00"/>
    <x v="2"/>
    <s v="South Dakota"/>
    <s v="Sioux Falls"/>
    <s v="Men's Athletic Footwear"/>
    <n v="35"/>
    <n v="175"/>
    <x v="342"/>
    <x v="43"/>
    <s v="Online"/>
  </r>
  <r>
    <s v="Sports Direct"/>
    <n v="1185732"/>
    <d v="2021-02-09T00:00:00"/>
    <x v="2"/>
    <s v="North Dakota"/>
    <s v="Fargo"/>
    <s v="Men's Apparel"/>
    <n v="45"/>
    <n v="175"/>
    <x v="461"/>
    <x v="457"/>
    <s v="Online"/>
  </r>
  <r>
    <s v="Sports Direct"/>
    <n v="1185732"/>
    <d v="2021-05-10T00:00:00"/>
    <x v="2"/>
    <s v="North Dakota"/>
    <s v="Fargo"/>
    <s v="Women's Street Footwear"/>
    <n v="40"/>
    <n v="175"/>
    <x v="2"/>
    <x v="41"/>
    <s v="In-store"/>
  </r>
  <r>
    <s v="Sports Direct"/>
    <n v="1185732"/>
    <d v="2021-06-09T00:00:00"/>
    <x v="2"/>
    <s v="North Dakota"/>
    <s v="Fargo"/>
    <s v="Women's Athletic Footwear"/>
    <n v="30"/>
    <n v="175"/>
    <x v="32"/>
    <x v="126"/>
    <s v="In-store"/>
  </r>
  <r>
    <s v="Sports Direct"/>
    <n v="1185732"/>
    <d v="2021-06-09T00:00:00"/>
    <x v="2"/>
    <s v="North Dakota"/>
    <s v="Fargo"/>
    <s v="Men's Apparel"/>
    <n v="40"/>
    <n v="175"/>
    <x v="2"/>
    <x v="42"/>
    <s v="In-store"/>
  </r>
  <r>
    <s v="Sports Direct"/>
    <n v="1185732"/>
    <d v="2021-07-08T00:00:00"/>
    <x v="2"/>
    <s v="North Dakota"/>
    <s v="Fargo"/>
    <s v="Women's Athletic Footwear"/>
    <n v="40"/>
    <n v="175"/>
    <x v="2"/>
    <x v="41"/>
    <s v="In-store"/>
  </r>
  <r>
    <s v="Sports Direct"/>
    <n v="1185732"/>
    <d v="2021-08-09T00:00:00"/>
    <x v="2"/>
    <s v="North Dakota"/>
    <s v="Fargo"/>
    <s v="Men's Apparel"/>
    <n v="50"/>
    <n v="175"/>
    <x v="30"/>
    <x v="37"/>
    <s v="In-store"/>
  </r>
  <r>
    <s v="Sports Direct"/>
    <n v="1185732"/>
    <d v="2021-09-10T00:00:00"/>
    <x v="2"/>
    <s v="North Dakota"/>
    <s v="Fargo"/>
    <s v="Women's Street Footwear"/>
    <n v="30"/>
    <n v="175"/>
    <x v="32"/>
    <x v="126"/>
    <s v="In-store"/>
  </r>
  <r>
    <s v="Foot Locker"/>
    <n v="1185732"/>
    <d v="2021-11-09T00:00:00"/>
    <x v="2"/>
    <s v="North Dakota"/>
    <s v="Fargo"/>
    <s v="Women's Athletic Footwear"/>
    <n v="40"/>
    <n v="175"/>
    <x v="2"/>
    <x v="41"/>
    <s v="In-store"/>
  </r>
  <r>
    <s v="Foot Locker"/>
    <n v="1185732"/>
    <d v="2021-03-05T00:00:00"/>
    <x v="2"/>
    <s v="Iowa"/>
    <s v="Des Moines"/>
    <s v="Men's Athletic Footwear"/>
    <n v="20"/>
    <n v="175"/>
    <x v="31"/>
    <x v="39"/>
    <s v="In-store"/>
  </r>
  <r>
    <s v="Foot Locker"/>
    <n v="1185732"/>
    <d v="2021-04-06T00:00:00"/>
    <x v="2"/>
    <s v="Iowa"/>
    <s v="Des Moines"/>
    <s v="Men's Athletic Footwear"/>
    <n v="20"/>
    <n v="175"/>
    <x v="31"/>
    <x v="39"/>
    <s v="In-store"/>
  </r>
  <r>
    <s v="Foot Locker"/>
    <n v="1185732"/>
    <d v="2021-04-06T00:00:00"/>
    <x v="2"/>
    <s v="Iowa"/>
    <s v="Des Moines"/>
    <s v="Women's Street Footwear"/>
    <n v="10"/>
    <n v="175"/>
    <x v="832"/>
    <x v="557"/>
    <s v="In-store"/>
  </r>
  <r>
    <s v="Foot Locker"/>
    <n v="1185732"/>
    <d v="2021-06-06T00:00:00"/>
    <x v="2"/>
    <s v="Iowa"/>
    <s v="Des Moines"/>
    <s v="Women's Athletic Footwear"/>
    <n v="25"/>
    <n v="175"/>
    <x v="831"/>
    <x v="325"/>
    <s v="In-store"/>
  </r>
  <r>
    <s v="Foot Locker"/>
    <n v="1185732"/>
    <d v="2021-06-06T00:00:00"/>
    <x v="2"/>
    <s v="Iowa"/>
    <s v="Des Moines"/>
    <s v="Men's Apparel"/>
    <n v="35"/>
    <n v="175"/>
    <x v="342"/>
    <x v="37"/>
    <s v="In-store"/>
  </r>
  <r>
    <s v="Foot Locker"/>
    <n v="1185732"/>
    <d v="2021-07-05T00:00:00"/>
    <x v="2"/>
    <s v="Iowa"/>
    <s v="Des Moines"/>
    <s v="Women's Athletic Footwear"/>
    <n v="40"/>
    <n v="175"/>
    <x v="2"/>
    <x v="41"/>
    <s v="In-store"/>
  </r>
  <r>
    <s v="Foot Locker"/>
    <n v="1185732"/>
    <d v="2021-08-06T00:00:00"/>
    <x v="2"/>
    <s v="Iowa"/>
    <s v="Des Moines"/>
    <s v="Men's Apparel"/>
    <n v="50"/>
    <n v="175"/>
    <x v="30"/>
    <x v="717"/>
    <s v="In-store"/>
  </r>
  <r>
    <s v="Foot Locker"/>
    <n v="1185732"/>
    <d v="2021-09-07T00:00:00"/>
    <x v="2"/>
    <s v="Iowa"/>
    <s v="Des Moines"/>
    <s v="Women's Street Footwear"/>
    <n v="25"/>
    <n v="175"/>
    <x v="831"/>
    <x v="325"/>
    <s v="In-store"/>
  </r>
  <r>
    <s v="West Gear"/>
    <n v="1185732"/>
    <d v="2021-03-02T00:00:00"/>
    <x v="2"/>
    <s v="Wisconsin"/>
    <s v="Milwaukee"/>
    <s v="Men's Athletic Footwear"/>
    <n v="20"/>
    <n v="175"/>
    <x v="31"/>
    <x v="39"/>
    <s v="In-store"/>
  </r>
  <r>
    <s v="West Gear"/>
    <n v="1185732"/>
    <d v="2021-05-04T00:00:00"/>
    <x v="2"/>
    <s v="Wisconsin"/>
    <s v="Milwaukee"/>
    <s v="Women's Street Footwear"/>
    <n v="35"/>
    <n v="175"/>
    <x v="342"/>
    <x v="43"/>
    <s v="In-store"/>
  </r>
  <r>
    <s v="West Gear"/>
    <n v="1185732"/>
    <d v="2021-05-04T00:00:00"/>
    <x v="2"/>
    <s v="Wisconsin"/>
    <s v="Milwaukee"/>
    <s v="Men's Apparel"/>
    <n v="45"/>
    <n v="175"/>
    <x v="461"/>
    <x v="319"/>
    <s v="In-store"/>
  </r>
  <r>
    <s v="West Gear"/>
    <n v="1185732"/>
    <d v="2021-06-03T00:00:00"/>
    <x v="2"/>
    <s v="Wisconsin"/>
    <s v="Milwaukee"/>
    <s v="Women's Athletic Footwear"/>
    <n v="25"/>
    <n v="175"/>
    <x v="831"/>
    <x v="325"/>
    <s v="In-store"/>
  </r>
  <r>
    <s v="West Gear"/>
    <n v="1185732"/>
    <d v="2021-06-03T00:00:00"/>
    <x v="2"/>
    <s v="Wisconsin"/>
    <s v="Milwaukee"/>
    <s v="Men's Apparel"/>
    <n v="35"/>
    <n v="175"/>
    <x v="342"/>
    <x v="37"/>
    <s v="In-store"/>
  </r>
  <r>
    <s v="West Gear"/>
    <n v="1185732"/>
    <d v="2021-07-02T00:00:00"/>
    <x v="2"/>
    <s v="Wisconsin"/>
    <s v="Milwaukee"/>
    <s v="Women's Athletic Footwear"/>
    <n v="40"/>
    <n v="175"/>
    <x v="2"/>
    <x v="41"/>
    <s v="In-store"/>
  </r>
  <r>
    <s v="West Gear"/>
    <n v="1185732"/>
    <d v="2021-08-03T00:00:00"/>
    <x v="2"/>
    <s v="Wisconsin"/>
    <s v="Milwaukee"/>
    <s v="Men's Apparel"/>
    <n v="50"/>
    <n v="175"/>
    <x v="30"/>
    <x v="717"/>
    <s v="In-store"/>
  </r>
  <r>
    <s v="West Gear"/>
    <n v="1185732"/>
    <d v="2021-03-09T00:00:00"/>
    <x v="2"/>
    <s v="Indiana"/>
    <s v="Indianapolis"/>
    <s v="Men's Apparel"/>
    <n v="35"/>
    <n v="175"/>
    <x v="342"/>
    <x v="43"/>
    <s v="In-store"/>
  </r>
  <r>
    <s v="West Gear"/>
    <n v="1185732"/>
    <d v="2021-05-11T00:00:00"/>
    <x v="2"/>
    <s v="Indiana"/>
    <s v="Indianapolis"/>
    <s v="Women's Athletic Footwear"/>
    <n v="35"/>
    <n v="175"/>
    <x v="342"/>
    <x v="715"/>
    <s v="In-store"/>
  </r>
  <r>
    <s v="West Gear"/>
    <n v="1185732"/>
    <d v="2021-06-10T00:00:00"/>
    <x v="2"/>
    <s v="Indiana"/>
    <s v="Indianapolis"/>
    <s v="Women's Athletic Footwear"/>
    <n v="30"/>
    <n v="175"/>
    <x v="32"/>
    <x v="43"/>
    <s v="In-store"/>
  </r>
  <r>
    <s v="West Gear"/>
    <n v="1185732"/>
    <d v="2021-06-10T00:00:00"/>
    <x v="2"/>
    <s v="Indiana"/>
    <s v="Indianapolis"/>
    <s v="Men's Apparel"/>
    <n v="40"/>
    <n v="175"/>
    <x v="2"/>
    <x v="41"/>
    <s v="In-store"/>
  </r>
  <r>
    <s v="West Gear"/>
    <n v="1185732"/>
    <d v="2021-07-09T00:00:00"/>
    <x v="2"/>
    <s v="Indiana"/>
    <s v="Indianapolis"/>
    <s v="Women's Athletic Footwear"/>
    <n v="45"/>
    <n v="175"/>
    <x v="461"/>
    <x v="457"/>
    <s v="In-store"/>
  </r>
  <r>
    <s v="West Gear"/>
    <n v="1185732"/>
    <d v="2021-08-10T00:00:00"/>
    <x v="2"/>
    <s v="Indiana"/>
    <s v="Indianapolis"/>
    <s v="Men's Apparel"/>
    <n v="50"/>
    <n v="175"/>
    <x v="30"/>
    <x v="24"/>
    <s v="In-store"/>
  </r>
  <r>
    <s v="West Gear"/>
    <n v="1185732"/>
    <d v="2021-09-11T00:00:00"/>
    <x v="2"/>
    <s v="Indiana"/>
    <s v="Indianapolis"/>
    <s v="Women's Street Footwear"/>
    <n v="25"/>
    <n v="175"/>
    <x v="831"/>
    <x v="716"/>
    <s v="In-store"/>
  </r>
  <r>
    <s v="West Gear"/>
    <n v="1185732"/>
    <d v="2021-02-17T00:00:00"/>
    <x v="3"/>
    <s v="West Virginia"/>
    <s v="Charleston"/>
    <s v="Women's Athletic Footwear"/>
    <n v="35"/>
    <n v="175"/>
    <x v="342"/>
    <x v="42"/>
    <s v="In-store"/>
  </r>
  <r>
    <s v="West Gear"/>
    <n v="1185732"/>
    <d v="2021-03-16T00:00:00"/>
    <x v="3"/>
    <s v="West Virginia"/>
    <s v="Charleston"/>
    <s v="Women's Athletic Footwear"/>
    <n v="25"/>
    <n v="175"/>
    <x v="831"/>
    <x v="323"/>
    <s v="In-store"/>
  </r>
  <r>
    <s v="West Gear"/>
    <n v="1185732"/>
    <d v="2021-04-17T00:00:00"/>
    <x v="3"/>
    <s v="West Virginia"/>
    <s v="Charleston"/>
    <s v="Women's Athletic Footwear"/>
    <n v="25"/>
    <n v="175"/>
    <x v="831"/>
    <x v="323"/>
    <s v="In-store"/>
  </r>
  <r>
    <s v="West Gear"/>
    <n v="1185732"/>
    <d v="2021-10-17T00:00:00"/>
    <x v="3"/>
    <s v="West Virginia"/>
    <s v="Charleston"/>
    <s v="Women's Street Footwear"/>
    <n v="35"/>
    <n v="175"/>
    <x v="342"/>
    <x v="42"/>
    <s v="In-store"/>
  </r>
  <r>
    <s v="West Gear"/>
    <n v="1185732"/>
    <d v="2021-10-17T00:00:00"/>
    <x v="3"/>
    <s v="West Virginia"/>
    <s v="Charleston"/>
    <s v="Women's Athletic Footwear"/>
    <n v="35"/>
    <n v="175"/>
    <x v="342"/>
    <x v="42"/>
    <s v="In-store"/>
  </r>
  <r>
    <s v="West Gear"/>
    <n v="1185732"/>
    <d v="2021-10-17T00:00:00"/>
    <x v="3"/>
    <s v="West Virginia"/>
    <s v="Charleston"/>
    <s v="Men's Apparel"/>
    <n v="45"/>
    <n v="175"/>
    <x v="461"/>
    <x v="2"/>
    <s v="In-store"/>
  </r>
  <r>
    <s v="West Gear"/>
    <n v="1185732"/>
    <d v="2021-02-22T00:00:00"/>
    <x v="3"/>
    <s v="West Virginia"/>
    <s v="Charleston"/>
    <s v="Women's Street Footwear"/>
    <n v="25"/>
    <n v="175"/>
    <x v="831"/>
    <x v="716"/>
    <s v="In-store"/>
  </r>
  <r>
    <s v="West Gear"/>
    <n v="1185732"/>
    <d v="2021-03-20T00:00:00"/>
    <x v="3"/>
    <s v="Maryland"/>
    <s v="Baltimore"/>
    <s v="Women's Street Footwear"/>
    <n v="25"/>
    <n v="175"/>
    <x v="831"/>
    <x v="716"/>
    <s v="In-store"/>
  </r>
  <r>
    <s v="West Gear"/>
    <n v="1185732"/>
    <d v="2021-03-20T00:00:00"/>
    <x v="3"/>
    <s v="Maryland"/>
    <s v="Baltimore"/>
    <s v="Women's Apparel"/>
    <n v="35"/>
    <n v="175"/>
    <x v="342"/>
    <x v="43"/>
    <s v="In-store"/>
  </r>
  <r>
    <s v="West Gear"/>
    <n v="1185732"/>
    <d v="2021-05-20T00:00:00"/>
    <x v="3"/>
    <s v="Maryland"/>
    <s v="Baltimore"/>
    <s v="Men's Athletic Footwear"/>
    <n v="45"/>
    <n v="175"/>
    <x v="461"/>
    <x v="457"/>
    <s v="In-store"/>
  </r>
  <r>
    <s v="Foot Locker"/>
    <n v="1185732"/>
    <d v="2021-06-22T00:00:00"/>
    <x v="3"/>
    <s v="Maryland"/>
    <s v="Baltimore"/>
    <s v="Women's Street Footwear"/>
    <n v="40"/>
    <n v="175"/>
    <x v="2"/>
    <x v="42"/>
    <s v="In-store"/>
  </r>
  <r>
    <s v="Sports Direct"/>
    <n v="1185732"/>
    <d v="2021-07-20T00:00:00"/>
    <x v="3"/>
    <s v="Maryland"/>
    <s v="Baltimore"/>
    <s v="Men's Apparel"/>
    <n v="50"/>
    <n v="175"/>
    <x v="30"/>
    <x v="24"/>
    <s v="In-store"/>
  </r>
  <r>
    <s v="Foot Locker"/>
    <n v="1185732"/>
    <d v="2021-11-21T00:00:00"/>
    <x v="3"/>
    <s v="Maryland"/>
    <s v="Baltimore"/>
    <s v="Men's Athletic Footwear"/>
    <n v="50"/>
    <n v="175"/>
    <x v="30"/>
    <x v="37"/>
    <s v="In-store"/>
  </r>
  <r>
    <s v="Foot Locker"/>
    <n v="1185732"/>
    <d v="2021-12-20T00:00:00"/>
    <x v="3"/>
    <s v="Maryland"/>
    <s v="Baltimore"/>
    <s v="Women's Athletic Footwear"/>
    <n v="50"/>
    <n v="175"/>
    <x v="30"/>
    <x v="37"/>
    <s v="In-store"/>
  </r>
  <r>
    <s v="Foot Locker"/>
    <n v="1185732"/>
    <d v="2021-01-17T00:00:00"/>
    <x v="3"/>
    <s v="Maryland"/>
    <s v="Baltimore"/>
    <s v="Women's Athletic Footwear"/>
    <n v="35"/>
    <n v="175"/>
    <x v="342"/>
    <x v="42"/>
    <s v="In-store"/>
  </r>
  <r>
    <s v="Foot Locker"/>
    <n v="1185732"/>
    <d v="2021-03-13T00:00:00"/>
    <x v="3"/>
    <s v="Delaware"/>
    <s v="Wilmington"/>
    <s v="Men's Apparel"/>
    <n v="50"/>
    <n v="175"/>
    <x v="30"/>
    <x v="24"/>
    <s v="In-store"/>
  </r>
  <r>
    <s v="Kohl's"/>
    <n v="1185732"/>
    <d v="2021-01-10T00:00:00"/>
    <x v="3"/>
    <s v="Delaware"/>
    <s v="Wilmington"/>
    <s v="Men's Apparel"/>
    <n v="45"/>
    <n v="175"/>
    <x v="461"/>
    <x v="464"/>
    <s v="In-store"/>
  </r>
  <r>
    <s v="Kohl's"/>
    <n v="1185732"/>
    <d v="2021-02-08T00:00:00"/>
    <x v="3"/>
    <s v="Delaware"/>
    <s v="Wilmington"/>
    <s v="Men's Athletic Footwear"/>
    <n v="35"/>
    <n v="175"/>
    <x v="342"/>
    <x v="715"/>
    <s v="In-store"/>
  </r>
  <r>
    <s v="Kohl's"/>
    <n v="1185732"/>
    <d v="2021-02-08T00:00:00"/>
    <x v="3"/>
    <s v="New Jersey"/>
    <s v="Newark"/>
    <s v="Men's Apparel"/>
    <n v="45"/>
    <n v="175"/>
    <x v="461"/>
    <x v="464"/>
    <s v="In-store"/>
  </r>
  <r>
    <s v="Kohl's"/>
    <n v="1185732"/>
    <d v="2021-04-07T00:00:00"/>
    <x v="3"/>
    <s v="New Jersey"/>
    <s v="Newark"/>
    <s v="Men's Athletic Footwear"/>
    <n v="35"/>
    <n v="175"/>
    <x v="342"/>
    <x v="715"/>
    <s v="In-store"/>
  </r>
  <r>
    <s v="Kohl's"/>
    <n v="1185732"/>
    <d v="2021-04-07T00:00:00"/>
    <x v="3"/>
    <s v="New Jersey"/>
    <s v="Newark"/>
    <s v="Women's Street Footwear"/>
    <n v="25"/>
    <n v="175"/>
    <x v="831"/>
    <x v="323"/>
    <s v="In-store"/>
  </r>
  <r>
    <s v="Kohl's"/>
    <n v="1185732"/>
    <d v="2021-08-07T00:00:00"/>
    <x v="3"/>
    <s v="New Jersey"/>
    <s v="Newark"/>
    <s v="Men's Apparel"/>
    <n v="50"/>
    <n v="175"/>
    <x v="30"/>
    <x v="24"/>
    <s v="In-store"/>
  </r>
  <r>
    <s v="Kohl's"/>
    <n v="1185732"/>
    <d v="2021-09-06T00:00:00"/>
    <x v="3"/>
    <s v="New Jersey"/>
    <s v="Newark"/>
    <s v="Women's Street Footwear"/>
    <n v="40"/>
    <n v="175"/>
    <x v="2"/>
    <x v="15"/>
    <s v="In-store"/>
  </r>
  <r>
    <s v="Sports Direct"/>
    <n v="1185732"/>
    <d v="2021-09-03T00:00:00"/>
    <x v="3"/>
    <s v="Connecticut"/>
    <s v="Hartford"/>
    <s v="Women's Athletic Footwear"/>
    <n v="45"/>
    <n v="175"/>
    <x v="461"/>
    <x v="464"/>
    <s v="In-store"/>
  </r>
  <r>
    <s v="Foot Locker"/>
    <n v="1185732"/>
    <d v="2021-02-08T00:00:00"/>
    <x v="3"/>
    <s v="Connecticut"/>
    <s v="Hartford"/>
    <s v="Women's Street Footwear"/>
    <n v="25"/>
    <n v="175"/>
    <x v="831"/>
    <x v="323"/>
    <s v="In-store"/>
  </r>
  <r>
    <s v="Foot Locker"/>
    <n v="1185732"/>
    <d v="2021-03-06T00:00:00"/>
    <x v="3"/>
    <s v="Rhode Island"/>
    <s v="Providence"/>
    <s v="Women's Street Footwear"/>
    <n v="25"/>
    <n v="175"/>
    <x v="831"/>
    <x v="323"/>
    <s v="In-store"/>
  </r>
  <r>
    <s v="Foot Locker"/>
    <n v="1185732"/>
    <d v="2021-03-06T00:00:00"/>
    <x v="3"/>
    <s v="Rhode Island"/>
    <s v="Providence"/>
    <s v="Women's Apparel"/>
    <n v="35"/>
    <n v="175"/>
    <x v="342"/>
    <x v="42"/>
    <s v="In-store"/>
  </r>
  <r>
    <s v="Foot Locker"/>
    <n v="1185732"/>
    <d v="2021-05-06T00:00:00"/>
    <x v="3"/>
    <s v="Rhode Island"/>
    <s v="Providence"/>
    <s v="Men's Athletic Footwear"/>
    <n v="45"/>
    <n v="175"/>
    <x v="461"/>
    <x v="457"/>
    <s v="In-store"/>
  </r>
  <r>
    <s v="Foot Locker"/>
    <n v="1185732"/>
    <d v="2021-05-06T00:00:00"/>
    <x v="3"/>
    <s v="Rhode Island"/>
    <s v="Providence"/>
    <s v="Men's Apparel"/>
    <n v="50"/>
    <n v="175"/>
    <x v="30"/>
    <x v="24"/>
    <s v="In-store"/>
  </r>
  <r>
    <s v="Sports Direct"/>
    <n v="1185732"/>
    <d v="2021-03-13T00:00:00"/>
    <x v="3"/>
    <s v="Massachusetts"/>
    <s v="Boston"/>
    <s v="Men's Athletic Footwear"/>
    <n v="40"/>
    <n v="175"/>
    <x v="2"/>
    <x v="41"/>
    <s v="In-store"/>
  </r>
  <r>
    <s v="Sports Direct"/>
    <n v="1185732"/>
    <d v="2021-05-13T00:00:00"/>
    <x v="3"/>
    <s v="Massachusetts"/>
    <s v="Boston"/>
    <s v="Women's Athletic Footwear"/>
    <n v="45"/>
    <n v="175"/>
    <x v="461"/>
    <x v="27"/>
    <s v="In-store"/>
  </r>
  <r>
    <s v="Sports Direct"/>
    <n v="1185732"/>
    <d v="2021-08-14T00:00:00"/>
    <x v="3"/>
    <s v="Massachusetts"/>
    <s v="Boston"/>
    <s v="Women's Athletic Footwear"/>
    <n v="45"/>
    <n v="175"/>
    <x v="461"/>
    <x v="27"/>
    <s v="In-store"/>
  </r>
  <r>
    <s v="Amazon"/>
    <n v="1185732"/>
    <d v="2021-01-14T00:00:00"/>
    <x v="3"/>
    <s v="Massachusetts"/>
    <s v="Boston"/>
    <s v="Women's Athletic Footwear"/>
    <n v="40"/>
    <n v="175"/>
    <x v="2"/>
    <x v="42"/>
    <s v="In-store"/>
  </r>
  <r>
    <s v="Amazon"/>
    <n v="1185732"/>
    <d v="2021-01-21T00:00:00"/>
    <x v="3"/>
    <s v="Vermont"/>
    <s v="Burlington"/>
    <s v="Women's Athletic Footwear"/>
    <n v="45"/>
    <n v="175"/>
    <x v="461"/>
    <x v="464"/>
    <s v="In-store"/>
  </r>
  <r>
    <s v="Amazon"/>
    <n v="1185732"/>
    <d v="2021-04-18T00:00:00"/>
    <x v="3"/>
    <s v="New Hampshire"/>
    <s v="Manchester"/>
    <s v="Women's Athletic Footwear"/>
    <n v="45"/>
    <n v="175"/>
    <x v="461"/>
    <x v="464"/>
    <s v="In-store"/>
  </r>
  <r>
    <s v="Sports Direct"/>
    <n v="1197831"/>
    <d v="2020-07-22T00:00:00"/>
    <x v="3"/>
    <s v="New York"/>
    <s v="New York"/>
    <s v="Women's Athletic Footwear"/>
    <n v="34"/>
    <n v="175"/>
    <x v="833"/>
    <x v="622"/>
    <s v="Online"/>
  </r>
  <r>
    <s v="Sports Direct"/>
    <n v="1197831"/>
    <d v="2020-07-28T00:00:00"/>
    <x v="1"/>
    <s v="Texas"/>
    <s v="Houston"/>
    <s v="Women's Athletic Footwear"/>
    <n v="34"/>
    <n v="175"/>
    <x v="833"/>
    <x v="574"/>
    <s v="Online"/>
  </r>
  <r>
    <s v="Walmart"/>
    <n v="1197831"/>
    <d v="2020-09-09T00:00:00"/>
    <x v="1"/>
    <s v="Texas"/>
    <s v="Houston"/>
    <s v="Men's Apparel"/>
    <n v="44"/>
    <n v="175"/>
    <x v="834"/>
    <x v="154"/>
    <s v="Online"/>
  </r>
  <r>
    <s v="West Gear"/>
    <n v="1128299"/>
    <d v="2020-11-04T00:00:00"/>
    <x v="1"/>
    <s v="Texas"/>
    <s v="Houston"/>
    <s v="Women's Athletic Footwear"/>
    <n v="48"/>
    <n v="175"/>
    <x v="202"/>
    <x v="248"/>
    <s v="Online"/>
  </r>
  <r>
    <s v="West Gear"/>
    <n v="1128299"/>
    <d v="2020-11-14T00:00:00"/>
    <x v="4"/>
    <s v="California"/>
    <s v="San Francisco"/>
    <s v="Men's Athletic Footwear"/>
    <n v="58"/>
    <n v="175"/>
    <x v="542"/>
    <x v="121"/>
    <s v="Online"/>
  </r>
  <r>
    <s v="West Gear"/>
    <n v="1128299"/>
    <d v="2021-02-15T00:00:00"/>
    <x v="4"/>
    <s v="California"/>
    <s v="San Francisco"/>
    <s v="Men's Apparel"/>
    <n v="59"/>
    <n v="175"/>
    <x v="120"/>
    <x v="718"/>
    <s v="Online"/>
  </r>
  <r>
    <s v="Kohl's"/>
    <n v="1189833"/>
    <d v="2021-04-09T00:00:00"/>
    <x v="4"/>
    <s v="California"/>
    <s v="Los Angeles"/>
    <s v="Women's Street Footwear"/>
    <n v="49"/>
    <n v="175"/>
    <x v="421"/>
    <x v="156"/>
    <s v="Online"/>
  </r>
  <r>
    <s v="Kohl's"/>
    <n v="1189833"/>
    <d v="2021-04-22T00:00:00"/>
    <x v="4"/>
    <s v="California"/>
    <s v="Los Angeles"/>
    <s v="Women's Athletic Footwear"/>
    <n v="44"/>
    <n v="175"/>
    <x v="834"/>
    <x v="435"/>
    <s v="Online"/>
  </r>
  <r>
    <s v="Kohl's"/>
    <n v="1189833"/>
    <d v="2021-05-16T00:00:00"/>
    <x v="4"/>
    <s v="California"/>
    <s v="Los Angeles"/>
    <s v="Women's Athletic Footwear"/>
    <n v="48"/>
    <n v="175"/>
    <x v="202"/>
    <x v="532"/>
    <s v="Online"/>
  </r>
  <r>
    <s v="Sports Direct"/>
    <n v="1197831"/>
    <d v="2021-08-30T00:00:00"/>
    <x v="1"/>
    <s v="Texas"/>
    <s v="Dallas"/>
    <s v="Men's Athletic Footwear"/>
    <n v="28"/>
    <n v="175"/>
    <x v="556"/>
    <x v="486"/>
    <s v="Online"/>
  </r>
  <r>
    <s v="Sports Direct"/>
    <n v="1197831"/>
    <d v="2021-09-06T00:00:00"/>
    <x v="1"/>
    <s v="Texas"/>
    <s v="Dallas"/>
    <s v="Women's Street Footwear"/>
    <n v="24"/>
    <n v="175"/>
    <x v="664"/>
    <x v="180"/>
    <s v="Online"/>
  </r>
  <r>
    <s v="West Gear"/>
    <n v="1128299"/>
    <d v="2020-07-03T00:00:00"/>
    <x v="4"/>
    <s v="Washington"/>
    <s v="Seattle"/>
    <s v="Women's Street Footwear"/>
    <n v="78"/>
    <n v="175"/>
    <x v="573"/>
    <x v="76"/>
    <s v="Online"/>
  </r>
  <r>
    <s v="Foot Locker"/>
    <n v="1185732"/>
    <d v="2020-08-09T00:00:00"/>
    <x v="4"/>
    <s v="Washington"/>
    <s v="Seattle"/>
    <s v="Women's Athletic Footwear"/>
    <n v="38"/>
    <n v="175"/>
    <x v="138"/>
    <x v="689"/>
    <s v="Online"/>
  </r>
  <r>
    <s v="Foot Locker"/>
    <n v="1185732"/>
    <d v="2020-08-21T00:00:00"/>
    <x v="0"/>
    <s v="Florida"/>
    <s v="Miami"/>
    <s v="Women's Athletic Footwear"/>
    <n v="36"/>
    <n v="175"/>
    <x v="477"/>
    <x v="543"/>
    <s v="Online"/>
  </r>
  <r>
    <s v="West Gear"/>
    <n v="1185732"/>
    <d v="2020-04-24T00:00:00"/>
    <x v="0"/>
    <s v="Florida"/>
    <s v="Miami"/>
    <s v="Women's Athletic Footwear"/>
    <n v="49"/>
    <n v="175"/>
    <x v="421"/>
    <x v="641"/>
    <s v="Online"/>
  </r>
  <r>
    <s v="Sports Direct"/>
    <n v="1197831"/>
    <d v="2021-09-18T00:00:00"/>
    <x v="1"/>
    <s v="Alabama"/>
    <s v="Birmingham"/>
    <s v="Men's Street Footwear"/>
    <n v="51"/>
    <n v="175"/>
    <x v="763"/>
    <x v="599"/>
    <s v="Online"/>
  </r>
  <r>
    <s v="Sports Direct"/>
    <n v="1197831"/>
    <d v="2021-10-08T00:00:00"/>
    <x v="1"/>
    <s v="Alabama"/>
    <s v="Birmingham"/>
    <s v="Women's Street Footwear"/>
    <n v="64"/>
    <n v="175"/>
    <x v="33"/>
    <x v="719"/>
    <s v="Online"/>
  </r>
  <r>
    <s v="Walmart"/>
    <n v="1128299"/>
    <d v="2021-11-17T00:00:00"/>
    <x v="0"/>
    <s v="Florida"/>
    <s v="Orlando"/>
    <s v="Men's Athletic Footwear"/>
    <n v="54"/>
    <n v="175"/>
    <x v="174"/>
    <x v="266"/>
    <s v="Online"/>
  </r>
  <r>
    <s v="West Gear"/>
    <n v="1185732"/>
    <d v="2021-06-10T00:00:00"/>
    <x v="3"/>
    <s v="New York"/>
    <s v="Albany"/>
    <s v="Men's Athletic Footwear"/>
    <n v="54"/>
    <n v="175"/>
    <x v="174"/>
    <x v="468"/>
    <s v="Online"/>
  </r>
  <r>
    <s v="Foot Locker"/>
    <n v="1128299"/>
    <d v="2021-12-16T00:00:00"/>
    <x v="1"/>
    <s v="Louisiana"/>
    <s v="New Orleans"/>
    <s v="Women's Apparel"/>
    <n v="87"/>
    <n v="175"/>
    <x v="835"/>
    <x v="720"/>
    <s v="Online"/>
  </r>
  <r>
    <s v="Foot Locker"/>
    <n v="1128299"/>
    <d v="2021-12-22T00:00:00"/>
    <x v="4"/>
    <s v="Arizona"/>
    <s v="Phoenix"/>
    <s v="Men's Athletic Footwear"/>
    <n v="49"/>
    <n v="175"/>
    <x v="421"/>
    <x v="721"/>
    <s v="Online"/>
  </r>
  <r>
    <s v="Kohl's"/>
    <n v="1128299"/>
    <d v="2021-08-26T00:00:00"/>
    <x v="4"/>
    <s v="New Mexico"/>
    <s v="Albuquerque"/>
    <s v="Men's Street Footwear"/>
    <n v="56"/>
    <n v="175"/>
    <x v="370"/>
    <x v="53"/>
    <s v="Online"/>
  </r>
  <r>
    <s v="Sports Direct"/>
    <n v="1128299"/>
    <d v="2021-08-13T00:00:00"/>
    <x v="0"/>
    <s v="Georgia"/>
    <s v="Atlanta"/>
    <s v="Men's Athletic Footwear"/>
    <n v="58"/>
    <n v="175"/>
    <x v="542"/>
    <x v="268"/>
    <s v="Online"/>
  </r>
  <r>
    <s v="Foot Locker"/>
    <n v="1185732"/>
    <d v="2021-09-05T00:00:00"/>
    <x v="0"/>
    <s v="South Carolina"/>
    <s v="Charleston"/>
    <s v="Men's Apparel"/>
    <n v="48"/>
    <n v="175"/>
    <x v="202"/>
    <x v="605"/>
    <s v="Online"/>
  </r>
  <r>
    <s v="Sports Direct"/>
    <n v="1185732"/>
    <d v="2021-09-02T00:00:00"/>
    <x v="0"/>
    <s v="North Carolina"/>
    <s v="Charlotte"/>
    <s v="Women's Street Footwear"/>
    <n v="28"/>
    <n v="175"/>
    <x v="556"/>
    <x v="485"/>
    <s v="Online"/>
  </r>
  <r>
    <s v="Sports Direct"/>
    <n v="1185732"/>
    <d v="2021-06-05T00:00:00"/>
    <x v="3"/>
    <s v="Connecticut"/>
    <s v="Hartford"/>
    <s v="Men's Street Footwear"/>
    <n v="50"/>
    <n v="175"/>
    <x v="221"/>
    <x v="722"/>
    <s v="Online"/>
  </r>
  <r>
    <s v="Foot Locker"/>
    <n v="1185732"/>
    <d v="2021-11-27T00:00:00"/>
    <x v="3"/>
    <s v="Pennsylvania"/>
    <s v="Philadelphia"/>
    <s v="Men's Street Footwear"/>
    <n v="49"/>
    <n v="175"/>
    <x v="421"/>
    <x v="573"/>
    <s v="Outlet"/>
  </r>
  <r>
    <s v="Foot Locker"/>
    <n v="1128299"/>
    <d v="2021-05-25T00:00:00"/>
    <x v="0"/>
    <s v="Virginia"/>
    <s v="Richmond"/>
    <s v="Men's Street Footwear"/>
    <n v="39"/>
    <n v="175"/>
    <x v="653"/>
    <x v="456"/>
    <s v="Outlet"/>
  </r>
  <r>
    <s v="West Gear"/>
    <n v="1128299"/>
    <d v="2021-02-17T00:00:00"/>
    <x v="4"/>
    <s v="Oregon"/>
    <s v="Portland"/>
    <s v="Men's Street Footwear"/>
    <n v="24"/>
    <n v="175"/>
    <x v="664"/>
    <x v="558"/>
    <s v="Outlet"/>
  </r>
  <r>
    <s v="West Gear"/>
    <n v="1128299"/>
    <d v="2021-09-18T00:00:00"/>
    <x v="1"/>
    <s v="Louisiana"/>
    <s v="New Orleans"/>
    <s v="Men's Street Footwear"/>
    <n v="33"/>
    <n v="175"/>
    <x v="836"/>
    <x v="526"/>
    <s v="Outlet"/>
  </r>
  <r>
    <s v="West Gear"/>
    <n v="1128299"/>
    <d v="2021-09-18T00:00:00"/>
    <x v="1"/>
    <s v="Louisiana"/>
    <s v="New Orleans"/>
    <s v="Men's Athletic Footwear"/>
    <n v="40"/>
    <n v="175"/>
    <x v="837"/>
    <x v="723"/>
    <s v="Outlet"/>
  </r>
  <r>
    <s v="Foot Locker"/>
    <n v="1128299"/>
    <d v="2021-04-23T00:00:00"/>
    <x v="4"/>
    <s v="Arizona"/>
    <s v="Phoenix"/>
    <s v="Men's Street Footwear"/>
    <n v="40"/>
    <n v="175"/>
    <x v="837"/>
    <x v="689"/>
    <s v="Outlet"/>
  </r>
  <r>
    <s v="Foot Locker"/>
    <n v="1128299"/>
    <d v="2021-10-23T00:00:00"/>
    <x v="4"/>
    <s v="Arizona"/>
    <s v="Phoenix"/>
    <s v="Men's Athletic Footwear"/>
    <n v="33"/>
    <n v="175"/>
    <x v="836"/>
    <x v="526"/>
    <s v="Outlet"/>
  </r>
  <r>
    <s v="Amazon"/>
    <n v="1185732"/>
    <d v="2021-07-10T00:00:00"/>
    <x v="3"/>
    <s v="Vermont"/>
    <s v="Burlington"/>
    <s v="Women's Apparel"/>
    <n v="49"/>
    <n v="175"/>
    <x v="421"/>
    <x v="80"/>
    <s v="Outlet"/>
  </r>
  <r>
    <s v="Sports Direct"/>
    <n v="1197831"/>
    <d v="2020-08-03T00:00:00"/>
    <x v="1"/>
    <s v="Texas"/>
    <s v="Houston"/>
    <s v="Women's Athletic Footwear"/>
    <n v="37"/>
    <n v="174"/>
    <x v="765"/>
    <x v="177"/>
    <s v="Online"/>
  </r>
  <r>
    <s v="West Gear"/>
    <n v="1128299"/>
    <d v="2020-12-22T00:00:00"/>
    <x v="4"/>
    <s v="California"/>
    <s v="San Francisco"/>
    <s v="Women's Athletic Footwear"/>
    <n v="58"/>
    <n v="174"/>
    <x v="341"/>
    <x v="140"/>
    <s v="Online"/>
  </r>
  <r>
    <s v="Kohl's"/>
    <n v="1189833"/>
    <d v="2021-04-12T00:00:00"/>
    <x v="4"/>
    <s v="California"/>
    <s v="Los Angeles"/>
    <s v="Women's Apparel"/>
    <n v="62"/>
    <n v="174"/>
    <x v="838"/>
    <x v="466"/>
    <s v="Online"/>
  </r>
  <r>
    <s v="Kohl's"/>
    <n v="1189833"/>
    <d v="2021-05-17T00:00:00"/>
    <x v="4"/>
    <s v="California"/>
    <s v="Los Angeles"/>
    <s v="Men's Apparel"/>
    <n v="56"/>
    <n v="174"/>
    <x v="423"/>
    <x v="30"/>
    <s v="Online"/>
  </r>
  <r>
    <s v="Kohl's"/>
    <n v="1189833"/>
    <d v="2021-05-23T00:00:00"/>
    <x v="4"/>
    <s v="California"/>
    <s v="Los Angeles"/>
    <s v="Men's Apparel"/>
    <n v="55"/>
    <n v="174"/>
    <x v="599"/>
    <x v="724"/>
    <s v="Online"/>
  </r>
  <r>
    <s v="Sports Direct"/>
    <n v="1197831"/>
    <d v="2021-09-13T00:00:00"/>
    <x v="1"/>
    <s v="Texas"/>
    <s v="Dallas"/>
    <s v="Women's Athletic Footwear"/>
    <n v="43"/>
    <n v="174"/>
    <x v="839"/>
    <x v="221"/>
    <s v="Online"/>
  </r>
  <r>
    <s v="West Gear"/>
    <n v="1128299"/>
    <d v="2020-02-06T00:00:00"/>
    <x v="4"/>
    <s v="Nevada"/>
    <s v="Las Vegas"/>
    <s v="Women's Apparel"/>
    <n v="73"/>
    <n v="174"/>
    <x v="518"/>
    <x v="443"/>
    <s v="Online"/>
  </r>
  <r>
    <s v="West Gear"/>
    <n v="1128299"/>
    <d v="2020-02-08T00:00:00"/>
    <x v="4"/>
    <s v="Nevada"/>
    <s v="Las Vegas"/>
    <s v="Men's Athletic Footwear"/>
    <n v="61"/>
    <n v="174"/>
    <x v="840"/>
    <x v="122"/>
    <s v="Online"/>
  </r>
  <r>
    <s v="West Gear"/>
    <n v="1128299"/>
    <d v="2020-02-19T00:00:00"/>
    <x v="4"/>
    <s v="Nevada"/>
    <s v="Las Vegas"/>
    <s v="Men's Street Footwear"/>
    <n v="56"/>
    <n v="174"/>
    <x v="423"/>
    <x v="395"/>
    <s v="Online"/>
  </r>
  <r>
    <s v="West Gear"/>
    <n v="1128299"/>
    <d v="2020-07-14T00:00:00"/>
    <x v="4"/>
    <s v="Washington"/>
    <s v="Seattle"/>
    <s v="Men's Athletic Footwear"/>
    <n v="71"/>
    <n v="174"/>
    <x v="333"/>
    <x v="388"/>
    <s v="Online"/>
  </r>
  <r>
    <s v="Sports Direct"/>
    <n v="1197831"/>
    <d v="2021-04-12T00:00:00"/>
    <x v="1"/>
    <s v="Tennessee"/>
    <s v="Knoxville"/>
    <s v="Women's Athletic Footwear"/>
    <n v="36"/>
    <n v="174"/>
    <x v="769"/>
    <x v="122"/>
    <s v="Online"/>
  </r>
  <r>
    <s v="Sports Direct"/>
    <n v="1197831"/>
    <d v="2021-05-11T00:00:00"/>
    <x v="1"/>
    <s v="Tennessee"/>
    <s v="Knoxville"/>
    <s v="Women's Street Footwear"/>
    <n v="50"/>
    <n v="174"/>
    <x v="266"/>
    <x v="107"/>
    <s v="Online"/>
  </r>
  <r>
    <s v="Sports Direct"/>
    <n v="1197831"/>
    <d v="2021-08-08T00:00:00"/>
    <x v="1"/>
    <s v="Alabama"/>
    <s v="Birmingham"/>
    <s v="Men's Athletic Footwear"/>
    <n v="33"/>
    <n v="174"/>
    <x v="668"/>
    <x v="540"/>
    <s v="Online"/>
  </r>
  <r>
    <s v="Amazon"/>
    <n v="1185732"/>
    <d v="2021-12-20T00:00:00"/>
    <x v="4"/>
    <s v="Alaska"/>
    <s v="Anchorage"/>
    <s v="Men's Street Footwear"/>
    <n v="69"/>
    <n v="174"/>
    <x v="189"/>
    <x v="269"/>
    <s v="Online"/>
  </r>
  <r>
    <s v="West Gear"/>
    <n v="1128299"/>
    <d v="2021-12-16T00:00:00"/>
    <x v="0"/>
    <s v="Florida"/>
    <s v="Orlando"/>
    <s v="Women's Street Footwear"/>
    <n v="75"/>
    <n v="174"/>
    <x v="252"/>
    <x v="425"/>
    <s v="Online"/>
  </r>
  <r>
    <s v="West Gear"/>
    <n v="1185732"/>
    <d v="2021-02-10T00:00:00"/>
    <x v="0"/>
    <s v="Florida"/>
    <s v="Orlando"/>
    <s v="Women's Street Footwear"/>
    <n v="33"/>
    <n v="174"/>
    <x v="668"/>
    <x v="674"/>
    <s v="Online"/>
  </r>
  <r>
    <s v="Kohl's"/>
    <n v="1185732"/>
    <d v="2021-02-12T00:00:00"/>
    <x v="4"/>
    <s v="Wyoming"/>
    <s v="Cheyenne"/>
    <s v="Women's Apparel"/>
    <n v="38"/>
    <n v="174"/>
    <x v="394"/>
    <x v="529"/>
    <s v="Online"/>
  </r>
  <r>
    <s v="Kohl's"/>
    <n v="1185732"/>
    <d v="2021-09-10T00:00:00"/>
    <x v="4"/>
    <s v="Wyoming"/>
    <s v="Cheyenne"/>
    <s v="Women's Apparel"/>
    <n v="52"/>
    <n v="174"/>
    <x v="420"/>
    <x v="166"/>
    <s v="Online"/>
  </r>
  <r>
    <s v="Kohl's"/>
    <n v="1185732"/>
    <d v="2021-10-12T00:00:00"/>
    <x v="4"/>
    <s v="Wyoming"/>
    <s v="Cheyenne"/>
    <s v="Men's Athletic Footwear"/>
    <n v="44"/>
    <n v="174"/>
    <x v="841"/>
    <x v="505"/>
    <s v="Online"/>
  </r>
  <r>
    <s v="Foot Locker"/>
    <n v="1185732"/>
    <d v="2021-12-10T00:00:00"/>
    <x v="4"/>
    <s v="Wyoming"/>
    <s v="Cheyenne"/>
    <s v="Women's Apparel"/>
    <n v="56"/>
    <n v="174"/>
    <x v="423"/>
    <x v="56"/>
    <s v="Online"/>
  </r>
  <r>
    <s v="Sports Direct"/>
    <n v="1185732"/>
    <d v="2021-09-15T00:00:00"/>
    <x v="2"/>
    <s v="Michigan"/>
    <s v="Detroit"/>
    <s v="Men's Athletic Footwear"/>
    <n v="37"/>
    <n v="174"/>
    <x v="765"/>
    <x v="264"/>
    <s v="Online"/>
  </r>
  <r>
    <s v="Foot Locker"/>
    <n v="1185732"/>
    <d v="2021-09-19T00:00:00"/>
    <x v="2"/>
    <s v="Missouri"/>
    <s v="St. Louis"/>
    <s v="Men's Street Footwear"/>
    <n v="32"/>
    <n v="174"/>
    <x v="426"/>
    <x v="249"/>
    <s v="Online"/>
  </r>
  <r>
    <s v="West Gear"/>
    <n v="1185732"/>
    <d v="2021-05-12T00:00:00"/>
    <x v="4"/>
    <s v="Utah"/>
    <s v="Salt Lake City"/>
    <s v="Men's Street Footwear"/>
    <n v="32"/>
    <n v="174"/>
    <x v="426"/>
    <x v="287"/>
    <s v="Online"/>
  </r>
  <r>
    <s v="West Gear"/>
    <n v="1128299"/>
    <d v="2021-11-17T00:00:00"/>
    <x v="1"/>
    <s v="Louisiana"/>
    <s v="New Orleans"/>
    <s v="Women's Apparel"/>
    <n v="81"/>
    <n v="174"/>
    <x v="353"/>
    <x v="725"/>
    <s v="Online"/>
  </r>
  <r>
    <s v="Foot Locker"/>
    <n v="1197831"/>
    <d v="2021-02-04T00:00:00"/>
    <x v="1"/>
    <s v="Louisiana"/>
    <s v="New Orleans"/>
    <s v="Men's Athletic Footwear"/>
    <n v="32"/>
    <n v="174"/>
    <x v="426"/>
    <x v="614"/>
    <s v="Online"/>
  </r>
  <r>
    <s v="West Gear"/>
    <n v="1197831"/>
    <d v="2021-06-04T00:00:00"/>
    <x v="4"/>
    <s v="Idaho"/>
    <s v="Boise"/>
    <s v="Women's Street Footwear"/>
    <n v="47"/>
    <n v="174"/>
    <x v="318"/>
    <x v="73"/>
    <s v="Online"/>
  </r>
  <r>
    <s v="Walmart"/>
    <n v="1197831"/>
    <d v="2021-04-20T00:00:00"/>
    <x v="1"/>
    <s v="Arkansas"/>
    <s v="Little Rock"/>
    <s v="Men's Street Footwear"/>
    <n v="23"/>
    <n v="174"/>
    <x v="842"/>
    <x v="482"/>
    <s v="Online"/>
  </r>
  <r>
    <s v="Sports Direct"/>
    <n v="1197831"/>
    <d v="2021-10-19T00:00:00"/>
    <x v="1"/>
    <s v="Texas"/>
    <s v="Dallas"/>
    <s v="Women's Athletic Footwear"/>
    <n v="59"/>
    <n v="173"/>
    <x v="177"/>
    <x v="671"/>
    <s v="Online"/>
  </r>
  <r>
    <s v="Kohl's"/>
    <n v="1189833"/>
    <d v="2021-01-09T00:00:00"/>
    <x v="2"/>
    <s v="Montana"/>
    <s v="Billings"/>
    <s v="Men's Street Footwear"/>
    <n v="32"/>
    <n v="173"/>
    <x v="561"/>
    <x v="609"/>
    <s v="Online"/>
  </r>
  <r>
    <s v="Kohl's"/>
    <n v="1189833"/>
    <d v="2021-02-27T00:00:00"/>
    <x v="2"/>
    <s v="Montana"/>
    <s v="Billings"/>
    <s v="Men's Athletic Footwear"/>
    <n v="42"/>
    <n v="173"/>
    <x v="843"/>
    <x v="380"/>
    <s v="Online"/>
  </r>
  <r>
    <s v="Sports Direct"/>
    <n v="1197831"/>
    <d v="2021-05-03T00:00:00"/>
    <x v="1"/>
    <s v="Tennessee"/>
    <s v="Knoxville"/>
    <s v="Men's Street Footwear"/>
    <n v="33"/>
    <n v="173"/>
    <x v="844"/>
    <x v="222"/>
    <s v="Online"/>
  </r>
  <r>
    <s v="Sports Direct"/>
    <n v="1197831"/>
    <d v="2021-08-27T00:00:00"/>
    <x v="1"/>
    <s v="Alabama"/>
    <s v="Birmingham"/>
    <s v="Women's Street Footwear"/>
    <n v="15"/>
    <n v="173"/>
    <x v="845"/>
    <x v="590"/>
    <s v="Online"/>
  </r>
  <r>
    <s v="Sports Direct"/>
    <n v="1197831"/>
    <d v="2021-09-09T00:00:00"/>
    <x v="1"/>
    <s v="Alabama"/>
    <s v="Birmingham"/>
    <s v="Women's Athletic Footwear"/>
    <n v="44"/>
    <n v="173"/>
    <x v="696"/>
    <x v="559"/>
    <s v="Online"/>
  </r>
  <r>
    <s v="Amazon"/>
    <n v="1185732"/>
    <d v="2021-02-22T00:00:00"/>
    <x v="4"/>
    <s v="Alaska"/>
    <s v="Anchorage"/>
    <s v="Men's Street Footwear"/>
    <n v="51"/>
    <n v="173"/>
    <x v="78"/>
    <x v="564"/>
    <s v="Online"/>
  </r>
  <r>
    <s v="Walmart"/>
    <n v="1128299"/>
    <d v="2021-05-18T00:00:00"/>
    <x v="0"/>
    <s v="Florida"/>
    <s v="Orlando"/>
    <s v="Women's Apparel"/>
    <n v="67"/>
    <n v="173"/>
    <x v="846"/>
    <x v="554"/>
    <s v="Online"/>
  </r>
  <r>
    <s v="Sports Direct"/>
    <n v="1185732"/>
    <d v="2021-07-15T00:00:00"/>
    <x v="2"/>
    <s v="Michigan"/>
    <s v="Detroit"/>
    <s v="Women's Street Footwear"/>
    <n v="46"/>
    <n v="173"/>
    <x v="511"/>
    <x v="515"/>
    <s v="Online"/>
  </r>
  <r>
    <s v="Sports Direct"/>
    <n v="1185732"/>
    <d v="2021-09-15T00:00:00"/>
    <x v="2"/>
    <s v="Michigan"/>
    <s v="Detroit"/>
    <s v="Women's Apparel"/>
    <n v="48"/>
    <n v="173"/>
    <x v="847"/>
    <x v="681"/>
    <s v="Online"/>
  </r>
  <r>
    <s v="West Gear"/>
    <n v="1185732"/>
    <d v="2021-10-11T00:00:00"/>
    <x v="4"/>
    <s v="Utah"/>
    <s v="Salt Lake City"/>
    <s v="Men's Street Footwear"/>
    <n v="28"/>
    <n v="173"/>
    <x v="848"/>
    <x v="634"/>
    <s v="Online"/>
  </r>
  <r>
    <s v="West Gear"/>
    <n v="1128299"/>
    <d v="2021-11-24T00:00:00"/>
    <x v="4"/>
    <s v="Oregon"/>
    <s v="Portland"/>
    <s v="Men's Street Footwear"/>
    <n v="44"/>
    <n v="173"/>
    <x v="696"/>
    <x v="231"/>
    <s v="Online"/>
  </r>
  <r>
    <s v="West Gear"/>
    <n v="1128299"/>
    <d v="2021-12-23T00:00:00"/>
    <x v="4"/>
    <s v="Oregon"/>
    <s v="Portland"/>
    <s v="Women's Apparel"/>
    <n v="77"/>
    <n v="173"/>
    <x v="849"/>
    <x v="134"/>
    <s v="Online"/>
  </r>
  <r>
    <s v="Sports Direct"/>
    <n v="1197831"/>
    <d v="2021-10-04T00:00:00"/>
    <x v="4"/>
    <s v="Idaho"/>
    <s v="Boise"/>
    <s v="Men's Athletic Footwear"/>
    <n v="37"/>
    <n v="173"/>
    <x v="705"/>
    <x v="423"/>
    <s v="Online"/>
  </r>
  <r>
    <s v="Sports Direct"/>
    <n v="1128299"/>
    <d v="2021-07-12T00:00:00"/>
    <x v="0"/>
    <s v="Georgia"/>
    <s v="Atlanta"/>
    <s v="Men's Athletic Footwear"/>
    <n v="51"/>
    <n v="173"/>
    <x v="78"/>
    <x v="393"/>
    <s v="Online"/>
  </r>
  <r>
    <s v="Sports Direct"/>
    <n v="1128299"/>
    <d v="2021-11-13T00:00:00"/>
    <x v="0"/>
    <s v="Georgia"/>
    <s v="Atlanta"/>
    <s v="Men's Athletic Footwear"/>
    <n v="58"/>
    <n v="173"/>
    <x v="850"/>
    <x v="403"/>
    <s v="Online"/>
  </r>
  <r>
    <s v="Sports Direct"/>
    <n v="1185732"/>
    <d v="2021-01-06T00:00:00"/>
    <x v="0"/>
    <s v="South Carolina"/>
    <s v="Charleston"/>
    <s v="Women's Athletic Footwear"/>
    <n v="29"/>
    <n v="173"/>
    <x v="851"/>
    <x v="512"/>
    <s v="Online"/>
  </r>
  <r>
    <s v="Amazon"/>
    <n v="1185732"/>
    <d v="2021-01-13T00:00:00"/>
    <x v="0"/>
    <s v="North Carolina"/>
    <s v="Charlotte"/>
    <s v="Women's Apparel"/>
    <n v="32"/>
    <n v="173"/>
    <x v="561"/>
    <x v="632"/>
    <s v="Online"/>
  </r>
  <r>
    <s v="Amazon"/>
    <n v="1185732"/>
    <d v="2021-07-09T00:00:00"/>
    <x v="2"/>
    <s v="Ohio"/>
    <s v="Columbus"/>
    <s v="Women's Street Footwear"/>
    <n v="51"/>
    <n v="173"/>
    <x v="78"/>
    <x v="393"/>
    <s v="Online"/>
  </r>
  <r>
    <s v="Amazon"/>
    <n v="1185732"/>
    <d v="2021-09-09T00:00:00"/>
    <x v="2"/>
    <s v="Ohio"/>
    <s v="Columbus"/>
    <s v="Men's Athletic Footwear"/>
    <n v="47"/>
    <n v="173"/>
    <x v="852"/>
    <x v="122"/>
    <s v="Online"/>
  </r>
  <r>
    <s v="Amazon"/>
    <n v="1185732"/>
    <d v="2021-05-17T00:00:00"/>
    <x v="3"/>
    <s v="New Hampshire"/>
    <s v="Manchester"/>
    <s v="Men's Street Footwear"/>
    <n v="64"/>
    <n v="173"/>
    <x v="210"/>
    <x v="299"/>
    <s v="Online"/>
  </r>
  <r>
    <s v="Foot Locker"/>
    <n v="1185732"/>
    <d v="2021-02-22T00:00:00"/>
    <x v="3"/>
    <s v="New Hampshire"/>
    <s v="Manchester"/>
    <s v="Men's Street Footwear"/>
    <n v="52"/>
    <n v="173"/>
    <x v="306"/>
    <x v="86"/>
    <s v="Online"/>
  </r>
  <r>
    <s v="West Gear"/>
    <n v="1128299"/>
    <d v="2020-11-05T00:00:00"/>
    <x v="4"/>
    <s v="California"/>
    <s v="San Francisco"/>
    <s v="Men's Apparel"/>
    <n v="38"/>
    <n v="173"/>
    <x v="523"/>
    <x v="595"/>
    <s v="Outlet"/>
  </r>
  <r>
    <s v="Kohl's"/>
    <n v="1189833"/>
    <d v="2021-04-10T00:00:00"/>
    <x v="4"/>
    <s v="California"/>
    <s v="Los Angeles"/>
    <s v="Women's Athletic Footwear"/>
    <n v="31"/>
    <n v="173"/>
    <x v="417"/>
    <x v="381"/>
    <s v="Outlet"/>
  </r>
  <r>
    <s v="West Gear"/>
    <n v="1128299"/>
    <d v="2020-01-08T00:00:00"/>
    <x v="4"/>
    <s v="Nevada"/>
    <s v="Las Vegas"/>
    <s v="Men's Street Footwear"/>
    <n v="27"/>
    <n v="173"/>
    <x v="853"/>
    <x v="365"/>
    <s v="Outlet"/>
  </r>
  <r>
    <s v="Sports Direct"/>
    <n v="1197831"/>
    <d v="2021-09-19T00:00:00"/>
    <x v="1"/>
    <s v="Alabama"/>
    <s v="Birmingham"/>
    <s v="Men's Athletic Footwear"/>
    <n v="36"/>
    <n v="173"/>
    <x v="854"/>
    <x v="160"/>
    <s v="Outlet"/>
  </r>
  <r>
    <s v="Sports Direct"/>
    <n v="1197831"/>
    <d v="2021-09-25T00:00:00"/>
    <x v="1"/>
    <s v="Alabama"/>
    <s v="Birmingham"/>
    <s v="Men's Athletic Footwear"/>
    <n v="23"/>
    <n v="173"/>
    <x v="855"/>
    <x v="652"/>
    <s v="Outlet"/>
  </r>
  <r>
    <s v="Walmart"/>
    <n v="1128299"/>
    <d v="2021-05-18T00:00:00"/>
    <x v="0"/>
    <s v="Florida"/>
    <s v="Orlando"/>
    <s v="Women's Apparel"/>
    <n v="48"/>
    <n v="173"/>
    <x v="847"/>
    <x v="726"/>
    <s v="Outlet"/>
  </r>
  <r>
    <s v="Walmart"/>
    <n v="1128299"/>
    <d v="2021-11-17T00:00:00"/>
    <x v="0"/>
    <s v="Florida"/>
    <s v="Orlando"/>
    <s v="Women's Street Footwear"/>
    <n v="44"/>
    <n v="173"/>
    <x v="696"/>
    <x v="116"/>
    <s v="Outlet"/>
  </r>
  <r>
    <s v="Foot Locker"/>
    <n v="1128299"/>
    <d v="2021-10-24T00:00:00"/>
    <x v="0"/>
    <s v="Virginia"/>
    <s v="Richmond"/>
    <s v="Men's Athletic Footwear"/>
    <n v="39"/>
    <n v="173"/>
    <x v="481"/>
    <x v="727"/>
    <s v="Outlet"/>
  </r>
  <r>
    <s v="Foot Locker"/>
    <n v="1128299"/>
    <d v="2021-11-24T00:00:00"/>
    <x v="0"/>
    <s v="Virginia"/>
    <s v="Richmond"/>
    <s v="Men's Street Footwear"/>
    <n v="34"/>
    <n v="173"/>
    <x v="856"/>
    <x v="634"/>
    <s v="Outlet"/>
  </r>
  <r>
    <s v="West Gear"/>
    <n v="1128299"/>
    <d v="2021-05-25T00:00:00"/>
    <x v="4"/>
    <s v="Oregon"/>
    <s v="Portland"/>
    <s v="Women's Apparel"/>
    <n v="46"/>
    <n v="173"/>
    <x v="511"/>
    <x v="553"/>
    <s v="Outlet"/>
  </r>
  <r>
    <s v="West Gear"/>
    <n v="1197831"/>
    <d v="2021-07-06T00:00:00"/>
    <x v="4"/>
    <s v="Idaho"/>
    <s v="Boise"/>
    <s v="Men's Apparel"/>
    <n v="43"/>
    <n v="173"/>
    <x v="364"/>
    <x v="380"/>
    <s v="Outlet"/>
  </r>
  <r>
    <s v="Kohl's"/>
    <n v="1128299"/>
    <d v="2021-02-26T00:00:00"/>
    <x v="4"/>
    <s v="Arizona"/>
    <s v="Phoenix"/>
    <s v="Men's Street Footwear"/>
    <n v="27"/>
    <n v="173"/>
    <x v="853"/>
    <x v="647"/>
    <s v="Outlet"/>
  </r>
  <r>
    <s v="Sports Direct"/>
    <n v="1128299"/>
    <d v="2021-12-25T00:00:00"/>
    <x v="4"/>
    <s v="New Mexico"/>
    <s v="Albuquerque"/>
    <s v="Women's Apparel"/>
    <n v="56"/>
    <n v="173"/>
    <x v="857"/>
    <x v="629"/>
    <s v="Outlet"/>
  </r>
  <r>
    <s v="Sports Direct"/>
    <n v="1128299"/>
    <d v="2021-07-12T00:00:00"/>
    <x v="0"/>
    <s v="Georgia"/>
    <s v="Atlanta"/>
    <s v="Men's Athletic Footwear"/>
    <n v="37"/>
    <n v="173"/>
    <x v="705"/>
    <x v="592"/>
    <s v="Outlet"/>
  </r>
  <r>
    <s v="Sports Direct"/>
    <n v="1128299"/>
    <d v="2021-10-13T00:00:00"/>
    <x v="0"/>
    <s v="Georgia"/>
    <s v="Atlanta"/>
    <s v="Men's Street Footwear"/>
    <n v="34"/>
    <n v="173"/>
    <x v="856"/>
    <x v="449"/>
    <s v="Outlet"/>
  </r>
  <r>
    <s v="Sports Direct"/>
    <n v="1128299"/>
    <d v="2021-10-13T00:00:00"/>
    <x v="0"/>
    <s v="Georgia"/>
    <s v="Atlanta"/>
    <s v="Men's Athletic Footwear"/>
    <n v="34"/>
    <n v="173"/>
    <x v="856"/>
    <x v="634"/>
    <s v="Outlet"/>
  </r>
  <r>
    <s v="Sports Direct"/>
    <n v="1128299"/>
    <d v="2021-11-13T00:00:00"/>
    <x v="0"/>
    <s v="Georgia"/>
    <s v="Atlanta"/>
    <s v="Men's Street Footwear"/>
    <n v="36"/>
    <n v="173"/>
    <x v="854"/>
    <x v="629"/>
    <s v="Outlet"/>
  </r>
  <r>
    <s v="West Gear"/>
    <n v="1197831"/>
    <d v="2021-10-21T00:00:00"/>
    <x v="1"/>
    <s v="Oklahoma"/>
    <s v="Oklahoma City"/>
    <s v="Men's Street Footwear"/>
    <n v="20"/>
    <n v="173"/>
    <x v="787"/>
    <x v="591"/>
    <s v="Outlet"/>
  </r>
  <r>
    <s v="Foot Locker"/>
    <n v="1185732"/>
    <d v="2021-12-03T00:00:00"/>
    <x v="3"/>
    <s v="Connecticut"/>
    <s v="Hartford"/>
    <s v="Men's Street Footwear"/>
    <n v="45"/>
    <n v="173"/>
    <x v="393"/>
    <x v="622"/>
    <s v="Outlet"/>
  </r>
  <r>
    <s v="Foot Locker"/>
    <n v="1185732"/>
    <d v="2021-07-06T00:00:00"/>
    <x v="3"/>
    <s v="Rhode Island"/>
    <s v="Providence"/>
    <s v="Men's Street Footwear"/>
    <n v="38"/>
    <n v="173"/>
    <x v="523"/>
    <x v="485"/>
    <s v="Outlet"/>
  </r>
  <r>
    <s v="Sports Direct"/>
    <n v="1185732"/>
    <d v="2021-05-13T00:00:00"/>
    <x v="3"/>
    <s v="Massachusetts"/>
    <s v="Boston"/>
    <s v="Men's Street Footwear"/>
    <n v="41"/>
    <n v="173"/>
    <x v="858"/>
    <x v="431"/>
    <s v="Outlet"/>
  </r>
  <r>
    <s v="Amazon"/>
    <n v="1185732"/>
    <d v="2021-01-21T00:00:00"/>
    <x v="3"/>
    <s v="Vermont"/>
    <s v="Burlington"/>
    <s v="Men's Street Footwear"/>
    <n v="34"/>
    <n v="173"/>
    <x v="856"/>
    <x v="356"/>
    <s v="Outlet"/>
  </r>
  <r>
    <s v="West Gear"/>
    <n v="1128299"/>
    <d v="2020-01-20T00:00:00"/>
    <x v="4"/>
    <s v="Nevada"/>
    <s v="Las Vegas"/>
    <s v="Men's Street Footwear"/>
    <n v="41"/>
    <n v="171"/>
    <x v="859"/>
    <x v="592"/>
    <s v="Outlet"/>
  </r>
  <r>
    <s v="West Gear"/>
    <n v="1128299"/>
    <d v="2020-01-26T00:00:00"/>
    <x v="4"/>
    <s v="Nevada"/>
    <s v="Las Vegas"/>
    <s v="Men's Street Footwear"/>
    <n v="43"/>
    <n v="171"/>
    <x v="860"/>
    <x v="610"/>
    <s v="Outlet"/>
  </r>
  <r>
    <s v="West Gear"/>
    <n v="1128299"/>
    <d v="2020-02-09T00:00:00"/>
    <x v="4"/>
    <s v="Nevada"/>
    <s v="Las Vegas"/>
    <s v="Women's Street Footwear"/>
    <n v="47"/>
    <n v="171"/>
    <x v="670"/>
    <x v="166"/>
    <s v="Outlet"/>
  </r>
  <r>
    <s v="West Gear"/>
    <n v="1128299"/>
    <d v="2020-02-25T00:00:00"/>
    <x v="4"/>
    <s v="Nevada"/>
    <s v="Las Vegas"/>
    <s v="Men's Street Footwear"/>
    <n v="47"/>
    <n v="171"/>
    <x v="670"/>
    <x v="58"/>
    <s v="Outlet"/>
  </r>
  <r>
    <s v="Sports Direct"/>
    <n v="1128299"/>
    <d v="2021-03-16T00:00:00"/>
    <x v="0"/>
    <s v="Florida"/>
    <s v="Orlando"/>
    <s v="Men's Street Footwear"/>
    <n v="35"/>
    <n v="171"/>
    <x v="861"/>
    <x v="256"/>
    <s v="Outlet"/>
  </r>
  <r>
    <s v="Walmart"/>
    <n v="1128299"/>
    <d v="2021-04-17T00:00:00"/>
    <x v="0"/>
    <s v="Florida"/>
    <s v="Orlando"/>
    <s v="Men's Street Footwear"/>
    <n v="47"/>
    <n v="171"/>
    <x v="670"/>
    <x v="366"/>
    <s v="Outlet"/>
  </r>
  <r>
    <s v="West Gear"/>
    <n v="1128299"/>
    <d v="2021-07-23T00:00:00"/>
    <x v="4"/>
    <s v="Oregon"/>
    <s v="Portland"/>
    <s v="Women's Athletic Footwear"/>
    <n v="61"/>
    <n v="171"/>
    <x v="862"/>
    <x v="208"/>
    <s v="Outlet"/>
  </r>
  <r>
    <s v="Kohl's"/>
    <n v="1128299"/>
    <d v="2021-07-25T00:00:00"/>
    <x v="4"/>
    <s v="New Mexico"/>
    <s v="Albuquerque"/>
    <s v="Women's Street Footwear"/>
    <n v="39"/>
    <n v="171"/>
    <x v="339"/>
    <x v="634"/>
    <s v="Outlet"/>
  </r>
  <r>
    <s v="Kohl's"/>
    <n v="1128299"/>
    <d v="2021-10-26T00:00:00"/>
    <x v="4"/>
    <s v="New Mexico"/>
    <s v="Albuquerque"/>
    <s v="Men's Street Footwear"/>
    <n v="35"/>
    <n v="171"/>
    <x v="861"/>
    <x v="666"/>
    <s v="Outlet"/>
  </r>
  <r>
    <s v="Foot Locker"/>
    <n v="1185732"/>
    <d v="2021-11-21T00:00:00"/>
    <x v="3"/>
    <s v="Maryland"/>
    <s v="Baltimore"/>
    <s v="Women's Street Footwear"/>
    <n v="50"/>
    <n v="170"/>
    <x v="8"/>
    <x v="8"/>
    <s v="In-store"/>
  </r>
  <r>
    <s v="West Gear"/>
    <n v="1128299"/>
    <d v="2020-12-23T00:00:00"/>
    <x v="4"/>
    <s v="California"/>
    <s v="San Francisco"/>
    <s v="Men's Apparel"/>
    <n v="51"/>
    <n v="170"/>
    <x v="863"/>
    <x v="395"/>
    <s v="Outlet"/>
  </r>
  <r>
    <s v="Foot Locker"/>
    <n v="1185732"/>
    <d v="2021-11-21T00:00:00"/>
    <x v="3"/>
    <s v="Pennsylvania"/>
    <s v="Philadelphia"/>
    <s v="Men's Street Footwear"/>
    <n v="49"/>
    <n v="170"/>
    <x v="864"/>
    <x v="728"/>
    <s v="Outlet"/>
  </r>
  <r>
    <s v="West Gear"/>
    <n v="1128299"/>
    <d v="2020-02-12T00:00:00"/>
    <x v="4"/>
    <s v="Nevada"/>
    <s v="Las Vegas"/>
    <s v="Women's Apparel"/>
    <n v="61"/>
    <n v="170"/>
    <x v="143"/>
    <x v="333"/>
    <s v="Outlet"/>
  </r>
  <r>
    <s v="West Gear"/>
    <n v="1128299"/>
    <d v="2020-03-14T00:00:00"/>
    <x v="4"/>
    <s v="Nevada"/>
    <s v="Las Vegas"/>
    <s v="Women's Apparel"/>
    <n v="56"/>
    <n v="170"/>
    <x v="865"/>
    <x v="524"/>
    <s v="Outlet"/>
  </r>
  <r>
    <s v="Sports Direct"/>
    <n v="1197831"/>
    <d v="2021-03-15T00:00:00"/>
    <x v="1"/>
    <s v="Tennessee"/>
    <s v="Knoxville"/>
    <s v="Women's Apparel"/>
    <n v="24"/>
    <n v="170"/>
    <x v="866"/>
    <x v="482"/>
    <s v="Outlet"/>
  </r>
  <r>
    <s v="Sports Direct"/>
    <n v="1197831"/>
    <d v="2021-03-30T00:00:00"/>
    <x v="1"/>
    <s v="Tennessee"/>
    <s v="Knoxville"/>
    <s v="Women's Street Footwear"/>
    <n v="15"/>
    <n v="170"/>
    <x v="793"/>
    <x v="729"/>
    <s v="Outlet"/>
  </r>
  <r>
    <s v="Walmart"/>
    <n v="1128299"/>
    <d v="2021-11-17T00:00:00"/>
    <x v="0"/>
    <s v="Florida"/>
    <s v="Orlando"/>
    <s v="Women's Athletic Footwear"/>
    <n v="47"/>
    <n v="170"/>
    <x v="867"/>
    <x v="654"/>
    <s v="Outlet"/>
  </r>
  <r>
    <s v="West Gear"/>
    <n v="1185732"/>
    <d v="2021-01-12T00:00:00"/>
    <x v="0"/>
    <s v="Florida"/>
    <s v="Orlando"/>
    <s v="Women's Athletic Footwear"/>
    <n v="30"/>
    <n v="170"/>
    <x v="285"/>
    <x v="558"/>
    <s v="Outlet"/>
  </r>
  <r>
    <s v="Sports Direct"/>
    <n v="1185732"/>
    <d v="2021-02-17T00:00:00"/>
    <x v="0"/>
    <s v="Virginia"/>
    <s v="Richmond"/>
    <s v="Women's Street Footwear"/>
    <n v="17"/>
    <n v="170"/>
    <x v="868"/>
    <x v="730"/>
    <s v="Outlet"/>
  </r>
  <r>
    <s v="West Gear"/>
    <n v="1185732"/>
    <d v="2021-12-10T00:00:00"/>
    <x v="4"/>
    <s v="Utah"/>
    <s v="Salt Lake City"/>
    <s v="Men's Athletic Footwear"/>
    <n v="22"/>
    <n v="170"/>
    <x v="869"/>
    <x v="731"/>
    <s v="Outlet"/>
  </r>
  <r>
    <s v="West Gear"/>
    <n v="1185732"/>
    <d v="2021-12-10T00:00:00"/>
    <x v="4"/>
    <s v="Utah"/>
    <s v="Salt Lake City"/>
    <s v="Women's Apparel"/>
    <n v="29"/>
    <n v="170"/>
    <x v="870"/>
    <x v="727"/>
    <s v="Outlet"/>
  </r>
  <r>
    <s v="Foot Locker"/>
    <n v="1128299"/>
    <d v="2021-10-23T00:00:00"/>
    <x v="4"/>
    <s v="Arizona"/>
    <s v="Phoenix"/>
    <s v="Men's Street Footwear"/>
    <n v="36"/>
    <n v="170"/>
    <x v="94"/>
    <x v="111"/>
    <s v="Outlet"/>
  </r>
  <r>
    <s v="Kohl's"/>
    <n v="1128299"/>
    <d v="2021-11-26T00:00:00"/>
    <x v="4"/>
    <s v="New Mexico"/>
    <s v="Albuquerque"/>
    <s v="Women's Apparel"/>
    <n v="56"/>
    <n v="170"/>
    <x v="865"/>
    <x v="553"/>
    <s v="Outlet"/>
  </r>
  <r>
    <s v="West Gear"/>
    <n v="1197831"/>
    <d v="2021-12-19T00:00:00"/>
    <x v="1"/>
    <s v="Arkansas"/>
    <s v="Little Rock"/>
    <s v="Women's Apparel"/>
    <n v="55"/>
    <n v="170"/>
    <x v="340"/>
    <x v="291"/>
    <s v="Outlet"/>
  </r>
  <r>
    <s v="Sports Direct"/>
    <n v="1185732"/>
    <d v="2021-09-03T00:00:00"/>
    <x v="3"/>
    <s v="Connecticut"/>
    <s v="Hartford"/>
    <s v="Men's Street Footwear"/>
    <n v="43"/>
    <n v="170"/>
    <x v="630"/>
    <x v="489"/>
    <s v="Outlet"/>
  </r>
  <r>
    <s v="Walmart"/>
    <n v="1197831"/>
    <d v="2020-08-22T00:00:00"/>
    <x v="1"/>
    <s v="Texas"/>
    <s v="Houston"/>
    <s v="Men's Apparel"/>
    <n v="41"/>
    <n v="169"/>
    <x v="565"/>
    <x v="732"/>
    <s v="Online"/>
  </r>
  <r>
    <s v="Walmart"/>
    <n v="1197831"/>
    <d v="2020-09-03T00:00:00"/>
    <x v="1"/>
    <s v="Texas"/>
    <s v="Houston"/>
    <s v="Men's Apparel"/>
    <n v="41"/>
    <n v="169"/>
    <x v="565"/>
    <x v="552"/>
    <s v="Online"/>
  </r>
  <r>
    <s v="Walmart"/>
    <n v="1197831"/>
    <d v="2020-10-30T00:00:00"/>
    <x v="1"/>
    <s v="Texas"/>
    <s v="Houston"/>
    <s v="Men's Apparel"/>
    <n v="42"/>
    <n v="169"/>
    <x v="241"/>
    <x v="424"/>
    <s v="Online"/>
  </r>
  <r>
    <s v="Kohl's"/>
    <n v="1189833"/>
    <d v="2021-03-15T00:00:00"/>
    <x v="4"/>
    <s v="California"/>
    <s v="Los Angeles"/>
    <s v="Women's Street Footwear"/>
    <n v="44"/>
    <n v="169"/>
    <x v="364"/>
    <x v="284"/>
    <s v="Online"/>
  </r>
  <r>
    <s v="Kohl's"/>
    <n v="1189833"/>
    <d v="2021-03-21T00:00:00"/>
    <x v="4"/>
    <s v="California"/>
    <s v="Los Angeles"/>
    <s v="Women's Street Footwear"/>
    <n v="42"/>
    <n v="169"/>
    <x v="241"/>
    <x v="726"/>
    <s v="Online"/>
  </r>
  <r>
    <s v="Kohl's"/>
    <n v="1189833"/>
    <d v="2021-04-14T00:00:00"/>
    <x v="4"/>
    <s v="California"/>
    <s v="Los Angeles"/>
    <s v="Men's Athletic Footwear"/>
    <n v="47"/>
    <n v="169"/>
    <x v="270"/>
    <x v="249"/>
    <s v="Online"/>
  </r>
  <r>
    <s v="Kohl's"/>
    <n v="1189833"/>
    <d v="2021-05-04T00:00:00"/>
    <x v="4"/>
    <s v="California"/>
    <s v="Los Angeles"/>
    <s v="Women's Athletic Footwear"/>
    <n v="47"/>
    <n v="169"/>
    <x v="270"/>
    <x v="155"/>
    <s v="Online"/>
  </r>
  <r>
    <s v="Kohl's"/>
    <n v="1189833"/>
    <d v="2021-05-21T00:00:00"/>
    <x v="4"/>
    <s v="California"/>
    <s v="Los Angeles"/>
    <s v="Women's Street Footwear"/>
    <n v="47"/>
    <n v="169"/>
    <x v="270"/>
    <x v="87"/>
    <s v="Online"/>
  </r>
  <r>
    <s v="Sports Direct"/>
    <n v="1197831"/>
    <d v="2021-08-24T00:00:00"/>
    <x v="1"/>
    <s v="Texas"/>
    <s v="Dallas"/>
    <s v="Men's Athletic Footwear"/>
    <n v="39"/>
    <n v="169"/>
    <x v="871"/>
    <x v="438"/>
    <s v="Online"/>
  </r>
  <r>
    <s v="Sports Direct"/>
    <n v="1197831"/>
    <d v="2021-10-05T00:00:00"/>
    <x v="1"/>
    <s v="Texas"/>
    <s v="Dallas"/>
    <s v="Men's Athletic Footwear"/>
    <n v="38"/>
    <n v="169"/>
    <x v="872"/>
    <x v="264"/>
    <s v="Online"/>
  </r>
  <r>
    <s v="West Gear"/>
    <n v="1185732"/>
    <d v="2020-08-15T00:00:00"/>
    <x v="0"/>
    <s v="Florida"/>
    <s v="Miami"/>
    <s v="Women's Athletic Footwear"/>
    <n v="38"/>
    <n v="169"/>
    <x v="872"/>
    <x v="662"/>
    <s v="Online"/>
  </r>
  <r>
    <s v="Kohl's"/>
    <n v="1189833"/>
    <d v="2021-01-27T00:00:00"/>
    <x v="2"/>
    <s v="Montana"/>
    <s v="Billings"/>
    <s v="Men's Street Footwear"/>
    <n v="36"/>
    <n v="169"/>
    <x v="722"/>
    <x v="266"/>
    <s v="Online"/>
  </r>
  <r>
    <s v="Sports Direct"/>
    <n v="1197831"/>
    <d v="2021-03-16T00:00:00"/>
    <x v="1"/>
    <s v="Tennessee"/>
    <s v="Knoxville"/>
    <s v="Men's Street Footwear"/>
    <n v="24"/>
    <n v="169"/>
    <x v="873"/>
    <x v="256"/>
    <s v="Online"/>
  </r>
  <r>
    <s v="Sports Direct"/>
    <n v="1197831"/>
    <d v="2021-03-28T00:00:00"/>
    <x v="1"/>
    <s v="Tennessee"/>
    <s v="Knoxville"/>
    <s v="Men's Street Footwear"/>
    <n v="19"/>
    <n v="169"/>
    <x v="874"/>
    <x v="547"/>
    <s v="Online"/>
  </r>
  <r>
    <s v="Sports Direct"/>
    <n v="1197831"/>
    <d v="2021-04-11T00:00:00"/>
    <x v="1"/>
    <s v="Tennessee"/>
    <s v="Knoxville"/>
    <s v="Women's Street Footwear"/>
    <n v="36"/>
    <n v="169"/>
    <x v="722"/>
    <x v="540"/>
    <s v="Online"/>
  </r>
  <r>
    <s v="Sports Direct"/>
    <n v="1197831"/>
    <d v="2021-04-28T00:00:00"/>
    <x v="1"/>
    <s v="Tennessee"/>
    <s v="Knoxville"/>
    <s v="Men's Athletic Footwear"/>
    <n v="47"/>
    <n v="169"/>
    <x v="270"/>
    <x v="115"/>
    <s v="Online"/>
  </r>
  <r>
    <s v="Sports Direct"/>
    <n v="1197831"/>
    <d v="2021-05-14T00:00:00"/>
    <x v="1"/>
    <s v="Tennessee"/>
    <s v="Knoxville"/>
    <s v="Women's Apparel"/>
    <n v="59"/>
    <n v="169"/>
    <x v="875"/>
    <x v="414"/>
    <s v="Online"/>
  </r>
  <r>
    <s v="Sports Direct"/>
    <n v="1197831"/>
    <d v="2021-09-30T00:00:00"/>
    <x v="1"/>
    <s v="Alabama"/>
    <s v="Birmingham"/>
    <s v="Men's Street Footwear"/>
    <n v="18"/>
    <n v="169"/>
    <x v="876"/>
    <x v="587"/>
    <s v="Online"/>
  </r>
  <r>
    <s v="Sports Direct"/>
    <n v="1197831"/>
    <d v="2021-10-01T00:00:00"/>
    <x v="1"/>
    <s v="Alabama"/>
    <s v="Birmingham"/>
    <s v="Men's Athletic Footwear"/>
    <n v="19"/>
    <n v="169"/>
    <x v="874"/>
    <x v="453"/>
    <s v="Online"/>
  </r>
  <r>
    <s v="Foot Locker"/>
    <n v="1128299"/>
    <d v="2021-06-10T00:00:00"/>
    <x v="4"/>
    <s v="Hawaii"/>
    <s v="Honolulu"/>
    <s v="Women's Apparel"/>
    <n v="97"/>
    <n v="169"/>
    <x v="877"/>
    <x v="733"/>
    <s v="Online"/>
  </r>
  <r>
    <s v="Walmart"/>
    <n v="1128299"/>
    <d v="2021-11-17T00:00:00"/>
    <x v="0"/>
    <s v="Florida"/>
    <s v="Orlando"/>
    <s v="Men's Street Footwear"/>
    <n v="52"/>
    <n v="169"/>
    <x v="758"/>
    <x v="691"/>
    <s v="Online"/>
  </r>
  <r>
    <s v="West Gear"/>
    <n v="1185732"/>
    <d v="2021-01-12T00:00:00"/>
    <x v="0"/>
    <s v="Florida"/>
    <s v="Orlando"/>
    <s v="Women's Street Footwear"/>
    <n v="32"/>
    <n v="169"/>
    <x v="878"/>
    <x v="429"/>
    <s v="Online"/>
  </r>
  <r>
    <s v="West Gear"/>
    <n v="1185732"/>
    <d v="2021-05-08T00:00:00"/>
    <x v="3"/>
    <s v="New York"/>
    <s v="Albany"/>
    <s v="Women's Apparel"/>
    <n v="59"/>
    <n v="169"/>
    <x v="875"/>
    <x v="350"/>
    <s v="Online"/>
  </r>
  <r>
    <s v="West Gear"/>
    <n v="1185732"/>
    <d v="2021-07-08T00:00:00"/>
    <x v="3"/>
    <s v="New York"/>
    <s v="Albany"/>
    <s v="Women's Street Footwear"/>
    <n v="51"/>
    <n v="169"/>
    <x v="416"/>
    <x v="307"/>
    <s v="Online"/>
  </r>
  <r>
    <s v="West Gear"/>
    <n v="1185732"/>
    <d v="2021-12-08T00:00:00"/>
    <x v="3"/>
    <s v="New York"/>
    <s v="Albany"/>
    <s v="Men's Athletic Footwear"/>
    <n v="51"/>
    <n v="169"/>
    <x v="416"/>
    <x v="93"/>
    <s v="Online"/>
  </r>
  <r>
    <s v="Foot Locker"/>
    <n v="1128299"/>
    <d v="2021-11-24T00:00:00"/>
    <x v="0"/>
    <s v="Virginia"/>
    <s v="Richmond"/>
    <s v="Men's Athletic Footwear"/>
    <n v="47"/>
    <n v="169"/>
    <x v="270"/>
    <x v="620"/>
    <s v="Online"/>
  </r>
  <r>
    <s v="Sports Direct"/>
    <n v="1185732"/>
    <d v="2021-06-17T00:00:00"/>
    <x v="2"/>
    <s v="Michigan"/>
    <s v="Detroit"/>
    <s v="Women's Apparel"/>
    <n v="60"/>
    <n v="169"/>
    <x v="879"/>
    <x v="240"/>
    <s v="Online"/>
  </r>
  <r>
    <s v="Sports Direct"/>
    <n v="1185732"/>
    <d v="2021-11-16T00:00:00"/>
    <x v="2"/>
    <s v="Michigan"/>
    <s v="Detroit"/>
    <s v="Women's Apparel"/>
    <n v="59"/>
    <n v="169"/>
    <x v="875"/>
    <x v="734"/>
    <s v="Online"/>
  </r>
  <r>
    <s v="West Gear"/>
    <n v="1185732"/>
    <d v="2021-09-12T00:00:00"/>
    <x v="4"/>
    <s v="Utah"/>
    <s v="Salt Lake City"/>
    <s v="Men's Street Footwear"/>
    <n v="29"/>
    <n v="169"/>
    <x v="556"/>
    <x v="431"/>
    <s v="Online"/>
  </r>
  <r>
    <s v="West Gear"/>
    <n v="1128299"/>
    <d v="2021-06-24T00:00:00"/>
    <x v="4"/>
    <s v="Oregon"/>
    <s v="Portland"/>
    <s v="Men's Athletic Footwear"/>
    <n v="62"/>
    <n v="169"/>
    <x v="501"/>
    <x v="91"/>
    <s v="Online"/>
  </r>
  <r>
    <s v="Foot Locker"/>
    <n v="1197831"/>
    <d v="2021-03-06T00:00:00"/>
    <x v="4"/>
    <s v="Idaho"/>
    <s v="Boise"/>
    <s v="Men's Athletic Footwear"/>
    <n v="36"/>
    <n v="169"/>
    <x v="722"/>
    <x v="333"/>
    <s v="Online"/>
  </r>
  <r>
    <s v="Foot Locker"/>
    <n v="1185732"/>
    <d v="2021-02-07T00:00:00"/>
    <x v="0"/>
    <s v="South Carolina"/>
    <s v="Charleston"/>
    <s v="Women's Athletic Footwear"/>
    <n v="33"/>
    <n v="169"/>
    <x v="880"/>
    <x v="398"/>
    <s v="Online"/>
  </r>
  <r>
    <s v="Sports Direct"/>
    <n v="1185732"/>
    <d v="2021-02-04T00:00:00"/>
    <x v="0"/>
    <s v="South Carolina"/>
    <s v="Charleston"/>
    <s v="Women's Street Footwear"/>
    <n v="23"/>
    <n v="169"/>
    <x v="881"/>
    <x v="710"/>
    <s v="Online"/>
  </r>
  <r>
    <s v="Sports Direct"/>
    <n v="1185732"/>
    <d v="2021-03-02T00:00:00"/>
    <x v="0"/>
    <s v="North Carolina"/>
    <s v="Charlotte"/>
    <s v="Women's Apparel"/>
    <n v="27"/>
    <n v="169"/>
    <x v="457"/>
    <x v="662"/>
    <s v="Online"/>
  </r>
  <r>
    <s v="Sports Direct"/>
    <n v="1185732"/>
    <d v="2021-05-02T00:00:00"/>
    <x v="0"/>
    <s v="North Carolina"/>
    <s v="Charlotte"/>
    <s v="Women's Street Footwear"/>
    <n v="37"/>
    <n v="169"/>
    <x v="882"/>
    <x v="154"/>
    <s v="Online"/>
  </r>
  <r>
    <s v="Sports Direct"/>
    <n v="1185732"/>
    <d v="2021-06-04T00:00:00"/>
    <x v="0"/>
    <s v="North Carolina"/>
    <s v="Charlotte"/>
    <s v="Women's Street Footwear"/>
    <n v="47"/>
    <n v="169"/>
    <x v="270"/>
    <x v="135"/>
    <s v="Online"/>
  </r>
  <r>
    <s v="Sports Direct"/>
    <n v="1185732"/>
    <d v="2021-06-04T00:00:00"/>
    <x v="0"/>
    <s v="North Carolina"/>
    <s v="Charlotte"/>
    <s v="Women's Athletic Footwear"/>
    <n v="49"/>
    <n v="169"/>
    <x v="447"/>
    <x v="545"/>
    <s v="Online"/>
  </r>
  <r>
    <s v="Amazon"/>
    <n v="1185732"/>
    <d v="2021-12-02T00:00:00"/>
    <x v="0"/>
    <s v="North Carolina"/>
    <s v="Charlotte"/>
    <s v="Men's Apparel"/>
    <n v="65"/>
    <n v="169"/>
    <x v="218"/>
    <x v="141"/>
    <s v="Online"/>
  </r>
  <r>
    <s v="Amazon"/>
    <n v="1185732"/>
    <d v="2021-08-10T00:00:00"/>
    <x v="2"/>
    <s v="Ohio"/>
    <s v="Columbus"/>
    <s v="Women's Apparel"/>
    <n v="54"/>
    <n v="169"/>
    <x v="813"/>
    <x v="537"/>
    <s v="Online"/>
  </r>
  <r>
    <s v="Amazon"/>
    <n v="1185732"/>
    <d v="2021-11-10T00:00:00"/>
    <x v="2"/>
    <s v="Ohio"/>
    <s v="Columbus"/>
    <s v="Men's Street Footwear"/>
    <n v="34"/>
    <n v="169"/>
    <x v="883"/>
    <x v="343"/>
    <s v="Online"/>
  </r>
  <r>
    <s v="Foot Locker"/>
    <n v="1185732"/>
    <d v="2021-04-17T00:00:00"/>
    <x v="1"/>
    <s v="Mississippi"/>
    <s v="Jackson"/>
    <s v="Men's Street Footwear"/>
    <n v="23"/>
    <n v="169"/>
    <x v="881"/>
    <x v="659"/>
    <s v="Online"/>
  </r>
  <r>
    <s v="Walmart"/>
    <n v="1185732"/>
    <d v="2021-08-17T00:00:00"/>
    <x v="1"/>
    <s v="Mississippi"/>
    <s v="Jackson"/>
    <s v="Women's Apparel"/>
    <n v="53"/>
    <n v="169"/>
    <x v="135"/>
    <x v="636"/>
    <s v="Online"/>
  </r>
  <r>
    <s v="West Gear"/>
    <n v="1197831"/>
    <d v="2021-02-21T00:00:00"/>
    <x v="1"/>
    <s v="Arkansas"/>
    <s v="Little Rock"/>
    <s v="Men's Street Footwear"/>
    <n v="24"/>
    <n v="169"/>
    <x v="873"/>
    <x v="233"/>
    <s v="Online"/>
  </r>
  <r>
    <s v="Kohl's"/>
    <n v="1197831"/>
    <d v="2021-12-19T00:00:00"/>
    <x v="1"/>
    <s v="Oklahoma"/>
    <s v="Oklahoma City"/>
    <s v="Men's Street Footwear"/>
    <n v="64"/>
    <n v="169"/>
    <x v="230"/>
    <x v="735"/>
    <s v="Online"/>
  </r>
  <r>
    <s v="Amazon"/>
    <n v="1185732"/>
    <d v="2021-06-19T00:00:00"/>
    <x v="3"/>
    <s v="New Hampshire"/>
    <s v="Manchester"/>
    <s v="Men's Street Footwear"/>
    <n v="59"/>
    <n v="169"/>
    <x v="875"/>
    <x v="268"/>
    <s v="Online"/>
  </r>
  <r>
    <s v="Foot Locker"/>
    <n v="1185732"/>
    <d v="2021-12-17T00:00:00"/>
    <x v="3"/>
    <s v="New Hampshire"/>
    <s v="Manchester"/>
    <s v="Men's Street Footwear"/>
    <n v="71"/>
    <n v="169"/>
    <x v="166"/>
    <x v="724"/>
    <s v="Online"/>
  </r>
  <r>
    <s v="Walmart"/>
    <n v="1197831"/>
    <d v="2020-08-16T00:00:00"/>
    <x v="1"/>
    <s v="Texas"/>
    <s v="Houston"/>
    <s v="Men's Apparel"/>
    <n v="42"/>
    <n v="168"/>
    <x v="681"/>
    <x v="116"/>
    <s v="Online"/>
  </r>
  <r>
    <s v="Walmart"/>
    <n v="1197831"/>
    <d v="2020-09-14T00:00:00"/>
    <x v="1"/>
    <s v="Texas"/>
    <s v="Houston"/>
    <s v="Women's Athletic Footwear"/>
    <n v="45"/>
    <n v="168"/>
    <x v="80"/>
    <x v="660"/>
    <s v="Online"/>
  </r>
  <r>
    <s v="West Gear"/>
    <n v="1128299"/>
    <d v="2020-05-03T00:00:00"/>
    <x v="4"/>
    <s v="Colorado"/>
    <s v="Denver"/>
    <s v="Men's Athletic Footwear"/>
    <n v="69"/>
    <n v="168"/>
    <x v="846"/>
    <x v="193"/>
    <s v="Online"/>
  </r>
  <r>
    <s v="Walmart"/>
    <n v="1128299"/>
    <d v="2021-11-10T00:00:00"/>
    <x v="4"/>
    <s v="Hawaii"/>
    <s v="Honolulu"/>
    <s v="Men's Athletic Footwear"/>
    <n v="56"/>
    <n v="168"/>
    <x v="591"/>
    <x v="723"/>
    <s v="Online"/>
  </r>
  <r>
    <s v="West Gear"/>
    <n v="1185732"/>
    <d v="2021-07-08T00:00:00"/>
    <x v="3"/>
    <s v="New York"/>
    <s v="Albany"/>
    <s v="Men's Apparel"/>
    <n v="62"/>
    <n v="168"/>
    <x v="314"/>
    <x v="253"/>
    <s v="Online"/>
  </r>
  <r>
    <s v="Kohl's"/>
    <n v="1185732"/>
    <d v="2021-01-14T00:00:00"/>
    <x v="3"/>
    <s v="New York"/>
    <s v="Albany"/>
    <s v="Women's Street Footwear"/>
    <n v="29"/>
    <n v="168"/>
    <x v="638"/>
    <x v="614"/>
    <s v="Online"/>
  </r>
  <r>
    <s v="Kohl's"/>
    <n v="1185732"/>
    <d v="2021-06-12T00:00:00"/>
    <x v="4"/>
    <s v="Wyoming"/>
    <s v="Cheyenne"/>
    <s v="Men's Athletic Footwear"/>
    <n v="42"/>
    <n v="168"/>
    <x v="681"/>
    <x v="366"/>
    <s v="Online"/>
  </r>
  <r>
    <s v="Kohl's"/>
    <n v="1185732"/>
    <d v="2021-12-10T00:00:00"/>
    <x v="4"/>
    <s v="Wyoming"/>
    <s v="Cheyenne"/>
    <s v="Men's Athletic Footwear"/>
    <n v="44"/>
    <n v="168"/>
    <x v="435"/>
    <x v="409"/>
    <s v="Online"/>
  </r>
  <r>
    <s v="Foot Locker"/>
    <n v="1185732"/>
    <d v="2021-12-15T00:00:00"/>
    <x v="2"/>
    <s v="Michigan"/>
    <s v="Detroit"/>
    <s v="Women's Street Footwear"/>
    <n v="48"/>
    <n v="168"/>
    <x v="719"/>
    <x v="339"/>
    <s v="Online"/>
  </r>
  <r>
    <s v="Foot Locker"/>
    <n v="1185732"/>
    <d v="2021-06-18T00:00:00"/>
    <x v="2"/>
    <s v="Missouri"/>
    <s v="St. Louis"/>
    <s v="Men's Street Footwear"/>
    <n v="32"/>
    <n v="168"/>
    <x v="884"/>
    <x v="498"/>
    <s v="Online"/>
  </r>
  <r>
    <s v="West Gear"/>
    <n v="1185732"/>
    <d v="2021-03-10T00:00:00"/>
    <x v="4"/>
    <s v="Utah"/>
    <s v="Salt Lake City"/>
    <s v="Men's Street Footwear"/>
    <n v="29"/>
    <n v="168"/>
    <x v="638"/>
    <x v="356"/>
    <s v="Online"/>
  </r>
  <r>
    <s v="West Gear"/>
    <n v="1128299"/>
    <d v="2021-07-16T00:00:00"/>
    <x v="1"/>
    <s v="Louisiana"/>
    <s v="New Orleans"/>
    <s v="Women's Athletic Footwear"/>
    <n v="86"/>
    <n v="168"/>
    <x v="405"/>
    <x v="210"/>
    <s v="Online"/>
  </r>
  <r>
    <s v="Amazon"/>
    <n v="1185732"/>
    <d v="2021-07-21T00:00:00"/>
    <x v="0"/>
    <s v="Kentucky"/>
    <s v="Louisville"/>
    <s v="Men's Street Footwear"/>
    <n v="47"/>
    <n v="168"/>
    <x v="885"/>
    <x v="140"/>
    <s v="Online"/>
  </r>
  <r>
    <s v="Walmart"/>
    <n v="1185732"/>
    <d v="2021-08-17T00:00:00"/>
    <x v="1"/>
    <s v="Mississippi"/>
    <s v="Jackson"/>
    <s v="Men's Athletic Footwear"/>
    <n v="50"/>
    <n v="168"/>
    <x v="202"/>
    <x v="80"/>
    <s v="Online"/>
  </r>
  <r>
    <s v="Kohl's"/>
    <n v="1185732"/>
    <d v="2021-12-13T00:00:00"/>
    <x v="3"/>
    <s v="Delaware"/>
    <s v="Wilmington"/>
    <s v="Men's Street Footwear"/>
    <n v="62"/>
    <n v="168"/>
    <x v="314"/>
    <x v="53"/>
    <s v="Online"/>
  </r>
  <r>
    <s v="Amazon"/>
    <n v="1185732"/>
    <d v="2021-12-10T00:00:00"/>
    <x v="3"/>
    <s v="Vermont"/>
    <s v="Burlington"/>
    <s v="Men's Street Footwear"/>
    <n v="64"/>
    <n v="168"/>
    <x v="261"/>
    <x v="183"/>
    <s v="Online"/>
  </r>
  <r>
    <s v="Sports Direct"/>
    <n v="1197831"/>
    <d v="2021-10-20T00:00:00"/>
    <x v="1"/>
    <s v="Texas"/>
    <s v="Dallas"/>
    <s v="Men's Apparel"/>
    <n v="47"/>
    <n v="168"/>
    <x v="885"/>
    <x v="213"/>
    <s v="Outlet"/>
  </r>
  <r>
    <s v="Foot Locker"/>
    <n v="1128299"/>
    <d v="2021-05-25T00:00:00"/>
    <x v="0"/>
    <s v="Virginia"/>
    <s v="Richmond"/>
    <s v="Women's Apparel"/>
    <n v="44"/>
    <n v="168"/>
    <x v="435"/>
    <x v="638"/>
    <s v="Outlet"/>
  </r>
  <r>
    <s v="West Gear"/>
    <n v="1128299"/>
    <d v="2021-04-17T00:00:00"/>
    <x v="1"/>
    <s v="Louisiana"/>
    <s v="New Orleans"/>
    <s v="Men's Street Footwear"/>
    <n v="38"/>
    <n v="168"/>
    <x v="886"/>
    <x v="477"/>
    <s v="Outlet"/>
  </r>
  <r>
    <s v="Foot Locker"/>
    <n v="1128299"/>
    <d v="2021-12-16T00:00:00"/>
    <x v="1"/>
    <s v="Louisiana"/>
    <s v="New Orleans"/>
    <s v="Men's Apparel"/>
    <n v="55"/>
    <n v="168"/>
    <x v="236"/>
    <x v="224"/>
    <s v="Outlet"/>
  </r>
  <r>
    <s v="Walmart"/>
    <n v="1185732"/>
    <d v="2021-07-16T00:00:00"/>
    <x v="1"/>
    <s v="Mississippi"/>
    <s v="Jackson"/>
    <s v="Women's Street Footwear"/>
    <n v="37"/>
    <n v="168"/>
    <x v="887"/>
    <x v="404"/>
    <s v="Outlet"/>
  </r>
  <r>
    <s v="Sports Direct"/>
    <n v="1185732"/>
    <d v="2021-11-17T00:00:00"/>
    <x v="1"/>
    <s v="Mississippi"/>
    <s v="Jackson"/>
    <s v="Women's Apparel"/>
    <n v="51"/>
    <n v="168"/>
    <x v="888"/>
    <x v="644"/>
    <s v="Outlet"/>
  </r>
  <r>
    <s v="Amazon"/>
    <n v="1185732"/>
    <d v="2021-04-11T00:00:00"/>
    <x v="3"/>
    <s v="Vermont"/>
    <s v="Burlington"/>
    <s v="Men's Street Footwear"/>
    <n v="30"/>
    <n v="168"/>
    <x v="522"/>
    <x v="629"/>
    <s v="Outlet"/>
  </r>
  <r>
    <s v="Sports Direct"/>
    <n v="1197831"/>
    <d v="2021-09-20T00:00:00"/>
    <x v="1"/>
    <s v="Texas"/>
    <s v="Dallas"/>
    <s v="Men's Apparel"/>
    <n v="47"/>
    <n v="167"/>
    <x v="889"/>
    <x v="383"/>
    <s v="Online"/>
  </r>
  <r>
    <s v="West Gear"/>
    <n v="1128299"/>
    <d v="2020-06-07T00:00:00"/>
    <x v="4"/>
    <s v="Washington"/>
    <s v="Seattle"/>
    <s v="Men's Street Footwear"/>
    <n v="46"/>
    <n v="167"/>
    <x v="265"/>
    <x v="423"/>
    <s v="Online"/>
  </r>
  <r>
    <s v="Kohl's"/>
    <n v="1189833"/>
    <d v="2021-02-26T00:00:00"/>
    <x v="2"/>
    <s v="Montana"/>
    <s v="Billings"/>
    <s v="Men's Street Footwear"/>
    <n v="38"/>
    <n v="167"/>
    <x v="521"/>
    <x v="176"/>
    <s v="Online"/>
  </r>
  <r>
    <s v="Kohl's"/>
    <n v="1185732"/>
    <d v="2021-11-11T00:00:00"/>
    <x v="4"/>
    <s v="Wyoming"/>
    <s v="Cheyenne"/>
    <s v="Men's Athletic Footwear"/>
    <n v="42"/>
    <n v="167"/>
    <x v="859"/>
    <x v="307"/>
    <s v="Online"/>
  </r>
  <r>
    <s v="Sports Direct"/>
    <n v="1185732"/>
    <d v="2021-06-17T00:00:00"/>
    <x v="2"/>
    <s v="Michigan"/>
    <s v="Detroit"/>
    <s v="Men's Athletic Footwear"/>
    <n v="46"/>
    <n v="167"/>
    <x v="265"/>
    <x v="564"/>
    <s v="Online"/>
  </r>
  <r>
    <s v="Sports Direct"/>
    <n v="1185732"/>
    <d v="2021-10-17T00:00:00"/>
    <x v="2"/>
    <s v="Michigan"/>
    <s v="Detroit"/>
    <s v="Men's Athletic Footwear"/>
    <n v="37"/>
    <n v="167"/>
    <x v="890"/>
    <x v="344"/>
    <s v="Online"/>
  </r>
  <r>
    <s v="West Gear"/>
    <n v="1128299"/>
    <d v="2021-05-18T00:00:00"/>
    <x v="1"/>
    <s v="Louisiana"/>
    <s v="New Orleans"/>
    <s v="Women's Apparel"/>
    <n v="59"/>
    <n v="167"/>
    <x v="891"/>
    <x v="275"/>
    <s v="Online"/>
  </r>
  <r>
    <s v="West Gear"/>
    <n v="1197831"/>
    <d v="2021-05-05T00:00:00"/>
    <x v="4"/>
    <s v="Idaho"/>
    <s v="Boise"/>
    <s v="Women's Street Footwear"/>
    <n v="23"/>
    <n v="167"/>
    <x v="892"/>
    <x v="736"/>
    <s v="Online"/>
  </r>
  <r>
    <s v="Sports Direct"/>
    <n v="1197831"/>
    <d v="2021-10-04T00:00:00"/>
    <x v="4"/>
    <s v="Idaho"/>
    <s v="Boise"/>
    <s v="Men's Street Footwear"/>
    <n v="36"/>
    <n v="167"/>
    <x v="438"/>
    <x v="296"/>
    <s v="Online"/>
  </r>
  <r>
    <s v="Foot Locker"/>
    <n v="1128299"/>
    <d v="2021-09-24T00:00:00"/>
    <x v="4"/>
    <s v="Arizona"/>
    <s v="Phoenix"/>
    <s v="Men's Street Footwear"/>
    <n v="41"/>
    <n v="167"/>
    <x v="893"/>
    <x v="248"/>
    <s v="Online"/>
  </r>
  <r>
    <s v="Sports Direct"/>
    <n v="1185732"/>
    <d v="2021-11-03T00:00:00"/>
    <x v="0"/>
    <s v="North Carolina"/>
    <s v="Charlotte"/>
    <s v="Women's Street Footwear"/>
    <n v="38"/>
    <n v="167"/>
    <x v="521"/>
    <x v="160"/>
    <s v="Online"/>
  </r>
  <r>
    <s v="Amazon"/>
    <n v="1185732"/>
    <d v="2021-01-13T00:00:00"/>
    <x v="0"/>
    <s v="North Carolina"/>
    <s v="Charlotte"/>
    <s v="Women's Street Footwear"/>
    <n v="24"/>
    <n v="167"/>
    <x v="894"/>
    <x v="482"/>
    <s v="Online"/>
  </r>
  <r>
    <s v="Amazon"/>
    <n v="1185732"/>
    <d v="2021-11-10T00:00:00"/>
    <x v="2"/>
    <s v="Ohio"/>
    <s v="Columbus"/>
    <s v="Women's Apparel"/>
    <n v="74"/>
    <n v="167"/>
    <x v="157"/>
    <x v="508"/>
    <s v="Online"/>
  </r>
  <r>
    <s v="Amazon"/>
    <n v="1185732"/>
    <d v="2021-08-22T00:00:00"/>
    <x v="0"/>
    <s v="Kentucky"/>
    <s v="Louisville"/>
    <s v="Men's Street Footwear"/>
    <n v="46"/>
    <n v="167"/>
    <x v="265"/>
    <x v="564"/>
    <s v="Online"/>
  </r>
  <r>
    <s v="West Gear"/>
    <n v="1197831"/>
    <d v="2021-01-23T00:00:00"/>
    <x v="1"/>
    <s v="Arkansas"/>
    <s v="Little Rock"/>
    <s v="Men's Street Footwear"/>
    <n v="24"/>
    <n v="167"/>
    <x v="894"/>
    <x v="674"/>
    <s v="Online"/>
  </r>
  <r>
    <s v="West Gear"/>
    <n v="1197831"/>
    <d v="2021-05-19T00:00:00"/>
    <x v="1"/>
    <s v="Oklahoma"/>
    <s v="Oklahoma City"/>
    <s v="Men's Street Footwear"/>
    <n v="36"/>
    <n v="167"/>
    <x v="438"/>
    <x v="222"/>
    <s v="Online"/>
  </r>
  <r>
    <s v="Foot Locker"/>
    <n v="1185732"/>
    <d v="2021-07-06T00:00:00"/>
    <x v="3"/>
    <s v="Rhode Island"/>
    <s v="Providence"/>
    <s v="Men's Street Footwear"/>
    <n v="46"/>
    <n v="167"/>
    <x v="265"/>
    <x v="423"/>
    <s v="Online"/>
  </r>
  <r>
    <s v="Amazon"/>
    <n v="1185732"/>
    <d v="2021-02-12T00:00:00"/>
    <x v="3"/>
    <s v="Massachusetts"/>
    <s v="Boston"/>
    <s v="Men's Street Footwear"/>
    <n v="41"/>
    <n v="167"/>
    <x v="893"/>
    <x v="138"/>
    <s v="Online"/>
  </r>
  <r>
    <s v="Foot Locker"/>
    <n v="1185732"/>
    <d v="2021-10-28T00:00:00"/>
    <x v="3"/>
    <s v="Pennsylvania"/>
    <s v="Philadelphia"/>
    <s v="Men's Street Footwear"/>
    <n v="32"/>
    <n v="166"/>
    <x v="895"/>
    <x v="424"/>
    <s v="Outlet"/>
  </r>
  <r>
    <s v="West Gear"/>
    <n v="1128299"/>
    <d v="2020-01-07T00:00:00"/>
    <x v="4"/>
    <s v="Nevada"/>
    <s v="Las Vegas"/>
    <s v="Women's Apparel"/>
    <n v="36"/>
    <n v="166"/>
    <x v="896"/>
    <x v="737"/>
    <s v="Outlet"/>
  </r>
  <r>
    <s v="West Gear"/>
    <n v="1128299"/>
    <d v="2020-03-11T00:00:00"/>
    <x v="4"/>
    <s v="Nevada"/>
    <s v="Las Vegas"/>
    <s v="Women's Street Footwear"/>
    <n v="47"/>
    <n v="166"/>
    <x v="897"/>
    <x v="264"/>
    <s v="Outlet"/>
  </r>
  <r>
    <s v="West Gear"/>
    <n v="1128299"/>
    <d v="2020-03-12T00:00:00"/>
    <x v="4"/>
    <s v="Nevada"/>
    <s v="Las Vegas"/>
    <s v="Women's Athletic Footwear"/>
    <n v="40"/>
    <n v="166"/>
    <x v="898"/>
    <x v="665"/>
    <s v="Outlet"/>
  </r>
  <r>
    <s v="Sports Direct"/>
    <n v="1197831"/>
    <d v="2021-03-24T00:00:00"/>
    <x v="1"/>
    <s v="Tennessee"/>
    <s v="Knoxville"/>
    <s v="Women's Street Footwear"/>
    <n v="22"/>
    <n v="166"/>
    <x v="632"/>
    <x v="731"/>
    <s v="Outlet"/>
  </r>
  <r>
    <s v="Sports Direct"/>
    <n v="1197831"/>
    <d v="2021-09-26T00:00:00"/>
    <x v="1"/>
    <s v="Alabama"/>
    <s v="Birmingham"/>
    <s v="Women's Street Footwear"/>
    <n v="24"/>
    <n v="166"/>
    <x v="855"/>
    <x v="283"/>
    <s v="Outlet"/>
  </r>
  <r>
    <s v="Walmart"/>
    <n v="1128299"/>
    <d v="2021-08-17T00:00:00"/>
    <x v="0"/>
    <s v="Florida"/>
    <s v="Orlando"/>
    <s v="Men's Apparel"/>
    <n v="63"/>
    <n v="166"/>
    <x v="281"/>
    <x v="398"/>
    <s v="Outlet"/>
  </r>
  <r>
    <s v="West Gear"/>
    <n v="1128299"/>
    <d v="2021-04-24T00:00:00"/>
    <x v="4"/>
    <s v="Oregon"/>
    <s v="Portland"/>
    <s v="Men's Street Footwear"/>
    <n v="44"/>
    <n v="166"/>
    <x v="899"/>
    <x v="243"/>
    <s v="Outlet"/>
  </r>
  <r>
    <s v="Foot Locker"/>
    <n v="1197831"/>
    <d v="2021-01-05T00:00:00"/>
    <x v="1"/>
    <s v="Louisiana"/>
    <s v="New Orleans"/>
    <s v="Women's Athletic Footwear"/>
    <n v="26"/>
    <n v="166"/>
    <x v="900"/>
    <x v="736"/>
    <s v="Outlet"/>
  </r>
  <r>
    <s v="Sports Direct"/>
    <n v="1197831"/>
    <d v="2021-08-08T00:00:00"/>
    <x v="4"/>
    <s v="Idaho"/>
    <s v="Boise"/>
    <s v="Men's Apparel"/>
    <n v="39"/>
    <n v="166"/>
    <x v="678"/>
    <x v="654"/>
    <s v="Outlet"/>
  </r>
  <r>
    <s v="Kohl's"/>
    <n v="1128299"/>
    <d v="2021-01-26T00:00:00"/>
    <x v="4"/>
    <s v="Arizona"/>
    <s v="Phoenix"/>
    <s v="Women's Apparel"/>
    <n v="36"/>
    <n v="166"/>
    <x v="896"/>
    <x v="547"/>
    <s v="Outlet"/>
  </r>
  <r>
    <s v="West Gear"/>
    <n v="1197831"/>
    <d v="2021-08-20T00:00:00"/>
    <x v="1"/>
    <s v="Oklahoma"/>
    <s v="Oklahoma City"/>
    <s v="Women's Apparel"/>
    <n v="40"/>
    <n v="166"/>
    <x v="898"/>
    <x v="732"/>
    <s v="Outlet"/>
  </r>
  <r>
    <s v="Kohl's"/>
    <n v="1197831"/>
    <d v="2021-11-20T00:00:00"/>
    <x v="1"/>
    <s v="Oklahoma"/>
    <s v="Oklahoma City"/>
    <s v="Men's Street Footwear"/>
    <n v="16"/>
    <n v="166"/>
    <x v="901"/>
    <x v="702"/>
    <s v="Outlet"/>
  </r>
  <r>
    <s v="West Gear"/>
    <n v="1128299"/>
    <d v="2020-02-02T00:00:00"/>
    <x v="4"/>
    <s v="Nevada"/>
    <s v="Las Vegas"/>
    <s v="Men's Athletic Footwear"/>
    <n v="62"/>
    <n v="165"/>
    <x v="385"/>
    <x v="738"/>
    <s v="Online"/>
  </r>
  <r>
    <s v="West Gear"/>
    <n v="1128299"/>
    <d v="2020-02-03T00:00:00"/>
    <x v="4"/>
    <s v="Nevada"/>
    <s v="Las Vegas"/>
    <s v="Women's Street Footwear"/>
    <n v="62"/>
    <n v="165"/>
    <x v="385"/>
    <x v="219"/>
    <s v="Online"/>
  </r>
  <r>
    <s v="West Gear"/>
    <n v="1128299"/>
    <d v="2020-02-26T00:00:00"/>
    <x v="4"/>
    <s v="Nevada"/>
    <s v="Las Vegas"/>
    <s v="Men's Athletic Footwear"/>
    <n v="59"/>
    <n v="165"/>
    <x v="423"/>
    <x v="250"/>
    <s v="Online"/>
  </r>
  <r>
    <s v="West Gear"/>
    <n v="1128299"/>
    <d v="2020-03-27T00:00:00"/>
    <x v="4"/>
    <s v="Colorado"/>
    <s v="Denver"/>
    <s v="Men's Street Footwear"/>
    <n v="37"/>
    <n v="165"/>
    <x v="902"/>
    <x v="405"/>
    <s v="Online"/>
  </r>
  <r>
    <s v="West Gear"/>
    <n v="1128299"/>
    <d v="2020-06-19T00:00:00"/>
    <x v="4"/>
    <s v="Washington"/>
    <s v="Seattle"/>
    <s v="Men's Street Footwear"/>
    <n v="55"/>
    <n v="165"/>
    <x v="819"/>
    <x v="284"/>
    <s v="Online"/>
  </r>
  <r>
    <s v="Kohl's"/>
    <n v="1189833"/>
    <d v="2021-01-29T00:00:00"/>
    <x v="2"/>
    <s v="Montana"/>
    <s v="Billings"/>
    <s v="Women's Street Footwear"/>
    <n v="44"/>
    <n v="165"/>
    <x v="903"/>
    <x v="669"/>
    <s v="Online"/>
  </r>
  <r>
    <s v="Sports Direct"/>
    <n v="1197831"/>
    <d v="2021-04-19T00:00:00"/>
    <x v="1"/>
    <s v="Tennessee"/>
    <s v="Knoxville"/>
    <s v="Men's Apparel"/>
    <n v="43"/>
    <n v="165"/>
    <x v="241"/>
    <x v="220"/>
    <s v="Online"/>
  </r>
  <r>
    <s v="Foot Locker"/>
    <n v="1185732"/>
    <d v="2021-06-26T00:00:00"/>
    <x v="2"/>
    <s v="Nebraska"/>
    <s v="Omaha"/>
    <s v="Men's Street Footwear"/>
    <n v="43"/>
    <n v="165"/>
    <x v="241"/>
    <x v="166"/>
    <s v="Online"/>
  </r>
  <r>
    <s v="West Gear"/>
    <n v="1185732"/>
    <d v="2021-01-12T00:00:00"/>
    <x v="0"/>
    <s v="Florida"/>
    <s v="Orlando"/>
    <s v="Men's Apparel"/>
    <n v="51"/>
    <n v="165"/>
    <x v="277"/>
    <x v="113"/>
    <s v="Online"/>
  </r>
  <r>
    <s v="West Gear"/>
    <n v="1185732"/>
    <d v="2021-03-08T00:00:00"/>
    <x v="3"/>
    <s v="New York"/>
    <s v="Albany"/>
    <s v="Men's Athletic Footwear"/>
    <n v="44"/>
    <n v="165"/>
    <x v="903"/>
    <x v="699"/>
    <s v="Online"/>
  </r>
  <r>
    <s v="Kohl's"/>
    <n v="1185732"/>
    <d v="2021-03-10T00:00:00"/>
    <x v="4"/>
    <s v="Wyoming"/>
    <s v="Cheyenne"/>
    <s v="Women's Apparel"/>
    <n v="37"/>
    <n v="165"/>
    <x v="902"/>
    <x v="565"/>
    <s v="Online"/>
  </r>
  <r>
    <s v="Foot Locker"/>
    <n v="1185732"/>
    <d v="2021-12-10T00:00:00"/>
    <x v="4"/>
    <s v="Wyoming"/>
    <s v="Cheyenne"/>
    <s v="Women's Street Footwear"/>
    <n v="44"/>
    <n v="165"/>
    <x v="903"/>
    <x v="699"/>
    <s v="Online"/>
  </r>
  <r>
    <s v="West Gear"/>
    <n v="1128299"/>
    <d v="2021-07-23T00:00:00"/>
    <x v="4"/>
    <s v="Oregon"/>
    <s v="Portland"/>
    <s v="Women's Athletic Footwear"/>
    <n v="82"/>
    <n v="165"/>
    <x v="641"/>
    <x v="739"/>
    <s v="Online"/>
  </r>
  <r>
    <s v="West Gear"/>
    <n v="1128299"/>
    <d v="2021-12-23T00:00:00"/>
    <x v="4"/>
    <s v="Oregon"/>
    <s v="Portland"/>
    <s v="Women's Street Footwear"/>
    <n v="67"/>
    <n v="165"/>
    <x v="651"/>
    <x v="46"/>
    <s v="Online"/>
  </r>
  <r>
    <s v="Kohl's"/>
    <n v="1128299"/>
    <d v="2021-03-25T00:00:00"/>
    <x v="4"/>
    <s v="New Mexico"/>
    <s v="Albuquerque"/>
    <s v="Men's Street Footwear"/>
    <n v="44"/>
    <n v="165"/>
    <x v="903"/>
    <x v="339"/>
    <s v="Online"/>
  </r>
  <r>
    <s v="Kohl's"/>
    <n v="1128299"/>
    <d v="2021-10-26T00:00:00"/>
    <x v="4"/>
    <s v="New Mexico"/>
    <s v="Albuquerque"/>
    <s v="Men's Street Footwear"/>
    <n v="48"/>
    <n v="165"/>
    <x v="224"/>
    <x v="186"/>
    <s v="Online"/>
  </r>
  <r>
    <s v="Kohl's"/>
    <n v="1197831"/>
    <d v="2021-09-12T00:00:00"/>
    <x v="2"/>
    <s v="Kansas"/>
    <s v="Wichita"/>
    <s v="Men's Street Footwear"/>
    <n v="47"/>
    <n v="165"/>
    <x v="709"/>
    <x v="740"/>
    <s v="Online"/>
  </r>
  <r>
    <s v="West Gear"/>
    <n v="1185732"/>
    <d v="2021-03-16T00:00:00"/>
    <x v="3"/>
    <s v="West Virginia"/>
    <s v="Charleston"/>
    <s v="Men's Street Footwear"/>
    <n v="28"/>
    <n v="165"/>
    <x v="580"/>
    <x v="455"/>
    <s v="Online"/>
  </r>
  <r>
    <s v="Amazon"/>
    <n v="1185732"/>
    <d v="2021-03-17T00:00:00"/>
    <x v="3"/>
    <s v="New Hampshire"/>
    <s v="Manchester"/>
    <s v="Men's Street Footwear"/>
    <n v="49"/>
    <n v="165"/>
    <x v="140"/>
    <x v="211"/>
    <s v="Online"/>
  </r>
  <r>
    <s v="West Gear"/>
    <n v="1128299"/>
    <d v="2020-11-11T00:00:00"/>
    <x v="4"/>
    <s v="California"/>
    <s v="San Francisco"/>
    <s v="Men's Apparel"/>
    <n v="42"/>
    <n v="165"/>
    <x v="565"/>
    <x v="600"/>
    <s v="Outlet"/>
  </r>
  <r>
    <s v="Kohl's"/>
    <n v="1189833"/>
    <d v="2021-04-23T00:00:00"/>
    <x v="4"/>
    <s v="California"/>
    <s v="Los Angeles"/>
    <s v="Men's Apparel"/>
    <n v="39"/>
    <n v="165"/>
    <x v="765"/>
    <x v="605"/>
    <s v="Outlet"/>
  </r>
  <r>
    <s v="Sports Direct"/>
    <n v="1197831"/>
    <d v="2021-08-24T00:00:00"/>
    <x v="1"/>
    <s v="Alabama"/>
    <s v="Birmingham"/>
    <s v="Women's Apparel"/>
    <n v="14"/>
    <n v="165"/>
    <x v="904"/>
    <x v="588"/>
    <s v="Outlet"/>
  </r>
  <r>
    <s v="Sports Direct"/>
    <n v="1197831"/>
    <d v="2021-08-28T00:00:00"/>
    <x v="1"/>
    <s v="Alabama"/>
    <s v="Birmingham"/>
    <s v="Women's Athletic Footwear"/>
    <n v="26"/>
    <n v="165"/>
    <x v="905"/>
    <x v="629"/>
    <s v="Outlet"/>
  </r>
  <r>
    <s v="Sports Direct"/>
    <n v="1197831"/>
    <d v="2021-09-04T00:00:00"/>
    <x v="1"/>
    <s v="Alabama"/>
    <s v="Birmingham"/>
    <s v="Men's Apparel"/>
    <n v="38"/>
    <n v="165"/>
    <x v="484"/>
    <x v="92"/>
    <s v="Outlet"/>
  </r>
  <r>
    <s v="West Gear"/>
    <n v="1185732"/>
    <d v="2021-02-10T00:00:00"/>
    <x v="0"/>
    <s v="Florida"/>
    <s v="Orlando"/>
    <s v="Men's Athletic Footwear"/>
    <n v="31"/>
    <n v="165"/>
    <x v="906"/>
    <x v="659"/>
    <s v="Outlet"/>
  </r>
  <r>
    <s v="Sports Direct"/>
    <n v="1128299"/>
    <d v="2021-12-23T00:00:00"/>
    <x v="0"/>
    <s v="Virginia"/>
    <s v="Richmond"/>
    <s v="Women's Street Footwear"/>
    <n v="53"/>
    <n v="165"/>
    <x v="221"/>
    <x v="231"/>
    <s v="Outlet"/>
  </r>
  <r>
    <s v="West Gear"/>
    <n v="1185732"/>
    <d v="2021-11-11T00:00:00"/>
    <x v="4"/>
    <s v="Utah"/>
    <s v="Salt Lake City"/>
    <s v="Men's Street Footwear"/>
    <n v="22"/>
    <n v="165"/>
    <x v="907"/>
    <x v="347"/>
    <s v="Outlet"/>
  </r>
  <r>
    <s v="West Gear"/>
    <n v="1128299"/>
    <d v="2021-11-24T00:00:00"/>
    <x v="4"/>
    <s v="Oregon"/>
    <s v="Portland"/>
    <s v="Women's Apparel"/>
    <n v="53"/>
    <n v="165"/>
    <x v="221"/>
    <x v="436"/>
    <s v="Outlet"/>
  </r>
  <r>
    <s v="West Gear"/>
    <n v="1128299"/>
    <d v="2021-12-23T00:00:00"/>
    <x v="4"/>
    <s v="Oregon"/>
    <s v="Portland"/>
    <s v="Women's Athletic Footwear"/>
    <n v="53"/>
    <n v="165"/>
    <x v="221"/>
    <x v="250"/>
    <s v="Outlet"/>
  </r>
  <r>
    <s v="Kohl's"/>
    <n v="1128299"/>
    <d v="2021-04-26T00:00:00"/>
    <x v="4"/>
    <s v="New Mexico"/>
    <s v="Albuquerque"/>
    <s v="Men's Street Footwear"/>
    <n v="41"/>
    <n v="165"/>
    <x v="745"/>
    <x v="287"/>
    <s v="Outlet"/>
  </r>
  <r>
    <s v="Walmart"/>
    <n v="1185732"/>
    <d v="2021-10-18T00:00:00"/>
    <x v="1"/>
    <s v="Mississippi"/>
    <s v="Jackson"/>
    <s v="Men's Athletic Footwear"/>
    <n v="17"/>
    <n v="165"/>
    <x v="908"/>
    <x v="730"/>
    <s v="Outlet"/>
  </r>
  <r>
    <s v="Walmart"/>
    <n v="1197831"/>
    <d v="2021-06-21T00:00:00"/>
    <x v="1"/>
    <s v="Arkansas"/>
    <s v="Little Rock"/>
    <s v="Women's Apparel"/>
    <n v="48"/>
    <n v="165"/>
    <x v="224"/>
    <x v="250"/>
    <s v="Outlet"/>
  </r>
  <r>
    <s v="Foot Locker"/>
    <n v="1185732"/>
    <d v="2021-01-24T00:00:00"/>
    <x v="3"/>
    <s v="New Hampshire"/>
    <s v="Manchester"/>
    <s v="Men's Street Footwear"/>
    <n v="36"/>
    <n v="165"/>
    <x v="909"/>
    <x v="580"/>
    <s v="Outlet"/>
  </r>
  <r>
    <s v="West Gear"/>
    <n v="1185732"/>
    <d v="2021-05-11T00:00:00"/>
    <x v="2"/>
    <s v="Indiana"/>
    <s v="Indianapolis"/>
    <s v="Men's Street Footwear"/>
    <n v="54"/>
    <n v="164"/>
    <x v="606"/>
    <x v="275"/>
    <s v="Online"/>
  </r>
  <r>
    <s v="Sports Direct"/>
    <n v="1197831"/>
    <d v="2020-08-09T00:00:00"/>
    <x v="1"/>
    <s v="Texas"/>
    <s v="Houston"/>
    <s v="Women's Athletic Footwear"/>
    <n v="36"/>
    <n v="163"/>
    <x v="910"/>
    <x v="423"/>
    <s v="Online"/>
  </r>
  <r>
    <s v="West Gear"/>
    <n v="1128299"/>
    <d v="2021-02-09T00:00:00"/>
    <x v="4"/>
    <s v="California"/>
    <s v="San Francisco"/>
    <s v="Men's Apparel"/>
    <n v="63"/>
    <n v="163"/>
    <x v="911"/>
    <x v="185"/>
    <s v="Online"/>
  </r>
  <r>
    <s v="Kohl's"/>
    <n v="1189833"/>
    <d v="2021-04-15T00:00:00"/>
    <x v="4"/>
    <s v="California"/>
    <s v="Los Angeles"/>
    <s v="Women's Street Footwear"/>
    <n v="45"/>
    <n v="163"/>
    <x v="190"/>
    <x v="155"/>
    <s v="Online"/>
  </r>
  <r>
    <s v="Kohl's"/>
    <n v="1189833"/>
    <d v="2021-05-11T00:00:00"/>
    <x v="4"/>
    <s v="California"/>
    <s v="Los Angeles"/>
    <s v="Men's Apparel"/>
    <n v="58"/>
    <n v="163"/>
    <x v="174"/>
    <x v="671"/>
    <s v="Online"/>
  </r>
  <r>
    <s v="Sports Direct"/>
    <n v="1197831"/>
    <d v="2021-08-18T00:00:00"/>
    <x v="1"/>
    <s v="Texas"/>
    <s v="Dallas"/>
    <s v="Men's Athletic Footwear"/>
    <n v="32"/>
    <n v="163"/>
    <x v="912"/>
    <x v="306"/>
    <s v="Online"/>
  </r>
  <r>
    <s v="West Gear"/>
    <n v="1128299"/>
    <d v="2020-06-27T00:00:00"/>
    <x v="4"/>
    <s v="Washington"/>
    <s v="Seattle"/>
    <s v="Women's Street Footwear"/>
    <n v="72"/>
    <n v="163"/>
    <x v="913"/>
    <x v="78"/>
    <s v="Online"/>
  </r>
  <r>
    <s v="West Gear"/>
    <n v="1128299"/>
    <d v="2020-07-09T00:00:00"/>
    <x v="4"/>
    <s v="Washington"/>
    <s v="Seattle"/>
    <s v="Women's Street Footwear"/>
    <n v="73"/>
    <n v="163"/>
    <x v="104"/>
    <x v="218"/>
    <s v="Online"/>
  </r>
  <r>
    <s v="Sports Direct"/>
    <n v="1197831"/>
    <d v="2021-03-23T00:00:00"/>
    <x v="1"/>
    <s v="Tennessee"/>
    <s v="Knoxville"/>
    <s v="Men's Athletic Footwear"/>
    <n v="37"/>
    <n v="163"/>
    <x v="652"/>
    <x v="74"/>
    <s v="Online"/>
  </r>
  <r>
    <s v="Sports Direct"/>
    <n v="1197831"/>
    <d v="2021-05-02T00:00:00"/>
    <x v="1"/>
    <s v="Tennessee"/>
    <s v="Knoxville"/>
    <s v="Women's Apparel"/>
    <n v="42"/>
    <n v="163"/>
    <x v="893"/>
    <x v="242"/>
    <s v="Online"/>
  </r>
  <r>
    <s v="Sports Direct"/>
    <n v="1197831"/>
    <d v="2021-08-13T00:00:00"/>
    <x v="1"/>
    <s v="Alabama"/>
    <s v="Birmingham"/>
    <s v="Men's Street Footwear"/>
    <n v="28"/>
    <n v="163"/>
    <x v="457"/>
    <x v="398"/>
    <s v="Online"/>
  </r>
  <r>
    <s v="Amazon"/>
    <n v="1185732"/>
    <d v="2021-08-21T00:00:00"/>
    <x v="4"/>
    <s v="Alaska"/>
    <s v="Anchorage"/>
    <s v="Men's Street Footwear"/>
    <n v="59"/>
    <n v="163"/>
    <x v="914"/>
    <x v="286"/>
    <s v="Online"/>
  </r>
  <r>
    <s v="Walmart"/>
    <n v="1128299"/>
    <d v="2021-07-16T00:00:00"/>
    <x v="0"/>
    <s v="Florida"/>
    <s v="Orlando"/>
    <s v="Women's Apparel"/>
    <n v="101"/>
    <n v="163"/>
    <x v="915"/>
    <x v="741"/>
    <s v="Online"/>
  </r>
  <r>
    <s v="West Gear"/>
    <n v="1185732"/>
    <d v="2021-09-08T00:00:00"/>
    <x v="3"/>
    <s v="New York"/>
    <s v="Albany"/>
    <s v="Men's Athletic Footwear"/>
    <n v="48"/>
    <n v="163"/>
    <x v="446"/>
    <x v="691"/>
    <s v="Online"/>
  </r>
  <r>
    <s v="Kohl's"/>
    <n v="1185732"/>
    <d v="2021-12-08T00:00:00"/>
    <x v="3"/>
    <s v="New York"/>
    <s v="Albany"/>
    <s v="Women's Street Footwear"/>
    <n v="52"/>
    <n v="163"/>
    <x v="81"/>
    <x v="154"/>
    <s v="Online"/>
  </r>
  <r>
    <s v="Kohl's"/>
    <n v="1185732"/>
    <d v="2021-06-12T00:00:00"/>
    <x v="4"/>
    <s v="Wyoming"/>
    <s v="Cheyenne"/>
    <s v="Women's Apparel"/>
    <n v="50"/>
    <n v="163"/>
    <x v="248"/>
    <x v="307"/>
    <s v="Online"/>
  </r>
  <r>
    <s v="Kohl's"/>
    <n v="1185732"/>
    <d v="2021-07-10T00:00:00"/>
    <x v="4"/>
    <s v="Wyoming"/>
    <s v="Cheyenne"/>
    <s v="Men's Athletic Footwear"/>
    <n v="44"/>
    <n v="163"/>
    <x v="269"/>
    <x v="263"/>
    <s v="Online"/>
  </r>
  <r>
    <s v="Kohl's"/>
    <n v="1185732"/>
    <d v="2021-08-11T00:00:00"/>
    <x v="4"/>
    <s v="Wyoming"/>
    <s v="Cheyenne"/>
    <s v="Men's Athletic Footwear"/>
    <n v="43"/>
    <n v="163"/>
    <x v="859"/>
    <x v="191"/>
    <s v="Online"/>
  </r>
  <r>
    <s v="Foot Locker"/>
    <n v="1185732"/>
    <d v="2021-12-15T00:00:00"/>
    <x v="2"/>
    <s v="Michigan"/>
    <s v="Detroit"/>
    <s v="Women's Apparel"/>
    <n v="59"/>
    <n v="163"/>
    <x v="914"/>
    <x v="162"/>
    <s v="Online"/>
  </r>
  <r>
    <s v="Foot Locker"/>
    <n v="1185732"/>
    <d v="2021-12-17T00:00:00"/>
    <x v="2"/>
    <s v="Missouri"/>
    <s v="St. Louis"/>
    <s v="Men's Street Footwear"/>
    <n v="41"/>
    <n v="163"/>
    <x v="916"/>
    <x v="95"/>
    <s v="Online"/>
  </r>
  <r>
    <s v="West Gear"/>
    <n v="1128299"/>
    <d v="2021-07-23T00:00:00"/>
    <x v="4"/>
    <s v="Oregon"/>
    <s v="Portland"/>
    <s v="Women's Street Footwear"/>
    <n v="86"/>
    <n v="163"/>
    <x v="517"/>
    <x v="240"/>
    <s v="Online"/>
  </r>
  <r>
    <s v="Foot Locker"/>
    <n v="1197831"/>
    <d v="2021-02-04T00:00:00"/>
    <x v="1"/>
    <s v="Louisiana"/>
    <s v="New Orleans"/>
    <s v="Men's Street Footwear"/>
    <n v="23"/>
    <n v="163"/>
    <x v="917"/>
    <x v="570"/>
    <s v="Online"/>
  </r>
  <r>
    <s v="Sports Direct"/>
    <n v="1197831"/>
    <d v="2021-11-05T00:00:00"/>
    <x v="4"/>
    <s v="Idaho"/>
    <s v="Boise"/>
    <s v="Women's Apparel"/>
    <n v="63"/>
    <n v="163"/>
    <x v="911"/>
    <x v="734"/>
    <s v="Online"/>
  </r>
  <r>
    <s v="Foot Locker"/>
    <n v="1128299"/>
    <d v="2021-08-23T00:00:00"/>
    <x v="4"/>
    <s v="Arizona"/>
    <s v="Phoenix"/>
    <s v="Men's Street Footwear"/>
    <n v="50"/>
    <n v="163"/>
    <x v="248"/>
    <x v="81"/>
    <s v="Online"/>
  </r>
  <r>
    <s v="Kohl's"/>
    <n v="1128299"/>
    <d v="2021-09-27T00:00:00"/>
    <x v="4"/>
    <s v="New Mexico"/>
    <s v="Albuquerque"/>
    <s v="Men's Street Footwear"/>
    <n v="49"/>
    <n v="163"/>
    <x v="867"/>
    <x v="266"/>
    <s v="Online"/>
  </r>
  <r>
    <s v="Sports Direct"/>
    <n v="1185732"/>
    <d v="2021-06-04T00:00:00"/>
    <x v="0"/>
    <s v="North Carolina"/>
    <s v="Charlotte"/>
    <s v="Men's Apparel"/>
    <n v="61"/>
    <n v="163"/>
    <x v="176"/>
    <x v="107"/>
    <s v="Online"/>
  </r>
  <r>
    <s v="Sports Direct"/>
    <n v="1185732"/>
    <d v="2021-11-03T00:00:00"/>
    <x v="0"/>
    <s v="North Carolina"/>
    <s v="Charlotte"/>
    <s v="Women's Athletic Footwear"/>
    <n v="55"/>
    <n v="163"/>
    <x v="918"/>
    <x v="349"/>
    <s v="Online"/>
  </r>
  <r>
    <s v="Sports Direct"/>
    <n v="1185732"/>
    <d v="2021-11-03T00:00:00"/>
    <x v="0"/>
    <s v="North Carolina"/>
    <s v="Charlotte"/>
    <s v="Men's Apparel"/>
    <n v="72"/>
    <n v="163"/>
    <x v="913"/>
    <x v="301"/>
    <s v="Online"/>
  </r>
  <r>
    <s v="Sports Direct"/>
    <n v="1185732"/>
    <d v="2021-11-17T00:00:00"/>
    <x v="1"/>
    <s v="Mississippi"/>
    <s v="Jackson"/>
    <s v="Men's Street Footwear"/>
    <n v="28"/>
    <n v="163"/>
    <x v="457"/>
    <x v="685"/>
    <s v="Online"/>
  </r>
  <r>
    <s v="Foot Locker"/>
    <n v="1185732"/>
    <d v="2021-08-14T00:00:00"/>
    <x v="3"/>
    <s v="Delaware"/>
    <s v="Wilmington"/>
    <s v="Men's Street Footwear"/>
    <n v="50"/>
    <n v="163"/>
    <x v="248"/>
    <x v="669"/>
    <s v="Online"/>
  </r>
  <r>
    <s v="Sports Direct"/>
    <n v="1185732"/>
    <d v="2021-08-04T00:00:00"/>
    <x v="3"/>
    <s v="Connecticut"/>
    <s v="Hartford"/>
    <s v="Men's Street Footwear"/>
    <n v="51"/>
    <n v="163"/>
    <x v="919"/>
    <x v="349"/>
    <s v="Online"/>
  </r>
  <r>
    <s v="Amazon"/>
    <n v="1185732"/>
    <d v="2021-06-12T00:00:00"/>
    <x v="3"/>
    <s v="Vermont"/>
    <s v="Burlington"/>
    <s v="Men's Street Footwear"/>
    <n v="58"/>
    <n v="163"/>
    <x v="174"/>
    <x v="367"/>
    <s v="Online"/>
  </r>
  <r>
    <s v="Sports Direct"/>
    <n v="1197831"/>
    <d v="2021-08-16T00:00:00"/>
    <x v="1"/>
    <s v="Texas"/>
    <s v="Dallas"/>
    <s v="Women's Apparel"/>
    <n v="24"/>
    <n v="163"/>
    <x v="920"/>
    <x v="335"/>
    <s v="Outlet"/>
  </r>
  <r>
    <s v="Sports Direct"/>
    <n v="1197831"/>
    <d v="2021-05-05T00:00:00"/>
    <x v="1"/>
    <s v="Tennessee"/>
    <s v="Knoxville"/>
    <s v="Women's Street Footwear"/>
    <n v="27"/>
    <n v="163"/>
    <x v="921"/>
    <x v="233"/>
    <s v="Outlet"/>
  </r>
  <r>
    <s v="Foot Locker"/>
    <n v="1128299"/>
    <d v="2021-07-22T00:00:00"/>
    <x v="4"/>
    <s v="Arizona"/>
    <s v="Phoenix"/>
    <s v="Men's Athletic Footwear"/>
    <n v="40"/>
    <n v="163"/>
    <x v="922"/>
    <x v="477"/>
    <s v="Outlet"/>
  </r>
  <r>
    <s v="Foot Locker"/>
    <n v="1128299"/>
    <d v="2021-11-23T00:00:00"/>
    <x v="4"/>
    <s v="Arizona"/>
    <s v="Phoenix"/>
    <s v="Men's Athletic Footwear"/>
    <n v="38"/>
    <n v="163"/>
    <x v="789"/>
    <x v="406"/>
    <s v="Outlet"/>
  </r>
  <r>
    <s v="Kohl's"/>
    <n v="1128299"/>
    <d v="2021-08-26T00:00:00"/>
    <x v="4"/>
    <s v="New Mexico"/>
    <s v="Albuquerque"/>
    <s v="Women's Street Footwear"/>
    <n v="46"/>
    <n v="163"/>
    <x v="923"/>
    <x v="477"/>
    <s v="Outlet"/>
  </r>
  <r>
    <s v="Sports Direct"/>
    <n v="1128299"/>
    <d v="2021-03-12T00:00:00"/>
    <x v="0"/>
    <s v="Georgia"/>
    <s v="Atlanta"/>
    <s v="Men's Street Footwear"/>
    <n v="30"/>
    <n v="163"/>
    <x v="800"/>
    <x v="659"/>
    <s v="Outlet"/>
  </r>
  <r>
    <s v="Sports Direct"/>
    <n v="1128299"/>
    <d v="2021-06-13T00:00:00"/>
    <x v="0"/>
    <s v="Georgia"/>
    <s v="Atlanta"/>
    <s v="Men's Athletic Footwear"/>
    <n v="41"/>
    <n v="163"/>
    <x v="916"/>
    <x v="592"/>
    <s v="Outlet"/>
  </r>
  <r>
    <s v="Walmart"/>
    <n v="1197831"/>
    <d v="2021-07-19T00:00:00"/>
    <x v="1"/>
    <s v="Arkansas"/>
    <s v="Little Rock"/>
    <s v="Men's Athletic Footwear"/>
    <n v="36"/>
    <n v="163"/>
    <x v="910"/>
    <x v="742"/>
    <s v="Outlet"/>
  </r>
  <r>
    <s v="Walmart"/>
    <n v="1197831"/>
    <d v="2021-08-20T00:00:00"/>
    <x v="1"/>
    <s v="Arkansas"/>
    <s v="Little Rock"/>
    <s v="Men's Athletic Footwear"/>
    <n v="42"/>
    <n v="163"/>
    <x v="893"/>
    <x v="586"/>
    <s v="Outlet"/>
  </r>
  <r>
    <s v="West Gear"/>
    <n v="1197831"/>
    <d v="2021-07-19T00:00:00"/>
    <x v="1"/>
    <s v="Oklahoma"/>
    <s v="Oklahoma City"/>
    <s v="Women's Apparel"/>
    <n v="45"/>
    <n v="163"/>
    <x v="190"/>
    <x v="422"/>
    <s v="Outlet"/>
  </r>
  <r>
    <s v="Amazon"/>
    <n v="1185732"/>
    <d v="2021-07-17T00:00:00"/>
    <x v="3"/>
    <s v="New Hampshire"/>
    <s v="Manchester"/>
    <s v="Women's Apparel"/>
    <n v="47"/>
    <n v="163"/>
    <x v="841"/>
    <x v="505"/>
    <s v="Outlet"/>
  </r>
  <r>
    <s v="West Gear"/>
    <n v="1128299"/>
    <d v="2020-02-20T00:00:00"/>
    <x v="4"/>
    <s v="Nevada"/>
    <s v="Las Vegas"/>
    <s v="Men's Athletic Footwear"/>
    <n v="61"/>
    <n v="162"/>
    <x v="335"/>
    <x v="248"/>
    <s v="Online"/>
  </r>
  <r>
    <s v="West Gear"/>
    <n v="1128299"/>
    <d v="2020-05-02T00:00:00"/>
    <x v="4"/>
    <s v="Colorado"/>
    <s v="Denver"/>
    <s v="Men's Street Footwear"/>
    <n v="59"/>
    <n v="162"/>
    <x v="924"/>
    <x v="242"/>
    <s v="Online"/>
  </r>
  <r>
    <s v="West Gear"/>
    <n v="1128299"/>
    <d v="2020-07-25T00:00:00"/>
    <x v="4"/>
    <s v="Washington"/>
    <s v="Seattle"/>
    <s v="Men's Street Footwear"/>
    <n v="54"/>
    <n v="162"/>
    <x v="221"/>
    <x v="465"/>
    <s v="Online"/>
  </r>
  <r>
    <s v="Foot Locker"/>
    <n v="1128299"/>
    <d v="2021-08-10T00:00:00"/>
    <x v="4"/>
    <s v="Hawaii"/>
    <s v="Honolulu"/>
    <s v="Women's Street Footwear"/>
    <n v="64"/>
    <n v="162"/>
    <x v="143"/>
    <x v="211"/>
    <s v="Online"/>
  </r>
  <r>
    <s v="Walmart"/>
    <n v="1128299"/>
    <d v="2021-11-17T00:00:00"/>
    <x v="0"/>
    <s v="Florida"/>
    <s v="Orlando"/>
    <s v="Women's Apparel"/>
    <n v="86"/>
    <n v="162"/>
    <x v="925"/>
    <x v="416"/>
    <s v="Online"/>
  </r>
  <r>
    <s v="West Gear"/>
    <n v="1185732"/>
    <d v="2021-11-09T00:00:00"/>
    <x v="3"/>
    <s v="New York"/>
    <s v="Albany"/>
    <s v="Men's Athletic Footwear"/>
    <n v="49"/>
    <n v="162"/>
    <x v="270"/>
    <x v="620"/>
    <s v="Online"/>
  </r>
  <r>
    <s v="Foot Locker"/>
    <n v="1128299"/>
    <d v="2021-07-23T00:00:00"/>
    <x v="0"/>
    <s v="Virginia"/>
    <s v="Richmond"/>
    <s v="Men's Apparel"/>
    <n v="85"/>
    <n v="162"/>
    <x v="126"/>
    <x v="743"/>
    <s v="Online"/>
  </r>
  <r>
    <s v="Foot Locker"/>
    <n v="1128299"/>
    <d v="2021-12-16T00:00:00"/>
    <x v="1"/>
    <s v="Louisiana"/>
    <s v="New Orleans"/>
    <s v="Women's Street Footwear"/>
    <n v="69"/>
    <n v="162"/>
    <x v="292"/>
    <x v="643"/>
    <s v="Online"/>
  </r>
  <r>
    <s v="Kohl's"/>
    <n v="1128299"/>
    <d v="2021-06-26T00:00:00"/>
    <x v="4"/>
    <s v="New Mexico"/>
    <s v="Albuquerque"/>
    <s v="Women's Apparel"/>
    <n v="74"/>
    <n v="162"/>
    <x v="279"/>
    <x v="388"/>
    <s v="Online"/>
  </r>
  <r>
    <s v="Kohl's"/>
    <n v="1197831"/>
    <d v="2021-02-14T00:00:00"/>
    <x v="1"/>
    <s v="Oklahoma"/>
    <s v="Oklahoma City"/>
    <s v="Men's Street Footwear"/>
    <n v="23"/>
    <n v="162"/>
    <x v="926"/>
    <x v="744"/>
    <s v="Online"/>
  </r>
  <r>
    <s v="Sports Direct"/>
    <n v="1197831"/>
    <d v="2021-10-14T00:00:00"/>
    <x v="1"/>
    <s v="Texas"/>
    <s v="Dallas"/>
    <s v="Men's Apparel"/>
    <n v="46"/>
    <n v="162"/>
    <x v="677"/>
    <x v="406"/>
    <s v="Outlet"/>
  </r>
  <r>
    <s v="Foot Locker"/>
    <n v="1185732"/>
    <d v="2021-12-09T00:00:00"/>
    <x v="3"/>
    <s v="Pennsylvania"/>
    <s v="Philadelphia"/>
    <s v="Men's Street Footwear"/>
    <n v="46"/>
    <n v="162"/>
    <x v="677"/>
    <x v="740"/>
    <s v="Outlet"/>
  </r>
  <r>
    <s v="West Gear"/>
    <n v="1128299"/>
    <d v="2020-03-08T00:00:00"/>
    <x v="4"/>
    <s v="Nevada"/>
    <s v="Las Vegas"/>
    <s v="Women's Apparel"/>
    <n v="51"/>
    <n v="162"/>
    <x v="122"/>
    <x v="596"/>
    <s v="Outlet"/>
  </r>
  <r>
    <s v="Sports Direct"/>
    <n v="1197831"/>
    <d v="2021-04-24T00:00:00"/>
    <x v="1"/>
    <s v="Tennessee"/>
    <s v="Knoxville"/>
    <s v="Women's Athletic Footwear"/>
    <n v="32"/>
    <n v="162"/>
    <x v="544"/>
    <x v="505"/>
    <s v="Outlet"/>
  </r>
  <r>
    <s v="Foot Locker"/>
    <n v="1128299"/>
    <d v="2021-03-23T00:00:00"/>
    <x v="0"/>
    <s v="Virginia"/>
    <s v="Richmond"/>
    <s v="Men's Street Footwear"/>
    <n v="30"/>
    <n v="162"/>
    <x v="810"/>
    <x v="642"/>
    <s v="Outlet"/>
  </r>
  <r>
    <s v="Foot Locker"/>
    <n v="1197831"/>
    <d v="2021-01-05T00:00:00"/>
    <x v="1"/>
    <s v="Louisiana"/>
    <s v="New Orleans"/>
    <s v="Women's Street Footwear"/>
    <n v="21"/>
    <n v="162"/>
    <x v="927"/>
    <x v="745"/>
    <s v="Outlet"/>
  </r>
  <r>
    <s v="West Gear"/>
    <n v="1197831"/>
    <d v="2021-04-05T00:00:00"/>
    <x v="4"/>
    <s v="Idaho"/>
    <s v="Boise"/>
    <s v="Women's Street Footwear"/>
    <n v="19"/>
    <n v="162"/>
    <x v="928"/>
    <x v="714"/>
    <s v="Outlet"/>
  </r>
  <r>
    <s v="Foot Locker"/>
    <n v="1197831"/>
    <d v="2021-08-08T00:00:00"/>
    <x v="4"/>
    <s v="Idaho"/>
    <s v="Boise"/>
    <s v="Women's Athletic Footwear"/>
    <n v="33"/>
    <n v="162"/>
    <x v="929"/>
    <x v="592"/>
    <s v="Outlet"/>
  </r>
  <r>
    <s v="Foot Locker"/>
    <n v="1128299"/>
    <d v="2021-02-23T00:00:00"/>
    <x v="4"/>
    <s v="Idaho"/>
    <s v="Boise"/>
    <s v="Men's Street Footwear"/>
    <n v="21"/>
    <n v="162"/>
    <x v="927"/>
    <x v="745"/>
    <s v="Outlet"/>
  </r>
  <r>
    <s v="Kohl's"/>
    <n v="1128299"/>
    <d v="2021-08-26T00:00:00"/>
    <x v="4"/>
    <s v="New Mexico"/>
    <s v="Albuquerque"/>
    <s v="Men's Apparel"/>
    <n v="48"/>
    <n v="162"/>
    <x v="930"/>
    <x v="408"/>
    <s v="Outlet"/>
  </r>
  <r>
    <s v="Sports Direct"/>
    <n v="1128299"/>
    <d v="2021-07-12T00:00:00"/>
    <x v="0"/>
    <s v="Georgia"/>
    <s v="Atlanta"/>
    <s v="Men's Apparel"/>
    <n v="39"/>
    <n v="162"/>
    <x v="398"/>
    <x v="746"/>
    <s v="Outlet"/>
  </r>
  <r>
    <s v="Sports Direct"/>
    <n v="1185732"/>
    <d v="2021-10-18T00:00:00"/>
    <x v="1"/>
    <s v="Mississippi"/>
    <s v="Jackson"/>
    <s v="Women's Apparel"/>
    <n v="27"/>
    <n v="162"/>
    <x v="449"/>
    <x v="455"/>
    <s v="Outlet"/>
  </r>
  <r>
    <s v="Foot Locker"/>
    <n v="1185732"/>
    <d v="2021-02-08T00:00:00"/>
    <x v="3"/>
    <s v="Connecticut"/>
    <s v="Hartford"/>
    <s v="Men's Street Footwear"/>
    <n v="24"/>
    <n v="162"/>
    <x v="881"/>
    <x v="347"/>
    <s v="Outlet"/>
  </r>
  <r>
    <s v="Amazon"/>
    <n v="1185732"/>
    <d v="2021-06-19T00:00:00"/>
    <x v="3"/>
    <s v="New Hampshire"/>
    <s v="Manchester"/>
    <s v="Women's Apparel"/>
    <n v="50"/>
    <n v="162"/>
    <x v="771"/>
    <x v="159"/>
    <s v="Outlet"/>
  </r>
  <r>
    <s v="Foot Locker"/>
    <n v="1185732"/>
    <d v="2021-10-19T00:00:00"/>
    <x v="3"/>
    <s v="New Hampshire"/>
    <s v="Manchester"/>
    <s v="Men's Street Footwear"/>
    <n v="52"/>
    <n v="162"/>
    <x v="277"/>
    <x v="337"/>
    <s v="Outlet"/>
  </r>
  <r>
    <s v="West Gear"/>
    <n v="1128299"/>
    <d v="2020-11-05T00:00:00"/>
    <x v="4"/>
    <s v="California"/>
    <s v="San Francisco"/>
    <s v="Men's Apparel"/>
    <n v="51"/>
    <n v="161"/>
    <x v="456"/>
    <x v="747"/>
    <s v="Online"/>
  </r>
  <r>
    <s v="Foot Locker"/>
    <n v="1185732"/>
    <d v="2021-07-06T00:00:00"/>
    <x v="2"/>
    <s v="Illinois"/>
    <s v="Chicago"/>
    <s v="Men's Street Footwear"/>
    <n v="47"/>
    <n v="161"/>
    <x v="703"/>
    <x v="73"/>
    <s v="Online"/>
  </r>
  <r>
    <s v="Sports Direct"/>
    <n v="1197831"/>
    <d v="2021-10-09T00:00:00"/>
    <x v="1"/>
    <s v="Texas"/>
    <s v="Dallas"/>
    <s v="Women's Apparel"/>
    <n v="45"/>
    <n v="161"/>
    <x v="931"/>
    <x v="242"/>
    <s v="Online"/>
  </r>
  <r>
    <s v="West Gear"/>
    <n v="1128299"/>
    <d v="2020-04-22T00:00:00"/>
    <x v="4"/>
    <s v="Colorado"/>
    <s v="Denver"/>
    <s v="Women's Street Footwear"/>
    <n v="67"/>
    <n v="161"/>
    <x v="838"/>
    <x v="748"/>
    <s v="Online"/>
  </r>
  <r>
    <s v="Kohl's"/>
    <n v="1189833"/>
    <d v="2021-01-15T00:00:00"/>
    <x v="2"/>
    <s v="Montana"/>
    <s v="Billings"/>
    <s v="Men's Street Footwear"/>
    <n v="44"/>
    <n v="161"/>
    <x v="932"/>
    <x v="569"/>
    <s v="Online"/>
  </r>
  <r>
    <s v="Sports Direct"/>
    <n v="1197831"/>
    <d v="2021-04-02T00:00:00"/>
    <x v="1"/>
    <s v="Tennessee"/>
    <s v="Knoxville"/>
    <s v="Women's Apparel"/>
    <n v="24"/>
    <n v="161"/>
    <x v="626"/>
    <x v="487"/>
    <s v="Online"/>
  </r>
  <r>
    <s v="Sports Direct"/>
    <n v="1197831"/>
    <d v="2021-04-18T00:00:00"/>
    <x v="1"/>
    <s v="Tennessee"/>
    <s v="Knoxville"/>
    <s v="Women's Athletic Footwear"/>
    <n v="37"/>
    <n v="161"/>
    <x v="562"/>
    <x v="364"/>
    <s v="Online"/>
  </r>
  <r>
    <s v="West Gear"/>
    <n v="1185732"/>
    <d v="2021-03-08T00:00:00"/>
    <x v="3"/>
    <s v="New York"/>
    <s v="Albany"/>
    <s v="Women's Street Footwear"/>
    <n v="33"/>
    <n v="161"/>
    <x v="895"/>
    <x v="686"/>
    <s v="Online"/>
  </r>
  <r>
    <s v="West Gear"/>
    <n v="1185732"/>
    <d v="2021-03-08T00:00:00"/>
    <x v="3"/>
    <s v="New York"/>
    <s v="Albany"/>
    <s v="Women's Apparel"/>
    <n v="43"/>
    <n v="161"/>
    <x v="759"/>
    <x v="564"/>
    <s v="Online"/>
  </r>
  <r>
    <s v="West Gear"/>
    <n v="1185732"/>
    <d v="2021-05-08T00:00:00"/>
    <x v="3"/>
    <s v="New York"/>
    <s v="Albany"/>
    <s v="Men's Athletic Footwear"/>
    <n v="53"/>
    <n v="161"/>
    <x v="592"/>
    <x v="60"/>
    <s v="Online"/>
  </r>
  <r>
    <s v="Kohl's"/>
    <n v="1185732"/>
    <d v="2021-11-11T00:00:00"/>
    <x v="4"/>
    <s v="Wyoming"/>
    <s v="Cheyenne"/>
    <s v="Women's Apparel"/>
    <n v="55"/>
    <n v="161"/>
    <x v="606"/>
    <x v="422"/>
    <s v="Online"/>
  </r>
  <r>
    <s v="West Gear"/>
    <n v="1128299"/>
    <d v="2021-06-17T00:00:00"/>
    <x v="1"/>
    <s v="Louisiana"/>
    <s v="New Orleans"/>
    <s v="Women's Athletic Footwear"/>
    <n v="82"/>
    <n v="161"/>
    <x v="933"/>
    <x v="749"/>
    <s v="Online"/>
  </r>
  <r>
    <s v="Foot Locker"/>
    <n v="1128299"/>
    <d v="2021-08-23T00:00:00"/>
    <x v="4"/>
    <s v="Arizona"/>
    <s v="Phoenix"/>
    <s v="Men's Athletic Footwear"/>
    <n v="57"/>
    <n v="161"/>
    <x v="214"/>
    <x v="181"/>
    <s v="Online"/>
  </r>
  <r>
    <s v="Foot Locker"/>
    <n v="1128299"/>
    <d v="2021-09-24T00:00:00"/>
    <x v="4"/>
    <s v="Arizona"/>
    <s v="Phoenix"/>
    <s v="Men's Athletic Footwear"/>
    <n v="45"/>
    <n v="161"/>
    <x v="931"/>
    <x v="282"/>
    <s v="Online"/>
  </r>
  <r>
    <s v="West Gear"/>
    <n v="1185732"/>
    <d v="2021-12-09T00:00:00"/>
    <x v="2"/>
    <s v="Ohio"/>
    <s v="Columbus"/>
    <s v="Women's Street Footwear"/>
    <n v="59"/>
    <n v="161"/>
    <x v="545"/>
    <x v="631"/>
    <s v="Online"/>
  </r>
  <r>
    <s v="Sports Direct"/>
    <n v="1185732"/>
    <d v="2021-08-14T00:00:00"/>
    <x v="3"/>
    <s v="Massachusetts"/>
    <s v="Boston"/>
    <s v="Men's Street Footwear"/>
    <n v="50"/>
    <n v="161"/>
    <x v="934"/>
    <x v="337"/>
    <s v="Online"/>
  </r>
  <r>
    <s v="Kohl's"/>
    <n v="1189833"/>
    <d v="2021-03-10T00:00:00"/>
    <x v="4"/>
    <s v="California"/>
    <s v="San Francisco"/>
    <s v="Women's Athletic Footwear"/>
    <n v="41"/>
    <n v="160"/>
    <x v="935"/>
    <x v="58"/>
    <s v="Online"/>
  </r>
  <r>
    <s v="West Gear"/>
    <n v="1128299"/>
    <d v="2020-01-14T00:00:00"/>
    <x v="4"/>
    <s v="Nevada"/>
    <s v="Las Vegas"/>
    <s v="Men's Street Footwear"/>
    <n v="43"/>
    <n v="160"/>
    <x v="796"/>
    <x v="532"/>
    <s v="Online"/>
  </r>
  <r>
    <s v="West Gear"/>
    <n v="1128299"/>
    <d v="2020-06-13T00:00:00"/>
    <x v="4"/>
    <s v="Washington"/>
    <s v="Seattle"/>
    <s v="Men's Street Footwear"/>
    <n v="68"/>
    <n v="160"/>
    <x v="193"/>
    <x v="253"/>
    <s v="Online"/>
  </r>
  <r>
    <s v="Foot Locker"/>
    <n v="1185732"/>
    <d v="2020-11-22T00:00:00"/>
    <x v="2"/>
    <s v="Minnesota"/>
    <s v="Minneapolis"/>
    <s v="Men's Street Footwear"/>
    <n v="49"/>
    <n v="160"/>
    <x v="486"/>
    <x v="308"/>
    <s v="Online"/>
  </r>
  <r>
    <s v="Kohl's"/>
    <n v="1189833"/>
    <d v="2021-02-20T00:00:00"/>
    <x v="2"/>
    <s v="Montana"/>
    <s v="Billings"/>
    <s v="Men's Street Footwear"/>
    <n v="44"/>
    <n v="160"/>
    <x v="95"/>
    <x v="216"/>
    <s v="Online"/>
  </r>
  <r>
    <s v="Kohl's"/>
    <n v="1189833"/>
    <d v="2021-02-21T00:00:00"/>
    <x v="2"/>
    <s v="Montana"/>
    <s v="Billings"/>
    <s v="Men's Athletic Footwear"/>
    <n v="49"/>
    <n v="160"/>
    <x v="486"/>
    <x v="290"/>
    <s v="Online"/>
  </r>
  <r>
    <s v="Amazon"/>
    <n v="1185732"/>
    <d v="2021-05-20T00:00:00"/>
    <x v="4"/>
    <s v="Alaska"/>
    <s v="Anchorage"/>
    <s v="Men's Street Footwear"/>
    <n v="59"/>
    <n v="160"/>
    <x v="121"/>
    <x v="156"/>
    <s v="Online"/>
  </r>
  <r>
    <s v="Sports Direct"/>
    <n v="1128299"/>
    <d v="2021-03-16T00:00:00"/>
    <x v="0"/>
    <s v="Florida"/>
    <s v="Orlando"/>
    <s v="Men's Street Footwear"/>
    <n v="46"/>
    <n v="160"/>
    <x v="496"/>
    <x v="307"/>
    <s v="Online"/>
  </r>
  <r>
    <s v="West Gear"/>
    <n v="1185732"/>
    <d v="2021-05-08T00:00:00"/>
    <x v="3"/>
    <s v="New York"/>
    <s v="Albany"/>
    <s v="Women's Street Footwear"/>
    <n v="49"/>
    <n v="160"/>
    <x v="486"/>
    <x v="116"/>
    <s v="Online"/>
  </r>
  <r>
    <s v="Sports Direct"/>
    <n v="1128299"/>
    <d v="2021-12-23T00:00:00"/>
    <x v="0"/>
    <s v="Virginia"/>
    <s v="Richmond"/>
    <s v="Women's Athletic Footwear"/>
    <n v="67"/>
    <n v="160"/>
    <x v="936"/>
    <x v="599"/>
    <s v="Online"/>
  </r>
  <r>
    <s v="Foot Locker"/>
    <n v="1185732"/>
    <d v="2021-07-17T00:00:00"/>
    <x v="2"/>
    <s v="Missouri"/>
    <s v="St. Louis"/>
    <s v="Women's Apparel"/>
    <n v="41"/>
    <n v="160"/>
    <x v="935"/>
    <x v="750"/>
    <s v="Online"/>
  </r>
  <r>
    <s v="West Gear"/>
    <n v="1185732"/>
    <d v="2021-07-10T00:00:00"/>
    <x v="4"/>
    <s v="Utah"/>
    <s v="Salt Lake City"/>
    <s v="Men's Athletic Footwear"/>
    <n v="29"/>
    <n v="160"/>
    <x v="937"/>
    <x v="355"/>
    <s v="Online"/>
  </r>
  <r>
    <s v="West Gear"/>
    <n v="1128299"/>
    <d v="2021-05-18T00:00:00"/>
    <x v="1"/>
    <s v="Louisiana"/>
    <s v="New Orleans"/>
    <s v="Men's Street Footwear"/>
    <n v="43"/>
    <n v="160"/>
    <x v="796"/>
    <x v="45"/>
    <s v="Online"/>
  </r>
  <r>
    <s v="Kohl's"/>
    <n v="1128299"/>
    <d v="2021-07-25T00:00:00"/>
    <x v="4"/>
    <s v="New Mexico"/>
    <s v="Albuquerque"/>
    <s v="Women's Street Footwear"/>
    <n v="58"/>
    <n v="160"/>
    <x v="376"/>
    <x v="29"/>
    <s v="Online"/>
  </r>
  <r>
    <s v="Kohl's"/>
    <n v="1128299"/>
    <d v="2021-11-26T00:00:00"/>
    <x v="4"/>
    <s v="New Mexico"/>
    <s v="Albuquerque"/>
    <s v="Men's Street Footwear"/>
    <n v="58"/>
    <n v="160"/>
    <x v="376"/>
    <x v="334"/>
    <s v="Online"/>
  </r>
  <r>
    <s v="Sports Direct"/>
    <n v="1128299"/>
    <d v="2021-05-14T00:00:00"/>
    <x v="0"/>
    <s v="Georgia"/>
    <s v="Atlanta"/>
    <s v="Men's Street Footwear"/>
    <n v="47"/>
    <n v="160"/>
    <x v="669"/>
    <x v="109"/>
    <s v="Online"/>
  </r>
  <r>
    <s v="Sports Direct"/>
    <n v="1185732"/>
    <d v="2021-10-04T00:00:00"/>
    <x v="0"/>
    <s v="North Carolina"/>
    <s v="Charlotte"/>
    <s v="Women's Athletic Footwear"/>
    <n v="34"/>
    <n v="160"/>
    <x v="938"/>
    <x v="592"/>
    <s v="Online"/>
  </r>
  <r>
    <s v="Walmart"/>
    <n v="1197831"/>
    <d v="2021-06-21T00:00:00"/>
    <x v="1"/>
    <s v="Arkansas"/>
    <s v="Little Rock"/>
    <s v="Women's Apparel"/>
    <n v="54"/>
    <n v="160"/>
    <x v="543"/>
    <x v="104"/>
    <s v="Online"/>
  </r>
  <r>
    <s v="Sports Direct"/>
    <n v="1185732"/>
    <d v="2021-07-08T00:00:00"/>
    <x v="2"/>
    <s v="North Dakota"/>
    <s v="Fargo"/>
    <s v="Men's Street Footwear"/>
    <n v="48"/>
    <n v="160"/>
    <x v="265"/>
    <x v="220"/>
    <s v="Online"/>
  </r>
  <r>
    <s v="West Gear"/>
    <n v="1185732"/>
    <d v="2021-06-03T00:00:00"/>
    <x v="2"/>
    <s v="Wisconsin"/>
    <s v="Milwaukee"/>
    <s v="Men's Street Footwear"/>
    <n v="32"/>
    <n v="160"/>
    <x v="906"/>
    <x v="504"/>
    <s v="Online"/>
  </r>
  <r>
    <s v="West Gear"/>
    <n v="1185732"/>
    <d v="2021-02-10T00:00:00"/>
    <x v="2"/>
    <s v="Wisconsin"/>
    <s v="Milwaukee"/>
    <s v="Men's Street Footwear"/>
    <n v="34"/>
    <n v="160"/>
    <x v="938"/>
    <x v="343"/>
    <s v="Online"/>
  </r>
  <r>
    <s v="Foot Locker"/>
    <n v="1185732"/>
    <d v="2021-05-13T00:00:00"/>
    <x v="3"/>
    <s v="Delaware"/>
    <s v="Wilmington"/>
    <s v="Men's Street Footwear"/>
    <n v="51"/>
    <n v="160"/>
    <x v="197"/>
    <x v="387"/>
    <s v="Online"/>
  </r>
  <r>
    <s v="Sports Direct"/>
    <n v="1197831"/>
    <d v="2020-07-29T00:00:00"/>
    <x v="1"/>
    <s v="Texas"/>
    <s v="Houston"/>
    <s v="Men's Apparel"/>
    <n v="28"/>
    <n v="160"/>
    <x v="939"/>
    <x v="751"/>
    <s v="Outlet"/>
  </r>
  <r>
    <s v="Sports Direct"/>
    <n v="1197831"/>
    <d v="2021-10-13T00:00:00"/>
    <x v="1"/>
    <s v="Texas"/>
    <s v="Dallas"/>
    <s v="Women's Athletic Footwear"/>
    <n v="50"/>
    <n v="160"/>
    <x v="685"/>
    <x v="218"/>
    <s v="Outlet"/>
  </r>
  <r>
    <s v="Sports Direct"/>
    <n v="1197831"/>
    <d v="2021-05-19T00:00:00"/>
    <x v="1"/>
    <s v="Tennessee"/>
    <s v="Knoxville"/>
    <s v="Men's Apparel"/>
    <n v="38"/>
    <n v="160"/>
    <x v="722"/>
    <x v="553"/>
    <s v="Outlet"/>
  </r>
  <r>
    <s v="Foot Locker"/>
    <n v="1128299"/>
    <d v="2021-03-22T00:00:00"/>
    <x v="4"/>
    <s v="Arizona"/>
    <s v="Phoenix"/>
    <s v="Men's Street Footwear"/>
    <n v="29"/>
    <n v="160"/>
    <x v="937"/>
    <x v="501"/>
    <s v="Outlet"/>
  </r>
  <r>
    <s v="Kohl's"/>
    <n v="1128299"/>
    <d v="2021-07-25T00:00:00"/>
    <x v="4"/>
    <s v="New Mexico"/>
    <s v="Albuquerque"/>
    <s v="Men's Apparel"/>
    <n v="40"/>
    <n v="160"/>
    <x v="705"/>
    <x v="168"/>
    <s v="Outlet"/>
  </r>
  <r>
    <s v="Kohl's"/>
    <n v="1128299"/>
    <d v="2021-07-25T00:00:00"/>
    <x v="4"/>
    <s v="New Mexico"/>
    <s v="Albuquerque"/>
    <s v="Women's Apparel"/>
    <n v="49"/>
    <n v="160"/>
    <x v="486"/>
    <x v="398"/>
    <s v="Outlet"/>
  </r>
  <r>
    <s v="Sports Direct"/>
    <n v="1128299"/>
    <d v="2021-12-25T00:00:00"/>
    <x v="4"/>
    <s v="New Mexico"/>
    <s v="Albuquerque"/>
    <s v="Women's Athletic Footwear"/>
    <n v="45"/>
    <n v="160"/>
    <x v="665"/>
    <x v="514"/>
    <s v="Outlet"/>
  </r>
  <r>
    <s v="Foot Locker"/>
    <n v="1128299"/>
    <d v="2021-12-12T00:00:00"/>
    <x v="0"/>
    <s v="Georgia"/>
    <s v="Atlanta"/>
    <s v="Women's Apparel"/>
    <n v="47"/>
    <n v="160"/>
    <x v="669"/>
    <x v="565"/>
    <s v="Outlet"/>
  </r>
  <r>
    <s v="Foot Locker"/>
    <n v="1185732"/>
    <d v="2021-02-18T00:00:00"/>
    <x v="1"/>
    <s v="Mississippi"/>
    <s v="Jackson"/>
    <s v="Women's Apparel"/>
    <n v="20"/>
    <n v="160"/>
    <x v="940"/>
    <x v="752"/>
    <s v="Outlet"/>
  </r>
  <r>
    <s v="Walmart"/>
    <n v="1185732"/>
    <d v="2021-09-16T00:00:00"/>
    <x v="1"/>
    <s v="Mississippi"/>
    <s v="Jackson"/>
    <s v="Women's Apparel"/>
    <n v="26"/>
    <n v="160"/>
    <x v="941"/>
    <x v="528"/>
    <s v="Outlet"/>
  </r>
  <r>
    <s v="Sports Direct"/>
    <n v="1185732"/>
    <d v="2021-12-06T00:00:00"/>
    <x v="3"/>
    <s v="Rhode Island"/>
    <s v="Providence"/>
    <s v="Men's Street Footwear"/>
    <n v="48"/>
    <n v="160"/>
    <x v="265"/>
    <x v="477"/>
    <s v="Outlet"/>
  </r>
  <r>
    <s v="Foot Locker"/>
    <n v="1185732"/>
    <d v="2021-06-06T00:00:00"/>
    <x v="2"/>
    <s v="Illinois"/>
    <s v="Chicago"/>
    <s v="Men's Street Footwear"/>
    <n v="44"/>
    <n v="158"/>
    <x v="712"/>
    <x v="595"/>
    <s v="Online"/>
  </r>
  <r>
    <s v="Sports Direct"/>
    <n v="1197831"/>
    <d v="2021-08-13T00:00:00"/>
    <x v="2"/>
    <s v="Illinois"/>
    <s v="Chicago"/>
    <s v="Women's Street Footwear"/>
    <n v="27"/>
    <n v="158"/>
    <x v="942"/>
    <x v="744"/>
    <s v="Online"/>
  </r>
  <r>
    <s v="Sports Direct"/>
    <n v="1197831"/>
    <d v="2021-10-20T00:00:00"/>
    <x v="1"/>
    <s v="Texas"/>
    <s v="Dallas"/>
    <s v="Men's Apparel"/>
    <n v="58"/>
    <n v="158"/>
    <x v="532"/>
    <x v="653"/>
    <s v="Online"/>
  </r>
  <r>
    <s v="Foot Locker"/>
    <n v="1185732"/>
    <d v="2021-12-03T00:00:00"/>
    <x v="3"/>
    <s v="Pennsylvania"/>
    <s v="Philadelphia"/>
    <s v="Men's Street Footwear"/>
    <n v="60"/>
    <n v="158"/>
    <x v="943"/>
    <x v="479"/>
    <s v="Online"/>
  </r>
  <r>
    <s v="West Gear"/>
    <n v="1128299"/>
    <d v="2020-01-08T00:00:00"/>
    <x v="4"/>
    <s v="Nevada"/>
    <s v="Las Vegas"/>
    <s v="Men's Street Footwear"/>
    <n v="34"/>
    <n v="158"/>
    <x v="944"/>
    <x v="661"/>
    <s v="Online"/>
  </r>
  <r>
    <s v="Kohl's"/>
    <n v="1189833"/>
    <d v="2021-01-03T00:00:00"/>
    <x v="2"/>
    <s v="Montana"/>
    <s v="Billings"/>
    <s v="Men's Street Footwear"/>
    <n v="34"/>
    <n v="158"/>
    <x v="944"/>
    <x v="505"/>
    <s v="Online"/>
  </r>
  <r>
    <s v="Sports Direct"/>
    <n v="1197831"/>
    <d v="2021-09-25T00:00:00"/>
    <x v="1"/>
    <s v="Alabama"/>
    <s v="Birmingham"/>
    <s v="Men's Athletic Footwear"/>
    <n v="29"/>
    <n v="158"/>
    <x v="828"/>
    <x v="366"/>
    <s v="Online"/>
  </r>
  <r>
    <s v="Amazon"/>
    <n v="1185732"/>
    <d v="2021-11-11T00:00:00"/>
    <x v="3"/>
    <s v="Maine"/>
    <s v="Portland"/>
    <s v="Men's Street Footwear"/>
    <n v="54"/>
    <n v="158"/>
    <x v="592"/>
    <x v="60"/>
    <s v="Online"/>
  </r>
  <r>
    <s v="Foot Locker"/>
    <n v="1128299"/>
    <d v="2021-05-11T00:00:00"/>
    <x v="4"/>
    <s v="Hawaii"/>
    <s v="Honolulu"/>
    <s v="Men's Street Footwear"/>
    <n v="51"/>
    <n v="158"/>
    <x v="719"/>
    <x v="380"/>
    <s v="Online"/>
  </r>
  <r>
    <s v="Walmart"/>
    <n v="1128299"/>
    <d v="2021-11-10T00:00:00"/>
    <x v="4"/>
    <s v="Hawaii"/>
    <s v="Honolulu"/>
    <s v="Men's Street Footwear"/>
    <n v="51"/>
    <n v="158"/>
    <x v="719"/>
    <x v="380"/>
    <s v="Online"/>
  </r>
  <r>
    <s v="Sports Direct"/>
    <n v="1185732"/>
    <d v="2021-06-17T00:00:00"/>
    <x v="2"/>
    <s v="Michigan"/>
    <s v="Detroit"/>
    <s v="Women's Athletic Footwear"/>
    <n v="43"/>
    <n v="158"/>
    <x v="708"/>
    <x v="483"/>
    <s v="Online"/>
  </r>
  <r>
    <s v="Sports Direct"/>
    <n v="1185732"/>
    <d v="2021-07-15T00:00:00"/>
    <x v="2"/>
    <s v="Michigan"/>
    <s v="Detroit"/>
    <s v="Women's Athletic Footwear"/>
    <n v="47"/>
    <n v="158"/>
    <x v="465"/>
    <x v="699"/>
    <s v="Online"/>
  </r>
  <r>
    <s v="West Gear"/>
    <n v="1128299"/>
    <d v="2021-05-25T00:00:00"/>
    <x v="4"/>
    <s v="Oregon"/>
    <s v="Portland"/>
    <s v="Women's Apparel"/>
    <n v="54"/>
    <n v="158"/>
    <x v="592"/>
    <x v="282"/>
    <s v="Online"/>
  </r>
  <r>
    <s v="West Gear"/>
    <n v="1128299"/>
    <d v="2021-06-24T00:00:00"/>
    <x v="4"/>
    <s v="Oregon"/>
    <s v="Portland"/>
    <s v="Women's Athletic Footwear"/>
    <n v="74"/>
    <n v="158"/>
    <x v="945"/>
    <x v="185"/>
    <s v="Online"/>
  </r>
  <r>
    <s v="Sports Direct"/>
    <n v="1185732"/>
    <d v="2021-03-02T00:00:00"/>
    <x v="0"/>
    <s v="North Carolina"/>
    <s v="Charlotte"/>
    <s v="Men's Apparel"/>
    <n v="37"/>
    <n v="158"/>
    <x v="695"/>
    <x v="487"/>
    <s v="Online"/>
  </r>
  <r>
    <s v="Amazon"/>
    <n v="1185732"/>
    <d v="2021-02-11T00:00:00"/>
    <x v="0"/>
    <s v="North Carolina"/>
    <s v="Charlotte"/>
    <s v="Women's Street Footwear"/>
    <n v="23"/>
    <n v="158"/>
    <x v="907"/>
    <x v="752"/>
    <s v="Online"/>
  </r>
  <r>
    <s v="Amazon"/>
    <n v="1185732"/>
    <d v="2021-08-10T00:00:00"/>
    <x v="2"/>
    <s v="Ohio"/>
    <s v="Columbus"/>
    <s v="Women's Athletic Footwear"/>
    <n v="41"/>
    <n v="158"/>
    <x v="764"/>
    <x v="438"/>
    <s v="Online"/>
  </r>
  <r>
    <s v="Foot Locker"/>
    <n v="1185732"/>
    <d v="2021-12-21T00:00:00"/>
    <x v="0"/>
    <s v="Kentucky"/>
    <s v="Louisville"/>
    <s v="Men's Street Footwear"/>
    <n v="59"/>
    <n v="158"/>
    <x v="946"/>
    <x v="91"/>
    <s v="Online"/>
  </r>
  <r>
    <s v="Foot Locker"/>
    <n v="1185732"/>
    <d v="2021-01-20T00:00:00"/>
    <x v="0"/>
    <s v="Kentucky"/>
    <s v="Louisville"/>
    <s v="Women's Street Footwear"/>
    <n v="18"/>
    <n v="158"/>
    <x v="947"/>
    <x v="347"/>
    <s v="Online"/>
  </r>
  <r>
    <s v="Foot Locker"/>
    <n v="1185732"/>
    <d v="2021-01-20T00:00:00"/>
    <x v="0"/>
    <s v="Kentucky"/>
    <s v="Louisville"/>
    <s v="Women's Apparel"/>
    <n v="29"/>
    <n v="158"/>
    <x v="828"/>
    <x v="287"/>
    <s v="Online"/>
  </r>
  <r>
    <s v="Sports Direct"/>
    <n v="1185732"/>
    <d v="2021-11-17T00:00:00"/>
    <x v="1"/>
    <s v="Mississippi"/>
    <s v="Jackson"/>
    <s v="Women's Apparel"/>
    <n v="68"/>
    <n v="158"/>
    <x v="777"/>
    <x v="712"/>
    <s v="Online"/>
  </r>
  <r>
    <s v="Foot Locker"/>
    <n v="1185732"/>
    <d v="2021-02-12T00:00:00"/>
    <x v="2"/>
    <s v="Kansas"/>
    <s v="Wichita"/>
    <s v="Men's Street Footwear"/>
    <n v="37"/>
    <n v="158"/>
    <x v="695"/>
    <x v="213"/>
    <s v="Online"/>
  </r>
  <r>
    <s v="West Gear"/>
    <n v="1185732"/>
    <d v="2021-08-03T00:00:00"/>
    <x v="2"/>
    <s v="Wisconsin"/>
    <s v="Milwaukee"/>
    <s v="Men's Street Footwear"/>
    <n v="46"/>
    <n v="158"/>
    <x v="843"/>
    <x v="121"/>
    <s v="Online"/>
  </r>
  <r>
    <s v="Foot Locker"/>
    <n v="1185732"/>
    <d v="2021-03-13T00:00:00"/>
    <x v="3"/>
    <s v="Delaware"/>
    <s v="Wilmington"/>
    <s v="Men's Street Footwear"/>
    <n v="36"/>
    <n v="158"/>
    <x v="948"/>
    <x v="629"/>
    <s v="Online"/>
  </r>
  <r>
    <s v="West Gear"/>
    <n v="1128299"/>
    <d v="2020-12-29T00:00:00"/>
    <x v="4"/>
    <s v="California"/>
    <s v="San Francisco"/>
    <s v="Men's Apparel"/>
    <n v="47"/>
    <n v="158"/>
    <x v="465"/>
    <x v="218"/>
    <s v="Outlet"/>
  </r>
  <r>
    <s v="Sports Direct"/>
    <n v="1197831"/>
    <d v="2021-09-25T00:00:00"/>
    <x v="1"/>
    <s v="Texas"/>
    <s v="Dallas"/>
    <s v="Women's Athletic Footwear"/>
    <n v="38"/>
    <n v="158"/>
    <x v="949"/>
    <x v="436"/>
    <s v="Outlet"/>
  </r>
  <r>
    <s v="Sports Direct"/>
    <n v="1197831"/>
    <d v="2021-09-26T00:00:00"/>
    <x v="1"/>
    <s v="Texas"/>
    <s v="Dallas"/>
    <s v="Men's Apparel"/>
    <n v="43"/>
    <n v="158"/>
    <x v="708"/>
    <x v="157"/>
    <s v="Outlet"/>
  </r>
  <r>
    <s v="West Gear"/>
    <n v="1128299"/>
    <d v="2020-01-02T00:00:00"/>
    <x v="3"/>
    <s v="Pennsylvania"/>
    <s v="Philadelphia"/>
    <s v="Men's Street Footwear"/>
    <n v="27"/>
    <n v="158"/>
    <x v="942"/>
    <x v="706"/>
    <s v="Outlet"/>
  </r>
  <r>
    <s v="West Gear"/>
    <n v="1185732"/>
    <d v="2021-08-11T00:00:00"/>
    <x v="4"/>
    <s v="Utah"/>
    <s v="Salt Lake City"/>
    <s v="Women's Street Footwear"/>
    <n v="23"/>
    <n v="158"/>
    <x v="907"/>
    <x v="695"/>
    <s v="Outlet"/>
  </r>
  <r>
    <s v="West Gear"/>
    <n v="1185732"/>
    <d v="2021-09-12T00:00:00"/>
    <x v="4"/>
    <s v="Utah"/>
    <s v="Salt Lake City"/>
    <s v="Men's Athletic Footwear"/>
    <n v="19"/>
    <n v="158"/>
    <x v="440"/>
    <x v="714"/>
    <s v="Outlet"/>
  </r>
  <r>
    <s v="West Gear"/>
    <n v="1185732"/>
    <d v="2021-11-11T00:00:00"/>
    <x v="4"/>
    <s v="Utah"/>
    <s v="Salt Lake City"/>
    <s v="Women's Apparel"/>
    <n v="35"/>
    <n v="158"/>
    <x v="950"/>
    <x v="609"/>
    <s v="Outlet"/>
  </r>
  <r>
    <s v="West Gear"/>
    <n v="1128299"/>
    <d v="2021-09-25T00:00:00"/>
    <x v="4"/>
    <s v="Oregon"/>
    <s v="Portland"/>
    <s v="Men's Athletic Footwear"/>
    <n v="43"/>
    <n v="158"/>
    <x v="708"/>
    <x v="529"/>
    <s v="Outlet"/>
  </r>
  <r>
    <s v="West Gear"/>
    <n v="1128299"/>
    <d v="2021-11-17T00:00:00"/>
    <x v="1"/>
    <s v="Louisiana"/>
    <s v="New Orleans"/>
    <s v="Women's Street Footwear"/>
    <n v="30"/>
    <n v="158"/>
    <x v="951"/>
    <x v="285"/>
    <s v="Outlet"/>
  </r>
  <r>
    <s v="West Gear"/>
    <n v="1197831"/>
    <d v="2021-06-04T00:00:00"/>
    <x v="4"/>
    <s v="Idaho"/>
    <s v="Boise"/>
    <s v="Men's Apparel"/>
    <n v="43"/>
    <n v="158"/>
    <x v="708"/>
    <x v="618"/>
    <s v="Outlet"/>
  </r>
  <r>
    <s v="West Gear"/>
    <n v="1197831"/>
    <d v="2021-07-06T00:00:00"/>
    <x v="4"/>
    <s v="Idaho"/>
    <s v="Boise"/>
    <s v="Women's Athletic Footwear"/>
    <n v="38"/>
    <n v="158"/>
    <x v="949"/>
    <x v="507"/>
    <s v="Outlet"/>
  </r>
  <r>
    <s v="Sports Direct"/>
    <n v="1197831"/>
    <d v="2021-11-05T00:00:00"/>
    <x v="4"/>
    <s v="Idaho"/>
    <s v="Boise"/>
    <s v="Women's Athletic Footwear"/>
    <n v="43"/>
    <n v="158"/>
    <x v="708"/>
    <x v="610"/>
    <s v="Outlet"/>
  </r>
  <r>
    <s v="Foot Locker"/>
    <n v="1128299"/>
    <d v="2021-06-23T00:00:00"/>
    <x v="4"/>
    <s v="Arizona"/>
    <s v="Phoenix"/>
    <s v="Women's Apparel"/>
    <n v="46"/>
    <n v="158"/>
    <x v="843"/>
    <x v="504"/>
    <s v="Outlet"/>
  </r>
  <r>
    <s v="Sports Direct"/>
    <n v="1128299"/>
    <d v="2021-06-13T00:00:00"/>
    <x v="0"/>
    <s v="Georgia"/>
    <s v="Atlanta"/>
    <s v="Women's Street Footwear"/>
    <n v="39"/>
    <n v="158"/>
    <x v="458"/>
    <x v="614"/>
    <s v="Outlet"/>
  </r>
  <r>
    <s v="Walmart"/>
    <n v="1185732"/>
    <d v="2021-08-17T00:00:00"/>
    <x v="1"/>
    <s v="Mississippi"/>
    <s v="Jackson"/>
    <s v="Men's Apparel"/>
    <n v="35"/>
    <n v="158"/>
    <x v="950"/>
    <x v="753"/>
    <s v="Outlet"/>
  </r>
  <r>
    <s v="Walmart"/>
    <n v="1185732"/>
    <d v="2021-09-16T00:00:00"/>
    <x v="1"/>
    <s v="Mississippi"/>
    <s v="Jackson"/>
    <s v="Men's Athletic Footwear"/>
    <n v="33"/>
    <n v="158"/>
    <x v="329"/>
    <x v="710"/>
    <s v="Outlet"/>
  </r>
  <r>
    <s v="Sports Direct"/>
    <n v="1185732"/>
    <d v="2021-12-16T00:00:00"/>
    <x v="1"/>
    <s v="Mississippi"/>
    <s v="Jackson"/>
    <s v="Women's Street Footwear"/>
    <n v="43"/>
    <n v="158"/>
    <x v="708"/>
    <x v="505"/>
    <s v="Outlet"/>
  </r>
  <r>
    <s v="Sports Direct"/>
    <n v="1197831"/>
    <d v="2021-01-23T00:00:00"/>
    <x v="1"/>
    <s v="Mississippi"/>
    <s v="Jackson"/>
    <s v="Women's Apparel"/>
    <n v="18"/>
    <n v="158"/>
    <x v="947"/>
    <x v="754"/>
    <s v="Outlet"/>
  </r>
  <r>
    <s v="Amazon"/>
    <n v="1185732"/>
    <d v="2021-06-12T00:00:00"/>
    <x v="3"/>
    <s v="Vermont"/>
    <s v="Burlington"/>
    <s v="Women's Apparel"/>
    <n v="49"/>
    <n v="158"/>
    <x v="512"/>
    <x v="95"/>
    <s v="Outlet"/>
  </r>
  <r>
    <s v="Sports Direct"/>
    <n v="1197831"/>
    <d v="2021-05-12T00:00:00"/>
    <x v="1"/>
    <s v="Tennessee"/>
    <s v="Knoxville"/>
    <s v="Women's Athletic Footwear"/>
    <n v="38"/>
    <n v="157"/>
    <x v="797"/>
    <x v="435"/>
    <s v="Outlet"/>
  </r>
  <r>
    <s v="Sports Direct"/>
    <n v="1128299"/>
    <d v="2021-12-23T00:00:00"/>
    <x v="0"/>
    <s v="Virginia"/>
    <s v="Richmond"/>
    <s v="Men's Apparel"/>
    <n v="59"/>
    <n v="157"/>
    <x v="714"/>
    <x v="620"/>
    <s v="Outlet"/>
  </r>
  <r>
    <s v="West Gear"/>
    <n v="1185732"/>
    <d v="2021-07-10T00:00:00"/>
    <x v="4"/>
    <s v="Utah"/>
    <s v="Salt Lake City"/>
    <s v="Women's Street Footwear"/>
    <n v="19"/>
    <n v="157"/>
    <x v="952"/>
    <x v="755"/>
    <s v="Outlet"/>
  </r>
  <r>
    <s v="West Gear"/>
    <n v="1128299"/>
    <d v="2021-12-23T00:00:00"/>
    <x v="4"/>
    <s v="Oregon"/>
    <s v="Portland"/>
    <s v="Men's Apparel"/>
    <n v="54"/>
    <n v="157"/>
    <x v="81"/>
    <x v="153"/>
    <s v="Outlet"/>
  </r>
  <r>
    <s v="Foot Locker"/>
    <n v="1128299"/>
    <d v="2021-07-22T00:00:00"/>
    <x v="4"/>
    <s v="Arizona"/>
    <s v="Phoenix"/>
    <s v="Women's Street Footwear"/>
    <n v="39"/>
    <n v="157"/>
    <x v="94"/>
    <x v="665"/>
    <s v="Outlet"/>
  </r>
  <r>
    <s v="Kohl's"/>
    <n v="1128299"/>
    <d v="2021-01-26T00:00:00"/>
    <x v="4"/>
    <s v="Arizona"/>
    <s v="Phoenix"/>
    <s v="Women's Street Footwear"/>
    <n v="32"/>
    <n v="157"/>
    <x v="851"/>
    <x v="453"/>
    <s v="Outlet"/>
  </r>
  <r>
    <s v="Kohl's"/>
    <n v="1128299"/>
    <d v="2021-09-27T00:00:00"/>
    <x v="4"/>
    <s v="New Mexico"/>
    <s v="Albuquerque"/>
    <s v="Women's Apparel"/>
    <n v="48"/>
    <n v="157"/>
    <x v="773"/>
    <x v="565"/>
    <s v="Outlet"/>
  </r>
  <r>
    <s v="Sports Direct"/>
    <n v="1128299"/>
    <d v="2021-07-12T00:00:00"/>
    <x v="0"/>
    <s v="Georgia"/>
    <s v="Atlanta"/>
    <s v="Women's Apparel"/>
    <n v="51"/>
    <n v="157"/>
    <x v="790"/>
    <x v="753"/>
    <s v="Outlet"/>
  </r>
  <r>
    <s v="Sports Direct"/>
    <n v="1128299"/>
    <d v="2021-11-13T00:00:00"/>
    <x v="0"/>
    <s v="Georgia"/>
    <s v="Atlanta"/>
    <s v="Women's Apparel"/>
    <n v="46"/>
    <n v="157"/>
    <x v="418"/>
    <x v="306"/>
    <s v="Outlet"/>
  </r>
  <r>
    <s v="Foot Locker"/>
    <n v="1185732"/>
    <d v="2021-06-18T00:00:00"/>
    <x v="1"/>
    <s v="Mississippi"/>
    <s v="Jackson"/>
    <s v="Women's Street Footwear"/>
    <n v="33"/>
    <n v="157"/>
    <x v="544"/>
    <x v="536"/>
    <s v="Outlet"/>
  </r>
  <r>
    <s v="Sports Direct"/>
    <n v="1185732"/>
    <d v="2021-12-16T00:00:00"/>
    <x v="1"/>
    <s v="Mississippi"/>
    <s v="Jackson"/>
    <s v="Men's Apparel"/>
    <n v="54"/>
    <n v="157"/>
    <x v="81"/>
    <x v="630"/>
    <s v="Outlet"/>
  </r>
  <r>
    <s v="Amazon"/>
    <n v="1185732"/>
    <d v="2021-10-12T00:00:00"/>
    <x v="3"/>
    <s v="Vermont"/>
    <s v="Burlington"/>
    <s v="Men's Street Footwear"/>
    <n v="44"/>
    <n v="157"/>
    <x v="540"/>
    <x v="222"/>
    <s v="Outlet"/>
  </r>
  <r>
    <s v="Kohl's"/>
    <n v="1189833"/>
    <d v="2021-04-08T00:00:00"/>
    <x v="4"/>
    <s v="California"/>
    <s v="Los Angeles"/>
    <s v="Men's Athletic Footwear"/>
    <n v="49"/>
    <n v="156"/>
    <x v="682"/>
    <x v="534"/>
    <s v="Online"/>
  </r>
  <r>
    <s v="Kohl's"/>
    <n v="1189833"/>
    <d v="2021-05-29T00:00:00"/>
    <x v="4"/>
    <s v="California"/>
    <s v="Los Angeles"/>
    <s v="Men's Apparel"/>
    <n v="55"/>
    <n v="156"/>
    <x v="421"/>
    <x v="608"/>
    <s v="Online"/>
  </r>
  <r>
    <s v="Sports Direct"/>
    <n v="1197831"/>
    <d v="2021-09-03T00:00:00"/>
    <x v="1"/>
    <s v="Texas"/>
    <s v="Dallas"/>
    <s v="Women's Apparel"/>
    <n v="29"/>
    <n v="156"/>
    <x v="553"/>
    <x v="333"/>
    <s v="Online"/>
  </r>
  <r>
    <s v="Sports Direct"/>
    <n v="1197831"/>
    <d v="2021-10-04T00:00:00"/>
    <x v="1"/>
    <s v="Texas"/>
    <s v="Dallas"/>
    <s v="Men's Street Footwear"/>
    <n v="39"/>
    <n v="156"/>
    <x v="722"/>
    <x v="609"/>
    <s v="Online"/>
  </r>
  <r>
    <s v="West Gear"/>
    <n v="1128299"/>
    <d v="2020-07-13T00:00:00"/>
    <x v="4"/>
    <s v="Washington"/>
    <s v="Seattle"/>
    <s v="Men's Street Footwear"/>
    <n v="64"/>
    <n v="156"/>
    <x v="68"/>
    <x v="353"/>
    <s v="Online"/>
  </r>
  <r>
    <s v="Kohl's"/>
    <n v="1189833"/>
    <d v="2021-02-03T00:00:00"/>
    <x v="2"/>
    <s v="Montana"/>
    <s v="Billings"/>
    <s v="Men's Athletic Footwear"/>
    <n v="41"/>
    <n v="156"/>
    <x v="705"/>
    <x v="534"/>
    <s v="Online"/>
  </r>
  <r>
    <s v="Kohl's"/>
    <n v="1189833"/>
    <d v="2021-02-15T00:00:00"/>
    <x v="2"/>
    <s v="Montana"/>
    <s v="Billings"/>
    <s v="Men's Athletic Footwear"/>
    <n v="48"/>
    <n v="156"/>
    <x v="953"/>
    <x v="212"/>
    <s v="Online"/>
  </r>
  <r>
    <s v="Sports Direct"/>
    <n v="1197831"/>
    <d v="2021-08-07T00:00:00"/>
    <x v="1"/>
    <s v="Alabama"/>
    <s v="Birmingham"/>
    <s v="Men's Street Footwear"/>
    <n v="24"/>
    <n v="156"/>
    <x v="869"/>
    <x v="247"/>
    <s v="Online"/>
  </r>
  <r>
    <s v="Foot Locker"/>
    <n v="1128299"/>
    <d v="2021-06-10T00:00:00"/>
    <x v="4"/>
    <s v="Hawaii"/>
    <s v="Honolulu"/>
    <s v="Men's Athletic Footwear"/>
    <n v="72"/>
    <n v="156"/>
    <x v="954"/>
    <x v="95"/>
    <s v="Online"/>
  </r>
  <r>
    <s v="West Gear"/>
    <n v="1128299"/>
    <d v="2021-12-16T00:00:00"/>
    <x v="0"/>
    <s v="Florida"/>
    <s v="Orlando"/>
    <s v="Women's Apparel"/>
    <n v="87"/>
    <n v="156"/>
    <x v="443"/>
    <x v="756"/>
    <s v="Online"/>
  </r>
  <r>
    <s v="West Gear"/>
    <n v="1185732"/>
    <d v="2021-04-09T00:00:00"/>
    <x v="3"/>
    <s v="New York"/>
    <s v="Albany"/>
    <s v="Women's Apparel"/>
    <n v="41"/>
    <n v="156"/>
    <x v="705"/>
    <x v="218"/>
    <s v="Online"/>
  </r>
  <r>
    <s v="West Gear"/>
    <n v="1185732"/>
    <d v="2021-09-08T00:00:00"/>
    <x v="3"/>
    <s v="New York"/>
    <s v="Albany"/>
    <s v="Women's Apparel"/>
    <n v="59"/>
    <n v="156"/>
    <x v="387"/>
    <x v="270"/>
    <s v="Online"/>
  </r>
  <r>
    <s v="West Gear"/>
    <n v="1185732"/>
    <d v="2021-10-10T00:00:00"/>
    <x v="3"/>
    <s v="New York"/>
    <s v="Albany"/>
    <s v="Men's Athletic Footwear"/>
    <n v="46"/>
    <n v="156"/>
    <x v="706"/>
    <x v="438"/>
    <s v="Online"/>
  </r>
  <r>
    <s v="West Gear"/>
    <n v="1185732"/>
    <d v="2021-10-10T00:00:00"/>
    <x v="3"/>
    <s v="New York"/>
    <s v="Albany"/>
    <s v="Women's Apparel"/>
    <n v="64"/>
    <n v="156"/>
    <x v="68"/>
    <x v="384"/>
    <s v="Online"/>
  </r>
  <r>
    <s v="Kohl's"/>
    <n v="1185732"/>
    <d v="2021-01-14T00:00:00"/>
    <x v="3"/>
    <s v="New York"/>
    <s v="Albany"/>
    <s v="Men's Athletic Footwear"/>
    <n v="39"/>
    <n v="156"/>
    <x v="722"/>
    <x v="426"/>
    <s v="Online"/>
  </r>
  <r>
    <s v="Kohl's"/>
    <n v="1185732"/>
    <d v="2021-01-14T00:00:00"/>
    <x v="3"/>
    <s v="New York"/>
    <s v="Albany"/>
    <s v="Women's Apparel"/>
    <n v="38"/>
    <n v="156"/>
    <x v="460"/>
    <x v="664"/>
    <s v="Online"/>
  </r>
  <r>
    <s v="Kohl's"/>
    <n v="1185732"/>
    <d v="2021-05-10T00:00:00"/>
    <x v="4"/>
    <s v="Wyoming"/>
    <s v="Cheyenne"/>
    <s v="Women's Apparel"/>
    <n v="52"/>
    <n v="156"/>
    <x v="596"/>
    <x v="436"/>
    <s v="Online"/>
  </r>
  <r>
    <s v="Foot Locker"/>
    <n v="1185732"/>
    <d v="2021-01-18T00:00:00"/>
    <x v="2"/>
    <s v="Michigan"/>
    <s v="Detroit"/>
    <s v="Men's Street Footwear"/>
    <n v="27"/>
    <n v="156"/>
    <x v="955"/>
    <x v="233"/>
    <s v="Online"/>
  </r>
  <r>
    <s v="West Gear"/>
    <n v="1128299"/>
    <d v="2021-07-23T00:00:00"/>
    <x v="4"/>
    <s v="Oregon"/>
    <s v="Portland"/>
    <s v="Men's Apparel"/>
    <n v="84"/>
    <n v="156"/>
    <x v="956"/>
    <x v="712"/>
    <s v="Online"/>
  </r>
  <r>
    <s v="Foot Locker"/>
    <n v="1128299"/>
    <d v="2021-12-16T00:00:00"/>
    <x v="1"/>
    <s v="Louisiana"/>
    <s v="New Orleans"/>
    <s v="Women's Athletic Footwear"/>
    <n v="72"/>
    <n v="156"/>
    <x v="954"/>
    <x v="555"/>
    <s v="Online"/>
  </r>
  <r>
    <s v="Foot Locker"/>
    <n v="1197831"/>
    <d v="2021-03-06T00:00:00"/>
    <x v="4"/>
    <s v="Idaho"/>
    <s v="Boise"/>
    <s v="Men's Street Footwear"/>
    <n v="28"/>
    <n v="156"/>
    <x v="449"/>
    <x v="180"/>
    <s v="Online"/>
  </r>
  <r>
    <s v="Foot Locker"/>
    <n v="1128299"/>
    <d v="2021-06-23T00:00:00"/>
    <x v="4"/>
    <s v="Arizona"/>
    <s v="Phoenix"/>
    <s v="Men's Street Footwear"/>
    <n v="48"/>
    <n v="156"/>
    <x v="953"/>
    <x v="667"/>
    <s v="Online"/>
  </r>
  <r>
    <s v="Kohl's"/>
    <n v="1128299"/>
    <d v="2021-09-27T00:00:00"/>
    <x v="4"/>
    <s v="New Mexico"/>
    <s v="Albuquerque"/>
    <s v="Men's Athletic Footwear"/>
    <n v="51"/>
    <n v="156"/>
    <x v="511"/>
    <x v="109"/>
    <s v="Online"/>
  </r>
  <r>
    <s v="Sports Direct"/>
    <n v="1128299"/>
    <d v="2021-09-14T00:00:00"/>
    <x v="0"/>
    <s v="Georgia"/>
    <s v="Atlanta"/>
    <s v="Men's Athletic Footwear"/>
    <n v="47"/>
    <n v="156"/>
    <x v="748"/>
    <x v="80"/>
    <s v="Online"/>
  </r>
  <r>
    <s v="Sports Direct"/>
    <n v="1185732"/>
    <d v="2021-01-06T00:00:00"/>
    <x v="0"/>
    <s v="South Carolina"/>
    <s v="Charleston"/>
    <s v="Men's Apparel"/>
    <n v="42"/>
    <n v="156"/>
    <x v="957"/>
    <x v="723"/>
    <s v="Online"/>
  </r>
  <r>
    <s v="Sports Direct"/>
    <n v="1185732"/>
    <d v="2021-09-02T00:00:00"/>
    <x v="0"/>
    <s v="North Carolina"/>
    <s v="Charlotte"/>
    <s v="Men's Apparel"/>
    <n v="38"/>
    <n v="156"/>
    <x v="460"/>
    <x v="456"/>
    <s v="Online"/>
  </r>
  <r>
    <s v="West Gear"/>
    <n v="1185732"/>
    <d v="2021-12-09T00:00:00"/>
    <x v="2"/>
    <s v="Ohio"/>
    <s v="Columbus"/>
    <s v="Women's Apparel"/>
    <n v="74"/>
    <n v="156"/>
    <x v="958"/>
    <x v="757"/>
    <s v="Online"/>
  </r>
  <r>
    <s v="Amazon"/>
    <n v="1185732"/>
    <d v="2021-03-21T00:00:00"/>
    <x v="0"/>
    <s v="Kentucky"/>
    <s v="Louisville"/>
    <s v="Men's Street Footwear"/>
    <n v="41"/>
    <n v="156"/>
    <x v="705"/>
    <x v="483"/>
    <s v="Online"/>
  </r>
  <r>
    <s v="Amazon"/>
    <n v="1185732"/>
    <d v="2021-05-23T00:00:00"/>
    <x v="0"/>
    <s v="Kentucky"/>
    <s v="Louisville"/>
    <s v="Men's Street Footwear"/>
    <n v="49"/>
    <n v="156"/>
    <x v="682"/>
    <x v="726"/>
    <s v="Online"/>
  </r>
  <r>
    <s v="Walmart"/>
    <n v="1185732"/>
    <d v="2021-07-16T00:00:00"/>
    <x v="1"/>
    <s v="Mississippi"/>
    <s v="Jackson"/>
    <s v="Men's Athletic Footwear"/>
    <n v="53"/>
    <n v="156"/>
    <x v="751"/>
    <x v="284"/>
    <s v="Online"/>
  </r>
  <r>
    <s v="West Gear"/>
    <n v="1197831"/>
    <d v="2021-06-21T00:00:00"/>
    <x v="1"/>
    <s v="Oklahoma"/>
    <s v="Oklahoma City"/>
    <s v="Men's Street Footwear"/>
    <n v="38"/>
    <n v="156"/>
    <x v="460"/>
    <x v="307"/>
    <s v="Online"/>
  </r>
  <r>
    <s v="Kohl's"/>
    <n v="1185732"/>
    <d v="2021-06-08T00:00:00"/>
    <x v="3"/>
    <s v="New Jersey"/>
    <s v="Newark"/>
    <s v="Men's Street Footwear"/>
    <n v="45"/>
    <n v="156"/>
    <x v="212"/>
    <x v="491"/>
    <s v="Online"/>
  </r>
  <r>
    <s v="Foot Locker"/>
    <n v="1185732"/>
    <d v="2021-11-03T00:00:00"/>
    <x v="3"/>
    <s v="Pennsylvania"/>
    <s v="Philadelphia"/>
    <s v="Men's Street Footwear"/>
    <n v="39"/>
    <n v="156"/>
    <x v="722"/>
    <x v="610"/>
    <s v="Outlet"/>
  </r>
  <r>
    <s v="Foot Locker"/>
    <n v="1185732"/>
    <d v="2021-03-06T00:00:00"/>
    <x v="3"/>
    <s v="Rhode Island"/>
    <s v="Providence"/>
    <s v="Men's Street Footwear"/>
    <n v="26"/>
    <n v="156"/>
    <x v="873"/>
    <x v="570"/>
    <s v="Outlet"/>
  </r>
  <r>
    <s v="West Gear"/>
    <n v="1128299"/>
    <d v="2021-01-10T00:00:00"/>
    <x v="4"/>
    <s v="California"/>
    <s v="San Francisco"/>
    <s v="Men's Apparel"/>
    <n v="62"/>
    <n v="155"/>
    <x v="959"/>
    <x v="402"/>
    <s v="Online"/>
  </r>
  <r>
    <s v="West Gear"/>
    <n v="1128299"/>
    <d v="2020-03-03T00:00:00"/>
    <x v="4"/>
    <s v="Nevada"/>
    <s v="Las Vegas"/>
    <s v="Men's Street Footwear"/>
    <n v="57"/>
    <n v="155"/>
    <x v="372"/>
    <x v="668"/>
    <s v="Online"/>
  </r>
  <r>
    <s v="West Gear"/>
    <n v="1128299"/>
    <d v="2020-07-06T00:00:00"/>
    <x v="4"/>
    <s v="Washington"/>
    <s v="Seattle"/>
    <s v="Women's Apparel"/>
    <n v="95"/>
    <n v="155"/>
    <x v="960"/>
    <x v="407"/>
    <s v="Online"/>
  </r>
  <r>
    <s v="West Gear"/>
    <n v="1128299"/>
    <d v="2020-07-10T00:00:00"/>
    <x v="4"/>
    <s v="Washington"/>
    <s v="Seattle"/>
    <s v="Women's Athletic Footwear"/>
    <n v="74"/>
    <n v="155"/>
    <x v="747"/>
    <x v="161"/>
    <s v="Online"/>
  </r>
  <r>
    <s v="West Gear"/>
    <n v="1128299"/>
    <d v="2020-07-11T00:00:00"/>
    <x v="4"/>
    <s v="Washington"/>
    <s v="Seattle"/>
    <s v="Men's Apparel"/>
    <n v="71"/>
    <n v="155"/>
    <x v="267"/>
    <x v="135"/>
    <s v="Online"/>
  </r>
  <r>
    <s v="Walmart"/>
    <n v="1128299"/>
    <d v="2021-05-18T00:00:00"/>
    <x v="0"/>
    <s v="Florida"/>
    <s v="Orlando"/>
    <s v="Men's Street Footwear"/>
    <n v="58"/>
    <n v="155"/>
    <x v="961"/>
    <x v="364"/>
    <s v="Online"/>
  </r>
  <r>
    <s v="Walmart"/>
    <n v="1128299"/>
    <d v="2021-06-17T00:00:00"/>
    <x v="0"/>
    <s v="Florida"/>
    <s v="Orlando"/>
    <s v="Women's Athletic Footwear"/>
    <n v="77"/>
    <n v="155"/>
    <x v="296"/>
    <x v="475"/>
    <s v="Online"/>
  </r>
  <r>
    <s v="Kohl's"/>
    <n v="1185732"/>
    <d v="2021-12-08T00:00:00"/>
    <x v="3"/>
    <s v="New York"/>
    <s v="Albany"/>
    <s v="Women's Athletic Footwear"/>
    <n v="54"/>
    <n v="155"/>
    <x v="775"/>
    <x v="160"/>
    <s v="Online"/>
  </r>
  <r>
    <s v="Kohl's"/>
    <n v="1185732"/>
    <d v="2021-12-08T00:00:00"/>
    <x v="3"/>
    <s v="New York"/>
    <s v="Albany"/>
    <s v="Men's Apparel"/>
    <n v="60"/>
    <n v="155"/>
    <x v="962"/>
    <x v="208"/>
    <s v="Online"/>
  </r>
  <r>
    <s v="Foot Locker"/>
    <n v="1128299"/>
    <d v="2021-11-24T00:00:00"/>
    <x v="0"/>
    <s v="Virginia"/>
    <s v="Richmond"/>
    <s v="Men's Street Footwear"/>
    <n v="42"/>
    <n v="155"/>
    <x v="581"/>
    <x v="505"/>
    <s v="Online"/>
  </r>
  <r>
    <s v="West Gear"/>
    <n v="1128299"/>
    <d v="2021-10-17T00:00:00"/>
    <x v="1"/>
    <s v="Louisiana"/>
    <s v="New Orleans"/>
    <s v="Men's Athletic Footwear"/>
    <n v="45"/>
    <n v="155"/>
    <x v="480"/>
    <x v="282"/>
    <s v="Online"/>
  </r>
  <r>
    <s v="Sports Direct"/>
    <n v="1185732"/>
    <d v="2021-04-03T00:00:00"/>
    <x v="0"/>
    <s v="North Carolina"/>
    <s v="Charlotte"/>
    <s v="Men's Athletic Footwear"/>
    <n v="28"/>
    <n v="155"/>
    <x v="801"/>
    <x v="381"/>
    <s v="Online"/>
  </r>
  <r>
    <s v="Sports Direct"/>
    <n v="1185732"/>
    <d v="2021-12-16T00:00:00"/>
    <x v="1"/>
    <s v="Mississippi"/>
    <s v="Jackson"/>
    <s v="Men's Athletic Footwear"/>
    <n v="58"/>
    <n v="155"/>
    <x v="961"/>
    <x v="164"/>
    <s v="Online"/>
  </r>
  <r>
    <s v="West Gear"/>
    <n v="1185732"/>
    <d v="2021-06-10T00:00:00"/>
    <x v="2"/>
    <s v="Indiana"/>
    <s v="Indianapolis"/>
    <s v="Men's Street Footwear"/>
    <n v="36"/>
    <n v="155"/>
    <x v="880"/>
    <x v="296"/>
    <s v="Online"/>
  </r>
  <r>
    <s v="Sports Direct"/>
    <n v="1185732"/>
    <d v="2021-06-15T00:00:00"/>
    <x v="3"/>
    <s v="Massachusetts"/>
    <s v="Boston"/>
    <s v="Men's Street Footwear"/>
    <n v="51"/>
    <n v="155"/>
    <x v="715"/>
    <x v="492"/>
    <s v="Online"/>
  </r>
  <r>
    <s v="Sports Direct"/>
    <n v="1197831"/>
    <d v="2020-08-04T00:00:00"/>
    <x v="1"/>
    <s v="Texas"/>
    <s v="Houston"/>
    <s v="Men's Apparel"/>
    <n v="35"/>
    <n v="155"/>
    <x v="337"/>
    <x v="596"/>
    <s v="Outlet"/>
  </r>
  <r>
    <s v="Kohl's"/>
    <n v="1189833"/>
    <d v="2021-03-11T00:00:00"/>
    <x v="4"/>
    <s v="California"/>
    <s v="Los Angeles"/>
    <s v="Men's Apparel"/>
    <n v="36"/>
    <n v="155"/>
    <x v="880"/>
    <x v="212"/>
    <s v="Outlet"/>
  </r>
  <r>
    <s v="Sports Direct"/>
    <n v="1197831"/>
    <d v="2021-08-22T00:00:00"/>
    <x v="1"/>
    <s v="Texas"/>
    <s v="Dallas"/>
    <s v="Women's Apparel"/>
    <n v="26"/>
    <n v="155"/>
    <x v="963"/>
    <x v="429"/>
    <s v="Outlet"/>
  </r>
  <r>
    <s v="Sports Direct"/>
    <n v="1197831"/>
    <d v="2021-08-25T00:00:00"/>
    <x v="1"/>
    <s v="Texas"/>
    <s v="Dallas"/>
    <s v="Women's Street Footwear"/>
    <n v="20"/>
    <n v="155"/>
    <x v="964"/>
    <x v="758"/>
    <s v="Outlet"/>
  </r>
  <r>
    <s v="Sports Direct"/>
    <n v="1197831"/>
    <d v="2021-10-10T00:00:00"/>
    <x v="1"/>
    <s v="Alabama"/>
    <s v="Birmingham"/>
    <s v="Men's Apparel"/>
    <n v="40"/>
    <n v="155"/>
    <x v="965"/>
    <x v="406"/>
    <s v="Outlet"/>
  </r>
  <r>
    <s v="Walmart"/>
    <n v="1128299"/>
    <d v="2021-09-18T00:00:00"/>
    <x v="0"/>
    <s v="Florida"/>
    <s v="Orlando"/>
    <s v="Men's Street Footwear"/>
    <n v="44"/>
    <n v="155"/>
    <x v="966"/>
    <x v="543"/>
    <s v="Outlet"/>
  </r>
  <r>
    <s v="West Gear"/>
    <n v="1128299"/>
    <d v="2021-05-25T00:00:00"/>
    <x v="4"/>
    <s v="Oregon"/>
    <s v="Portland"/>
    <s v="Men's Street Footwear"/>
    <n v="39"/>
    <n v="155"/>
    <x v="697"/>
    <x v="698"/>
    <s v="Outlet"/>
  </r>
  <r>
    <s v="West Gear"/>
    <n v="1128299"/>
    <d v="2021-11-17T00:00:00"/>
    <x v="1"/>
    <s v="Louisiana"/>
    <s v="New Orleans"/>
    <s v="Women's Athletic Footwear"/>
    <n v="40"/>
    <n v="155"/>
    <x v="965"/>
    <x v="243"/>
    <s v="Outlet"/>
  </r>
  <r>
    <s v="West Gear"/>
    <n v="1197831"/>
    <d v="2021-05-05T00:00:00"/>
    <x v="4"/>
    <s v="Idaho"/>
    <s v="Boise"/>
    <s v="Women's Athletic Footwear"/>
    <n v="24"/>
    <n v="155"/>
    <x v="967"/>
    <x v="501"/>
    <s v="Outlet"/>
  </r>
  <r>
    <s v="West Gear"/>
    <n v="1197831"/>
    <d v="2021-12-19T00:00:00"/>
    <x v="1"/>
    <s v="Arkansas"/>
    <s v="Little Rock"/>
    <s v="Men's Athletic Footwear"/>
    <n v="46"/>
    <n v="155"/>
    <x v="222"/>
    <x v="243"/>
    <s v="Outlet"/>
  </r>
  <r>
    <s v="Sports Direct"/>
    <n v="1185732"/>
    <d v="2021-04-04T00:00:00"/>
    <x v="3"/>
    <s v="Connecticut"/>
    <s v="Hartford"/>
    <s v="Men's Street Footwear"/>
    <n v="28"/>
    <n v="155"/>
    <x v="801"/>
    <x v="541"/>
    <s v="Outlet"/>
  </r>
  <r>
    <s v="Sports Direct"/>
    <n v="1185732"/>
    <d v="2021-02-15T00:00:00"/>
    <x v="3"/>
    <s v="Rhode Island"/>
    <s v="Providence"/>
    <s v="Men's Street Footwear"/>
    <n v="26"/>
    <n v="155"/>
    <x v="963"/>
    <x v="695"/>
    <s v="Outlet"/>
  </r>
  <r>
    <s v="Sports Direct"/>
    <n v="1185732"/>
    <d v="2021-03-13T00:00:00"/>
    <x v="3"/>
    <s v="Massachusetts"/>
    <s v="Boston"/>
    <s v="Men's Street Footwear"/>
    <n v="28"/>
    <n v="155"/>
    <x v="801"/>
    <x v="751"/>
    <s v="Outlet"/>
  </r>
  <r>
    <s v="Sports Direct"/>
    <n v="1197831"/>
    <d v="2020-07-23T00:00:00"/>
    <x v="1"/>
    <s v="Texas"/>
    <s v="Houston"/>
    <s v="Men's Apparel"/>
    <n v="36"/>
    <n v="154"/>
    <x v="561"/>
    <x v="536"/>
    <s v="Online"/>
  </r>
  <r>
    <s v="West Gear"/>
    <n v="1128299"/>
    <d v="2021-01-04T00:00:00"/>
    <x v="4"/>
    <s v="California"/>
    <s v="San Francisco"/>
    <s v="Men's Apparel"/>
    <n v="60"/>
    <n v="154"/>
    <x v="236"/>
    <x v="327"/>
    <s v="Online"/>
  </r>
  <r>
    <s v="Kohl's"/>
    <n v="1189833"/>
    <d v="2021-03-22T00:00:00"/>
    <x v="4"/>
    <s v="California"/>
    <s v="Los Angeles"/>
    <s v="Women's Athletic Footwear"/>
    <n v="41"/>
    <n v="154"/>
    <x v="968"/>
    <x v="287"/>
    <s v="Online"/>
  </r>
  <r>
    <s v="Kohl's"/>
    <n v="1189833"/>
    <d v="2021-04-16T00:00:00"/>
    <x v="4"/>
    <s v="California"/>
    <s v="Los Angeles"/>
    <s v="Women's Athletic Footwear"/>
    <n v="41"/>
    <n v="154"/>
    <x v="968"/>
    <x v="409"/>
    <s v="Online"/>
  </r>
  <r>
    <s v="Sports Direct"/>
    <n v="1197831"/>
    <d v="2021-09-07T00:00:00"/>
    <x v="1"/>
    <s v="Texas"/>
    <s v="Dallas"/>
    <s v="Women's Athletic Footwear"/>
    <n v="34"/>
    <n v="154"/>
    <x v="459"/>
    <x v="74"/>
    <s v="Online"/>
  </r>
  <r>
    <s v="Foot Locker"/>
    <n v="1128299"/>
    <d v="2021-07-09T00:00:00"/>
    <x v="4"/>
    <s v="Hawaii"/>
    <s v="Honolulu"/>
    <s v="Women's Apparel"/>
    <n v="96"/>
    <n v="154"/>
    <x v="226"/>
    <x v="759"/>
    <s v="Online"/>
  </r>
  <r>
    <s v="West Gear"/>
    <n v="1185732"/>
    <d v="2021-02-10T00:00:00"/>
    <x v="3"/>
    <s v="New York"/>
    <s v="Albany"/>
    <s v="Men's Apparel"/>
    <n v="50"/>
    <n v="154"/>
    <x v="834"/>
    <x v="337"/>
    <s v="Online"/>
  </r>
  <r>
    <s v="West Gear"/>
    <n v="1185732"/>
    <d v="2021-11-09T00:00:00"/>
    <x v="3"/>
    <s v="New York"/>
    <s v="Albany"/>
    <s v="Men's Apparel"/>
    <n v="62"/>
    <n v="154"/>
    <x v="158"/>
    <x v="96"/>
    <s v="Online"/>
  </r>
  <r>
    <s v="Sports Direct"/>
    <n v="1128299"/>
    <d v="2021-12-23T00:00:00"/>
    <x v="0"/>
    <s v="Virginia"/>
    <s v="Richmond"/>
    <s v="Women's Street Footwear"/>
    <n v="64"/>
    <n v="154"/>
    <x v="825"/>
    <x v="47"/>
    <s v="Online"/>
  </r>
  <r>
    <s v="Sports Direct"/>
    <n v="1185732"/>
    <d v="2021-01-19T00:00:00"/>
    <x v="0"/>
    <s v="Virginia"/>
    <s v="Richmond"/>
    <s v="Men's Athletic Footwear"/>
    <n v="34"/>
    <n v="154"/>
    <x v="459"/>
    <x v="586"/>
    <s v="Online"/>
  </r>
  <r>
    <s v="Kohl's"/>
    <n v="1128299"/>
    <d v="2021-04-26T00:00:00"/>
    <x v="4"/>
    <s v="New Mexico"/>
    <s v="Albuquerque"/>
    <s v="Men's Street Footwear"/>
    <n v="51"/>
    <n v="154"/>
    <x v="889"/>
    <x v="610"/>
    <s v="Online"/>
  </r>
  <r>
    <s v="Kohl's"/>
    <n v="1128299"/>
    <d v="2021-06-26T00:00:00"/>
    <x v="4"/>
    <s v="New Mexico"/>
    <s v="Albuquerque"/>
    <s v="Men's Athletic Footwear"/>
    <n v="54"/>
    <n v="154"/>
    <x v="525"/>
    <x v="388"/>
    <s v="Online"/>
  </r>
  <r>
    <s v="Amazon"/>
    <n v="1185732"/>
    <d v="2021-07-09T00:00:00"/>
    <x v="2"/>
    <s v="Ohio"/>
    <s v="Columbus"/>
    <s v="Men's Apparel"/>
    <n v="59"/>
    <n v="154"/>
    <x v="415"/>
    <x v="569"/>
    <s v="Online"/>
  </r>
  <r>
    <s v="West Gear"/>
    <n v="1197831"/>
    <d v="2021-03-19T00:00:00"/>
    <x v="1"/>
    <s v="Oklahoma"/>
    <s v="Oklahoma City"/>
    <s v="Men's Street Footwear"/>
    <n v="19"/>
    <n v="154"/>
    <x v="969"/>
    <x v="628"/>
    <s v="Online"/>
  </r>
  <r>
    <s v="Foot Locker"/>
    <n v="1185732"/>
    <d v="2021-07-11T00:00:00"/>
    <x v="2"/>
    <s v="South Dakota"/>
    <s v="Sioux Falls"/>
    <s v="Men's Street Footwear"/>
    <n v="47"/>
    <n v="154"/>
    <x v="970"/>
    <x v="251"/>
    <s v="Online"/>
  </r>
  <r>
    <s v="West Gear"/>
    <n v="1185732"/>
    <d v="2021-09-18T00:00:00"/>
    <x v="3"/>
    <s v="West Virginia"/>
    <s v="Charleston"/>
    <s v="Men's Street Footwear"/>
    <n v="34"/>
    <n v="154"/>
    <x v="459"/>
    <x v="586"/>
    <s v="Online"/>
  </r>
  <r>
    <s v="Amazon"/>
    <n v="1185732"/>
    <d v="2021-05-10T00:00:00"/>
    <x v="3"/>
    <s v="Vermont"/>
    <s v="Burlington"/>
    <s v="Men's Street Footwear"/>
    <n v="55"/>
    <n v="154"/>
    <x v="971"/>
    <x v="79"/>
    <s v="Online"/>
  </r>
  <r>
    <s v="Amazon"/>
    <n v="1185732"/>
    <d v="2021-04-18T00:00:00"/>
    <x v="3"/>
    <s v="New Hampshire"/>
    <s v="Manchester"/>
    <s v="Men's Street Footwear"/>
    <n v="48"/>
    <n v="154"/>
    <x v="435"/>
    <x v="387"/>
    <s v="Online"/>
  </r>
  <r>
    <s v="Amazon"/>
    <n v="1185732"/>
    <d v="2021-09-17T00:00:00"/>
    <x v="3"/>
    <s v="New Hampshire"/>
    <s v="Manchester"/>
    <s v="Men's Street Footwear"/>
    <n v="59"/>
    <n v="154"/>
    <x v="415"/>
    <x v="156"/>
    <s v="Online"/>
  </r>
  <r>
    <s v="Amazon"/>
    <n v="1185732"/>
    <d v="2021-03-20T00:00:00"/>
    <x v="4"/>
    <s v="Alaska"/>
    <s v="Anchorage"/>
    <s v="Men's Street Footwear"/>
    <n v="53"/>
    <n v="153"/>
    <x v="596"/>
    <x v="87"/>
    <s v="Online"/>
  </r>
  <r>
    <s v="Kohl's"/>
    <n v="1197831"/>
    <d v="2021-03-12T00:00:00"/>
    <x v="2"/>
    <s v="Kansas"/>
    <s v="Wichita"/>
    <s v="Men's Street Footwear"/>
    <n v="20"/>
    <n v="153"/>
    <x v="972"/>
    <x v="570"/>
    <s v="Online"/>
  </r>
  <r>
    <s v="Sports Direct"/>
    <n v="1197831"/>
    <d v="2021-08-28T00:00:00"/>
    <x v="1"/>
    <s v="Texas"/>
    <s v="Dallas"/>
    <s v="Women's Apparel"/>
    <n v="27"/>
    <n v="153"/>
    <x v="973"/>
    <x v="355"/>
    <s v="Outlet"/>
  </r>
  <r>
    <s v="Sports Direct"/>
    <n v="1197831"/>
    <d v="2021-09-08T00:00:00"/>
    <x v="1"/>
    <s v="Texas"/>
    <s v="Dallas"/>
    <s v="Men's Apparel"/>
    <n v="38"/>
    <n v="153"/>
    <x v="974"/>
    <x v="306"/>
    <s v="Outlet"/>
  </r>
  <r>
    <s v="Walmart"/>
    <n v="1128299"/>
    <d v="2021-06-17T00:00:00"/>
    <x v="0"/>
    <s v="Florida"/>
    <s v="Orlando"/>
    <s v="Men's Apparel"/>
    <n v="71"/>
    <n v="153"/>
    <x v="768"/>
    <x v="665"/>
    <s v="Outlet"/>
  </r>
  <r>
    <s v="Foot Locker"/>
    <n v="1128299"/>
    <d v="2021-09-25T00:00:00"/>
    <x v="0"/>
    <s v="Virginia"/>
    <s v="Richmond"/>
    <s v="Men's Athletic Footwear"/>
    <n v="43"/>
    <n v="153"/>
    <x v="975"/>
    <x v="111"/>
    <s v="Outlet"/>
  </r>
  <r>
    <s v="Sports Direct"/>
    <n v="1185732"/>
    <d v="2021-02-17T00:00:00"/>
    <x v="0"/>
    <s v="Virginia"/>
    <s v="Richmond"/>
    <s v="Men's Athletic Footwear"/>
    <n v="27"/>
    <n v="153"/>
    <x v="973"/>
    <x v="501"/>
    <s v="Outlet"/>
  </r>
  <r>
    <s v="West Gear"/>
    <n v="1185732"/>
    <d v="2021-12-10T00:00:00"/>
    <x v="4"/>
    <s v="Utah"/>
    <s v="Salt Lake City"/>
    <s v="Women's Street Footwear"/>
    <n v="20"/>
    <n v="153"/>
    <x v="972"/>
    <x v="760"/>
    <s v="Outlet"/>
  </r>
  <r>
    <s v="West Gear"/>
    <n v="1128299"/>
    <d v="2021-02-24T00:00:00"/>
    <x v="4"/>
    <s v="Utah"/>
    <s v="Salt Lake City"/>
    <s v="Men's Street Footwear"/>
    <n v="22"/>
    <n v="153"/>
    <x v="976"/>
    <x v="761"/>
    <s v="Outlet"/>
  </r>
  <r>
    <s v="West Gear"/>
    <n v="1128299"/>
    <d v="2021-06-17T00:00:00"/>
    <x v="1"/>
    <s v="Louisiana"/>
    <s v="New Orleans"/>
    <s v="Men's Apparel"/>
    <n v="70"/>
    <n v="153"/>
    <x v="375"/>
    <x v="576"/>
    <s v="Outlet"/>
  </r>
  <r>
    <s v="Foot Locker"/>
    <n v="1128299"/>
    <d v="2021-08-23T00:00:00"/>
    <x v="4"/>
    <s v="Arizona"/>
    <s v="Phoenix"/>
    <s v="Women's Street Footwear"/>
    <n v="37"/>
    <n v="153"/>
    <x v="692"/>
    <x v="753"/>
    <s v="Outlet"/>
  </r>
  <r>
    <s v="Kohl's"/>
    <n v="1128299"/>
    <d v="2021-08-26T00:00:00"/>
    <x v="4"/>
    <s v="New Mexico"/>
    <s v="Albuquerque"/>
    <s v="Women's Apparel"/>
    <n v="50"/>
    <n v="153"/>
    <x v="464"/>
    <x v="548"/>
    <s v="Outlet"/>
  </r>
  <r>
    <s v="Sports Direct"/>
    <n v="1185732"/>
    <d v="2021-11-17T00:00:00"/>
    <x v="1"/>
    <s v="Mississippi"/>
    <s v="Jackson"/>
    <s v="Men's Athletic Footwear"/>
    <n v="15"/>
    <n v="153"/>
    <x v="977"/>
    <x v="762"/>
    <s v="Outlet"/>
  </r>
  <r>
    <s v="Sports Direct"/>
    <n v="1185732"/>
    <d v="2021-11-17T00:00:00"/>
    <x v="1"/>
    <s v="Mississippi"/>
    <s v="Jackson"/>
    <s v="Women's Athletic Footwear"/>
    <n v="43"/>
    <n v="153"/>
    <x v="975"/>
    <x v="366"/>
    <s v="Outlet"/>
  </r>
  <r>
    <s v="Sports Direct"/>
    <n v="1185732"/>
    <d v="2021-10-05T00:00:00"/>
    <x v="3"/>
    <s v="Connecticut"/>
    <s v="Hartford"/>
    <s v="Men's Street Footwear"/>
    <n v="46"/>
    <n v="153"/>
    <x v="95"/>
    <x v="680"/>
    <s v="Outlet"/>
  </r>
  <r>
    <s v="Sports Direct"/>
    <n v="1185732"/>
    <d v="2021-09-13T00:00:00"/>
    <x v="3"/>
    <s v="Massachusetts"/>
    <s v="Boston"/>
    <s v="Men's Street Footwear"/>
    <n v="36"/>
    <n v="153"/>
    <x v="978"/>
    <x v="647"/>
    <s v="Outlet"/>
  </r>
  <r>
    <s v="West Gear"/>
    <n v="1128299"/>
    <d v="2020-12-29T00:00:00"/>
    <x v="4"/>
    <s v="California"/>
    <s v="San Francisco"/>
    <s v="Men's Apparel"/>
    <n v="59"/>
    <n v="152"/>
    <x v="918"/>
    <x v="331"/>
    <s v="Online"/>
  </r>
  <r>
    <s v="Kohl's"/>
    <n v="1189833"/>
    <d v="2021-03-16T00:00:00"/>
    <x v="4"/>
    <s v="California"/>
    <s v="Los Angeles"/>
    <s v="Women's Athletic Footwear"/>
    <n v="41"/>
    <n v="152"/>
    <x v="854"/>
    <x v="121"/>
    <s v="Online"/>
  </r>
  <r>
    <s v="Kohl's"/>
    <n v="1189833"/>
    <d v="2021-04-10T00:00:00"/>
    <x v="4"/>
    <s v="California"/>
    <s v="Los Angeles"/>
    <s v="Women's Athletic Footwear"/>
    <n v="43"/>
    <n v="152"/>
    <x v="979"/>
    <x v="535"/>
    <s v="Online"/>
  </r>
  <r>
    <s v="Sports Direct"/>
    <n v="1197831"/>
    <d v="2021-08-14T00:00:00"/>
    <x v="2"/>
    <s v="Illinois"/>
    <s v="Chicago"/>
    <s v="Women's Athletic Footwear"/>
    <n v="34"/>
    <n v="152"/>
    <x v="980"/>
    <x v="408"/>
    <s v="Online"/>
  </r>
  <r>
    <s v="Sports Direct"/>
    <n v="1197831"/>
    <d v="2021-08-31T00:00:00"/>
    <x v="1"/>
    <s v="Texas"/>
    <s v="Dallas"/>
    <s v="Women's Street Footwear"/>
    <n v="25"/>
    <n v="152"/>
    <x v="661"/>
    <x v="501"/>
    <s v="Online"/>
  </r>
  <r>
    <s v="West Gear"/>
    <n v="1128299"/>
    <d v="2020-02-15T00:00:00"/>
    <x v="4"/>
    <s v="Nevada"/>
    <s v="Las Vegas"/>
    <s v="Women's Street Footwear"/>
    <n v="60"/>
    <n v="152"/>
    <x v="152"/>
    <x v="52"/>
    <s v="Online"/>
  </r>
  <r>
    <s v="West Gear"/>
    <n v="1128299"/>
    <d v="2020-05-09T00:00:00"/>
    <x v="4"/>
    <s v="Colorado"/>
    <s v="Denver"/>
    <s v="Men's Athletic Footwear"/>
    <n v="54"/>
    <n v="152"/>
    <x v="456"/>
    <x v="191"/>
    <s v="Online"/>
  </r>
  <r>
    <s v="West Gear"/>
    <n v="1185732"/>
    <d v="2021-04-09T00:00:00"/>
    <x v="3"/>
    <s v="New York"/>
    <s v="Albany"/>
    <s v="Women's Street Footwear"/>
    <n v="34"/>
    <n v="152"/>
    <x v="980"/>
    <x v="501"/>
    <s v="Online"/>
  </r>
  <r>
    <s v="Kohl's"/>
    <n v="1185732"/>
    <d v="2021-05-10T00:00:00"/>
    <x v="4"/>
    <s v="Wyoming"/>
    <s v="Cheyenne"/>
    <s v="Men's Athletic Footwear"/>
    <n v="41"/>
    <n v="152"/>
    <x v="854"/>
    <x v="763"/>
    <s v="Online"/>
  </r>
  <r>
    <s v="Foot Locker"/>
    <n v="1128299"/>
    <d v="2021-05-25T00:00:00"/>
    <x v="0"/>
    <s v="Virginia"/>
    <s v="Richmond"/>
    <s v="Women's Apparel"/>
    <n v="56"/>
    <n v="152"/>
    <x v="487"/>
    <x v="244"/>
    <s v="Online"/>
  </r>
  <r>
    <s v="Sports Direct"/>
    <n v="1185732"/>
    <d v="2021-04-16T00:00:00"/>
    <x v="2"/>
    <s v="Michigan"/>
    <s v="Detroit"/>
    <s v="Women's Apparel"/>
    <n v="37"/>
    <n v="152"/>
    <x v="397"/>
    <x v="740"/>
    <s v="Online"/>
  </r>
  <r>
    <s v="Sports Direct"/>
    <n v="1185732"/>
    <d v="2021-06-17T00:00:00"/>
    <x v="2"/>
    <s v="Michigan"/>
    <s v="Detroit"/>
    <s v="Men's Apparel"/>
    <n v="57"/>
    <n v="152"/>
    <x v="981"/>
    <x v="115"/>
    <s v="Online"/>
  </r>
  <r>
    <s v="West Gear"/>
    <n v="1185732"/>
    <d v="2021-08-11T00:00:00"/>
    <x v="4"/>
    <s v="Utah"/>
    <s v="Salt Lake City"/>
    <s v="Women's Apparel"/>
    <n v="32"/>
    <n v="152"/>
    <x v="810"/>
    <x v="213"/>
    <s v="Online"/>
  </r>
  <r>
    <s v="Amazon"/>
    <n v="1185732"/>
    <d v="2021-07-09T00:00:00"/>
    <x v="2"/>
    <s v="Ohio"/>
    <s v="Columbus"/>
    <s v="Women's Athletic Footwear"/>
    <n v="53"/>
    <n v="152"/>
    <x v="719"/>
    <x v="163"/>
    <s v="Online"/>
  </r>
  <r>
    <s v="Walmart"/>
    <n v="1197831"/>
    <d v="2021-08-20T00:00:00"/>
    <x v="1"/>
    <s v="Arkansas"/>
    <s v="Little Rock"/>
    <s v="Men's Athletic Footwear"/>
    <n v="50"/>
    <n v="152"/>
    <x v="346"/>
    <x v="45"/>
    <s v="Online"/>
  </r>
  <r>
    <s v="West Gear"/>
    <n v="1197831"/>
    <d v="2021-04-20T00:00:00"/>
    <x v="1"/>
    <s v="Oklahoma"/>
    <s v="Oklahoma City"/>
    <s v="Men's Street Footwear"/>
    <n v="24"/>
    <n v="152"/>
    <x v="632"/>
    <x v="709"/>
    <s v="Online"/>
  </r>
  <r>
    <s v="Sports Direct"/>
    <n v="1185732"/>
    <d v="2021-02-09T00:00:00"/>
    <x v="2"/>
    <s v="South Dakota"/>
    <s v="Sioux Falls"/>
    <s v="Men's Street Footwear"/>
    <n v="34"/>
    <n v="152"/>
    <x v="980"/>
    <x v="528"/>
    <s v="Online"/>
  </r>
  <r>
    <s v="West Gear"/>
    <n v="1185732"/>
    <d v="2021-08-10T00:00:00"/>
    <x v="2"/>
    <s v="Indiana"/>
    <s v="Indianapolis"/>
    <s v="Men's Street Footwear"/>
    <n v="47"/>
    <n v="152"/>
    <x v="578"/>
    <x v="73"/>
    <s v="Online"/>
  </r>
  <r>
    <s v="Amazon"/>
    <n v="1185732"/>
    <d v="2021-01-14T00:00:00"/>
    <x v="3"/>
    <s v="Massachusetts"/>
    <s v="Boston"/>
    <s v="Men's Street Footwear"/>
    <n v="44"/>
    <n v="152"/>
    <x v="982"/>
    <x v="308"/>
    <s v="Online"/>
  </r>
  <r>
    <s v="West Gear"/>
    <n v="1128299"/>
    <d v="2020-02-16T00:00:00"/>
    <x v="4"/>
    <s v="Nevada"/>
    <s v="Las Vegas"/>
    <s v="Women's Athletic Footwear"/>
    <n v="42"/>
    <n v="152"/>
    <x v="886"/>
    <x v="500"/>
    <s v="Outlet"/>
  </r>
  <r>
    <s v="West Gear"/>
    <n v="1128299"/>
    <d v="2020-02-17T00:00:00"/>
    <x v="4"/>
    <s v="Nevada"/>
    <s v="Las Vegas"/>
    <s v="Men's Apparel"/>
    <n v="50"/>
    <n v="152"/>
    <x v="346"/>
    <x v="75"/>
    <s v="Outlet"/>
  </r>
  <r>
    <s v="Sports Direct"/>
    <n v="1197831"/>
    <d v="2021-08-06T00:00:00"/>
    <x v="1"/>
    <s v="Alabama"/>
    <s v="Birmingham"/>
    <s v="Women's Apparel"/>
    <n v="24"/>
    <n v="152"/>
    <x v="632"/>
    <x v="283"/>
    <s v="Outlet"/>
  </r>
  <r>
    <s v="Sports Direct"/>
    <n v="1197831"/>
    <d v="2021-08-21T00:00:00"/>
    <x v="1"/>
    <s v="Alabama"/>
    <s v="Birmingham"/>
    <s v="Women's Street Footwear"/>
    <n v="11"/>
    <n v="152"/>
    <x v="983"/>
    <x v="764"/>
    <s v="Outlet"/>
  </r>
  <r>
    <s v="West Gear"/>
    <n v="1128299"/>
    <d v="2021-11-24T00:00:00"/>
    <x v="4"/>
    <s v="Oregon"/>
    <s v="Portland"/>
    <s v="Women's Street Footwear"/>
    <n v="32"/>
    <n v="152"/>
    <x v="810"/>
    <x v="381"/>
    <s v="Outlet"/>
  </r>
  <r>
    <s v="West Gear"/>
    <n v="1128299"/>
    <d v="2021-08-17T00:00:00"/>
    <x v="1"/>
    <s v="Louisiana"/>
    <s v="New Orleans"/>
    <s v="Men's Apparel"/>
    <n v="47"/>
    <n v="152"/>
    <x v="578"/>
    <x v="231"/>
    <s v="Outlet"/>
  </r>
  <r>
    <s v="Kohl's"/>
    <n v="1128299"/>
    <d v="2021-01-26T00:00:00"/>
    <x v="4"/>
    <s v="Arizona"/>
    <s v="Phoenix"/>
    <s v="Men's Street Footwear"/>
    <n v="27"/>
    <n v="152"/>
    <x v="984"/>
    <x v="544"/>
    <s v="Outlet"/>
  </r>
  <r>
    <s v="Kohl's"/>
    <n v="1128299"/>
    <d v="2021-08-26T00:00:00"/>
    <x v="4"/>
    <s v="New Mexico"/>
    <s v="Albuquerque"/>
    <s v="Women's Athletic Footwear"/>
    <n v="46"/>
    <n v="152"/>
    <x v="772"/>
    <x v="638"/>
    <s v="Outlet"/>
  </r>
  <r>
    <s v="Sports Direct"/>
    <n v="1185732"/>
    <d v="2021-07-03T00:00:00"/>
    <x v="3"/>
    <s v="Connecticut"/>
    <s v="Hartford"/>
    <s v="Women's Apparel"/>
    <n v="40"/>
    <n v="152"/>
    <x v="722"/>
    <x v="618"/>
    <s v="Outlet"/>
  </r>
  <r>
    <s v="West Gear"/>
    <n v="1185732"/>
    <d v="2021-03-09T00:00:00"/>
    <x v="2"/>
    <s v="Indiana"/>
    <s v="Indianapolis"/>
    <s v="Men's Street Footwear"/>
    <n v="23"/>
    <n v="151"/>
    <x v="985"/>
    <x v="765"/>
    <s v="Online"/>
  </r>
  <r>
    <s v="Foot Locker"/>
    <n v="1185732"/>
    <d v="2021-06-19T00:00:00"/>
    <x v="2"/>
    <s v="Illinois"/>
    <s v="Chicago"/>
    <s v="Men's Athletic Footwear"/>
    <n v="50"/>
    <n v="150"/>
    <x v="20"/>
    <x v="24"/>
    <s v="Outlet"/>
  </r>
  <r>
    <s v="Foot Locker"/>
    <n v="1185732"/>
    <d v="2021-07-26T00:00:00"/>
    <x v="2"/>
    <s v="Illinois"/>
    <s v="Chicago"/>
    <s v="Women's Street Footwear"/>
    <n v="50"/>
    <n v="150"/>
    <x v="20"/>
    <x v="24"/>
    <s v="Outlet"/>
  </r>
  <r>
    <s v="Foot Locker"/>
    <n v="1185732"/>
    <d v="2021-08-03T00:00:00"/>
    <x v="2"/>
    <s v="Illinois"/>
    <s v="Chicago"/>
    <s v="Men's Apparel"/>
    <n v="60"/>
    <n v="150"/>
    <x v="5"/>
    <x v="2"/>
    <s v="Outlet"/>
  </r>
  <r>
    <s v="Foot Locker"/>
    <n v="1185732"/>
    <d v="2021-11-04T00:00:00"/>
    <x v="3"/>
    <s v="Pennsylvania"/>
    <s v="Philadelphia"/>
    <s v="Men's Athletic Footwear"/>
    <n v="50"/>
    <n v="150"/>
    <x v="20"/>
    <x v="24"/>
    <s v="Outlet"/>
  </r>
  <r>
    <s v="Foot Locker"/>
    <n v="1185732"/>
    <d v="2021-11-10T00:00:00"/>
    <x v="3"/>
    <s v="Pennsylvania"/>
    <s v="Philadelphia"/>
    <s v="Men's Athletic Footwear"/>
    <n v="50"/>
    <n v="150"/>
    <x v="20"/>
    <x v="26"/>
    <s v="Outlet"/>
  </r>
  <r>
    <s v="Foot Locker"/>
    <n v="1185732"/>
    <d v="2021-11-11T00:00:00"/>
    <x v="3"/>
    <s v="Pennsylvania"/>
    <s v="Philadelphia"/>
    <s v="Women's Street Footwear"/>
    <n v="40"/>
    <n v="150"/>
    <x v="14"/>
    <x v="41"/>
    <s v="Outlet"/>
  </r>
  <r>
    <s v="Foot Locker"/>
    <n v="1185732"/>
    <d v="2021-11-17T00:00:00"/>
    <x v="3"/>
    <s v="Pennsylvania"/>
    <s v="Philadelphia"/>
    <s v="Women's Street Footwear"/>
    <n v="55"/>
    <n v="150"/>
    <x v="180"/>
    <x v="195"/>
    <s v="Outlet"/>
  </r>
  <r>
    <s v="Foot Locker"/>
    <n v="1185732"/>
    <d v="2021-11-24T00:00:00"/>
    <x v="3"/>
    <s v="Pennsylvania"/>
    <s v="Philadelphia"/>
    <s v="Women's Athletic Footwear"/>
    <n v="55"/>
    <n v="150"/>
    <x v="180"/>
    <x v="204"/>
    <s v="Outlet"/>
  </r>
  <r>
    <s v="West Gear"/>
    <n v="1128299"/>
    <d v="2020-03-31T00:00:00"/>
    <x v="4"/>
    <s v="Colorado"/>
    <s v="Denver"/>
    <s v="Men's Apparel"/>
    <n v="60"/>
    <n v="150"/>
    <x v="5"/>
    <x v="623"/>
    <s v="In-store"/>
  </r>
  <r>
    <s v="Foot Locker"/>
    <n v="1185732"/>
    <d v="2020-10-21T00:00:00"/>
    <x v="2"/>
    <s v="Minnesota"/>
    <s v="Minneapolis"/>
    <s v="Men's Apparel"/>
    <n v="45"/>
    <n v="150"/>
    <x v="6"/>
    <x v="461"/>
    <s v="In-store"/>
  </r>
  <r>
    <s v="Foot Locker"/>
    <n v="1185732"/>
    <d v="2020-10-24T00:00:00"/>
    <x v="2"/>
    <s v="Minnesota"/>
    <s v="Minneapolis"/>
    <s v="Men's Athletic Footwear"/>
    <n v="35"/>
    <n v="150"/>
    <x v="32"/>
    <x v="126"/>
    <s v="In-store"/>
  </r>
  <r>
    <s v="Foot Locker"/>
    <n v="1185732"/>
    <d v="2020-10-27T00:00:00"/>
    <x v="2"/>
    <s v="Minnesota"/>
    <s v="Minneapolis"/>
    <s v="Men's Apparel"/>
    <n v="45"/>
    <n v="150"/>
    <x v="6"/>
    <x v="461"/>
    <s v="In-store"/>
  </r>
  <r>
    <s v="Foot Locker"/>
    <n v="1185732"/>
    <d v="2020-11-11T00:00:00"/>
    <x v="2"/>
    <s v="Minnesota"/>
    <s v="Minneapolis"/>
    <s v="Men's Athletic Footwear"/>
    <n v="45"/>
    <n v="150"/>
    <x v="6"/>
    <x v="461"/>
    <s v="In-store"/>
  </r>
  <r>
    <s v="Foot Locker"/>
    <n v="1185732"/>
    <d v="2020-11-19T00:00:00"/>
    <x v="2"/>
    <s v="Minnesota"/>
    <s v="Minneapolis"/>
    <s v="Women's Athletic Footwear"/>
    <n v="35"/>
    <n v="150"/>
    <x v="32"/>
    <x v="43"/>
    <s v="Outlet"/>
  </r>
  <r>
    <s v="Foot Locker"/>
    <n v="1185732"/>
    <d v="2020-11-20T00:00:00"/>
    <x v="2"/>
    <s v="Minnesota"/>
    <s v="Minneapolis"/>
    <s v="Men's Apparel"/>
    <n v="50"/>
    <n v="150"/>
    <x v="20"/>
    <x v="26"/>
    <s v="Outlet"/>
  </r>
  <r>
    <s v="Foot Locker"/>
    <n v="1185732"/>
    <d v="2020-12-02T00:00:00"/>
    <x v="2"/>
    <s v="Minnesota"/>
    <s v="Minneapolis"/>
    <s v="Men's Apparel"/>
    <n v="45"/>
    <n v="150"/>
    <x v="6"/>
    <x v="461"/>
    <s v="Outlet"/>
  </r>
  <r>
    <s v="Foot Locker"/>
    <n v="1185732"/>
    <d v="2020-12-06T00:00:00"/>
    <x v="2"/>
    <s v="Minnesota"/>
    <s v="Minneapolis"/>
    <s v="Women's Street Footwear"/>
    <n v="25"/>
    <n v="150"/>
    <x v="304"/>
    <x v="766"/>
    <s v="Outlet"/>
  </r>
  <r>
    <s v="Foot Locker"/>
    <n v="1185732"/>
    <d v="2020-12-19T00:00:00"/>
    <x v="2"/>
    <s v="Minnesota"/>
    <s v="Minneapolis"/>
    <s v="Women's Athletic Footwear"/>
    <n v="40"/>
    <n v="150"/>
    <x v="14"/>
    <x v="41"/>
    <s v="Outlet"/>
  </r>
  <r>
    <s v="Foot Locker"/>
    <n v="1185732"/>
    <d v="2021-06-04T00:00:00"/>
    <x v="2"/>
    <s v="Nebraska"/>
    <s v="Omaha"/>
    <s v="Women's Street Footwear"/>
    <n v="30"/>
    <n v="150"/>
    <x v="108"/>
    <x v="126"/>
    <s v="Outlet"/>
  </r>
  <r>
    <s v="Foot Locker"/>
    <n v="1185732"/>
    <d v="2021-06-07T00:00:00"/>
    <x v="2"/>
    <s v="Nebraska"/>
    <s v="Omaha"/>
    <s v="Women's Apparel"/>
    <n v="40"/>
    <n v="150"/>
    <x v="14"/>
    <x v="25"/>
    <s v="Outlet"/>
  </r>
  <r>
    <s v="Foot Locker"/>
    <n v="1185732"/>
    <d v="2021-06-13T00:00:00"/>
    <x v="2"/>
    <s v="Nebraska"/>
    <s v="Omaha"/>
    <s v="Women's Apparel"/>
    <n v="35"/>
    <n v="150"/>
    <x v="32"/>
    <x v="24"/>
    <s v="Outlet"/>
  </r>
  <r>
    <s v="Foot Locker"/>
    <n v="1185732"/>
    <d v="2021-06-19T00:00:00"/>
    <x v="2"/>
    <s v="Nebraska"/>
    <s v="Omaha"/>
    <s v="Women's Apparel"/>
    <n v="55"/>
    <n v="150"/>
    <x v="180"/>
    <x v="23"/>
    <s v="Outlet"/>
  </r>
  <r>
    <s v="Foot Locker"/>
    <n v="1185732"/>
    <d v="2021-06-21T00:00:00"/>
    <x v="2"/>
    <s v="Nebraska"/>
    <s v="Omaha"/>
    <s v="Men's Athletic Footwear"/>
    <n v="35"/>
    <n v="150"/>
    <x v="32"/>
    <x v="43"/>
    <s v="Outlet"/>
  </r>
  <r>
    <s v="Foot Locker"/>
    <n v="1185732"/>
    <d v="2021-06-23T00:00:00"/>
    <x v="2"/>
    <s v="Nebraska"/>
    <s v="Omaha"/>
    <s v="Women's Athletic Footwear"/>
    <n v="30"/>
    <n v="150"/>
    <x v="108"/>
    <x v="128"/>
    <s v="Outlet"/>
  </r>
  <r>
    <s v="Foot Locker"/>
    <n v="1185732"/>
    <d v="2021-06-24T00:00:00"/>
    <x v="2"/>
    <s v="Nebraska"/>
    <s v="Omaha"/>
    <s v="Men's Apparel"/>
    <n v="45"/>
    <n v="150"/>
    <x v="6"/>
    <x v="464"/>
    <s v="Outlet"/>
  </r>
  <r>
    <s v="Foot Locker"/>
    <n v="1185732"/>
    <d v="2021-07-13T00:00:00"/>
    <x v="2"/>
    <s v="Nebraska"/>
    <s v="Omaha"/>
    <s v="Women's Apparel"/>
    <n v="35"/>
    <n v="150"/>
    <x v="32"/>
    <x v="24"/>
    <s v="Outlet"/>
  </r>
  <r>
    <s v="Foot Locker"/>
    <n v="1185732"/>
    <d v="2021-07-15T00:00:00"/>
    <x v="2"/>
    <s v="Nebraska"/>
    <s v="Omaha"/>
    <s v="Men's Athletic Footwear"/>
    <n v="30"/>
    <n v="150"/>
    <x v="108"/>
    <x v="126"/>
    <s v="Outlet"/>
  </r>
  <r>
    <s v="Foot Locker"/>
    <n v="1185732"/>
    <d v="2021-07-19T00:00:00"/>
    <x v="2"/>
    <s v="Nebraska"/>
    <s v="Omaha"/>
    <s v="Women's Apparel"/>
    <n v="45"/>
    <n v="150"/>
    <x v="6"/>
    <x v="767"/>
    <s v="Outlet"/>
  </r>
  <r>
    <s v="Foot Locker"/>
    <n v="1185732"/>
    <d v="2021-07-21T00:00:00"/>
    <x v="2"/>
    <s v="Nebraska"/>
    <s v="Omaha"/>
    <s v="Men's Athletic Footwear"/>
    <n v="30"/>
    <n v="150"/>
    <x v="108"/>
    <x v="126"/>
    <s v="Outlet"/>
  </r>
  <r>
    <s v="Foot Locker"/>
    <n v="1185732"/>
    <d v="2021-07-29T00:00:00"/>
    <x v="2"/>
    <s v="Nebraska"/>
    <s v="Omaha"/>
    <s v="Women's Athletic Footwear"/>
    <n v="40"/>
    <n v="150"/>
    <x v="14"/>
    <x v="17"/>
    <s v="Outlet"/>
  </r>
  <r>
    <s v="Foot Locker"/>
    <n v="1185732"/>
    <d v="2021-07-30T00:00:00"/>
    <x v="2"/>
    <s v="Nebraska"/>
    <s v="Omaha"/>
    <s v="Men's Apparel"/>
    <n v="50"/>
    <n v="150"/>
    <x v="20"/>
    <x v="24"/>
    <s v="Outlet"/>
  </r>
  <r>
    <s v="Amazon"/>
    <n v="1185732"/>
    <d v="2021-10-16T00:00:00"/>
    <x v="3"/>
    <s v="Maine"/>
    <s v="Portland"/>
    <s v="Men's Apparel"/>
    <n v="50"/>
    <n v="150"/>
    <x v="20"/>
    <x v="318"/>
    <s v="Outlet"/>
  </r>
  <r>
    <s v="Amazon"/>
    <n v="1185732"/>
    <d v="2021-10-19T00:00:00"/>
    <x v="3"/>
    <s v="Maine"/>
    <s v="Portland"/>
    <s v="Men's Athletic Footwear"/>
    <n v="40"/>
    <n v="150"/>
    <x v="14"/>
    <x v="41"/>
    <s v="Outlet"/>
  </r>
  <r>
    <s v="Amazon"/>
    <n v="1185732"/>
    <d v="2021-10-22T00:00:00"/>
    <x v="3"/>
    <s v="Maine"/>
    <s v="Portland"/>
    <s v="Men's Apparel"/>
    <n v="50"/>
    <n v="150"/>
    <x v="20"/>
    <x v="318"/>
    <s v="Outlet"/>
  </r>
  <r>
    <s v="Amazon"/>
    <n v="1185732"/>
    <d v="2021-10-31T00:00:00"/>
    <x v="3"/>
    <s v="Maine"/>
    <s v="Portland"/>
    <s v="Men's Athletic Footwear"/>
    <n v="40"/>
    <n v="150"/>
    <x v="14"/>
    <x v="41"/>
    <s v="Outlet"/>
  </r>
  <r>
    <s v="Amazon"/>
    <n v="1185732"/>
    <d v="2021-11-01T00:00:00"/>
    <x v="3"/>
    <s v="Maine"/>
    <s v="Portland"/>
    <s v="Women's Street Footwear"/>
    <n v="30"/>
    <n v="150"/>
    <x v="108"/>
    <x v="128"/>
    <s v="Outlet"/>
  </r>
  <r>
    <s v="Amazon"/>
    <n v="1185732"/>
    <d v="2021-11-09T00:00:00"/>
    <x v="3"/>
    <s v="Maine"/>
    <s v="Portland"/>
    <s v="Men's Apparel"/>
    <n v="55"/>
    <n v="150"/>
    <x v="180"/>
    <x v="203"/>
    <s v="Outlet"/>
  </r>
  <r>
    <s v="Amazon"/>
    <n v="1185732"/>
    <d v="2021-12-25T00:00:00"/>
    <x v="3"/>
    <s v="Maine"/>
    <s v="Portland"/>
    <s v="Men's Apparel"/>
    <n v="55"/>
    <n v="150"/>
    <x v="180"/>
    <x v="203"/>
    <s v="Outlet"/>
  </r>
  <r>
    <s v="Amazon"/>
    <n v="1185732"/>
    <d v="2021-12-29T00:00:00"/>
    <x v="3"/>
    <s v="Maine"/>
    <s v="Portland"/>
    <s v="Women's Street Footwear"/>
    <n v="45"/>
    <n v="150"/>
    <x v="6"/>
    <x v="6"/>
    <s v="Outlet"/>
  </r>
  <r>
    <s v="Amazon"/>
    <n v="1185732"/>
    <d v="2021-04-21T00:00:00"/>
    <x v="4"/>
    <s v="Alaska"/>
    <s v="Anchorage"/>
    <s v="Women's Athletic Footwear"/>
    <n v="50"/>
    <n v="150"/>
    <x v="20"/>
    <x v="318"/>
    <s v="Outlet"/>
  </r>
  <r>
    <s v="Amazon"/>
    <n v="1185732"/>
    <d v="2021-04-21T00:00:00"/>
    <x v="4"/>
    <s v="Alaska"/>
    <s v="Anchorage"/>
    <s v="Men's Apparel"/>
    <n v="60"/>
    <n v="150"/>
    <x v="5"/>
    <x v="26"/>
    <s v="Outlet"/>
  </r>
  <r>
    <s v="Foot Locker"/>
    <n v="1128299"/>
    <d v="2021-02-10T00:00:00"/>
    <x v="4"/>
    <s v="Hawaii"/>
    <s v="Honolulu"/>
    <s v="Men's Apparel"/>
    <n v="50"/>
    <n v="150"/>
    <x v="20"/>
    <x v="766"/>
    <s v="Outlet"/>
  </r>
  <r>
    <s v="Foot Locker"/>
    <n v="1128299"/>
    <d v="2021-04-10T00:00:00"/>
    <x v="4"/>
    <s v="Hawaii"/>
    <s v="Honolulu"/>
    <s v="Men's Apparel"/>
    <n v="55"/>
    <n v="150"/>
    <x v="180"/>
    <x v="100"/>
    <s v="Outlet"/>
  </r>
  <r>
    <s v="Foot Locker"/>
    <n v="1128299"/>
    <d v="2021-01-24T00:00:00"/>
    <x v="4"/>
    <s v="Wyoming"/>
    <s v="Cheyenne"/>
    <s v="Men's Apparel"/>
    <n v="45"/>
    <n v="150"/>
    <x v="6"/>
    <x v="6"/>
    <s v="In-store"/>
  </r>
  <r>
    <s v="West Gear"/>
    <n v="1128299"/>
    <d v="2021-01-24T00:00:00"/>
    <x v="4"/>
    <s v="Utah"/>
    <s v="Salt Lake City"/>
    <s v="Men's Apparel"/>
    <n v="45"/>
    <n v="150"/>
    <x v="6"/>
    <x v="6"/>
    <s v="In-store"/>
  </r>
  <r>
    <s v="West Gear"/>
    <n v="1128299"/>
    <d v="2021-03-16T00:00:00"/>
    <x v="1"/>
    <s v="Louisiana"/>
    <s v="New Orleans"/>
    <s v="Men's Apparel"/>
    <n v="60"/>
    <n v="150"/>
    <x v="5"/>
    <x v="125"/>
    <s v="In-store"/>
  </r>
  <r>
    <s v="Foot Locker"/>
    <n v="1128299"/>
    <d v="2021-02-23T00:00:00"/>
    <x v="4"/>
    <s v="Arizona"/>
    <s v="Phoenix"/>
    <s v="Men's Apparel"/>
    <n v="45"/>
    <n v="150"/>
    <x v="6"/>
    <x v="461"/>
    <s v="Online"/>
  </r>
  <r>
    <s v="Foot Locker"/>
    <n v="1128299"/>
    <d v="2021-04-23T00:00:00"/>
    <x v="4"/>
    <s v="Arizona"/>
    <s v="Phoenix"/>
    <s v="Men's Apparel"/>
    <n v="55"/>
    <n v="150"/>
    <x v="180"/>
    <x v="202"/>
    <s v="Online"/>
  </r>
  <r>
    <s v="Sports Direct"/>
    <n v="1128299"/>
    <d v="2021-03-12T00:00:00"/>
    <x v="0"/>
    <s v="Georgia"/>
    <s v="Atlanta"/>
    <s v="Men's Apparel"/>
    <n v="55"/>
    <n v="150"/>
    <x v="180"/>
    <x v="195"/>
    <s v="Online"/>
  </r>
  <r>
    <s v="Amazon"/>
    <n v="1185732"/>
    <d v="2021-01-22T00:00:00"/>
    <x v="2"/>
    <s v="Ohio"/>
    <s v="Columbus"/>
    <s v="Women's Athletic Footwear"/>
    <n v="35"/>
    <n v="150"/>
    <x v="32"/>
    <x v="41"/>
    <s v="Online"/>
  </r>
  <r>
    <s v="Amazon"/>
    <n v="1185732"/>
    <d v="2021-03-21T00:00:00"/>
    <x v="0"/>
    <s v="Kentucky"/>
    <s v="Louisville"/>
    <s v="Men's Apparel"/>
    <n v="55"/>
    <n v="150"/>
    <x v="180"/>
    <x v="195"/>
    <s v="Online"/>
  </r>
  <r>
    <s v="Amazon"/>
    <n v="1185732"/>
    <d v="2021-05-23T00:00:00"/>
    <x v="0"/>
    <s v="Kentucky"/>
    <s v="Louisville"/>
    <s v="Men's Apparel"/>
    <n v="50"/>
    <n v="150"/>
    <x v="20"/>
    <x v="24"/>
    <s v="Online"/>
  </r>
  <r>
    <s v="Amazon"/>
    <n v="1185732"/>
    <d v="2021-10-22T00:00:00"/>
    <x v="0"/>
    <s v="Kentucky"/>
    <s v="Louisville"/>
    <s v="Women's Athletic Footwear"/>
    <n v="45"/>
    <n v="150"/>
    <x v="6"/>
    <x v="6"/>
    <s v="Online"/>
  </r>
  <r>
    <s v="Amazon"/>
    <n v="1185732"/>
    <d v="2021-10-22T00:00:00"/>
    <x v="0"/>
    <s v="Kentucky"/>
    <s v="Louisville"/>
    <s v="Men's Apparel"/>
    <n v="55"/>
    <n v="150"/>
    <x v="180"/>
    <x v="195"/>
    <s v="Online"/>
  </r>
  <r>
    <s v="West Gear"/>
    <n v="1197831"/>
    <d v="2021-04-20T00:00:00"/>
    <x v="1"/>
    <s v="Oklahoma"/>
    <s v="Oklahoma City"/>
    <s v="Women's Athletic Footwear"/>
    <n v="20"/>
    <n v="150"/>
    <x v="655"/>
    <x v="626"/>
    <s v="Online"/>
  </r>
  <r>
    <s v="Kohl's"/>
    <n v="1197831"/>
    <d v="2021-02-14T00:00:00"/>
    <x v="2"/>
    <s v="Kansas"/>
    <s v="Wichita"/>
    <s v="Women's Athletic Footwear"/>
    <n v="20"/>
    <n v="150"/>
    <x v="655"/>
    <x v="99"/>
    <s v="Online"/>
  </r>
  <r>
    <s v="Kohl's"/>
    <n v="1197831"/>
    <d v="2021-03-12T00:00:00"/>
    <x v="2"/>
    <s v="Kansas"/>
    <s v="Wichita"/>
    <s v="Men's Apparel"/>
    <n v="35"/>
    <n v="150"/>
    <x v="32"/>
    <x v="43"/>
    <s v="Online"/>
  </r>
  <r>
    <s v="Kohl's"/>
    <n v="1197831"/>
    <d v="2021-04-13T00:00:00"/>
    <x v="2"/>
    <s v="Kansas"/>
    <s v="Wichita"/>
    <s v="Men's Apparel"/>
    <n v="40"/>
    <n v="150"/>
    <x v="14"/>
    <x v="41"/>
    <s v="Online"/>
  </r>
  <r>
    <s v="Foot Locker"/>
    <n v="1185732"/>
    <d v="2021-04-12T00:00:00"/>
    <x v="2"/>
    <s v="South Dakota"/>
    <s v="Sioux Falls"/>
    <s v="Men's Athletic Footwear"/>
    <n v="40"/>
    <n v="150"/>
    <x v="14"/>
    <x v="128"/>
    <s v="Online"/>
  </r>
  <r>
    <s v="Foot Locker"/>
    <n v="1185732"/>
    <d v="2021-04-12T00:00:00"/>
    <x v="2"/>
    <s v="South Dakota"/>
    <s v="Sioux Falls"/>
    <s v="Women's Street Footwear"/>
    <n v="30"/>
    <n v="150"/>
    <x v="108"/>
    <x v="459"/>
    <s v="Online"/>
  </r>
  <r>
    <s v="Foot Locker"/>
    <n v="1185732"/>
    <d v="2021-09-13T00:00:00"/>
    <x v="2"/>
    <s v="South Dakota"/>
    <s v="Sioux Falls"/>
    <s v="Women's Athletic Footwear"/>
    <n v="35"/>
    <n v="150"/>
    <x v="32"/>
    <x v="126"/>
    <s v="Online"/>
  </r>
  <r>
    <s v="Foot Locker"/>
    <n v="1185732"/>
    <d v="2021-09-13T00:00:00"/>
    <x v="2"/>
    <s v="South Dakota"/>
    <s v="Sioux Falls"/>
    <s v="Men's Apparel"/>
    <n v="45"/>
    <n v="150"/>
    <x v="6"/>
    <x v="464"/>
    <s v="Online"/>
  </r>
  <r>
    <s v="Foot Locker"/>
    <n v="1185732"/>
    <d v="2021-10-12T00:00:00"/>
    <x v="2"/>
    <s v="South Dakota"/>
    <s v="Sioux Falls"/>
    <s v="Women's Street Footwear"/>
    <n v="45"/>
    <n v="150"/>
    <x v="6"/>
    <x v="461"/>
    <s v="Online"/>
  </r>
  <r>
    <s v="Sports Direct"/>
    <n v="1185732"/>
    <d v="2021-11-12T00:00:00"/>
    <x v="2"/>
    <s v="South Dakota"/>
    <s v="Sioux Falls"/>
    <s v="Men's Apparel"/>
    <n v="60"/>
    <n v="150"/>
    <x v="5"/>
    <x v="2"/>
    <s v="Online"/>
  </r>
  <r>
    <s v="Sports Direct"/>
    <n v="1185732"/>
    <d v="2021-04-09T00:00:00"/>
    <x v="2"/>
    <s v="North Dakota"/>
    <s v="Fargo"/>
    <s v="Men's Athletic Footwear"/>
    <n v="30"/>
    <n v="150"/>
    <x v="108"/>
    <x v="459"/>
    <s v="Online"/>
  </r>
  <r>
    <s v="Sports Direct"/>
    <n v="1185732"/>
    <d v="2021-04-09T00:00:00"/>
    <x v="2"/>
    <s v="North Dakota"/>
    <s v="Fargo"/>
    <s v="Women's Street Footwear"/>
    <n v="20"/>
    <n v="150"/>
    <x v="655"/>
    <x v="768"/>
    <s v="Online"/>
  </r>
  <r>
    <s v="Sports Direct"/>
    <n v="1185732"/>
    <d v="2021-09-10T00:00:00"/>
    <x v="2"/>
    <s v="North Dakota"/>
    <s v="Fargo"/>
    <s v="Women's Athletic Footwear"/>
    <n v="30"/>
    <n v="150"/>
    <x v="108"/>
    <x v="459"/>
    <s v="In-store"/>
  </r>
  <r>
    <s v="Sports Direct"/>
    <n v="1185732"/>
    <d v="2021-09-10T00:00:00"/>
    <x v="2"/>
    <s v="North Dakota"/>
    <s v="Fargo"/>
    <s v="Men's Apparel"/>
    <n v="40"/>
    <n v="150"/>
    <x v="14"/>
    <x v="41"/>
    <s v="In-store"/>
  </r>
  <r>
    <s v="Sports Direct"/>
    <n v="1185732"/>
    <d v="2021-10-09T00:00:00"/>
    <x v="2"/>
    <s v="North Dakota"/>
    <s v="Fargo"/>
    <s v="Women's Street Footwear"/>
    <n v="40"/>
    <n v="150"/>
    <x v="14"/>
    <x v="128"/>
    <s v="In-store"/>
  </r>
  <r>
    <s v="Foot Locker"/>
    <n v="1185732"/>
    <d v="2021-11-09T00:00:00"/>
    <x v="2"/>
    <s v="North Dakota"/>
    <s v="Fargo"/>
    <s v="Men's Apparel"/>
    <n v="60"/>
    <n v="150"/>
    <x v="5"/>
    <x v="2"/>
    <s v="In-store"/>
  </r>
  <r>
    <s v="Foot Locker"/>
    <n v="1185732"/>
    <d v="2021-01-06T00:00:00"/>
    <x v="2"/>
    <s v="North Dakota"/>
    <s v="Fargo"/>
    <s v="Men's Apparel"/>
    <n v="40"/>
    <n v="150"/>
    <x v="14"/>
    <x v="25"/>
    <s v="In-store"/>
  </r>
  <r>
    <s v="Foot Locker"/>
    <n v="1185732"/>
    <d v="2021-02-06T00:00:00"/>
    <x v="2"/>
    <s v="North Dakota"/>
    <s v="Fargo"/>
    <s v="Men's Athletic Footwear"/>
    <n v="30"/>
    <n v="150"/>
    <x v="108"/>
    <x v="126"/>
    <s v="In-store"/>
  </r>
  <r>
    <s v="Foot Locker"/>
    <n v="1185732"/>
    <d v="2021-02-06T00:00:00"/>
    <x v="2"/>
    <s v="Iowa"/>
    <s v="Des Moines"/>
    <s v="Men's Apparel"/>
    <n v="40"/>
    <n v="150"/>
    <x v="14"/>
    <x v="25"/>
    <s v="In-store"/>
  </r>
  <r>
    <s v="Foot Locker"/>
    <n v="1185732"/>
    <d v="2021-03-05T00:00:00"/>
    <x v="2"/>
    <s v="Iowa"/>
    <s v="Des Moines"/>
    <s v="Men's Apparel"/>
    <n v="30"/>
    <n v="150"/>
    <x v="108"/>
    <x v="26"/>
    <s v="In-store"/>
  </r>
  <r>
    <s v="Foot Locker"/>
    <n v="1185732"/>
    <d v="2021-05-07T00:00:00"/>
    <x v="2"/>
    <s v="Iowa"/>
    <s v="Des Moines"/>
    <s v="Men's Apparel"/>
    <n v="45"/>
    <n v="150"/>
    <x v="6"/>
    <x v="767"/>
    <s v="In-store"/>
  </r>
  <r>
    <s v="Foot Locker"/>
    <n v="1185732"/>
    <d v="2021-09-07T00:00:00"/>
    <x v="2"/>
    <s v="Iowa"/>
    <s v="Des Moines"/>
    <s v="Women's Athletic Footwear"/>
    <n v="25"/>
    <n v="150"/>
    <x v="304"/>
    <x v="766"/>
    <s v="In-store"/>
  </r>
  <r>
    <s v="Foot Locker"/>
    <n v="1185732"/>
    <d v="2021-09-07T00:00:00"/>
    <x v="2"/>
    <s v="Iowa"/>
    <s v="Des Moines"/>
    <s v="Men's Apparel"/>
    <n v="35"/>
    <n v="150"/>
    <x v="32"/>
    <x v="24"/>
    <s v="In-store"/>
  </r>
  <r>
    <s v="Foot Locker"/>
    <n v="1185732"/>
    <d v="2021-10-06T00:00:00"/>
    <x v="2"/>
    <s v="Iowa"/>
    <s v="Des Moines"/>
    <s v="Women's Street Footwear"/>
    <n v="35"/>
    <n v="150"/>
    <x v="32"/>
    <x v="126"/>
    <s v="In-store"/>
  </r>
  <r>
    <s v="West Gear"/>
    <n v="1185732"/>
    <d v="2021-01-03T00:00:00"/>
    <x v="2"/>
    <s v="Iowa"/>
    <s v="Des Moines"/>
    <s v="Men's Apparel"/>
    <n v="40"/>
    <n v="150"/>
    <x v="14"/>
    <x v="25"/>
    <s v="In-store"/>
  </r>
  <r>
    <s v="West Gear"/>
    <n v="1185732"/>
    <d v="2021-02-03T00:00:00"/>
    <x v="2"/>
    <s v="Iowa"/>
    <s v="Des Moines"/>
    <s v="Men's Athletic Footwear"/>
    <n v="30"/>
    <n v="150"/>
    <x v="108"/>
    <x v="126"/>
    <s v="In-store"/>
  </r>
  <r>
    <s v="West Gear"/>
    <n v="1185732"/>
    <d v="2021-02-03T00:00:00"/>
    <x v="2"/>
    <s v="Wisconsin"/>
    <s v="Milwaukee"/>
    <s v="Men's Apparel"/>
    <n v="40"/>
    <n v="150"/>
    <x v="14"/>
    <x v="25"/>
    <s v="In-store"/>
  </r>
  <r>
    <s v="West Gear"/>
    <n v="1185732"/>
    <d v="2021-04-03T00:00:00"/>
    <x v="2"/>
    <s v="Wisconsin"/>
    <s v="Milwaukee"/>
    <s v="Men's Athletic Footwear"/>
    <n v="20"/>
    <n v="150"/>
    <x v="655"/>
    <x v="99"/>
    <s v="In-store"/>
  </r>
  <r>
    <s v="West Gear"/>
    <n v="1185732"/>
    <d v="2021-04-03T00:00:00"/>
    <x v="2"/>
    <s v="Wisconsin"/>
    <s v="Milwaukee"/>
    <s v="Women's Street Footwear"/>
    <n v="10"/>
    <n v="150"/>
    <x v="986"/>
    <x v="393"/>
    <s v="In-store"/>
  </r>
  <r>
    <s v="West Gear"/>
    <n v="1185732"/>
    <d v="2021-05-04T00:00:00"/>
    <x v="2"/>
    <s v="Wisconsin"/>
    <s v="Milwaukee"/>
    <s v="Women's Athletic Footwear"/>
    <n v="35"/>
    <n v="150"/>
    <x v="32"/>
    <x v="126"/>
    <s v="In-store"/>
  </r>
  <r>
    <s v="West Gear"/>
    <n v="1185732"/>
    <d v="2021-09-04T00:00:00"/>
    <x v="2"/>
    <s v="Wisconsin"/>
    <s v="Milwaukee"/>
    <s v="Women's Street Footwear"/>
    <n v="25"/>
    <n v="150"/>
    <x v="304"/>
    <x v="766"/>
    <s v="In-store"/>
  </r>
  <r>
    <s v="West Gear"/>
    <n v="1185732"/>
    <d v="2021-01-10T00:00:00"/>
    <x v="2"/>
    <s v="Wisconsin"/>
    <s v="Milwaukee"/>
    <s v="Women's Athletic Footwear"/>
    <n v="30"/>
    <n v="150"/>
    <x v="108"/>
    <x v="126"/>
    <s v="In-store"/>
  </r>
  <r>
    <s v="West Gear"/>
    <n v="1185732"/>
    <d v="2021-09-11T00:00:00"/>
    <x v="2"/>
    <s v="Indiana"/>
    <s v="Indianapolis"/>
    <s v="Women's Athletic Footwear"/>
    <n v="25"/>
    <n v="150"/>
    <x v="304"/>
    <x v="325"/>
    <s v="In-store"/>
  </r>
  <r>
    <s v="West Gear"/>
    <n v="1185732"/>
    <d v="2021-09-11T00:00:00"/>
    <x v="2"/>
    <s v="Indiana"/>
    <s v="Indianapolis"/>
    <s v="Men's Apparel"/>
    <n v="35"/>
    <n v="150"/>
    <x v="32"/>
    <x v="126"/>
    <s v="In-store"/>
  </r>
  <r>
    <s v="West Gear"/>
    <n v="1185732"/>
    <d v="2021-10-10T00:00:00"/>
    <x v="2"/>
    <s v="Indiana"/>
    <s v="Indianapolis"/>
    <s v="Women's Street Footwear"/>
    <n v="35"/>
    <n v="150"/>
    <x v="32"/>
    <x v="43"/>
    <s v="In-store"/>
  </r>
  <r>
    <s v="West Gear"/>
    <n v="1185732"/>
    <d v="2021-10-10T00:00:00"/>
    <x v="2"/>
    <s v="Indiana"/>
    <s v="Indianapolis"/>
    <s v="Women's Athletic Footwear"/>
    <n v="35"/>
    <n v="150"/>
    <x v="32"/>
    <x v="43"/>
    <s v="In-store"/>
  </r>
  <r>
    <s v="West Gear"/>
    <n v="1185732"/>
    <d v="2021-10-10T00:00:00"/>
    <x v="2"/>
    <s v="Indiana"/>
    <s v="Indianapolis"/>
    <s v="Men's Apparel"/>
    <n v="45"/>
    <n v="150"/>
    <x v="6"/>
    <x v="461"/>
    <s v="In-store"/>
  </r>
  <r>
    <s v="West Gear"/>
    <n v="1185732"/>
    <d v="2021-01-17T00:00:00"/>
    <x v="2"/>
    <s v="Indiana"/>
    <s v="Indianapolis"/>
    <s v="Women's Athletic Footwear"/>
    <n v="30"/>
    <n v="150"/>
    <x v="108"/>
    <x v="128"/>
    <s v="In-store"/>
  </r>
  <r>
    <s v="West Gear"/>
    <n v="1185732"/>
    <d v="2021-03-20T00:00:00"/>
    <x v="3"/>
    <s v="Maryland"/>
    <s v="Baltimore"/>
    <s v="Men's Athletic Footwear"/>
    <n v="35"/>
    <n v="150"/>
    <x v="32"/>
    <x v="43"/>
    <s v="In-store"/>
  </r>
  <r>
    <s v="West Gear"/>
    <n v="1185732"/>
    <d v="2021-05-20T00:00:00"/>
    <x v="3"/>
    <s v="Maryland"/>
    <s v="Baltimore"/>
    <s v="Women's Street Footwear"/>
    <n v="40"/>
    <n v="150"/>
    <x v="14"/>
    <x v="41"/>
    <s v="In-store"/>
  </r>
  <r>
    <s v="Foot Locker"/>
    <n v="1185732"/>
    <d v="2021-06-22T00:00:00"/>
    <x v="3"/>
    <s v="Maryland"/>
    <s v="Baltimore"/>
    <s v="Women's Athletic Footwear"/>
    <n v="40"/>
    <n v="150"/>
    <x v="14"/>
    <x v="41"/>
    <s v="In-store"/>
  </r>
  <r>
    <s v="Foot Locker"/>
    <n v="1185732"/>
    <d v="2021-06-22T00:00:00"/>
    <x v="3"/>
    <s v="Maryland"/>
    <s v="Baltimore"/>
    <s v="Men's Apparel"/>
    <n v="50"/>
    <n v="150"/>
    <x v="20"/>
    <x v="26"/>
    <s v="In-store"/>
  </r>
  <r>
    <s v="Sports Direct"/>
    <n v="1185732"/>
    <d v="2021-07-20T00:00:00"/>
    <x v="3"/>
    <s v="Maryland"/>
    <s v="Baltimore"/>
    <s v="Women's Athletic Footwear"/>
    <n v="40"/>
    <n v="150"/>
    <x v="14"/>
    <x v="41"/>
    <s v="In-store"/>
  </r>
  <r>
    <s v="Sports Direct"/>
    <n v="1185732"/>
    <d v="2021-08-21T00:00:00"/>
    <x v="3"/>
    <s v="Maryland"/>
    <s v="Baltimore"/>
    <s v="Women's Athletic Footwear"/>
    <n v="40"/>
    <n v="150"/>
    <x v="14"/>
    <x v="41"/>
    <s v="In-store"/>
  </r>
  <r>
    <s v="Foot Locker"/>
    <n v="1185732"/>
    <d v="2021-11-21T00:00:00"/>
    <x v="3"/>
    <s v="Maryland"/>
    <s v="Baltimore"/>
    <s v="Women's Athletic Footwear"/>
    <n v="50"/>
    <n v="150"/>
    <x v="20"/>
    <x v="24"/>
    <s v="In-store"/>
  </r>
  <r>
    <s v="Foot Locker"/>
    <n v="1185732"/>
    <d v="2021-02-15T00:00:00"/>
    <x v="3"/>
    <s v="Delaware"/>
    <s v="Wilmington"/>
    <s v="Women's Athletic Footwear"/>
    <n v="35"/>
    <n v="150"/>
    <x v="32"/>
    <x v="41"/>
    <s v="In-store"/>
  </r>
  <r>
    <s v="Foot Locker"/>
    <n v="1185732"/>
    <d v="2021-04-14T00:00:00"/>
    <x v="3"/>
    <s v="Delaware"/>
    <s v="Wilmington"/>
    <s v="Women's Athletic Footwear"/>
    <n v="35"/>
    <n v="150"/>
    <x v="32"/>
    <x v="41"/>
    <s v="In-store"/>
  </r>
  <r>
    <s v="Foot Locker"/>
    <n v="1185732"/>
    <d v="2021-04-14T00:00:00"/>
    <x v="3"/>
    <s v="Delaware"/>
    <s v="Wilmington"/>
    <s v="Men's Apparel"/>
    <n v="50"/>
    <n v="150"/>
    <x v="20"/>
    <x v="26"/>
    <s v="In-store"/>
  </r>
  <r>
    <s v="Kohl's"/>
    <n v="1185732"/>
    <d v="2021-09-06T00:00:00"/>
    <x v="3"/>
    <s v="New Jersey"/>
    <s v="Newark"/>
    <s v="Women's Athletic Footwear"/>
    <n v="40"/>
    <n v="150"/>
    <x v="14"/>
    <x v="17"/>
    <s v="In-store"/>
  </r>
  <r>
    <s v="Kohl's"/>
    <n v="1185732"/>
    <d v="2021-09-06T00:00:00"/>
    <x v="3"/>
    <s v="New Jersey"/>
    <s v="Newark"/>
    <s v="Men's Apparel"/>
    <n v="50"/>
    <n v="150"/>
    <x v="20"/>
    <x v="26"/>
    <s v="In-store"/>
  </r>
  <r>
    <s v="Kohl's"/>
    <n v="1185732"/>
    <d v="2021-10-08T00:00:00"/>
    <x v="3"/>
    <s v="New Jersey"/>
    <s v="Newark"/>
    <s v="Women's Street Footwear"/>
    <n v="50"/>
    <n v="150"/>
    <x v="20"/>
    <x v="25"/>
    <s v="In-store"/>
  </r>
  <r>
    <s v="Sports Direct"/>
    <n v="1185732"/>
    <d v="2021-01-07T00:00:00"/>
    <x v="3"/>
    <s v="New Jersey"/>
    <s v="Newark"/>
    <s v="Women's Athletic Footwear"/>
    <n v="35"/>
    <n v="150"/>
    <x v="32"/>
    <x v="126"/>
    <s v="In-store"/>
  </r>
  <r>
    <s v="Sports Direct"/>
    <n v="1185732"/>
    <d v="2021-03-03T00:00:00"/>
    <x v="3"/>
    <s v="Connecticut"/>
    <s v="Hartford"/>
    <s v="Men's Apparel"/>
    <n v="50"/>
    <n v="150"/>
    <x v="20"/>
    <x v="26"/>
    <s v="In-store"/>
  </r>
  <r>
    <s v="Sports Direct"/>
    <n v="1185732"/>
    <d v="2021-10-05T00:00:00"/>
    <x v="3"/>
    <s v="Connecticut"/>
    <s v="Hartford"/>
    <s v="Women's Athletic Footwear"/>
    <n v="55"/>
    <n v="150"/>
    <x v="180"/>
    <x v="202"/>
    <s v="In-store"/>
  </r>
  <r>
    <s v="Foot Locker"/>
    <n v="1185732"/>
    <d v="2021-03-06T00:00:00"/>
    <x v="3"/>
    <s v="Rhode Island"/>
    <s v="Providence"/>
    <s v="Men's Athletic Footwear"/>
    <n v="35"/>
    <n v="150"/>
    <x v="32"/>
    <x v="43"/>
    <s v="In-store"/>
  </r>
  <r>
    <s v="Foot Locker"/>
    <n v="1185732"/>
    <d v="2021-05-06T00:00:00"/>
    <x v="3"/>
    <s v="Rhode Island"/>
    <s v="Providence"/>
    <s v="Women's Athletic Footwear"/>
    <n v="40"/>
    <n v="150"/>
    <x v="14"/>
    <x v="17"/>
    <s v="In-store"/>
  </r>
  <r>
    <s v="Foot Locker"/>
    <n v="1185732"/>
    <d v="2021-08-07T00:00:00"/>
    <x v="3"/>
    <s v="Rhode Island"/>
    <s v="Providence"/>
    <s v="Women's Athletic Footwear"/>
    <n v="40"/>
    <n v="150"/>
    <x v="14"/>
    <x v="17"/>
    <s v="In-store"/>
  </r>
  <r>
    <s v="Sports Direct"/>
    <n v="1185732"/>
    <d v="2021-01-17T00:00:00"/>
    <x v="3"/>
    <s v="Rhode Island"/>
    <s v="Providence"/>
    <s v="Men's Apparel"/>
    <n v="50"/>
    <n v="150"/>
    <x v="20"/>
    <x v="318"/>
    <s v="In-store"/>
  </r>
  <r>
    <s v="Sports Direct"/>
    <n v="1185732"/>
    <d v="2021-02-15T00:00:00"/>
    <x v="3"/>
    <s v="Rhode Island"/>
    <s v="Providence"/>
    <s v="Men's Athletic Footwear"/>
    <n v="40"/>
    <n v="150"/>
    <x v="14"/>
    <x v="128"/>
    <s v="In-store"/>
  </r>
  <r>
    <s v="Sports Direct"/>
    <n v="1185732"/>
    <d v="2021-02-15T00:00:00"/>
    <x v="3"/>
    <s v="Massachusetts"/>
    <s v="Boston"/>
    <s v="Men's Apparel"/>
    <n v="50"/>
    <n v="150"/>
    <x v="20"/>
    <x v="318"/>
    <s v="In-store"/>
  </r>
  <r>
    <s v="Sports Direct"/>
    <n v="1185732"/>
    <d v="2021-04-14T00:00:00"/>
    <x v="3"/>
    <s v="Massachusetts"/>
    <s v="Boston"/>
    <s v="Men's Athletic Footwear"/>
    <n v="40"/>
    <n v="150"/>
    <x v="14"/>
    <x v="128"/>
    <s v="In-store"/>
  </r>
  <r>
    <s v="Sports Direct"/>
    <n v="1185732"/>
    <d v="2021-04-14T00:00:00"/>
    <x v="3"/>
    <s v="Massachusetts"/>
    <s v="Boston"/>
    <s v="Women's Street Footwear"/>
    <n v="30"/>
    <n v="150"/>
    <x v="108"/>
    <x v="766"/>
    <s v="In-store"/>
  </r>
  <r>
    <s v="Sports Direct"/>
    <n v="1185732"/>
    <d v="2021-08-14T00:00:00"/>
    <x v="3"/>
    <s v="Massachusetts"/>
    <s v="Boston"/>
    <s v="Men's Apparel"/>
    <n v="55"/>
    <n v="150"/>
    <x v="180"/>
    <x v="203"/>
    <s v="In-store"/>
  </r>
  <r>
    <s v="Sports Direct"/>
    <n v="1185732"/>
    <d v="2021-09-13T00:00:00"/>
    <x v="3"/>
    <s v="Massachusetts"/>
    <s v="Boston"/>
    <s v="Women's Street Footwear"/>
    <n v="45"/>
    <n v="150"/>
    <x v="6"/>
    <x v="462"/>
    <s v="In-store"/>
  </r>
  <r>
    <s v="Amazon"/>
    <n v="1185732"/>
    <d v="2021-02-12T00:00:00"/>
    <x v="3"/>
    <s v="Vermont"/>
    <s v="Burlington"/>
    <s v="Women's Athletic Footwear"/>
    <n v="40"/>
    <n v="150"/>
    <x v="14"/>
    <x v="41"/>
    <s v="In-store"/>
  </r>
  <r>
    <s v="Amazon"/>
    <n v="1185732"/>
    <d v="2021-04-11T00:00:00"/>
    <x v="3"/>
    <s v="Vermont"/>
    <s v="Burlington"/>
    <s v="Women's Athletic Footwear"/>
    <n v="40"/>
    <n v="150"/>
    <x v="14"/>
    <x v="41"/>
    <s v="In-store"/>
  </r>
  <r>
    <s v="Amazon"/>
    <n v="1185732"/>
    <d v="2021-04-11T00:00:00"/>
    <x v="3"/>
    <s v="Vermont"/>
    <s v="Burlington"/>
    <s v="Men's Apparel"/>
    <n v="55"/>
    <n v="150"/>
    <x v="180"/>
    <x v="195"/>
    <s v="In-store"/>
  </r>
  <r>
    <s v="Amazon"/>
    <n v="1185732"/>
    <d v="2021-03-17T00:00:00"/>
    <x v="3"/>
    <s v="New Hampshire"/>
    <s v="Manchester"/>
    <s v="Women's Athletic Footwear"/>
    <n v="45"/>
    <n v="150"/>
    <x v="6"/>
    <x v="461"/>
    <s v="In-store"/>
  </r>
  <r>
    <s v="Foot Locker"/>
    <n v="1185732"/>
    <d v="2021-01-24T00:00:00"/>
    <x v="3"/>
    <s v="New Hampshire"/>
    <s v="Manchester"/>
    <s v="Women's Athletic Footwear"/>
    <n v="50"/>
    <n v="150"/>
    <x v="20"/>
    <x v="318"/>
    <s v="Outlet"/>
  </r>
  <r>
    <s v="Walmart"/>
    <n v="1197831"/>
    <d v="2020-09-15T00:00:00"/>
    <x v="1"/>
    <s v="Texas"/>
    <s v="Houston"/>
    <s v="Men's Apparel"/>
    <n v="42"/>
    <n v="150"/>
    <x v="477"/>
    <x v="529"/>
    <s v="Online"/>
  </r>
  <r>
    <s v="West Gear"/>
    <n v="1128299"/>
    <d v="2020-11-10T00:00:00"/>
    <x v="4"/>
    <s v="California"/>
    <s v="San Francisco"/>
    <s v="Women's Athletic Footwear"/>
    <n v="47"/>
    <n v="150"/>
    <x v="987"/>
    <x v="680"/>
    <s v="Online"/>
  </r>
  <r>
    <s v="Foot Locker"/>
    <n v="1185732"/>
    <d v="2021-08-05T00:00:00"/>
    <x v="2"/>
    <s v="Illinois"/>
    <s v="Chicago"/>
    <s v="Men's Street Footwear"/>
    <n v="57"/>
    <n v="150"/>
    <x v="153"/>
    <x v="136"/>
    <s v="Online"/>
  </r>
  <r>
    <s v="Sports Direct"/>
    <n v="1197831"/>
    <d v="2021-09-19T00:00:00"/>
    <x v="1"/>
    <s v="Texas"/>
    <s v="Dallas"/>
    <s v="Women's Athletic Footwear"/>
    <n v="43"/>
    <n v="150"/>
    <x v="549"/>
    <x v="73"/>
    <s v="Online"/>
  </r>
  <r>
    <s v="West Gear"/>
    <n v="1128299"/>
    <d v="2020-03-04T00:00:00"/>
    <x v="4"/>
    <s v="Nevada"/>
    <s v="Las Vegas"/>
    <s v="Men's Athletic Footwear"/>
    <n v="64"/>
    <n v="150"/>
    <x v="369"/>
    <x v="483"/>
    <s v="Online"/>
  </r>
  <r>
    <s v="West Gear"/>
    <n v="1128299"/>
    <d v="2020-03-14T00:00:00"/>
    <x v="4"/>
    <s v="Nevada"/>
    <s v="Las Vegas"/>
    <s v="Women's Apparel"/>
    <n v="74"/>
    <n v="150"/>
    <x v="788"/>
    <x v="477"/>
    <s v="Online"/>
  </r>
  <r>
    <s v="West Gear"/>
    <n v="1128299"/>
    <d v="2020-04-16T00:00:00"/>
    <x v="4"/>
    <s v="Colorado"/>
    <s v="Denver"/>
    <s v="Women's Street Footwear"/>
    <n v="64"/>
    <n v="150"/>
    <x v="369"/>
    <x v="187"/>
    <s v="Online"/>
  </r>
  <r>
    <s v="West Gear"/>
    <n v="1128299"/>
    <d v="2020-05-14T00:00:00"/>
    <x v="4"/>
    <s v="Colorado"/>
    <s v="Denver"/>
    <s v="Men's Street Footwear"/>
    <n v="52"/>
    <n v="150"/>
    <x v="897"/>
    <x v="135"/>
    <s v="Online"/>
  </r>
  <r>
    <s v="West Gear"/>
    <n v="1128299"/>
    <d v="2020-05-15T00:00:00"/>
    <x v="4"/>
    <s v="Colorado"/>
    <s v="Denver"/>
    <s v="Men's Athletic Footwear"/>
    <n v="55"/>
    <n v="150"/>
    <x v="492"/>
    <x v="121"/>
    <s v="Online"/>
  </r>
  <r>
    <s v="West Gear"/>
    <n v="1128299"/>
    <d v="2020-08-05T00:00:00"/>
    <x v="4"/>
    <s v="Washington"/>
    <s v="Seattle"/>
    <s v="Women's Apparel"/>
    <n v="86"/>
    <n v="150"/>
    <x v="313"/>
    <x v="769"/>
    <s v="Online"/>
  </r>
  <r>
    <s v="Kohl's"/>
    <n v="1189833"/>
    <d v="2021-01-21T00:00:00"/>
    <x v="2"/>
    <s v="Montana"/>
    <s v="Billings"/>
    <s v="Men's Street Footwear"/>
    <n v="39"/>
    <n v="150"/>
    <x v="695"/>
    <x v="251"/>
    <s v="Online"/>
  </r>
  <r>
    <s v="Kohl's"/>
    <n v="1189833"/>
    <d v="2021-02-01T00:00:00"/>
    <x v="2"/>
    <s v="Montana"/>
    <s v="Billings"/>
    <s v="Women's Apparel"/>
    <n v="55"/>
    <n v="150"/>
    <x v="492"/>
    <x v="701"/>
    <s v="Online"/>
  </r>
  <r>
    <s v="Sports Direct"/>
    <n v="1197831"/>
    <d v="2021-05-04T00:00:00"/>
    <x v="1"/>
    <s v="Tennessee"/>
    <s v="Knoxville"/>
    <s v="Men's Athletic Footwear"/>
    <n v="32"/>
    <n v="150"/>
    <x v="367"/>
    <x v="514"/>
    <s v="Online"/>
  </r>
  <r>
    <s v="Sports Direct"/>
    <n v="1197831"/>
    <d v="2021-09-23T00:00:00"/>
    <x v="1"/>
    <s v="Alabama"/>
    <s v="Birmingham"/>
    <s v="Women's Apparel"/>
    <n v="37"/>
    <n v="150"/>
    <x v="817"/>
    <x v="770"/>
    <s v="Online"/>
  </r>
  <r>
    <s v="Foot Locker"/>
    <n v="1128299"/>
    <d v="2021-07-09T00:00:00"/>
    <x v="4"/>
    <s v="Hawaii"/>
    <s v="Honolulu"/>
    <s v="Women's Street Footwear"/>
    <n v="79"/>
    <n v="150"/>
    <x v="988"/>
    <x v="770"/>
    <s v="Online"/>
  </r>
  <r>
    <s v="Walmart"/>
    <n v="1128299"/>
    <d v="2021-11-17T00:00:00"/>
    <x v="0"/>
    <s v="Florida"/>
    <s v="Orlando"/>
    <s v="Women's Athletic Footwear"/>
    <n v="64"/>
    <n v="150"/>
    <x v="369"/>
    <x v="480"/>
    <s v="Online"/>
  </r>
  <r>
    <s v="West Gear"/>
    <n v="1185732"/>
    <d v="2021-06-10T00:00:00"/>
    <x v="3"/>
    <s v="New York"/>
    <s v="Albany"/>
    <s v="Women's Street Footwear"/>
    <n v="48"/>
    <n v="150"/>
    <x v="665"/>
    <x v="426"/>
    <s v="Online"/>
  </r>
  <r>
    <s v="West Gear"/>
    <n v="1185732"/>
    <d v="2021-06-10T00:00:00"/>
    <x v="3"/>
    <s v="New York"/>
    <s v="Albany"/>
    <s v="Men's Apparel"/>
    <n v="62"/>
    <n v="150"/>
    <x v="962"/>
    <x v="313"/>
    <s v="Online"/>
  </r>
  <r>
    <s v="West Gear"/>
    <n v="1185732"/>
    <d v="2021-07-08T00:00:00"/>
    <x v="3"/>
    <s v="New York"/>
    <s v="Albany"/>
    <s v="Women's Athletic Footwear"/>
    <n v="53"/>
    <n v="150"/>
    <x v="707"/>
    <x v="143"/>
    <s v="Online"/>
  </r>
  <r>
    <s v="West Gear"/>
    <n v="1185732"/>
    <d v="2021-08-09T00:00:00"/>
    <x v="3"/>
    <s v="New York"/>
    <s v="Albany"/>
    <s v="Women's Athletic Footwear"/>
    <n v="41"/>
    <n v="150"/>
    <x v="802"/>
    <x v="685"/>
    <s v="Online"/>
  </r>
  <r>
    <s v="West Gear"/>
    <n v="1185732"/>
    <d v="2021-10-10T00:00:00"/>
    <x v="3"/>
    <s v="New York"/>
    <s v="Albany"/>
    <s v="Men's Apparel"/>
    <n v="59"/>
    <n v="150"/>
    <x v="419"/>
    <x v="218"/>
    <s v="Online"/>
  </r>
  <r>
    <s v="Kohl's"/>
    <n v="1185732"/>
    <d v="2021-07-10T00:00:00"/>
    <x v="4"/>
    <s v="Wyoming"/>
    <s v="Cheyenne"/>
    <s v="Women's Athletic Footwear"/>
    <n v="39"/>
    <n v="150"/>
    <x v="695"/>
    <x v="534"/>
    <s v="Online"/>
  </r>
  <r>
    <s v="Kohl's"/>
    <n v="1185732"/>
    <d v="2021-09-10T00:00:00"/>
    <x v="4"/>
    <s v="Wyoming"/>
    <s v="Cheyenne"/>
    <s v="Men's Athletic Footwear"/>
    <n v="44"/>
    <n v="150"/>
    <x v="989"/>
    <x v="287"/>
    <s v="Online"/>
  </r>
  <r>
    <s v="Kohl's"/>
    <n v="1185732"/>
    <d v="2021-10-12T00:00:00"/>
    <x v="4"/>
    <s v="Wyoming"/>
    <s v="Cheyenne"/>
    <s v="Women's Apparel"/>
    <n v="55"/>
    <n v="150"/>
    <x v="492"/>
    <x v="121"/>
    <s v="Online"/>
  </r>
  <r>
    <s v="Sports Direct"/>
    <n v="1128299"/>
    <d v="2021-12-23T00:00:00"/>
    <x v="0"/>
    <s v="Virginia"/>
    <s v="Richmond"/>
    <s v="Women's Apparel"/>
    <n v="82"/>
    <n v="150"/>
    <x v="990"/>
    <x v="147"/>
    <s v="Online"/>
  </r>
  <r>
    <s v="Sports Direct"/>
    <n v="1185732"/>
    <d v="2021-02-17T00:00:00"/>
    <x v="0"/>
    <s v="Virginia"/>
    <s v="Richmond"/>
    <s v="Women's Street Footwear"/>
    <n v="23"/>
    <n v="150"/>
    <x v="636"/>
    <x v="751"/>
    <s v="Online"/>
  </r>
  <r>
    <s v="Sports Direct"/>
    <n v="1185732"/>
    <d v="2021-05-15T00:00:00"/>
    <x v="2"/>
    <s v="Michigan"/>
    <s v="Detroit"/>
    <s v="Men's Athletic Footwear"/>
    <n v="47"/>
    <n v="150"/>
    <x v="987"/>
    <x v="740"/>
    <s v="Online"/>
  </r>
  <r>
    <s v="Sports Direct"/>
    <n v="1185732"/>
    <d v="2021-05-15T00:00:00"/>
    <x v="2"/>
    <s v="Michigan"/>
    <s v="Detroit"/>
    <s v="Women's Apparel"/>
    <n v="55"/>
    <n v="150"/>
    <x v="492"/>
    <x v="297"/>
    <s v="Online"/>
  </r>
  <r>
    <s v="Foot Locker"/>
    <n v="1185732"/>
    <d v="2021-11-18T00:00:00"/>
    <x v="2"/>
    <s v="Missouri"/>
    <s v="St. Louis"/>
    <s v="Men's Street Footwear"/>
    <n v="34"/>
    <n v="150"/>
    <x v="285"/>
    <x v="112"/>
    <s v="Online"/>
  </r>
  <r>
    <s v="West Gear"/>
    <n v="1185732"/>
    <d v="2021-06-11T00:00:00"/>
    <x v="4"/>
    <s v="Utah"/>
    <s v="Salt Lake City"/>
    <s v="Women's Apparel"/>
    <n v="38"/>
    <n v="150"/>
    <x v="991"/>
    <x v="143"/>
    <s v="Online"/>
  </r>
  <r>
    <s v="West Gear"/>
    <n v="1185732"/>
    <d v="2021-07-10T00:00:00"/>
    <x v="4"/>
    <s v="Utah"/>
    <s v="Salt Lake City"/>
    <s v="Women's Apparel"/>
    <n v="38"/>
    <n v="150"/>
    <x v="991"/>
    <x v="525"/>
    <s v="Online"/>
  </r>
  <r>
    <s v="West Gear"/>
    <n v="1128299"/>
    <d v="2021-07-23T00:00:00"/>
    <x v="4"/>
    <s v="Oregon"/>
    <s v="Portland"/>
    <s v="Women's Apparel"/>
    <n v="97"/>
    <n v="150"/>
    <x v="992"/>
    <x v="523"/>
    <s v="Online"/>
  </r>
  <r>
    <s v="Sports Direct"/>
    <n v="1197831"/>
    <d v="2021-11-05T00:00:00"/>
    <x v="4"/>
    <s v="Idaho"/>
    <s v="Boise"/>
    <s v="Women's Street Footwear"/>
    <n v="58"/>
    <n v="150"/>
    <x v="266"/>
    <x v="136"/>
    <s v="Online"/>
  </r>
  <r>
    <s v="Kohl's"/>
    <n v="1128299"/>
    <d v="2021-05-27T00:00:00"/>
    <x v="4"/>
    <s v="New Mexico"/>
    <s v="Albuquerque"/>
    <s v="Men's Street Footwear"/>
    <n v="51"/>
    <n v="150"/>
    <x v="464"/>
    <x v="489"/>
    <s v="Online"/>
  </r>
  <r>
    <s v="Kohl's"/>
    <n v="1128299"/>
    <d v="2021-11-26T00:00:00"/>
    <x v="4"/>
    <s v="New Mexico"/>
    <s v="Albuquerque"/>
    <s v="Men's Athletic Footwear"/>
    <n v="59"/>
    <n v="150"/>
    <x v="419"/>
    <x v="76"/>
    <s v="Online"/>
  </r>
  <r>
    <s v="Sports Direct"/>
    <n v="1128299"/>
    <d v="2021-06-13T00:00:00"/>
    <x v="0"/>
    <s v="Georgia"/>
    <s v="Atlanta"/>
    <s v="Women's Apparel"/>
    <n v="67"/>
    <n v="150"/>
    <x v="347"/>
    <x v="691"/>
    <s v="Online"/>
  </r>
  <r>
    <s v="Sports Direct"/>
    <n v="1128299"/>
    <d v="2021-08-13T00:00:00"/>
    <x v="0"/>
    <s v="Georgia"/>
    <s v="Atlanta"/>
    <s v="Women's Street Footwear"/>
    <n v="54"/>
    <n v="150"/>
    <x v="771"/>
    <x v="177"/>
    <s v="Online"/>
  </r>
  <r>
    <s v="Sports Direct"/>
    <n v="1185732"/>
    <d v="2021-03-02T00:00:00"/>
    <x v="0"/>
    <s v="North Carolina"/>
    <s v="Charlotte"/>
    <s v="Men's Athletic Footwear"/>
    <n v="29"/>
    <n v="150"/>
    <x v="993"/>
    <x v="453"/>
    <s v="Online"/>
  </r>
  <r>
    <s v="Sports Direct"/>
    <n v="1185732"/>
    <d v="2021-05-02T00:00:00"/>
    <x v="0"/>
    <s v="North Carolina"/>
    <s v="Charlotte"/>
    <s v="Women's Athletic Footwear"/>
    <n v="38"/>
    <n v="150"/>
    <x v="991"/>
    <x v="263"/>
    <s v="Online"/>
  </r>
  <r>
    <s v="Sports Direct"/>
    <n v="1185732"/>
    <d v="2021-05-02T00:00:00"/>
    <x v="0"/>
    <s v="North Carolina"/>
    <s v="Charlotte"/>
    <s v="Men's Apparel"/>
    <n v="46"/>
    <n v="150"/>
    <x v="621"/>
    <x v="581"/>
    <s v="Online"/>
  </r>
  <r>
    <s v="Sports Direct"/>
    <n v="1185732"/>
    <d v="2021-09-02T00:00:00"/>
    <x v="0"/>
    <s v="North Carolina"/>
    <s v="Charlotte"/>
    <s v="Women's Athletic Footwear"/>
    <n v="28"/>
    <n v="150"/>
    <x v="664"/>
    <x v="659"/>
    <s v="Online"/>
  </r>
  <r>
    <s v="Sports Direct"/>
    <n v="1185732"/>
    <d v="2021-10-04T00:00:00"/>
    <x v="0"/>
    <s v="North Carolina"/>
    <s v="Charlotte"/>
    <s v="Women's Street Footwear"/>
    <n v="34"/>
    <n v="150"/>
    <x v="285"/>
    <x v="112"/>
    <s v="Online"/>
  </r>
  <r>
    <s v="Amazon"/>
    <n v="1185732"/>
    <d v="2021-01-13T00:00:00"/>
    <x v="0"/>
    <s v="North Carolina"/>
    <s v="Charlotte"/>
    <s v="Men's Athletic Footwear"/>
    <n v="33"/>
    <n v="150"/>
    <x v="550"/>
    <x v="633"/>
    <s v="Online"/>
  </r>
  <r>
    <s v="Amazon"/>
    <n v="1185732"/>
    <d v="2021-06-11T00:00:00"/>
    <x v="2"/>
    <s v="Ohio"/>
    <s v="Columbus"/>
    <s v="Men's Apparel"/>
    <n v="62"/>
    <n v="150"/>
    <x v="962"/>
    <x v="531"/>
    <s v="Online"/>
  </r>
  <r>
    <s v="Amazon"/>
    <n v="1185732"/>
    <d v="2021-08-10T00:00:00"/>
    <x v="2"/>
    <s v="Ohio"/>
    <s v="Columbus"/>
    <s v="Women's Street Footwear"/>
    <n v="53"/>
    <n v="150"/>
    <x v="707"/>
    <x v="86"/>
    <s v="Online"/>
  </r>
  <r>
    <s v="Walmart"/>
    <n v="1185732"/>
    <d v="2021-07-16T00:00:00"/>
    <x v="1"/>
    <s v="Mississippi"/>
    <s v="Jackson"/>
    <s v="Men's Apparel"/>
    <n v="59"/>
    <n v="150"/>
    <x v="419"/>
    <x v="77"/>
    <s v="Online"/>
  </r>
  <r>
    <s v="Walmart"/>
    <n v="1197831"/>
    <d v="2021-07-19T00:00:00"/>
    <x v="1"/>
    <s v="Arkansas"/>
    <s v="Little Rock"/>
    <s v="Women's Apparel"/>
    <n v="63"/>
    <n v="150"/>
    <x v="174"/>
    <x v="687"/>
    <s v="Online"/>
  </r>
  <r>
    <s v="Walmart"/>
    <n v="1197831"/>
    <d v="2021-10-21T00:00:00"/>
    <x v="1"/>
    <s v="Arkansas"/>
    <s v="Little Rock"/>
    <s v="Men's Street Footwear"/>
    <n v="27"/>
    <n v="150"/>
    <x v="821"/>
    <x v="256"/>
    <s v="Online"/>
  </r>
  <r>
    <s v="West Gear"/>
    <n v="1197831"/>
    <d v="2021-12-19T00:00:00"/>
    <x v="1"/>
    <s v="Arkansas"/>
    <s v="Little Rock"/>
    <s v="Women's Apparel"/>
    <n v="70"/>
    <n v="150"/>
    <x v="276"/>
    <x v="599"/>
    <s v="Online"/>
  </r>
  <r>
    <s v="West Gear"/>
    <n v="1197831"/>
    <d v="2021-09-19T00:00:00"/>
    <x v="1"/>
    <s v="Oklahoma"/>
    <s v="Oklahoma City"/>
    <s v="Men's Street Footwear"/>
    <n v="49"/>
    <n v="150"/>
    <x v="860"/>
    <x v="87"/>
    <s v="Online"/>
  </r>
  <r>
    <s v="Kohl's"/>
    <n v="1197831"/>
    <d v="2021-04-13T00:00:00"/>
    <x v="2"/>
    <s v="Kansas"/>
    <s v="Wichita"/>
    <s v="Men's Street Footwear"/>
    <n v="24"/>
    <n v="150"/>
    <x v="663"/>
    <x v="771"/>
    <s v="Online"/>
  </r>
  <r>
    <s v="Foot Locker"/>
    <n v="1197831"/>
    <d v="2021-12-12T00:00:00"/>
    <x v="2"/>
    <s v="Kansas"/>
    <s v="Wichita"/>
    <s v="Men's Street Footwear"/>
    <n v="66"/>
    <n v="150"/>
    <x v="642"/>
    <x v="602"/>
    <s v="Online"/>
  </r>
  <r>
    <s v="Foot Locker"/>
    <n v="1185732"/>
    <d v="2021-12-08T00:00:00"/>
    <x v="2"/>
    <s v="North Dakota"/>
    <s v="Fargo"/>
    <s v="Men's Street Footwear"/>
    <n v="55"/>
    <n v="150"/>
    <x v="492"/>
    <x v="658"/>
    <s v="Online"/>
  </r>
  <r>
    <s v="West Gear"/>
    <n v="1185732"/>
    <d v="2021-12-09T00:00:00"/>
    <x v="2"/>
    <s v="Indiana"/>
    <s v="Indianapolis"/>
    <s v="Men's Street Footwear"/>
    <n v="58"/>
    <n v="150"/>
    <x v="266"/>
    <x v="224"/>
    <s v="Online"/>
  </r>
  <r>
    <s v="West Gear"/>
    <n v="1185732"/>
    <d v="2021-06-17T00:00:00"/>
    <x v="3"/>
    <s v="West Virginia"/>
    <s v="Charleston"/>
    <s v="Men's Street Footwear"/>
    <n v="43"/>
    <n v="150"/>
    <x v="549"/>
    <x v="89"/>
    <s v="Online"/>
  </r>
  <r>
    <s v="Sports Direct"/>
    <n v="1185732"/>
    <d v="2021-04-04T00:00:00"/>
    <x v="3"/>
    <s v="Connecticut"/>
    <s v="Hartford"/>
    <s v="Men's Street Footwear"/>
    <n v="36"/>
    <n v="150"/>
    <x v="211"/>
    <x v="401"/>
    <s v="Online"/>
  </r>
  <r>
    <s v="Foot Locker"/>
    <n v="1185732"/>
    <d v="2021-12-03T00:00:00"/>
    <x v="3"/>
    <s v="Connecticut"/>
    <s v="Hartford"/>
    <s v="Men's Street Footwear"/>
    <n v="59"/>
    <n v="150"/>
    <x v="419"/>
    <x v="309"/>
    <s v="Online"/>
  </r>
  <r>
    <s v="Sports Direct"/>
    <n v="1185732"/>
    <d v="2021-07-13T00:00:00"/>
    <x v="3"/>
    <s v="Massachusetts"/>
    <s v="Boston"/>
    <s v="Men's Street Footwear"/>
    <n v="52"/>
    <n v="150"/>
    <x v="897"/>
    <x v="264"/>
    <s v="Online"/>
  </r>
  <r>
    <s v="Amazon"/>
    <n v="1185732"/>
    <d v="2021-12-13T00:00:00"/>
    <x v="3"/>
    <s v="Massachusetts"/>
    <s v="Boston"/>
    <s v="Men's Street Footwear"/>
    <n v="64"/>
    <n v="150"/>
    <x v="369"/>
    <x v="216"/>
    <s v="Online"/>
  </r>
  <r>
    <s v="Sports Direct"/>
    <n v="1197831"/>
    <d v="2021-09-14T00:00:00"/>
    <x v="1"/>
    <s v="Texas"/>
    <s v="Dallas"/>
    <s v="Men's Apparel"/>
    <n v="40"/>
    <n v="150"/>
    <x v="949"/>
    <x v="772"/>
    <s v="Outlet"/>
  </r>
  <r>
    <s v="Foot Locker"/>
    <n v="1185732"/>
    <d v="2021-11-15T00:00:00"/>
    <x v="3"/>
    <s v="Pennsylvania"/>
    <s v="Philadelphia"/>
    <s v="Men's Street Footwear"/>
    <n v="44"/>
    <n v="150"/>
    <x v="989"/>
    <x v="160"/>
    <s v="Outlet"/>
  </r>
  <r>
    <s v="West Gear"/>
    <n v="1128299"/>
    <d v="2020-02-11T00:00:00"/>
    <x v="4"/>
    <s v="Nevada"/>
    <s v="Las Vegas"/>
    <s v="Men's Apparel"/>
    <n v="47"/>
    <n v="150"/>
    <x v="987"/>
    <x v="218"/>
    <s v="Outlet"/>
  </r>
  <r>
    <s v="Sports Direct"/>
    <n v="1197831"/>
    <d v="2021-04-13T00:00:00"/>
    <x v="1"/>
    <s v="Tennessee"/>
    <s v="Knoxville"/>
    <s v="Men's Apparel"/>
    <n v="30"/>
    <n v="150"/>
    <x v="994"/>
    <x v="419"/>
    <s v="Outlet"/>
  </r>
  <r>
    <s v="Walmart"/>
    <n v="1128299"/>
    <d v="2021-09-18T00:00:00"/>
    <x v="0"/>
    <s v="Florida"/>
    <s v="Orlando"/>
    <s v="Men's Athletic Footwear"/>
    <n v="45"/>
    <n v="150"/>
    <x v="481"/>
    <x v="306"/>
    <s v="Outlet"/>
  </r>
  <r>
    <s v="Foot Locker"/>
    <n v="1128299"/>
    <d v="2021-11-23T00:00:00"/>
    <x v="4"/>
    <s v="Arizona"/>
    <s v="Phoenix"/>
    <s v="Men's Street Footwear"/>
    <n v="31"/>
    <n v="150"/>
    <x v="995"/>
    <x v="765"/>
    <s v="Outlet"/>
  </r>
  <r>
    <s v="Sports Direct"/>
    <n v="1128299"/>
    <d v="2021-12-25T00:00:00"/>
    <x v="4"/>
    <s v="New Mexico"/>
    <s v="Albuquerque"/>
    <s v="Women's Street Footwear"/>
    <n v="44"/>
    <n v="150"/>
    <x v="989"/>
    <x v="449"/>
    <s v="Outlet"/>
  </r>
  <r>
    <s v="Sports Direct"/>
    <n v="1128299"/>
    <d v="2021-02-13T00:00:00"/>
    <x v="4"/>
    <s v="New Mexico"/>
    <s v="Albuquerque"/>
    <s v="Men's Street Footwear"/>
    <n v="23"/>
    <n v="150"/>
    <x v="636"/>
    <x v="751"/>
    <s v="Outlet"/>
  </r>
  <r>
    <s v="Sports Direct"/>
    <n v="1128299"/>
    <d v="2021-08-13T00:00:00"/>
    <x v="0"/>
    <s v="Georgia"/>
    <s v="Atlanta"/>
    <s v="Women's Street Footwear"/>
    <n v="42"/>
    <n v="150"/>
    <x v="477"/>
    <x v="454"/>
    <s v="Outlet"/>
  </r>
  <r>
    <s v="Foot Locker"/>
    <n v="1185732"/>
    <d v="2021-05-16T00:00:00"/>
    <x v="1"/>
    <s v="Mississippi"/>
    <s v="Jackson"/>
    <s v="Women's Apparel"/>
    <n v="35"/>
    <n v="150"/>
    <x v="647"/>
    <x v="592"/>
    <s v="Outlet"/>
  </r>
  <r>
    <s v="Foot Locker"/>
    <n v="1185732"/>
    <d v="2021-06-18T00:00:00"/>
    <x v="1"/>
    <s v="Mississippi"/>
    <s v="Jackson"/>
    <s v="Men's Athletic Footwear"/>
    <n v="29"/>
    <n v="150"/>
    <x v="993"/>
    <x v="708"/>
    <s v="Outlet"/>
  </r>
  <r>
    <s v="Walmart"/>
    <n v="1185732"/>
    <d v="2021-07-16T00:00:00"/>
    <x v="1"/>
    <s v="Mississippi"/>
    <s v="Jackson"/>
    <s v="Men's Apparel"/>
    <n v="46"/>
    <n v="150"/>
    <x v="621"/>
    <x v="431"/>
    <s v="Outlet"/>
  </r>
  <r>
    <s v="Foot Locker"/>
    <n v="1185732"/>
    <d v="2021-05-06T00:00:00"/>
    <x v="3"/>
    <s v="Rhode Island"/>
    <s v="Providence"/>
    <s v="Men's Street Footwear"/>
    <n v="39"/>
    <n v="150"/>
    <x v="695"/>
    <x v="746"/>
    <s v="Outlet"/>
  </r>
  <r>
    <s v="Foot Locker"/>
    <n v="1185732"/>
    <d v="2021-07-12T00:00:00"/>
    <x v="2"/>
    <s v="Illinois"/>
    <s v="Chicago"/>
    <s v="Men's Street Footwear"/>
    <n v="49"/>
    <n v="149"/>
    <x v="899"/>
    <x v="284"/>
    <s v="Online"/>
  </r>
  <r>
    <s v="West Gear"/>
    <n v="1128299"/>
    <d v="2020-01-26T00:00:00"/>
    <x v="4"/>
    <s v="Nevada"/>
    <s v="Las Vegas"/>
    <s v="Men's Street Footwear"/>
    <n v="58"/>
    <n v="149"/>
    <x v="543"/>
    <x v="475"/>
    <s v="Online"/>
  </r>
  <r>
    <s v="West Gear"/>
    <n v="1128299"/>
    <d v="2020-07-19T00:00:00"/>
    <x v="4"/>
    <s v="Washington"/>
    <s v="Seattle"/>
    <s v="Men's Street Footwear"/>
    <n v="58"/>
    <n v="149"/>
    <x v="543"/>
    <x v="423"/>
    <s v="Online"/>
  </r>
  <r>
    <s v="Sports Direct"/>
    <n v="1197831"/>
    <d v="2021-05-18T00:00:00"/>
    <x v="1"/>
    <s v="Tennessee"/>
    <s v="Knoxville"/>
    <s v="Women's Athletic Footwear"/>
    <n v="54"/>
    <n v="149"/>
    <x v="934"/>
    <x v="359"/>
    <s v="Online"/>
  </r>
  <r>
    <s v="Sports Direct"/>
    <n v="1197831"/>
    <d v="2021-08-24T00:00:00"/>
    <x v="1"/>
    <s v="Alabama"/>
    <s v="Birmingham"/>
    <s v="Women's Apparel"/>
    <n v="20"/>
    <n v="149"/>
    <x v="952"/>
    <x v="773"/>
    <s v="Online"/>
  </r>
  <r>
    <s v="Foot Locker"/>
    <n v="1128299"/>
    <d v="2021-07-09T00:00:00"/>
    <x v="4"/>
    <s v="Hawaii"/>
    <s v="Honolulu"/>
    <s v="Men's Apparel"/>
    <n v="80"/>
    <n v="149"/>
    <x v="203"/>
    <x v="515"/>
    <s v="Online"/>
  </r>
  <r>
    <s v="Walmart"/>
    <n v="1128299"/>
    <d v="2021-09-11T00:00:00"/>
    <x v="4"/>
    <s v="Hawaii"/>
    <s v="Honolulu"/>
    <s v="Men's Street Footwear"/>
    <n v="62"/>
    <n v="149"/>
    <x v="236"/>
    <x v="251"/>
    <s v="Online"/>
  </r>
  <r>
    <s v="Walmart"/>
    <n v="1128299"/>
    <d v="2021-09-11T00:00:00"/>
    <x v="4"/>
    <s v="Hawaii"/>
    <s v="Honolulu"/>
    <s v="Men's Athletic Footwear"/>
    <n v="69"/>
    <n v="149"/>
    <x v="996"/>
    <x v="142"/>
    <s v="Online"/>
  </r>
  <r>
    <s v="West Gear"/>
    <n v="1185732"/>
    <d v="2021-08-09T00:00:00"/>
    <x v="3"/>
    <s v="New York"/>
    <s v="Albany"/>
    <s v="Men's Apparel"/>
    <n v="52"/>
    <n v="149"/>
    <x v="729"/>
    <x v="284"/>
    <s v="Online"/>
  </r>
  <r>
    <s v="Kohl's"/>
    <n v="1185732"/>
    <d v="2021-03-10T00:00:00"/>
    <x v="4"/>
    <s v="Wyoming"/>
    <s v="Cheyenne"/>
    <s v="Women's Street Footwear"/>
    <n v="27"/>
    <n v="149"/>
    <x v="997"/>
    <x v="736"/>
    <s v="Online"/>
  </r>
  <r>
    <s v="Kohl's"/>
    <n v="1185732"/>
    <d v="2021-04-11T00:00:00"/>
    <x v="4"/>
    <s v="Wyoming"/>
    <s v="Cheyenne"/>
    <s v="Women's Apparel"/>
    <n v="36"/>
    <n v="149"/>
    <x v="417"/>
    <x v="335"/>
    <s v="Online"/>
  </r>
  <r>
    <s v="Kohl's"/>
    <n v="1185732"/>
    <d v="2021-07-10T00:00:00"/>
    <x v="4"/>
    <s v="Wyoming"/>
    <s v="Cheyenne"/>
    <s v="Women's Street Footwear"/>
    <n v="38"/>
    <n v="149"/>
    <x v="692"/>
    <x v="654"/>
    <s v="Online"/>
  </r>
  <r>
    <s v="Foot Locker"/>
    <n v="1128299"/>
    <d v="2021-07-23T00:00:00"/>
    <x v="0"/>
    <s v="Virginia"/>
    <s v="Richmond"/>
    <s v="Women's Athletic Footwear"/>
    <n v="82"/>
    <n v="149"/>
    <x v="253"/>
    <x v="467"/>
    <s v="Online"/>
  </r>
  <r>
    <s v="Foot Locker"/>
    <n v="1128299"/>
    <d v="2021-11-24T00:00:00"/>
    <x v="0"/>
    <s v="Virginia"/>
    <s v="Richmond"/>
    <s v="Women's Apparel"/>
    <n v="74"/>
    <n v="149"/>
    <x v="77"/>
    <x v="164"/>
    <s v="Online"/>
  </r>
  <r>
    <s v="Sports Direct"/>
    <n v="1185732"/>
    <d v="2021-01-19T00:00:00"/>
    <x v="0"/>
    <s v="Virginia"/>
    <s v="Richmond"/>
    <s v="Women's Street Footwear"/>
    <n v="23"/>
    <n v="149"/>
    <x v="998"/>
    <x v="774"/>
    <s v="Online"/>
  </r>
  <r>
    <s v="West Gear"/>
    <n v="1185732"/>
    <d v="2021-11-11T00:00:00"/>
    <x v="4"/>
    <s v="Utah"/>
    <s v="Salt Lake City"/>
    <s v="Men's Street Footwear"/>
    <n v="29"/>
    <n v="149"/>
    <x v="900"/>
    <x v="482"/>
    <s v="Online"/>
  </r>
  <r>
    <s v="West Gear"/>
    <n v="1128299"/>
    <d v="2021-11-24T00:00:00"/>
    <x v="4"/>
    <s v="Oregon"/>
    <s v="Portland"/>
    <s v="Women's Apparel"/>
    <n v="76"/>
    <n v="149"/>
    <x v="49"/>
    <x v="57"/>
    <s v="Online"/>
  </r>
  <r>
    <s v="Kohl's"/>
    <n v="1128299"/>
    <d v="2021-06-26T00:00:00"/>
    <x v="4"/>
    <s v="New Mexico"/>
    <s v="Albuquerque"/>
    <s v="Women's Street Footwear"/>
    <n v="54"/>
    <n v="149"/>
    <x v="934"/>
    <x v="167"/>
    <s v="Online"/>
  </r>
  <r>
    <s v="Kohl's"/>
    <n v="1128299"/>
    <d v="2021-10-26T00:00:00"/>
    <x v="4"/>
    <s v="New Mexico"/>
    <s v="Albuquerque"/>
    <s v="Men's Athletic Footwear"/>
    <n v="50"/>
    <n v="149"/>
    <x v="677"/>
    <x v="600"/>
    <s v="Online"/>
  </r>
  <r>
    <s v="Sports Direct"/>
    <n v="1185732"/>
    <d v="2021-10-04T00:00:00"/>
    <x v="0"/>
    <s v="North Carolina"/>
    <s v="Charlotte"/>
    <s v="Men's Apparel"/>
    <n v="42"/>
    <n v="149"/>
    <x v="769"/>
    <x v="592"/>
    <s v="Online"/>
  </r>
  <r>
    <s v="Kohl's"/>
    <n v="1197831"/>
    <d v="2021-01-16T00:00:00"/>
    <x v="1"/>
    <s v="Oklahoma"/>
    <s v="Oklahoma City"/>
    <s v="Men's Street Footwear"/>
    <n v="23"/>
    <n v="149"/>
    <x v="998"/>
    <x v="544"/>
    <s v="Online"/>
  </r>
  <r>
    <s v="West Gear"/>
    <n v="1185732"/>
    <d v="2021-07-02T00:00:00"/>
    <x v="2"/>
    <s v="Wisconsin"/>
    <s v="Milwaukee"/>
    <s v="Men's Street Footwear"/>
    <n v="45"/>
    <n v="149"/>
    <x v="999"/>
    <x v="116"/>
    <s v="Online"/>
  </r>
  <r>
    <s v="West Gear"/>
    <n v="1185732"/>
    <d v="2021-07-09T00:00:00"/>
    <x v="2"/>
    <s v="Indiana"/>
    <s v="Indianapolis"/>
    <s v="Men's Street Footwear"/>
    <n v="51"/>
    <n v="149"/>
    <x v="346"/>
    <x v="80"/>
    <s v="Online"/>
  </r>
  <r>
    <s v="West Gear"/>
    <n v="1185732"/>
    <d v="2021-02-17T00:00:00"/>
    <x v="2"/>
    <s v="Indiana"/>
    <s v="Indianapolis"/>
    <s v="Men's Street Footwear"/>
    <n v="33"/>
    <n v="149"/>
    <x v="1000"/>
    <x v="689"/>
    <s v="Online"/>
  </r>
  <r>
    <s v="Sports Direct"/>
    <n v="1185732"/>
    <d v="2021-12-06T00:00:00"/>
    <x v="3"/>
    <s v="New Jersey"/>
    <s v="Newark"/>
    <s v="Men's Street Footwear"/>
    <n v="55"/>
    <n v="149"/>
    <x v="1001"/>
    <x v="73"/>
    <s v="Online"/>
  </r>
  <r>
    <s v="Sports Direct"/>
    <n v="1185732"/>
    <d v="2021-02-05T00:00:00"/>
    <x v="3"/>
    <s v="New Jersey"/>
    <s v="Newark"/>
    <s v="Men's Street Footwear"/>
    <n v="39"/>
    <n v="149"/>
    <x v="974"/>
    <x v="406"/>
    <s v="Online"/>
  </r>
  <r>
    <s v="Kohl's"/>
    <n v="1189833"/>
    <d v="2021-04-11T00:00:00"/>
    <x v="4"/>
    <s v="California"/>
    <s v="Los Angeles"/>
    <s v="Men's Apparel"/>
    <n v="38"/>
    <n v="149"/>
    <x v="692"/>
    <x v="422"/>
    <s v="Outlet"/>
  </r>
  <r>
    <s v="Sports Direct"/>
    <n v="1197831"/>
    <d v="2021-09-01T00:00:00"/>
    <x v="1"/>
    <s v="Texas"/>
    <s v="Dallas"/>
    <s v="Women's Athletic Footwear"/>
    <n v="20"/>
    <n v="149"/>
    <x v="952"/>
    <x v="628"/>
    <s v="Outlet"/>
  </r>
  <r>
    <s v="Sports Direct"/>
    <n v="1197831"/>
    <d v="2021-10-02T00:00:00"/>
    <x v="1"/>
    <s v="Texas"/>
    <s v="Dallas"/>
    <s v="Men's Apparel"/>
    <n v="37"/>
    <n v="149"/>
    <x v="978"/>
    <x v="666"/>
    <s v="Outlet"/>
  </r>
  <r>
    <s v="West Gear"/>
    <n v="1128299"/>
    <d v="2020-03-15T00:00:00"/>
    <x v="4"/>
    <s v="Nevada"/>
    <s v="Las Vegas"/>
    <s v="Men's Street Footwear"/>
    <n v="20"/>
    <n v="149"/>
    <x v="952"/>
    <x v="613"/>
    <s v="Outlet"/>
  </r>
  <r>
    <s v="Sports Direct"/>
    <n v="1197831"/>
    <d v="2021-10-04T00:00:00"/>
    <x v="1"/>
    <s v="Alabama"/>
    <s v="Birmingham"/>
    <s v="Men's Apparel"/>
    <n v="37"/>
    <n v="149"/>
    <x v="978"/>
    <x v="454"/>
    <s v="Outlet"/>
  </r>
  <r>
    <s v="Sports Direct"/>
    <n v="1128299"/>
    <d v="2021-03-16T00:00:00"/>
    <x v="0"/>
    <s v="Florida"/>
    <s v="Orlando"/>
    <s v="Women's Street Footwear"/>
    <n v="47"/>
    <n v="149"/>
    <x v="837"/>
    <x v="773"/>
    <s v="Outlet"/>
  </r>
  <r>
    <s v="Foot Locker"/>
    <n v="1128299"/>
    <d v="2021-09-25T00:00:00"/>
    <x v="0"/>
    <s v="Virginia"/>
    <s v="Richmond"/>
    <s v="Men's Street Footwear"/>
    <n v="35"/>
    <n v="149"/>
    <x v="912"/>
    <x v="652"/>
    <s v="Outlet"/>
  </r>
  <r>
    <s v="West Gear"/>
    <n v="1185732"/>
    <d v="2021-02-11T00:00:00"/>
    <x v="4"/>
    <s v="Utah"/>
    <s v="Salt Lake City"/>
    <s v="Women's Apparel"/>
    <n v="18"/>
    <n v="149"/>
    <x v="1002"/>
    <x v="751"/>
    <s v="Outlet"/>
  </r>
  <r>
    <s v="West Gear"/>
    <n v="1128299"/>
    <d v="2021-09-25T00:00:00"/>
    <x v="4"/>
    <s v="Oregon"/>
    <s v="Portland"/>
    <s v="Men's Street Footwear"/>
    <n v="34"/>
    <n v="149"/>
    <x v="1003"/>
    <x v="647"/>
    <s v="Outlet"/>
  </r>
  <r>
    <s v="West Gear"/>
    <n v="1128299"/>
    <d v="2021-11-24T00:00:00"/>
    <x v="4"/>
    <s v="Oregon"/>
    <s v="Portland"/>
    <s v="Women's Athletic Footwear"/>
    <n v="39"/>
    <n v="149"/>
    <x v="974"/>
    <x v="536"/>
    <s v="Outlet"/>
  </r>
  <r>
    <s v="Sports Direct"/>
    <n v="1197831"/>
    <d v="2021-11-05T00:00:00"/>
    <x v="4"/>
    <s v="Idaho"/>
    <s v="Boise"/>
    <s v="Men's Apparel"/>
    <n v="41"/>
    <n v="149"/>
    <x v="902"/>
    <x v="753"/>
    <s v="Outlet"/>
  </r>
  <r>
    <s v="Kohl's"/>
    <n v="1128299"/>
    <d v="2021-07-25T00:00:00"/>
    <x v="4"/>
    <s v="New Mexico"/>
    <s v="Albuquerque"/>
    <s v="Women's Athletic Footwear"/>
    <n v="39"/>
    <n v="149"/>
    <x v="974"/>
    <x v="704"/>
    <s v="Outlet"/>
  </r>
  <r>
    <s v="Kohl's"/>
    <n v="1128299"/>
    <d v="2021-11-26T00:00:00"/>
    <x v="4"/>
    <s v="New Mexico"/>
    <s v="Albuquerque"/>
    <s v="Women's Street Footwear"/>
    <n v="46"/>
    <n v="149"/>
    <x v="893"/>
    <x v="698"/>
    <s v="Outlet"/>
  </r>
  <r>
    <s v="Sports Direct"/>
    <n v="1128299"/>
    <d v="2021-01-13T00:00:00"/>
    <x v="4"/>
    <s v="New Mexico"/>
    <s v="Albuquerque"/>
    <s v="Men's Street Footwear"/>
    <n v="24"/>
    <n v="149"/>
    <x v="812"/>
    <x v="775"/>
    <s v="Outlet"/>
  </r>
  <r>
    <s v="Sports Direct"/>
    <n v="1128299"/>
    <d v="2021-08-13T00:00:00"/>
    <x v="0"/>
    <s v="Georgia"/>
    <s v="Atlanta"/>
    <s v="Women's Athletic Footwear"/>
    <n v="42"/>
    <n v="149"/>
    <x v="769"/>
    <x v="116"/>
    <s v="Outlet"/>
  </r>
  <r>
    <s v="Foot Locker"/>
    <n v="1185732"/>
    <d v="2021-06-18T00:00:00"/>
    <x v="1"/>
    <s v="Mississippi"/>
    <s v="Jackson"/>
    <s v="Women's Athletic Footwear"/>
    <n v="34"/>
    <n v="149"/>
    <x v="1003"/>
    <x v="285"/>
    <s v="Outlet"/>
  </r>
  <r>
    <s v="Walmart"/>
    <n v="1197831"/>
    <d v="2021-06-21T00:00:00"/>
    <x v="1"/>
    <s v="Arkansas"/>
    <s v="Little Rock"/>
    <s v="Men's Athletic Footwear"/>
    <n v="25"/>
    <n v="149"/>
    <x v="926"/>
    <x v="590"/>
    <s v="Outlet"/>
  </r>
  <r>
    <s v="Walmart"/>
    <n v="1197831"/>
    <d v="2021-07-19T00:00:00"/>
    <x v="1"/>
    <s v="Arkansas"/>
    <s v="Little Rock"/>
    <s v="Men's Apparel"/>
    <n v="40"/>
    <n v="149"/>
    <x v="562"/>
    <x v="536"/>
    <s v="Outlet"/>
  </r>
  <r>
    <s v="West Gear"/>
    <n v="1197831"/>
    <d v="2021-12-19T00:00:00"/>
    <x v="1"/>
    <s v="Arkansas"/>
    <s v="Little Rock"/>
    <s v="Women's Street Footwear"/>
    <n v="43"/>
    <n v="149"/>
    <x v="506"/>
    <x v="116"/>
    <s v="Outlet"/>
  </r>
  <r>
    <s v="Kohl's"/>
    <n v="1197831"/>
    <d v="2021-12-19T00:00:00"/>
    <x v="1"/>
    <s v="Oklahoma"/>
    <s v="Oklahoma City"/>
    <s v="Men's Athletic Footwear"/>
    <n v="47"/>
    <n v="149"/>
    <x v="837"/>
    <x v="689"/>
    <s v="Outlet"/>
  </r>
  <r>
    <s v="Foot Locker"/>
    <n v="1185732"/>
    <d v="2021-11-04T00:00:00"/>
    <x v="3"/>
    <s v="Connecticut"/>
    <s v="Hartford"/>
    <s v="Men's Street Footwear"/>
    <n v="51"/>
    <n v="149"/>
    <x v="346"/>
    <x v="622"/>
    <s v="Outlet"/>
  </r>
  <r>
    <s v="Foot Locker"/>
    <n v="1185732"/>
    <d v="2021-01-10T00:00:00"/>
    <x v="3"/>
    <s v="Connecticut"/>
    <s v="Hartford"/>
    <s v="Men's Street Footwear"/>
    <n v="23"/>
    <n v="149"/>
    <x v="998"/>
    <x v="776"/>
    <s v="Outlet"/>
  </r>
  <r>
    <s v="Sports Direct"/>
    <n v="1185732"/>
    <d v="2021-04-14T00:00:00"/>
    <x v="3"/>
    <s v="Massachusetts"/>
    <s v="Boston"/>
    <s v="Men's Street Footwear"/>
    <n v="28"/>
    <n v="149"/>
    <x v="1004"/>
    <x v="761"/>
    <s v="Outlet"/>
  </r>
  <r>
    <s v="Amazon"/>
    <n v="1185732"/>
    <d v="2021-08-11T00:00:00"/>
    <x v="3"/>
    <s v="Vermont"/>
    <s v="Burlington"/>
    <s v="Men's Athletic Footwear"/>
    <n v="43"/>
    <n v="149"/>
    <x v="506"/>
    <x v="251"/>
    <s v="Outlet"/>
  </r>
  <r>
    <s v="Amazon"/>
    <n v="1185732"/>
    <d v="2021-07-17T00:00:00"/>
    <x v="3"/>
    <s v="New Hampshire"/>
    <s v="Manchester"/>
    <s v="Men's Athletic Footwear"/>
    <n v="47"/>
    <n v="149"/>
    <x v="837"/>
    <x v="263"/>
    <s v="Outlet"/>
  </r>
  <r>
    <s v="Foot Locker"/>
    <n v="1185732"/>
    <d v="2021-11-18T00:00:00"/>
    <x v="3"/>
    <s v="New Hampshire"/>
    <s v="Manchester"/>
    <s v="Men's Street Footwear"/>
    <n v="59"/>
    <n v="149"/>
    <x v="758"/>
    <x v="532"/>
    <s v="Outlet"/>
  </r>
  <r>
    <s v="Walmart"/>
    <n v="1197831"/>
    <d v="2020-08-10T00:00:00"/>
    <x v="1"/>
    <s v="Texas"/>
    <s v="Houston"/>
    <s v="Men's Apparel"/>
    <n v="42"/>
    <n v="147"/>
    <x v="756"/>
    <x v="638"/>
    <s v="Online"/>
  </r>
  <r>
    <s v="Sports Direct"/>
    <n v="1197831"/>
    <d v="2021-08-16T00:00:00"/>
    <x v="1"/>
    <s v="Texas"/>
    <s v="Dallas"/>
    <s v="Women's Apparel"/>
    <n v="33"/>
    <n v="147"/>
    <x v="1005"/>
    <x v="586"/>
    <s v="Online"/>
  </r>
  <r>
    <s v="Sports Direct"/>
    <n v="1197831"/>
    <d v="2021-09-25T00:00:00"/>
    <x v="1"/>
    <s v="Texas"/>
    <s v="Dallas"/>
    <s v="Women's Athletic Footwear"/>
    <n v="47"/>
    <n v="147"/>
    <x v="540"/>
    <x v="102"/>
    <s v="Online"/>
  </r>
  <r>
    <s v="Kohl's"/>
    <n v="1189833"/>
    <d v="2021-01-28T00:00:00"/>
    <x v="2"/>
    <s v="Montana"/>
    <s v="Billings"/>
    <s v="Men's Athletic Footwear"/>
    <n v="42"/>
    <n v="147"/>
    <x v="756"/>
    <x v="356"/>
    <s v="Online"/>
  </r>
  <r>
    <s v="Sports Direct"/>
    <n v="1197831"/>
    <d v="2021-05-05T00:00:00"/>
    <x v="1"/>
    <s v="Tennessee"/>
    <s v="Knoxville"/>
    <s v="Women's Street Footwear"/>
    <n v="36"/>
    <n v="147"/>
    <x v="1006"/>
    <x v="296"/>
    <s v="Online"/>
  </r>
  <r>
    <s v="Amazon"/>
    <n v="1185732"/>
    <d v="2021-12-21T00:00:00"/>
    <x v="3"/>
    <s v="Maine"/>
    <s v="Portland"/>
    <s v="Men's Street Footwear"/>
    <n v="50"/>
    <n v="147"/>
    <x v="860"/>
    <x v="581"/>
    <s v="Online"/>
  </r>
  <r>
    <s v="Walmart"/>
    <n v="1128299"/>
    <d v="2021-08-10T00:00:00"/>
    <x v="4"/>
    <s v="Hawaii"/>
    <s v="Honolulu"/>
    <s v="Men's Apparel"/>
    <n v="69"/>
    <n v="147"/>
    <x v="879"/>
    <x v="426"/>
    <s v="Online"/>
  </r>
  <r>
    <s v="Walmart"/>
    <n v="1128299"/>
    <d v="2021-11-17T00:00:00"/>
    <x v="0"/>
    <s v="Florida"/>
    <s v="Orlando"/>
    <s v="Women's Street Footwear"/>
    <n v="53"/>
    <n v="147"/>
    <x v="393"/>
    <x v="424"/>
    <s v="Online"/>
  </r>
  <r>
    <s v="West Gear"/>
    <n v="1128299"/>
    <d v="2021-12-16T00:00:00"/>
    <x v="0"/>
    <s v="Florida"/>
    <s v="Orlando"/>
    <s v="Men's Apparel"/>
    <n v="86"/>
    <n v="147"/>
    <x v="125"/>
    <x v="90"/>
    <s v="Online"/>
  </r>
  <r>
    <s v="West Gear"/>
    <n v="1185732"/>
    <d v="2021-04-09T00:00:00"/>
    <x v="3"/>
    <s v="New York"/>
    <s v="Albany"/>
    <s v="Men's Athletic Footwear"/>
    <n v="43"/>
    <n v="147"/>
    <x v="398"/>
    <x v="287"/>
    <s v="Online"/>
  </r>
  <r>
    <s v="West Gear"/>
    <n v="1185732"/>
    <d v="2021-11-09T00:00:00"/>
    <x v="3"/>
    <s v="New York"/>
    <s v="Albany"/>
    <s v="Women's Street Footwear"/>
    <n v="45"/>
    <n v="147"/>
    <x v="816"/>
    <x v="536"/>
    <s v="Online"/>
  </r>
  <r>
    <s v="Kohl's"/>
    <n v="1185732"/>
    <d v="2021-08-11T00:00:00"/>
    <x v="4"/>
    <s v="Wyoming"/>
    <s v="Cheyenne"/>
    <s v="Women's Athletic Footwear"/>
    <n v="38"/>
    <n v="147"/>
    <x v="1007"/>
    <x v="426"/>
    <s v="Online"/>
  </r>
  <r>
    <s v="West Gear"/>
    <n v="1128299"/>
    <d v="2021-03-16T00:00:00"/>
    <x v="1"/>
    <s v="Louisiana"/>
    <s v="New Orleans"/>
    <s v="Men's Street Footwear"/>
    <n v="44"/>
    <n v="147"/>
    <x v="678"/>
    <x v="438"/>
    <s v="Online"/>
  </r>
  <r>
    <s v="Foot Locker"/>
    <n v="1128299"/>
    <d v="2021-05-24T00:00:00"/>
    <x v="4"/>
    <s v="Arizona"/>
    <s v="Phoenix"/>
    <s v="Men's Street Footwear"/>
    <n v="47"/>
    <n v="147"/>
    <x v="540"/>
    <x v="222"/>
    <s v="Online"/>
  </r>
  <r>
    <s v="Foot Locker"/>
    <n v="1128299"/>
    <d v="2021-11-23T00:00:00"/>
    <x v="4"/>
    <s v="Arizona"/>
    <s v="Phoenix"/>
    <s v="Men's Athletic Footwear"/>
    <n v="46"/>
    <n v="147"/>
    <x v="413"/>
    <x v="691"/>
    <s v="Online"/>
  </r>
  <r>
    <s v="Kohl's"/>
    <n v="1128299"/>
    <d v="2021-02-26T00:00:00"/>
    <x v="4"/>
    <s v="Arizona"/>
    <s v="Phoenix"/>
    <s v="Men's Street Footwear"/>
    <n v="33"/>
    <n v="147"/>
    <x v="1005"/>
    <x v="536"/>
    <s v="Online"/>
  </r>
  <r>
    <s v="Sports Direct"/>
    <n v="1128299"/>
    <d v="2021-06-13T00:00:00"/>
    <x v="0"/>
    <s v="Georgia"/>
    <s v="Atlanta"/>
    <s v="Men's Athletic Footwear"/>
    <n v="54"/>
    <n v="147"/>
    <x v="270"/>
    <x v="86"/>
    <s v="Online"/>
  </r>
  <r>
    <s v="Amazon"/>
    <n v="1185732"/>
    <d v="2021-10-11T00:00:00"/>
    <x v="2"/>
    <s v="Ohio"/>
    <s v="Columbus"/>
    <s v="Women's Apparel"/>
    <n v="38"/>
    <n v="147"/>
    <x v="1007"/>
    <x v="691"/>
    <s v="Online"/>
  </r>
  <r>
    <s v="West Gear"/>
    <n v="1185732"/>
    <d v="2021-12-09T00:00:00"/>
    <x v="2"/>
    <s v="Ohio"/>
    <s v="Columbus"/>
    <s v="Women's Athletic Footwear"/>
    <n v="63"/>
    <n v="147"/>
    <x v="714"/>
    <x v="721"/>
    <s v="Online"/>
  </r>
  <r>
    <s v="Walmart"/>
    <n v="1185732"/>
    <d v="2021-08-17T00:00:00"/>
    <x v="1"/>
    <s v="Mississippi"/>
    <s v="Jackson"/>
    <s v="Women's Street Footwear"/>
    <n v="48"/>
    <n v="147"/>
    <x v="681"/>
    <x v="667"/>
    <s v="Online"/>
  </r>
  <r>
    <s v="Walmart"/>
    <n v="1185732"/>
    <d v="2021-09-16T00:00:00"/>
    <x v="1"/>
    <s v="Mississippi"/>
    <s v="Jackson"/>
    <s v="Men's Athletic Footwear"/>
    <n v="42"/>
    <n v="147"/>
    <x v="756"/>
    <x v="249"/>
    <s v="Online"/>
  </r>
  <r>
    <s v="Walmart"/>
    <n v="1197831"/>
    <d v="2021-07-19T00:00:00"/>
    <x v="1"/>
    <s v="Arkansas"/>
    <s v="Little Rock"/>
    <s v="Men's Athletic Footwear"/>
    <n v="47"/>
    <n v="147"/>
    <x v="540"/>
    <x v="582"/>
    <s v="Online"/>
  </r>
  <r>
    <s v="Sports Direct"/>
    <n v="1185732"/>
    <d v="2021-08-09T00:00:00"/>
    <x v="2"/>
    <s v="North Dakota"/>
    <s v="Fargo"/>
    <s v="Men's Street Footwear"/>
    <n v="46"/>
    <n v="147"/>
    <x v="413"/>
    <x v="154"/>
    <s v="Online"/>
  </r>
  <r>
    <s v="West Gear"/>
    <n v="1185732"/>
    <d v="2021-12-05T00:00:00"/>
    <x v="2"/>
    <s v="Iowa"/>
    <s v="Des Moines"/>
    <s v="Men's Street Footwear"/>
    <n v="54"/>
    <n v="147"/>
    <x v="270"/>
    <x v="251"/>
    <s v="Online"/>
  </r>
  <r>
    <s v="Kohl's"/>
    <n v="1185732"/>
    <d v="2021-02-08T00:00:00"/>
    <x v="3"/>
    <s v="Delaware"/>
    <s v="Wilmington"/>
    <s v="Men's Street Footwear"/>
    <n v="34"/>
    <n v="147"/>
    <x v="1008"/>
    <x v="746"/>
    <s v="Online"/>
  </r>
  <r>
    <s v="Foot Locker"/>
    <n v="1185732"/>
    <d v="2021-05-31T00:00:00"/>
    <x v="4"/>
    <s v="California"/>
    <s v="Los Angeles"/>
    <s v="Men's Street Footwear"/>
    <n v="36"/>
    <n v="147"/>
    <x v="1006"/>
    <x v="536"/>
    <s v="Outlet"/>
  </r>
  <r>
    <s v="Sports Direct"/>
    <n v="1197831"/>
    <d v="2021-09-29T00:00:00"/>
    <x v="1"/>
    <s v="Alabama"/>
    <s v="Birmingham"/>
    <s v="Women's Apparel"/>
    <n v="26"/>
    <n v="147"/>
    <x v="1009"/>
    <x v="534"/>
    <s v="Outlet"/>
  </r>
  <r>
    <s v="Walmart"/>
    <n v="1128299"/>
    <d v="2021-08-17T00:00:00"/>
    <x v="0"/>
    <s v="Florida"/>
    <s v="Orlando"/>
    <s v="Women's Athletic Footwear"/>
    <n v="64"/>
    <n v="147"/>
    <x v="591"/>
    <x v="540"/>
    <s v="Outlet"/>
  </r>
  <r>
    <s v="Walmart"/>
    <n v="1128299"/>
    <d v="2021-11-17T00:00:00"/>
    <x v="0"/>
    <s v="Florida"/>
    <s v="Orlando"/>
    <s v="Men's Apparel"/>
    <n v="58"/>
    <n v="147"/>
    <x v="592"/>
    <x v="451"/>
    <s v="Outlet"/>
  </r>
  <r>
    <s v="Foot Locker"/>
    <n v="1128299"/>
    <d v="2021-04-24T00:00:00"/>
    <x v="0"/>
    <s v="Virginia"/>
    <s v="Richmond"/>
    <s v="Men's Street Footwear"/>
    <n v="38"/>
    <n v="147"/>
    <x v="1007"/>
    <x v="439"/>
    <s v="Outlet"/>
  </r>
  <r>
    <s v="West Gear"/>
    <n v="1128299"/>
    <d v="2021-11-17T00:00:00"/>
    <x v="1"/>
    <s v="Louisiana"/>
    <s v="New Orleans"/>
    <s v="Men's Apparel"/>
    <n v="53"/>
    <n v="147"/>
    <x v="393"/>
    <x v="244"/>
    <s v="Outlet"/>
  </r>
  <r>
    <s v="West Gear"/>
    <n v="1197831"/>
    <d v="2021-01-05T00:00:00"/>
    <x v="1"/>
    <s v="Louisiana"/>
    <s v="New Orleans"/>
    <s v="Women's Apparel"/>
    <n v="23"/>
    <n v="147"/>
    <x v="1010"/>
    <x v="690"/>
    <s v="Outlet"/>
  </r>
  <r>
    <s v="Foot Locker"/>
    <n v="1197831"/>
    <d v="2021-12-04T00:00:00"/>
    <x v="4"/>
    <s v="Idaho"/>
    <s v="Boise"/>
    <s v="Men's Apparel"/>
    <n v="43"/>
    <n v="147"/>
    <x v="398"/>
    <x v="638"/>
    <s v="Outlet"/>
  </r>
  <r>
    <s v="Foot Locker"/>
    <n v="1128299"/>
    <d v="2021-06-23T00:00:00"/>
    <x v="4"/>
    <s v="Arizona"/>
    <s v="Phoenix"/>
    <s v="Women's Street Footwear"/>
    <n v="41"/>
    <n v="147"/>
    <x v="652"/>
    <x v="338"/>
    <s v="Outlet"/>
  </r>
  <r>
    <s v="Kohl's"/>
    <n v="1128299"/>
    <d v="2021-01-26T00:00:00"/>
    <x v="4"/>
    <s v="Arizona"/>
    <s v="Phoenix"/>
    <s v="Men's Athletic Footwear"/>
    <n v="30"/>
    <n v="147"/>
    <x v="579"/>
    <x v="439"/>
    <s v="Outlet"/>
  </r>
  <r>
    <s v="Kohl's"/>
    <n v="1128299"/>
    <d v="2021-09-27T00:00:00"/>
    <x v="4"/>
    <s v="New Mexico"/>
    <s v="Albuquerque"/>
    <s v="Women's Street Footwear"/>
    <n v="39"/>
    <n v="147"/>
    <x v="1011"/>
    <x v="656"/>
    <s v="Outlet"/>
  </r>
  <r>
    <s v="Foot Locker"/>
    <n v="1128299"/>
    <d v="2021-12-12T00:00:00"/>
    <x v="0"/>
    <s v="Georgia"/>
    <s v="Atlanta"/>
    <s v="Women's Street Footwear"/>
    <n v="36"/>
    <n v="147"/>
    <x v="1006"/>
    <x v="772"/>
    <s v="Outlet"/>
  </r>
  <r>
    <s v="Foot Locker"/>
    <n v="1185732"/>
    <d v="2021-04-17T00:00:00"/>
    <x v="1"/>
    <s v="Mississippi"/>
    <s v="Jackson"/>
    <s v="Women's Apparel"/>
    <n v="22"/>
    <n v="147"/>
    <x v="551"/>
    <x v="524"/>
    <s v="Outlet"/>
  </r>
  <r>
    <s v="Walmart"/>
    <n v="1185732"/>
    <d v="2021-08-17T00:00:00"/>
    <x v="1"/>
    <s v="Mississippi"/>
    <s v="Jackson"/>
    <s v="Women's Athletic Footwear"/>
    <n v="32"/>
    <n v="147"/>
    <x v="1012"/>
    <x v="684"/>
    <s v="Outlet"/>
  </r>
  <r>
    <s v="Kohl's"/>
    <n v="1185732"/>
    <d v="2021-11-11T00:00:00"/>
    <x v="4"/>
    <s v="Wyoming"/>
    <s v="Cheyenne"/>
    <s v="Women's Street Footwear"/>
    <n v="42"/>
    <n v="146"/>
    <x v="524"/>
    <x v="296"/>
    <s v="Online"/>
  </r>
  <r>
    <s v="Foot Locker"/>
    <n v="1185732"/>
    <d v="2021-05-07T00:00:00"/>
    <x v="2"/>
    <s v="Iowa"/>
    <s v="Des Moines"/>
    <s v="Men's Street Footwear"/>
    <n v="57"/>
    <n v="146"/>
    <x v="525"/>
    <x v="231"/>
    <s v="Online"/>
  </r>
  <r>
    <s v="Foot Locker"/>
    <n v="1185732"/>
    <d v="2020-12-18T00:00:00"/>
    <x v="2"/>
    <s v="Minnesota"/>
    <s v="Minneapolis"/>
    <s v="Women's Street Footwear"/>
    <n v="40"/>
    <n v="145"/>
    <x v="1013"/>
    <x v="777"/>
    <s v="Outlet"/>
  </r>
  <r>
    <s v="West Gear"/>
    <n v="1128299"/>
    <d v="2020-12-23T00:00:00"/>
    <x v="4"/>
    <s v="California"/>
    <s v="San Francisco"/>
    <s v="Men's Apparel"/>
    <n v="62"/>
    <n v="145"/>
    <x v="961"/>
    <x v="295"/>
    <s v="Online"/>
  </r>
  <r>
    <s v="Kohl's"/>
    <n v="1189833"/>
    <d v="2021-03-11T00:00:00"/>
    <x v="4"/>
    <s v="California"/>
    <s v="Los Angeles"/>
    <s v="Men's Apparel"/>
    <n v="49"/>
    <n v="145"/>
    <x v="640"/>
    <x v="778"/>
    <s v="Online"/>
  </r>
  <r>
    <s v="Sports Direct"/>
    <n v="1197831"/>
    <d v="2021-08-25T00:00:00"/>
    <x v="1"/>
    <s v="Texas"/>
    <s v="Dallas"/>
    <s v="Women's Street Footwear"/>
    <n v="28"/>
    <n v="145"/>
    <x v="873"/>
    <x v="686"/>
    <s v="Online"/>
  </r>
  <r>
    <s v="Sports Direct"/>
    <n v="1197831"/>
    <d v="2021-09-14T00:00:00"/>
    <x v="1"/>
    <s v="Texas"/>
    <s v="Dallas"/>
    <s v="Men's Apparel"/>
    <n v="45"/>
    <n v="145"/>
    <x v="618"/>
    <x v="246"/>
    <s v="Online"/>
  </r>
  <r>
    <s v="Sports Direct"/>
    <n v="1197831"/>
    <d v="2021-10-13T00:00:00"/>
    <x v="1"/>
    <s v="Texas"/>
    <s v="Dallas"/>
    <s v="Women's Athletic Footwear"/>
    <n v="59"/>
    <n v="145"/>
    <x v="123"/>
    <x v="192"/>
    <s v="Online"/>
  </r>
  <r>
    <s v="Foot Locker"/>
    <n v="1185732"/>
    <d v="2021-11-27T00:00:00"/>
    <x v="3"/>
    <s v="Pennsylvania"/>
    <s v="Philadelphia"/>
    <s v="Men's Street Footwear"/>
    <n v="60"/>
    <n v="145"/>
    <x v="266"/>
    <x v="331"/>
    <s v="Online"/>
  </r>
  <r>
    <s v="West Gear"/>
    <n v="1128299"/>
    <d v="2020-02-12T00:00:00"/>
    <x v="4"/>
    <s v="Nevada"/>
    <s v="Las Vegas"/>
    <s v="Women's Apparel"/>
    <n v="78"/>
    <n v="145"/>
    <x v="694"/>
    <x v="142"/>
    <s v="Online"/>
  </r>
  <r>
    <s v="Sports Direct"/>
    <n v="1197831"/>
    <d v="2021-04-13T00:00:00"/>
    <x v="1"/>
    <s v="Tennessee"/>
    <s v="Knoxville"/>
    <s v="Men's Apparel"/>
    <n v="43"/>
    <n v="145"/>
    <x v="436"/>
    <x v="343"/>
    <s v="Online"/>
  </r>
  <r>
    <s v="Foot Locker"/>
    <n v="1185732"/>
    <d v="2021-07-02T00:00:00"/>
    <x v="2"/>
    <s v="Nebraska"/>
    <s v="Omaha"/>
    <s v="Men's Street Footwear"/>
    <n v="41"/>
    <n v="145"/>
    <x v="833"/>
    <x v="344"/>
    <s v="Online"/>
  </r>
  <r>
    <s v="Sports Direct"/>
    <n v="1197831"/>
    <d v="2021-09-04T00:00:00"/>
    <x v="1"/>
    <s v="Alabama"/>
    <s v="Birmingham"/>
    <s v="Men's Apparel"/>
    <n v="49"/>
    <n v="145"/>
    <x v="640"/>
    <x v="522"/>
    <s v="Online"/>
  </r>
  <r>
    <s v="Sports Direct"/>
    <n v="1197831"/>
    <d v="2021-10-10T00:00:00"/>
    <x v="1"/>
    <s v="Alabama"/>
    <s v="Birmingham"/>
    <s v="Men's Apparel"/>
    <n v="58"/>
    <n v="145"/>
    <x v="1014"/>
    <x v="399"/>
    <s v="Online"/>
  </r>
  <r>
    <s v="Sports Direct"/>
    <n v="1128299"/>
    <d v="2021-12-09T00:00:00"/>
    <x v="4"/>
    <s v="Hawaii"/>
    <s v="Honolulu"/>
    <s v="Women's Athletic Footwear"/>
    <n v="73"/>
    <n v="145"/>
    <x v="1015"/>
    <x v="435"/>
    <s v="Online"/>
  </r>
  <r>
    <s v="West Gear"/>
    <n v="1185732"/>
    <d v="2021-01-12T00:00:00"/>
    <x v="0"/>
    <s v="Florida"/>
    <s v="Orlando"/>
    <s v="Women's Athletic Footwear"/>
    <n v="37"/>
    <n v="145"/>
    <x v="944"/>
    <x v="580"/>
    <s v="Online"/>
  </r>
  <r>
    <s v="Kohl's"/>
    <n v="1185732"/>
    <d v="2021-01-14T00:00:00"/>
    <x v="3"/>
    <s v="New York"/>
    <s v="Albany"/>
    <s v="Men's Apparel"/>
    <n v="49"/>
    <n v="145"/>
    <x v="640"/>
    <x v="535"/>
    <s v="Online"/>
  </r>
  <r>
    <s v="Kohl's"/>
    <n v="1185732"/>
    <d v="2021-02-12T00:00:00"/>
    <x v="3"/>
    <s v="New York"/>
    <s v="Albany"/>
    <s v="Men's Athletic Footwear"/>
    <n v="37"/>
    <n v="145"/>
    <x v="944"/>
    <x v="580"/>
    <s v="Online"/>
  </r>
  <r>
    <s v="Kohl's"/>
    <n v="1185732"/>
    <d v="2021-02-12T00:00:00"/>
    <x v="4"/>
    <s v="Wyoming"/>
    <s v="Cheyenne"/>
    <s v="Men's Apparel"/>
    <n v="47"/>
    <n v="145"/>
    <x v="966"/>
    <x v="157"/>
    <s v="Online"/>
  </r>
  <r>
    <s v="Kohl's"/>
    <n v="1185732"/>
    <d v="2021-04-11T00:00:00"/>
    <x v="4"/>
    <s v="Wyoming"/>
    <s v="Cheyenne"/>
    <s v="Women's Street Footwear"/>
    <n v="28"/>
    <n v="145"/>
    <x v="873"/>
    <x v="647"/>
    <s v="Online"/>
  </r>
  <r>
    <s v="Kohl's"/>
    <n v="1185732"/>
    <d v="2021-05-10T00:00:00"/>
    <x v="4"/>
    <s v="Wyoming"/>
    <s v="Cheyenne"/>
    <s v="Women's Street Footwear"/>
    <n v="39"/>
    <n v="145"/>
    <x v="692"/>
    <x v="552"/>
    <s v="Online"/>
  </r>
  <r>
    <s v="Foot Locker"/>
    <n v="1185732"/>
    <d v="2021-12-10T00:00:00"/>
    <x v="4"/>
    <s v="Wyoming"/>
    <s v="Cheyenne"/>
    <s v="Men's Apparel"/>
    <n v="54"/>
    <n v="145"/>
    <x v="609"/>
    <x v="691"/>
    <s v="Online"/>
  </r>
  <r>
    <s v="Sports Direct"/>
    <n v="1185732"/>
    <d v="2021-09-15T00:00:00"/>
    <x v="2"/>
    <s v="Michigan"/>
    <s v="Detroit"/>
    <s v="Women's Street Footwear"/>
    <n v="34"/>
    <n v="145"/>
    <x v="870"/>
    <x v="439"/>
    <s v="Online"/>
  </r>
  <r>
    <s v="Sports Direct"/>
    <n v="1185732"/>
    <d v="2021-11-16T00:00:00"/>
    <x v="2"/>
    <s v="Michigan"/>
    <s v="Detroit"/>
    <s v="Men's Athletic Footwear"/>
    <n v="42"/>
    <n v="145"/>
    <x v="577"/>
    <x v="89"/>
    <s v="Online"/>
  </r>
  <r>
    <s v="West Gear"/>
    <n v="1185732"/>
    <d v="2021-12-10T00:00:00"/>
    <x v="4"/>
    <s v="Utah"/>
    <s v="Salt Lake City"/>
    <s v="Men's Athletic Footwear"/>
    <n v="28"/>
    <n v="145"/>
    <x v="873"/>
    <x v="589"/>
    <s v="Online"/>
  </r>
  <r>
    <s v="West Gear"/>
    <n v="1128299"/>
    <d v="2021-05-25T00:00:00"/>
    <x v="4"/>
    <s v="Oregon"/>
    <s v="Portland"/>
    <s v="Men's Street Footwear"/>
    <n v="48"/>
    <n v="145"/>
    <x v="1016"/>
    <x v="593"/>
    <s v="Online"/>
  </r>
  <r>
    <s v="West Gear"/>
    <n v="1128299"/>
    <d v="2021-09-18T00:00:00"/>
    <x v="1"/>
    <s v="Louisiana"/>
    <s v="New Orleans"/>
    <s v="Men's Street Footwear"/>
    <n v="43"/>
    <n v="145"/>
    <x v="436"/>
    <x v="160"/>
    <s v="Online"/>
  </r>
  <r>
    <s v="Foot Locker"/>
    <n v="1128299"/>
    <d v="2021-03-22T00:00:00"/>
    <x v="4"/>
    <s v="Arizona"/>
    <s v="Phoenix"/>
    <s v="Men's Street Footwear"/>
    <n v="37"/>
    <n v="145"/>
    <x v="944"/>
    <x v="543"/>
    <s v="Online"/>
  </r>
  <r>
    <s v="Foot Locker"/>
    <n v="1128299"/>
    <d v="2021-10-23T00:00:00"/>
    <x v="4"/>
    <s v="Arizona"/>
    <s v="Phoenix"/>
    <s v="Men's Athletic Footwear"/>
    <n v="47"/>
    <n v="145"/>
    <x v="966"/>
    <x v="383"/>
    <s v="Online"/>
  </r>
  <r>
    <s v="Kohl's"/>
    <n v="1128299"/>
    <d v="2021-07-25T00:00:00"/>
    <x v="4"/>
    <s v="New Mexico"/>
    <s v="Albuquerque"/>
    <s v="Men's Apparel"/>
    <n v="57"/>
    <n v="145"/>
    <x v="751"/>
    <x v="595"/>
    <s v="Online"/>
  </r>
  <r>
    <s v="Sports Direct"/>
    <n v="1128299"/>
    <d v="2021-12-25T00:00:00"/>
    <x v="4"/>
    <s v="New Mexico"/>
    <s v="Albuquerque"/>
    <s v="Women's Athletic Footwear"/>
    <n v="55"/>
    <n v="145"/>
    <x v="454"/>
    <x v="667"/>
    <s v="Online"/>
  </r>
  <r>
    <s v="Sports Direct"/>
    <n v="1128299"/>
    <d v="2021-02-13T00:00:00"/>
    <x v="4"/>
    <s v="New Mexico"/>
    <s v="Albuquerque"/>
    <s v="Men's Street Footwear"/>
    <n v="29"/>
    <n v="145"/>
    <x v="955"/>
    <x v="355"/>
    <s v="Online"/>
  </r>
  <r>
    <s v="Walmart"/>
    <n v="1185732"/>
    <d v="2021-10-18T00:00:00"/>
    <x v="1"/>
    <s v="Mississippi"/>
    <s v="Jackson"/>
    <s v="Men's Athletic Footwear"/>
    <n v="25"/>
    <n v="145"/>
    <x v="907"/>
    <x v="591"/>
    <s v="Online"/>
  </r>
  <r>
    <s v="Kohl's"/>
    <n v="1197831"/>
    <d v="2021-10-14T00:00:00"/>
    <x v="2"/>
    <s v="Kansas"/>
    <s v="Wichita"/>
    <s v="Men's Street Footwear"/>
    <n v="29"/>
    <n v="145"/>
    <x v="955"/>
    <x v="709"/>
    <s v="Online"/>
  </r>
  <r>
    <s v="Foot Locker"/>
    <n v="1185732"/>
    <d v="2021-02-06T00:00:00"/>
    <x v="2"/>
    <s v="North Dakota"/>
    <s v="Fargo"/>
    <s v="Men's Street Footwear"/>
    <n v="28"/>
    <n v="145"/>
    <x v="873"/>
    <x v="706"/>
    <s v="Online"/>
  </r>
  <r>
    <s v="Foot Locker"/>
    <n v="1185732"/>
    <d v="2021-07-13T00:00:00"/>
    <x v="3"/>
    <s v="Delaware"/>
    <s v="Wilmington"/>
    <s v="Women's Apparel"/>
    <n v="55"/>
    <n v="145"/>
    <x v="454"/>
    <x v="669"/>
    <s v="Online"/>
  </r>
  <r>
    <s v="Foot Locker"/>
    <n v="1185732"/>
    <d v="2021-01-24T00:00:00"/>
    <x v="3"/>
    <s v="New Hampshire"/>
    <s v="Manchester"/>
    <s v="Men's Street Footwear"/>
    <n v="52"/>
    <n v="145"/>
    <x v="773"/>
    <x v="430"/>
    <s v="Online"/>
  </r>
  <r>
    <s v="Sports Direct"/>
    <n v="1197831"/>
    <d v="2021-10-07T00:00:00"/>
    <x v="1"/>
    <s v="Texas"/>
    <s v="Dallas"/>
    <s v="Women's Athletic Footwear"/>
    <n v="30"/>
    <n v="145"/>
    <x v="993"/>
    <x v="486"/>
    <s v="Outlet"/>
  </r>
  <r>
    <s v="West Gear"/>
    <n v="1128299"/>
    <d v="2020-01-09T00:00:00"/>
    <x v="4"/>
    <s v="Nevada"/>
    <s v="Las Vegas"/>
    <s v="Men's Athletic Footwear"/>
    <n v="35"/>
    <n v="145"/>
    <x v="753"/>
    <x v="731"/>
    <s v="Outlet"/>
  </r>
  <r>
    <s v="West Gear"/>
    <n v="1128299"/>
    <d v="2020-02-04T00:00:00"/>
    <x v="4"/>
    <s v="Nevada"/>
    <s v="Las Vegas"/>
    <s v="Women's Athletic Footwear"/>
    <n v="47"/>
    <n v="145"/>
    <x v="966"/>
    <x v="296"/>
    <s v="Outlet"/>
  </r>
  <r>
    <s v="West Gear"/>
    <n v="1128299"/>
    <d v="2020-03-16T00:00:00"/>
    <x v="4"/>
    <s v="Nevada"/>
    <s v="Las Vegas"/>
    <s v="Men's Athletic Footwear"/>
    <n v="31"/>
    <n v="145"/>
    <x v="994"/>
    <x v="729"/>
    <s v="Outlet"/>
  </r>
  <r>
    <s v="Sports Direct"/>
    <n v="1197831"/>
    <d v="2021-03-27T00:00:00"/>
    <x v="1"/>
    <s v="Tennessee"/>
    <s v="Knoxville"/>
    <s v="Women's Apparel"/>
    <n v="25"/>
    <n v="145"/>
    <x v="907"/>
    <x v="666"/>
    <s v="Outlet"/>
  </r>
  <r>
    <s v="West Gear"/>
    <n v="1128299"/>
    <d v="2021-11-24T00:00:00"/>
    <x v="4"/>
    <s v="Oregon"/>
    <s v="Portland"/>
    <s v="Men's Apparel"/>
    <n v="50"/>
    <n v="145"/>
    <x v="931"/>
    <x v="699"/>
    <s v="Outlet"/>
  </r>
  <r>
    <s v="Foot Locker"/>
    <n v="1128299"/>
    <d v="2021-01-23T00:00:00"/>
    <x v="4"/>
    <s v="Idaho"/>
    <s v="Boise"/>
    <s v="Women's Street Footwear"/>
    <n v="31"/>
    <n v="145"/>
    <x v="994"/>
    <x v="744"/>
    <s v="Outlet"/>
  </r>
  <r>
    <s v="Foot Locker"/>
    <n v="1128299"/>
    <d v="2021-07-22T00:00:00"/>
    <x v="4"/>
    <s v="Arizona"/>
    <s v="Phoenix"/>
    <s v="Men's Apparel"/>
    <n v="40"/>
    <n v="145"/>
    <x v="1017"/>
    <x v="283"/>
    <s v="Outlet"/>
  </r>
  <r>
    <s v="Foot Locker"/>
    <n v="1128299"/>
    <d v="2021-07-22T00:00:00"/>
    <x v="4"/>
    <s v="Arizona"/>
    <s v="Phoenix"/>
    <s v="Women's Apparel"/>
    <n v="46"/>
    <n v="145"/>
    <x v="339"/>
    <x v="541"/>
    <s v="Outlet"/>
  </r>
  <r>
    <s v="Foot Locker"/>
    <n v="1128299"/>
    <d v="2021-09-24T00:00:00"/>
    <x v="4"/>
    <s v="Arizona"/>
    <s v="Phoenix"/>
    <s v="Women's Street Footwear"/>
    <n v="34"/>
    <n v="145"/>
    <x v="870"/>
    <x v="752"/>
    <s v="Outlet"/>
  </r>
  <r>
    <s v="Kohl's"/>
    <n v="1128299"/>
    <d v="2021-09-27T00:00:00"/>
    <x v="4"/>
    <s v="New Mexico"/>
    <s v="Albuquerque"/>
    <s v="Women's Athletic Footwear"/>
    <n v="37"/>
    <n v="145"/>
    <x v="944"/>
    <x v="580"/>
    <s v="Outlet"/>
  </r>
  <r>
    <s v="Kohl's"/>
    <n v="1128299"/>
    <d v="2021-09-27T00:00:00"/>
    <x v="4"/>
    <s v="New Mexico"/>
    <s v="Albuquerque"/>
    <s v="Men's Apparel"/>
    <n v="40"/>
    <n v="145"/>
    <x v="1017"/>
    <x v="256"/>
    <s v="Outlet"/>
  </r>
  <r>
    <s v="Sports Direct"/>
    <n v="1128299"/>
    <d v="2021-05-14T00:00:00"/>
    <x v="0"/>
    <s v="Georgia"/>
    <s v="Atlanta"/>
    <s v="Women's Street Footwear"/>
    <n v="40"/>
    <n v="145"/>
    <x v="1017"/>
    <x v="565"/>
    <s v="Outlet"/>
  </r>
  <r>
    <s v="Sports Direct"/>
    <n v="1128299"/>
    <d v="2021-11-13T00:00:00"/>
    <x v="0"/>
    <s v="Georgia"/>
    <s v="Atlanta"/>
    <s v="Women's Street Footwear"/>
    <n v="39"/>
    <n v="145"/>
    <x v="692"/>
    <x v="565"/>
    <s v="Outlet"/>
  </r>
  <r>
    <s v="Walmart"/>
    <n v="1185732"/>
    <d v="2021-09-16T00:00:00"/>
    <x v="1"/>
    <s v="Mississippi"/>
    <s v="Jackson"/>
    <s v="Women's Street Footwear"/>
    <n v="15"/>
    <n v="145"/>
    <x v="1018"/>
    <x v="779"/>
    <s v="Outlet"/>
  </r>
  <r>
    <s v="Walmart"/>
    <n v="1197831"/>
    <d v="2021-02-21T00:00:00"/>
    <x v="1"/>
    <s v="Arkansas"/>
    <s v="Little Rock"/>
    <s v="Women's Apparel"/>
    <n v="16"/>
    <n v="145"/>
    <x v="1019"/>
    <x v="780"/>
    <s v="Outlet"/>
  </r>
  <r>
    <s v="Walmart"/>
    <n v="1197831"/>
    <d v="2021-05-19T00:00:00"/>
    <x v="1"/>
    <s v="Arkansas"/>
    <s v="Little Rock"/>
    <s v="Women's Apparel"/>
    <n v="33"/>
    <n v="145"/>
    <x v="1020"/>
    <x v="504"/>
    <s v="Outlet"/>
  </r>
  <r>
    <s v="Amazon"/>
    <n v="1185732"/>
    <d v="2021-07-10T00:00:00"/>
    <x v="3"/>
    <s v="Vermont"/>
    <s v="Burlington"/>
    <s v="Men's Athletic Footwear"/>
    <n v="42"/>
    <n v="145"/>
    <x v="577"/>
    <x v="121"/>
    <s v="Outlet"/>
  </r>
  <r>
    <s v="Amazon"/>
    <n v="1185732"/>
    <d v="2021-12-10T00:00:00"/>
    <x v="3"/>
    <s v="Vermont"/>
    <s v="Burlington"/>
    <s v="Women's Apparel"/>
    <n v="60"/>
    <n v="145"/>
    <x v="266"/>
    <x v="353"/>
    <s v="Outlet"/>
  </r>
  <r>
    <s v="Amazon"/>
    <n v="1185732"/>
    <d v="2021-08-18T00:00:00"/>
    <x v="3"/>
    <s v="New Hampshire"/>
    <s v="Manchester"/>
    <s v="Women's Apparel"/>
    <n v="46"/>
    <n v="145"/>
    <x v="339"/>
    <x v="634"/>
    <s v="Outlet"/>
  </r>
  <r>
    <s v="Foot Locker"/>
    <n v="1185732"/>
    <d v="2021-06-12T00:00:00"/>
    <x v="2"/>
    <s v="Illinois"/>
    <s v="Chicago"/>
    <s v="Men's Street Footwear"/>
    <n v="47"/>
    <n v="144"/>
    <x v="745"/>
    <x v="284"/>
    <s v="Online"/>
  </r>
  <r>
    <s v="Sports Direct"/>
    <n v="1197831"/>
    <d v="2021-10-06T00:00:00"/>
    <x v="1"/>
    <s v="Texas"/>
    <s v="Dallas"/>
    <s v="Women's Street Footwear"/>
    <n v="41"/>
    <n v="144"/>
    <x v="1021"/>
    <x v="296"/>
    <s v="Online"/>
  </r>
  <r>
    <s v="West Gear"/>
    <n v="1128299"/>
    <d v="2020-04-15T00:00:00"/>
    <x v="4"/>
    <s v="Colorado"/>
    <s v="Denver"/>
    <s v="Men's Athletic Footwear"/>
    <n v="59"/>
    <n v="144"/>
    <x v="533"/>
    <x v="77"/>
    <s v="Online"/>
  </r>
  <r>
    <s v="West Gear"/>
    <n v="1128299"/>
    <d v="2020-07-05T00:00:00"/>
    <x v="4"/>
    <s v="Washington"/>
    <s v="Seattle"/>
    <s v="Men's Apparel"/>
    <n v="77"/>
    <n v="144"/>
    <x v="233"/>
    <x v="740"/>
    <s v="Online"/>
  </r>
  <r>
    <s v="Sports Direct"/>
    <n v="1197831"/>
    <d v="2021-09-19T00:00:00"/>
    <x v="1"/>
    <s v="Alabama"/>
    <s v="Birmingham"/>
    <s v="Men's Athletic Footwear"/>
    <n v="50"/>
    <n v="144"/>
    <x v="665"/>
    <x v="468"/>
    <s v="Online"/>
  </r>
  <r>
    <s v="Sports Direct"/>
    <n v="1197831"/>
    <d v="2021-10-02T00:00:00"/>
    <x v="1"/>
    <s v="Alabama"/>
    <s v="Birmingham"/>
    <s v="Women's Street Footwear"/>
    <n v="43"/>
    <n v="144"/>
    <x v="789"/>
    <x v="186"/>
    <s v="Online"/>
  </r>
  <r>
    <s v="Amazon"/>
    <n v="1185732"/>
    <d v="2021-11-05T00:00:00"/>
    <x v="3"/>
    <s v="Maine"/>
    <s v="Portland"/>
    <s v="Men's Street Footwear"/>
    <n v="52"/>
    <n v="144"/>
    <x v="953"/>
    <x v="290"/>
    <s v="Online"/>
  </r>
  <r>
    <s v="Walmart"/>
    <n v="1128299"/>
    <d v="2021-10-17T00:00:00"/>
    <x v="0"/>
    <s v="Florida"/>
    <s v="Orlando"/>
    <s v="Men's Athletic Footwear"/>
    <n v="59"/>
    <n v="144"/>
    <x v="533"/>
    <x v="491"/>
    <s v="Online"/>
  </r>
  <r>
    <s v="West Gear"/>
    <n v="1185732"/>
    <d v="2021-06-10T00:00:00"/>
    <x v="3"/>
    <s v="New York"/>
    <s v="Albany"/>
    <s v="Women's Athletic Footwear"/>
    <n v="49"/>
    <n v="144"/>
    <x v="681"/>
    <x v="366"/>
    <s v="Online"/>
  </r>
  <r>
    <s v="West Gear"/>
    <n v="1185732"/>
    <d v="2021-11-09T00:00:00"/>
    <x v="3"/>
    <s v="New York"/>
    <s v="Albany"/>
    <s v="Women's Athletic Footwear"/>
    <n v="47"/>
    <n v="144"/>
    <x v="745"/>
    <x v="449"/>
    <s v="Online"/>
  </r>
  <r>
    <s v="Sports Direct"/>
    <n v="1185732"/>
    <d v="2021-08-16T00:00:00"/>
    <x v="2"/>
    <s v="Michigan"/>
    <s v="Detroit"/>
    <s v="Women's Street Footwear"/>
    <n v="42"/>
    <n v="144"/>
    <x v="697"/>
    <x v="698"/>
    <s v="Online"/>
  </r>
  <r>
    <s v="Foot Locker"/>
    <n v="1185732"/>
    <d v="2021-04-18T00:00:00"/>
    <x v="2"/>
    <s v="Missouri"/>
    <s v="St. Louis"/>
    <s v="Men's Street Footwear"/>
    <n v="33"/>
    <n v="144"/>
    <x v="1022"/>
    <x v="634"/>
    <s v="Online"/>
  </r>
  <r>
    <s v="Foot Locker"/>
    <n v="1185732"/>
    <d v="2021-03-05T00:00:00"/>
    <x v="0"/>
    <s v="South Carolina"/>
    <s v="Charleston"/>
    <s v="Women's Athletic Footwear"/>
    <n v="27"/>
    <n v="144"/>
    <x v="881"/>
    <x v="591"/>
    <s v="Online"/>
  </r>
  <r>
    <s v="Sports Direct"/>
    <n v="1185732"/>
    <d v="2021-04-03T00:00:00"/>
    <x v="0"/>
    <s v="North Carolina"/>
    <s v="Charlotte"/>
    <s v="Women's Street Footwear"/>
    <n v="20"/>
    <n v="144"/>
    <x v="1023"/>
    <x v="781"/>
    <s v="Online"/>
  </r>
  <r>
    <s v="Sports Direct"/>
    <n v="1185732"/>
    <d v="2021-12-16T00:00:00"/>
    <x v="1"/>
    <s v="Mississippi"/>
    <s v="Jackson"/>
    <s v="Women's Apparel"/>
    <n v="71"/>
    <n v="144"/>
    <x v="1024"/>
    <x v="280"/>
    <s v="Online"/>
  </r>
  <r>
    <s v="Kohl's"/>
    <n v="1197831"/>
    <d v="2021-06-14T00:00:00"/>
    <x v="2"/>
    <s v="Kansas"/>
    <s v="Wichita"/>
    <s v="Men's Street Footwear"/>
    <n v="37"/>
    <n v="144"/>
    <x v="1025"/>
    <x v="689"/>
    <s v="Online"/>
  </r>
  <r>
    <s v="Foot Locker"/>
    <n v="1185732"/>
    <d v="2021-02-15T00:00:00"/>
    <x v="3"/>
    <s v="Maryland"/>
    <s v="Baltimore"/>
    <s v="Men's Street Footwear"/>
    <n v="39"/>
    <n v="144"/>
    <x v="397"/>
    <x v="246"/>
    <s v="Online"/>
  </r>
  <r>
    <s v="Kohl's"/>
    <n v="1185732"/>
    <d v="2021-03-06T00:00:00"/>
    <x v="3"/>
    <s v="New Jersey"/>
    <s v="Newark"/>
    <s v="Men's Street Footwear"/>
    <n v="32"/>
    <n v="144"/>
    <x v="1026"/>
    <x v="674"/>
    <s v="Online"/>
  </r>
  <r>
    <s v="West Gear"/>
    <n v="1128299"/>
    <d v="2020-02-21T00:00:00"/>
    <x v="4"/>
    <s v="Nevada"/>
    <s v="Las Vegas"/>
    <s v="Women's Street Footwear"/>
    <n v="46"/>
    <n v="144"/>
    <x v="816"/>
    <x v="654"/>
    <s v="Outlet"/>
  </r>
  <r>
    <s v="Sports Direct"/>
    <n v="1197831"/>
    <d v="2021-08-12T00:00:00"/>
    <x v="1"/>
    <s v="Alabama"/>
    <s v="Birmingham"/>
    <s v="Women's Apparel"/>
    <n v="27"/>
    <n v="144"/>
    <x v="881"/>
    <x v="772"/>
    <s v="Outlet"/>
  </r>
  <r>
    <s v="Sports Direct"/>
    <n v="1197831"/>
    <d v="2021-08-15T00:00:00"/>
    <x v="1"/>
    <s v="Alabama"/>
    <s v="Birmingham"/>
    <s v="Women's Street Footwear"/>
    <n v="20"/>
    <n v="144"/>
    <x v="1023"/>
    <x v="597"/>
    <s v="Outlet"/>
  </r>
  <r>
    <s v="Foot Locker"/>
    <n v="1128299"/>
    <d v="2021-11-24T00:00:00"/>
    <x v="0"/>
    <s v="Virginia"/>
    <s v="Richmond"/>
    <s v="Women's Athletic Footwear"/>
    <n v="36"/>
    <n v="144"/>
    <x v="544"/>
    <x v="247"/>
    <s v="Outlet"/>
  </r>
  <r>
    <s v="Foot Locker"/>
    <n v="1185732"/>
    <d v="2021-12-17T00:00:00"/>
    <x v="3"/>
    <s v="New Hampshire"/>
    <s v="Manchester"/>
    <s v="Women's Apparel"/>
    <n v="61"/>
    <n v="144"/>
    <x v="588"/>
    <x v="56"/>
    <s v="Outlet"/>
  </r>
  <r>
    <s v="Foot Locker"/>
    <n v="1185732"/>
    <d v="2021-12-09T00:00:00"/>
    <x v="3"/>
    <s v="Pennsylvania"/>
    <s v="Philadelphia"/>
    <s v="Men's Street Footwear"/>
    <n v="62"/>
    <n v="143"/>
    <x v="96"/>
    <x v="174"/>
    <s v="Online"/>
  </r>
  <r>
    <s v="West Gear"/>
    <n v="1128299"/>
    <d v="2020-01-20T00:00:00"/>
    <x v="4"/>
    <s v="Nevada"/>
    <s v="Las Vegas"/>
    <s v="Men's Street Footwear"/>
    <n v="58"/>
    <n v="143"/>
    <x v="491"/>
    <x v="782"/>
    <s v="Online"/>
  </r>
  <r>
    <s v="West Gear"/>
    <n v="1128299"/>
    <d v="2020-02-09T00:00:00"/>
    <x v="4"/>
    <s v="Nevada"/>
    <s v="Las Vegas"/>
    <s v="Women's Street Footwear"/>
    <n v="61"/>
    <n v="143"/>
    <x v="1027"/>
    <x v="61"/>
    <s v="Online"/>
  </r>
  <r>
    <s v="West Gear"/>
    <n v="1128299"/>
    <d v="2020-04-23T00:00:00"/>
    <x v="4"/>
    <s v="Colorado"/>
    <s v="Denver"/>
    <s v="Women's Athletic Footwear"/>
    <n v="61"/>
    <n v="143"/>
    <x v="1027"/>
    <x v="468"/>
    <s v="Online"/>
  </r>
  <r>
    <s v="West Gear"/>
    <n v="1128299"/>
    <d v="2020-04-28T00:00:00"/>
    <x v="4"/>
    <s v="Colorado"/>
    <s v="Denver"/>
    <s v="Women's Street Footwear"/>
    <n v="67"/>
    <n v="143"/>
    <x v="455"/>
    <x v="59"/>
    <s v="Online"/>
  </r>
  <r>
    <s v="Kohl's"/>
    <n v="1189833"/>
    <d v="2021-02-04T00:00:00"/>
    <x v="2"/>
    <s v="Montana"/>
    <s v="Billings"/>
    <s v="Women's Street Footwear"/>
    <n v="44"/>
    <n v="143"/>
    <x v="414"/>
    <x v="525"/>
    <s v="Online"/>
  </r>
  <r>
    <s v="Kohl's"/>
    <n v="1189833"/>
    <d v="2021-02-07T00:00:00"/>
    <x v="2"/>
    <s v="Montana"/>
    <s v="Billings"/>
    <s v="Women's Apparel"/>
    <n v="58"/>
    <n v="143"/>
    <x v="491"/>
    <x v="498"/>
    <s v="Online"/>
  </r>
  <r>
    <s v="Kohl's"/>
    <n v="1189833"/>
    <d v="2021-03-07T00:00:00"/>
    <x v="2"/>
    <s v="Montana"/>
    <s v="Billings"/>
    <s v="Women's Athletic Footwear"/>
    <n v="43"/>
    <n v="143"/>
    <x v="802"/>
    <x v="74"/>
    <s v="Online"/>
  </r>
  <r>
    <s v="Sports Direct"/>
    <n v="1197831"/>
    <d v="2021-09-29T00:00:00"/>
    <x v="1"/>
    <s v="Alabama"/>
    <s v="Birmingham"/>
    <s v="Women's Apparel"/>
    <n v="36"/>
    <n v="143"/>
    <x v="483"/>
    <x v="605"/>
    <s v="Online"/>
  </r>
  <r>
    <s v="Sports Direct"/>
    <n v="1197831"/>
    <d v="2021-10-09T00:00:00"/>
    <x v="1"/>
    <s v="Alabama"/>
    <s v="Birmingham"/>
    <s v="Women's Athletic Footwear"/>
    <n v="63"/>
    <n v="143"/>
    <x v="439"/>
    <x v="575"/>
    <s v="Online"/>
  </r>
  <r>
    <s v="Amazon"/>
    <n v="1185732"/>
    <d v="2021-11-17T00:00:00"/>
    <x v="3"/>
    <s v="Maine"/>
    <s v="Portland"/>
    <s v="Men's Street Footwear"/>
    <n v="51"/>
    <n v="143"/>
    <x v="508"/>
    <x v="574"/>
    <s v="Online"/>
  </r>
  <r>
    <s v="Foot Locker"/>
    <n v="1128299"/>
    <d v="2021-02-10T00:00:00"/>
    <x v="4"/>
    <s v="Alaska"/>
    <s v="Anchorage"/>
    <s v="Men's Street Footwear"/>
    <n v="33"/>
    <n v="143"/>
    <x v="1028"/>
    <x v="708"/>
    <s v="Online"/>
  </r>
  <r>
    <s v="Foot Locker"/>
    <n v="1128299"/>
    <d v="2021-05-11T00:00:00"/>
    <x v="4"/>
    <s v="Hawaii"/>
    <s v="Honolulu"/>
    <s v="Women's Apparel"/>
    <n v="69"/>
    <n v="143"/>
    <x v="576"/>
    <x v="572"/>
    <s v="Online"/>
  </r>
  <r>
    <s v="Walmart"/>
    <n v="1128299"/>
    <d v="2021-08-17T00:00:00"/>
    <x v="0"/>
    <s v="Florida"/>
    <s v="Orlando"/>
    <s v="Women's Athletic Footwear"/>
    <n v="77"/>
    <n v="143"/>
    <x v="267"/>
    <x v="61"/>
    <s v="Online"/>
  </r>
  <r>
    <s v="Walmart"/>
    <n v="1128299"/>
    <d v="2021-08-17T00:00:00"/>
    <x v="0"/>
    <s v="Florida"/>
    <s v="Orlando"/>
    <s v="Men's Apparel"/>
    <n v="74"/>
    <n v="143"/>
    <x v="444"/>
    <x v="264"/>
    <s v="Online"/>
  </r>
  <r>
    <s v="Kohl's"/>
    <n v="1185732"/>
    <d v="2021-02-12T00:00:00"/>
    <x v="3"/>
    <s v="New York"/>
    <s v="Albany"/>
    <s v="Women's Street Footwear"/>
    <n v="29"/>
    <n v="143"/>
    <x v="1029"/>
    <x v="256"/>
    <s v="Online"/>
  </r>
  <r>
    <s v="Kohl's"/>
    <n v="1185732"/>
    <d v="2021-08-11T00:00:00"/>
    <x v="4"/>
    <s v="Wyoming"/>
    <s v="Cheyenne"/>
    <s v="Women's Street Footwear"/>
    <n v="38"/>
    <n v="143"/>
    <x v="337"/>
    <x v="548"/>
    <s v="Online"/>
  </r>
  <r>
    <s v="Kohl's"/>
    <n v="1185732"/>
    <d v="2021-11-11T00:00:00"/>
    <x v="4"/>
    <s v="Wyoming"/>
    <s v="Cheyenne"/>
    <s v="Men's Apparel"/>
    <n v="51"/>
    <n v="143"/>
    <x v="508"/>
    <x v="343"/>
    <s v="Online"/>
  </r>
  <r>
    <s v="Foot Locker"/>
    <n v="1128299"/>
    <d v="2021-03-23T00:00:00"/>
    <x v="0"/>
    <s v="Virginia"/>
    <s v="Richmond"/>
    <s v="Men's Street Footwear"/>
    <n v="38"/>
    <n v="143"/>
    <x v="337"/>
    <x v="431"/>
    <s v="Online"/>
  </r>
  <r>
    <s v="Sports Direct"/>
    <n v="1185732"/>
    <d v="2021-03-15T00:00:00"/>
    <x v="2"/>
    <s v="Michigan"/>
    <s v="Detroit"/>
    <s v="Women's Apparel"/>
    <n v="33"/>
    <n v="143"/>
    <x v="1028"/>
    <x v="483"/>
    <s v="Online"/>
  </r>
  <r>
    <s v="Sports Direct"/>
    <n v="1185732"/>
    <d v="2021-07-15T00:00:00"/>
    <x v="2"/>
    <s v="Michigan"/>
    <s v="Detroit"/>
    <s v="Men's Apparel"/>
    <n v="54"/>
    <n v="143"/>
    <x v="716"/>
    <x v="216"/>
    <s v="Online"/>
  </r>
  <r>
    <s v="Foot Locker"/>
    <n v="1185732"/>
    <d v="2021-12-15T00:00:00"/>
    <x v="2"/>
    <s v="Michigan"/>
    <s v="Detroit"/>
    <s v="Men's Apparel"/>
    <n v="55"/>
    <n v="143"/>
    <x v="1030"/>
    <x v="353"/>
    <s v="Online"/>
  </r>
  <r>
    <s v="Foot Locker"/>
    <n v="1185732"/>
    <d v="2021-08-18T00:00:00"/>
    <x v="2"/>
    <s v="Missouri"/>
    <s v="St. Louis"/>
    <s v="Men's Athletic Footwear"/>
    <n v="38"/>
    <n v="143"/>
    <x v="337"/>
    <x v="485"/>
    <s v="Online"/>
  </r>
  <r>
    <s v="West Gear"/>
    <n v="1185732"/>
    <d v="2021-01-11T00:00:00"/>
    <x v="2"/>
    <s v="Missouri"/>
    <s v="St. Louis"/>
    <s v="Women's Street Footwear"/>
    <n v="14"/>
    <n v="143"/>
    <x v="1031"/>
    <x v="783"/>
    <s v="Online"/>
  </r>
  <r>
    <s v="West Gear"/>
    <n v="1128299"/>
    <d v="2021-12-23T00:00:00"/>
    <x v="4"/>
    <s v="Oregon"/>
    <s v="Portland"/>
    <s v="Women's Athletic Footwear"/>
    <n v="67"/>
    <n v="143"/>
    <x v="455"/>
    <x v="93"/>
    <s v="Online"/>
  </r>
  <r>
    <s v="West Gear"/>
    <n v="1197831"/>
    <d v="2021-01-05T00:00:00"/>
    <x v="1"/>
    <s v="Louisiana"/>
    <s v="New Orleans"/>
    <s v="Women's Apparel"/>
    <n v="34"/>
    <n v="143"/>
    <x v="810"/>
    <x v="213"/>
    <s v="Online"/>
  </r>
  <r>
    <s v="West Gear"/>
    <n v="1197831"/>
    <d v="2021-06-04T00:00:00"/>
    <x v="4"/>
    <s v="Idaho"/>
    <s v="Boise"/>
    <s v="Women's Athletic Footwear"/>
    <n v="48"/>
    <n v="143"/>
    <x v="600"/>
    <x v="86"/>
    <s v="Online"/>
  </r>
  <r>
    <s v="Foot Locker"/>
    <n v="1128299"/>
    <d v="2021-02-23T00:00:00"/>
    <x v="4"/>
    <s v="Idaho"/>
    <s v="Boise"/>
    <s v="Men's Street Footwear"/>
    <n v="29"/>
    <n v="143"/>
    <x v="1029"/>
    <x v="439"/>
    <s v="Online"/>
  </r>
  <r>
    <s v="Kohl's"/>
    <n v="1128299"/>
    <d v="2021-08-26T00:00:00"/>
    <x v="4"/>
    <s v="New Mexico"/>
    <s v="Albuquerque"/>
    <s v="Women's Athletic Footwear"/>
    <n v="55"/>
    <n v="143"/>
    <x v="1030"/>
    <x v="435"/>
    <s v="Online"/>
  </r>
  <r>
    <s v="Kohl's"/>
    <n v="1128299"/>
    <d v="2021-09-27T00:00:00"/>
    <x v="4"/>
    <s v="New Mexico"/>
    <s v="Albuquerque"/>
    <s v="Women's Street Footwear"/>
    <n v="46"/>
    <n v="143"/>
    <x v="975"/>
    <x v="245"/>
    <s v="Online"/>
  </r>
  <r>
    <s v="Sports Direct"/>
    <n v="1128299"/>
    <d v="2021-07-12T00:00:00"/>
    <x v="0"/>
    <s v="Georgia"/>
    <s v="Atlanta"/>
    <s v="Women's Apparel"/>
    <n v="67"/>
    <n v="143"/>
    <x v="455"/>
    <x v="88"/>
    <s v="Online"/>
  </r>
  <r>
    <s v="Amazon"/>
    <n v="1185732"/>
    <d v="2021-02-11T00:00:00"/>
    <x v="0"/>
    <s v="North Carolina"/>
    <s v="Charlotte"/>
    <s v="Men's Athletic Footwear"/>
    <n v="33"/>
    <n v="143"/>
    <x v="1028"/>
    <x v="455"/>
    <s v="Online"/>
  </r>
  <r>
    <s v="Amazon"/>
    <n v="1185732"/>
    <d v="2021-02-11T00:00:00"/>
    <x v="2"/>
    <s v="Ohio"/>
    <s v="Columbus"/>
    <s v="Women's Apparel"/>
    <n v="29"/>
    <n v="143"/>
    <x v="1029"/>
    <x v="356"/>
    <s v="Online"/>
  </r>
  <r>
    <s v="Amazon"/>
    <n v="1185732"/>
    <d v="2021-05-09T00:00:00"/>
    <x v="2"/>
    <s v="Ohio"/>
    <s v="Columbus"/>
    <s v="Women's Street Footwear"/>
    <n v="39"/>
    <n v="143"/>
    <x v="880"/>
    <x v="287"/>
    <s v="Online"/>
  </r>
  <r>
    <s v="Amazon"/>
    <n v="1185732"/>
    <d v="2021-05-09T00:00:00"/>
    <x v="2"/>
    <s v="Ohio"/>
    <s v="Columbus"/>
    <s v="Women's Apparel"/>
    <n v="53"/>
    <n v="143"/>
    <x v="1032"/>
    <x v="411"/>
    <s v="Online"/>
  </r>
  <r>
    <s v="Foot Locker"/>
    <n v="1185732"/>
    <d v="2021-06-18T00:00:00"/>
    <x v="1"/>
    <s v="Mississippi"/>
    <s v="Jackson"/>
    <s v="Women's Street Footwear"/>
    <n v="41"/>
    <n v="143"/>
    <x v="1033"/>
    <x v="630"/>
    <s v="Online"/>
  </r>
  <r>
    <s v="Walmart"/>
    <n v="1197831"/>
    <d v="2021-08-20T00:00:00"/>
    <x v="1"/>
    <s v="Arkansas"/>
    <s v="Little Rock"/>
    <s v="Women's Apparel"/>
    <n v="50"/>
    <n v="143"/>
    <x v="1034"/>
    <x v="284"/>
    <s v="Online"/>
  </r>
  <r>
    <s v="West Gear"/>
    <n v="1197831"/>
    <d v="2021-11-20T00:00:00"/>
    <x v="1"/>
    <s v="Arkansas"/>
    <s v="Little Rock"/>
    <s v="Men's Street Footwear"/>
    <n v="24"/>
    <n v="143"/>
    <x v="998"/>
    <x v="784"/>
    <s v="Online"/>
  </r>
  <r>
    <s v="Kohl's"/>
    <n v="1197831"/>
    <d v="2021-05-12T00:00:00"/>
    <x v="2"/>
    <s v="Kansas"/>
    <s v="Wichita"/>
    <s v="Men's Street Footwear"/>
    <n v="36"/>
    <n v="143"/>
    <x v="483"/>
    <x v="753"/>
    <s v="Online"/>
  </r>
  <r>
    <s v="West Gear"/>
    <n v="1185732"/>
    <d v="2021-09-04T00:00:00"/>
    <x v="2"/>
    <s v="Wisconsin"/>
    <s v="Milwaukee"/>
    <s v="Men's Street Footwear"/>
    <n v="33"/>
    <n v="143"/>
    <x v="1028"/>
    <x v="709"/>
    <s v="Online"/>
  </r>
  <r>
    <s v="West Gear"/>
    <n v="1185732"/>
    <d v="2021-04-17T00:00:00"/>
    <x v="3"/>
    <s v="West Virginia"/>
    <s v="Charleston"/>
    <s v="Men's Street Footwear"/>
    <n v="27"/>
    <n v="143"/>
    <x v="626"/>
    <x v="180"/>
    <s v="Online"/>
  </r>
  <r>
    <s v="Sports Direct"/>
    <n v="1185732"/>
    <d v="2021-07-03T00:00:00"/>
    <x v="3"/>
    <s v="Connecticut"/>
    <s v="Hartford"/>
    <s v="Women's Apparel"/>
    <n v="56"/>
    <n v="143"/>
    <x v="790"/>
    <x v="282"/>
    <s v="Online"/>
  </r>
  <r>
    <s v="Foot Locker"/>
    <n v="1185732"/>
    <d v="2021-08-07T00:00:00"/>
    <x v="3"/>
    <s v="Rhode Island"/>
    <s v="Providence"/>
    <s v="Men's Street Footwear"/>
    <n v="46"/>
    <n v="143"/>
    <x v="975"/>
    <x v="637"/>
    <s v="Online"/>
  </r>
  <r>
    <s v="Sports Direct"/>
    <n v="1197831"/>
    <d v="2021-08-19T00:00:00"/>
    <x v="1"/>
    <s v="Texas"/>
    <s v="Dallas"/>
    <s v="Women's Street Footwear"/>
    <n v="27"/>
    <n v="143"/>
    <x v="626"/>
    <x v="546"/>
    <s v="Outlet"/>
  </r>
  <r>
    <s v="Foot Locker"/>
    <n v="1185732"/>
    <d v="2021-12-27T00:00:00"/>
    <x v="3"/>
    <s v="Pennsylvania"/>
    <s v="Philadelphia"/>
    <s v="Men's Street Footwear"/>
    <n v="53"/>
    <n v="143"/>
    <x v="1032"/>
    <x v="61"/>
    <s v="Outlet"/>
  </r>
  <r>
    <s v="Sports Direct"/>
    <n v="1197831"/>
    <d v="2021-03-21T00:00:00"/>
    <x v="1"/>
    <s v="Tennessee"/>
    <s v="Knoxville"/>
    <s v="Women's Apparel"/>
    <n v="28"/>
    <n v="143"/>
    <x v="842"/>
    <x v="773"/>
    <s v="Outlet"/>
  </r>
  <r>
    <s v="Sports Direct"/>
    <n v="1197831"/>
    <d v="2021-04-25T00:00:00"/>
    <x v="1"/>
    <s v="Tennessee"/>
    <s v="Knoxville"/>
    <s v="Men's Apparel"/>
    <n v="35"/>
    <n v="143"/>
    <x v="529"/>
    <x v="504"/>
    <s v="Outlet"/>
  </r>
  <r>
    <s v="Foot Locker"/>
    <n v="1128299"/>
    <d v="2021-11-24T00:00:00"/>
    <x v="0"/>
    <s v="Virginia"/>
    <s v="Richmond"/>
    <s v="Women's Street Footwear"/>
    <n v="33"/>
    <n v="143"/>
    <x v="1028"/>
    <x v="785"/>
    <s v="Outlet"/>
  </r>
  <r>
    <s v="West Gear"/>
    <n v="1128299"/>
    <d v="2021-03-23T00:00:00"/>
    <x v="4"/>
    <s v="Oregon"/>
    <s v="Portland"/>
    <s v="Men's Street Footwear"/>
    <n v="28"/>
    <n v="143"/>
    <x v="842"/>
    <x v="786"/>
    <s v="Outlet"/>
  </r>
  <r>
    <s v="West Gear"/>
    <n v="1128299"/>
    <d v="2021-08-17T00:00:00"/>
    <x v="1"/>
    <s v="Louisiana"/>
    <s v="New Orleans"/>
    <s v="Women's Athletic Footwear"/>
    <n v="55"/>
    <n v="143"/>
    <x v="1030"/>
    <x v="435"/>
    <s v="Outlet"/>
  </r>
  <r>
    <s v="Foot Locker"/>
    <n v="1128299"/>
    <d v="2021-06-23T00:00:00"/>
    <x v="4"/>
    <s v="Arizona"/>
    <s v="Phoenix"/>
    <s v="Men's Athletic Footwear"/>
    <n v="36"/>
    <n v="143"/>
    <x v="483"/>
    <x v="482"/>
    <s v="Outlet"/>
  </r>
  <r>
    <s v="Foot Locker"/>
    <n v="1128299"/>
    <d v="2021-12-12T00:00:00"/>
    <x v="0"/>
    <s v="Georgia"/>
    <s v="Atlanta"/>
    <s v="Women's Athletic Footwear"/>
    <n v="40"/>
    <n v="143"/>
    <x v="1035"/>
    <x v="685"/>
    <s v="Outlet"/>
  </r>
  <r>
    <s v="Walmart"/>
    <n v="1185732"/>
    <d v="2021-07-16T00:00:00"/>
    <x v="1"/>
    <s v="Mississippi"/>
    <s v="Jackson"/>
    <s v="Women's Athletic Footwear"/>
    <n v="33"/>
    <n v="143"/>
    <x v="1028"/>
    <x v="256"/>
    <s v="Outlet"/>
  </r>
  <r>
    <s v="Sports Direct"/>
    <n v="1185732"/>
    <d v="2021-12-16T00:00:00"/>
    <x v="1"/>
    <s v="Mississippi"/>
    <s v="Jackson"/>
    <s v="Women's Athletic Footwear"/>
    <n v="41"/>
    <n v="143"/>
    <x v="1033"/>
    <x v="512"/>
    <s v="Outlet"/>
  </r>
  <r>
    <s v="West Gear"/>
    <n v="1197831"/>
    <d v="2021-06-21T00:00:00"/>
    <x v="1"/>
    <s v="Oklahoma"/>
    <s v="Oklahoma City"/>
    <s v="Women's Apparel"/>
    <n v="40"/>
    <n v="143"/>
    <x v="1035"/>
    <x v="746"/>
    <s v="Outlet"/>
  </r>
  <r>
    <s v="Sports Direct"/>
    <n v="1197831"/>
    <d v="2021-09-26T00:00:00"/>
    <x v="1"/>
    <s v="Texas"/>
    <s v="Dallas"/>
    <s v="Men's Apparel"/>
    <n v="53"/>
    <n v="142"/>
    <x v="1036"/>
    <x v="383"/>
    <s v="Online"/>
  </r>
  <r>
    <s v="Sports Direct"/>
    <n v="1197831"/>
    <d v="2021-04-06T00:00:00"/>
    <x v="1"/>
    <s v="Tennessee"/>
    <s v="Knoxville"/>
    <s v="Women's Athletic Footwear"/>
    <n v="27"/>
    <n v="142"/>
    <x v="1037"/>
    <x v="451"/>
    <s v="Online"/>
  </r>
  <r>
    <s v="Foot Locker"/>
    <n v="1128299"/>
    <d v="2021-08-10T00:00:00"/>
    <x v="4"/>
    <s v="Hawaii"/>
    <s v="Honolulu"/>
    <s v="Women's Athletic Footwear"/>
    <n v="67"/>
    <n v="142"/>
    <x v="700"/>
    <x v="166"/>
    <s v="Online"/>
  </r>
  <r>
    <s v="Sports Direct"/>
    <n v="1128299"/>
    <d v="2021-12-09T00:00:00"/>
    <x v="4"/>
    <s v="Hawaii"/>
    <s v="Honolulu"/>
    <s v="Women's Apparel"/>
    <n v="89"/>
    <n v="142"/>
    <x v="125"/>
    <x v="657"/>
    <s v="Online"/>
  </r>
  <r>
    <s v="Foot Locker"/>
    <n v="1128299"/>
    <d v="2021-06-24T00:00:00"/>
    <x v="0"/>
    <s v="Virginia"/>
    <s v="Richmond"/>
    <s v="Women's Athletic Footwear"/>
    <n v="72"/>
    <n v="142"/>
    <x v="1024"/>
    <x v="475"/>
    <s v="Online"/>
  </r>
  <r>
    <s v="Foot Locker"/>
    <n v="1128299"/>
    <d v="2021-10-24T00:00:00"/>
    <x v="0"/>
    <s v="Virginia"/>
    <s v="Richmond"/>
    <s v="Men's Athletic Footwear"/>
    <n v="51"/>
    <n v="142"/>
    <x v="970"/>
    <x v="595"/>
    <s v="Online"/>
  </r>
  <r>
    <s v="Sports Direct"/>
    <n v="1185732"/>
    <d v="2021-08-16T00:00:00"/>
    <x v="2"/>
    <s v="Michigan"/>
    <s v="Detroit"/>
    <s v="Women's Athletic Footwear"/>
    <n v="34"/>
    <n v="142"/>
    <x v="713"/>
    <x v="742"/>
    <s v="Online"/>
  </r>
  <r>
    <s v="Foot Locker"/>
    <n v="1185732"/>
    <d v="2021-06-18T00:00:00"/>
    <x v="2"/>
    <s v="Missouri"/>
    <s v="St. Louis"/>
    <s v="Women's Apparel"/>
    <n v="42"/>
    <n v="142"/>
    <x v="562"/>
    <x v="740"/>
    <s v="Online"/>
  </r>
  <r>
    <s v="West Gear"/>
    <n v="1128299"/>
    <d v="2021-10-24T00:00:00"/>
    <x v="4"/>
    <s v="Oregon"/>
    <s v="Portland"/>
    <s v="Men's Athletic Footwear"/>
    <n v="50"/>
    <n v="142"/>
    <x v="241"/>
    <x v="622"/>
    <s v="Online"/>
  </r>
  <r>
    <s v="West Gear"/>
    <n v="1128299"/>
    <d v="2021-04-17T00:00:00"/>
    <x v="1"/>
    <s v="Louisiana"/>
    <s v="New Orleans"/>
    <s v="Men's Street Footwear"/>
    <n v="48"/>
    <n v="142"/>
    <x v="966"/>
    <x v="337"/>
    <s v="Online"/>
  </r>
  <r>
    <s v="Sports Direct"/>
    <n v="1197831"/>
    <d v="2021-10-04T00:00:00"/>
    <x v="4"/>
    <s v="Idaho"/>
    <s v="Boise"/>
    <s v="Women's Apparel"/>
    <n v="42"/>
    <n v="142"/>
    <x v="562"/>
    <x v="216"/>
    <s v="Online"/>
  </r>
  <r>
    <s v="Foot Locker"/>
    <n v="1197831"/>
    <d v="2021-12-04T00:00:00"/>
    <x v="4"/>
    <s v="Idaho"/>
    <s v="Boise"/>
    <s v="Women's Athletic Footwear"/>
    <n v="59"/>
    <n v="142"/>
    <x v="1038"/>
    <x v="267"/>
    <s v="Online"/>
  </r>
  <r>
    <s v="Foot Locker"/>
    <n v="1128299"/>
    <d v="2021-07-22T00:00:00"/>
    <x v="4"/>
    <s v="Arizona"/>
    <s v="Phoenix"/>
    <s v="Men's Athletic Footwear"/>
    <n v="50"/>
    <n v="142"/>
    <x v="241"/>
    <x v="166"/>
    <s v="Online"/>
  </r>
  <r>
    <s v="Kohl's"/>
    <n v="1128299"/>
    <d v="2021-08-26T00:00:00"/>
    <x v="4"/>
    <s v="New Mexico"/>
    <s v="Albuquerque"/>
    <s v="Women's Street Footwear"/>
    <n v="58"/>
    <n v="142"/>
    <x v="102"/>
    <x v="113"/>
    <s v="Online"/>
  </r>
  <r>
    <s v="Sports Direct"/>
    <n v="1128299"/>
    <d v="2021-04-13T00:00:00"/>
    <x v="0"/>
    <s v="Georgia"/>
    <s v="Atlanta"/>
    <s v="Men's Street Footwear"/>
    <n v="45"/>
    <n v="142"/>
    <x v="564"/>
    <x v="483"/>
    <s v="Online"/>
  </r>
  <r>
    <s v="Sports Direct"/>
    <n v="1128299"/>
    <d v="2021-06-13T00:00:00"/>
    <x v="0"/>
    <s v="Georgia"/>
    <s v="Atlanta"/>
    <s v="Women's Street Footwear"/>
    <n v="52"/>
    <n v="142"/>
    <x v="805"/>
    <x v="337"/>
    <s v="Online"/>
  </r>
  <r>
    <s v="Sports Direct"/>
    <n v="1128299"/>
    <d v="2021-10-13T00:00:00"/>
    <x v="0"/>
    <s v="Georgia"/>
    <s v="Atlanta"/>
    <s v="Men's Athletic Footwear"/>
    <n v="47"/>
    <n v="142"/>
    <x v="339"/>
    <x v="430"/>
    <s v="Online"/>
  </r>
  <r>
    <s v="Sports Direct"/>
    <n v="1185732"/>
    <d v="2021-02-04T00:00:00"/>
    <x v="0"/>
    <s v="North Carolina"/>
    <s v="Charlotte"/>
    <s v="Women's Athletic Footwear"/>
    <n v="29"/>
    <n v="142"/>
    <x v="1039"/>
    <x v="429"/>
    <s v="Online"/>
  </r>
  <r>
    <s v="Amazon"/>
    <n v="1185732"/>
    <d v="2021-06-11T00:00:00"/>
    <x v="2"/>
    <s v="Ohio"/>
    <s v="Columbus"/>
    <s v="Women's Street Footwear"/>
    <n v="49"/>
    <n v="142"/>
    <x v="1016"/>
    <x v="220"/>
    <s v="Online"/>
  </r>
  <r>
    <s v="West Gear"/>
    <n v="1185732"/>
    <d v="2021-12-09T00:00:00"/>
    <x v="2"/>
    <s v="Ohio"/>
    <s v="Columbus"/>
    <s v="Men's Apparel"/>
    <n v="68"/>
    <n v="142"/>
    <x v="67"/>
    <x v="47"/>
    <s v="Online"/>
  </r>
  <r>
    <s v="Amazon"/>
    <n v="1185732"/>
    <d v="2021-06-22T00:00:00"/>
    <x v="0"/>
    <s v="Kentucky"/>
    <s v="Louisville"/>
    <s v="Men's Street Footwear"/>
    <n v="36"/>
    <n v="142"/>
    <x v="1040"/>
    <x v="727"/>
    <s v="Online"/>
  </r>
  <r>
    <s v="Foot Locker"/>
    <n v="1185732"/>
    <d v="2021-01-20T00:00:00"/>
    <x v="0"/>
    <s v="Kentucky"/>
    <s v="Louisville"/>
    <s v="Men's Athletic Footwear"/>
    <n v="29"/>
    <n v="142"/>
    <x v="1039"/>
    <x v="642"/>
    <s v="Online"/>
  </r>
  <r>
    <s v="Walmart"/>
    <n v="1185732"/>
    <d v="2021-07-16T00:00:00"/>
    <x v="1"/>
    <s v="Mississippi"/>
    <s v="Jackson"/>
    <s v="Women's Street Footwear"/>
    <n v="48"/>
    <n v="142"/>
    <x v="966"/>
    <x v="250"/>
    <s v="Online"/>
  </r>
  <r>
    <s v="West Gear"/>
    <n v="1197831"/>
    <d v="2021-07-19T00:00:00"/>
    <x v="1"/>
    <s v="Oklahoma"/>
    <s v="Oklahoma City"/>
    <s v="Women's Apparel"/>
    <n v="61"/>
    <n v="142"/>
    <x v="981"/>
    <x v="395"/>
    <s v="Online"/>
  </r>
  <r>
    <s v="Foot Locker"/>
    <n v="1185732"/>
    <d v="2021-09-13T00:00:00"/>
    <x v="3"/>
    <s v="Delaware"/>
    <s v="Wilmington"/>
    <s v="Men's Street Footwear"/>
    <n v="50"/>
    <n v="142"/>
    <x v="241"/>
    <x v="95"/>
    <s v="Online"/>
  </r>
  <r>
    <s v="Sports Direct"/>
    <n v="1185732"/>
    <d v="2021-05-03T00:00:00"/>
    <x v="3"/>
    <s v="Connecticut"/>
    <s v="Hartford"/>
    <s v="Men's Street Footwear"/>
    <n v="54"/>
    <n v="142"/>
    <x v="519"/>
    <x v="522"/>
    <s v="Online"/>
  </r>
  <r>
    <s v="Amazon"/>
    <n v="1185732"/>
    <d v="2021-03-10T00:00:00"/>
    <x v="3"/>
    <s v="Vermont"/>
    <s v="Burlington"/>
    <s v="Men's Street Footwear"/>
    <n v="44"/>
    <n v="142"/>
    <x v="882"/>
    <x v="392"/>
    <s v="Online"/>
  </r>
  <r>
    <s v="West Gear"/>
    <n v="1185732"/>
    <d v="2021-03-02T00:00:00"/>
    <x v="2"/>
    <s v="Wisconsin"/>
    <s v="Milwaukee"/>
    <s v="Men's Street Footwear"/>
    <n v="19"/>
    <n v="141"/>
    <x v="1002"/>
    <x v="787"/>
    <s v="Online"/>
  </r>
  <r>
    <s v="West Gear"/>
    <n v="1128299"/>
    <d v="2020-11-11T00:00:00"/>
    <x v="4"/>
    <s v="California"/>
    <s v="San Francisco"/>
    <s v="Men's Apparel"/>
    <n v="50"/>
    <n v="140"/>
    <x v="837"/>
    <x v="770"/>
    <s v="Online"/>
  </r>
  <r>
    <s v="Sports Direct"/>
    <n v="1197831"/>
    <d v="2021-08-22T00:00:00"/>
    <x v="1"/>
    <s v="Texas"/>
    <s v="Dallas"/>
    <s v="Women's Apparel"/>
    <n v="32"/>
    <n v="140"/>
    <x v="939"/>
    <x v="398"/>
    <s v="Online"/>
  </r>
  <r>
    <s v="West Gear"/>
    <n v="1128299"/>
    <d v="2020-04-30T00:00:00"/>
    <x v="4"/>
    <s v="Colorado"/>
    <s v="Denver"/>
    <s v="Men's Apparel"/>
    <n v="74"/>
    <n v="140"/>
    <x v="1041"/>
    <x v="788"/>
    <s v="Online"/>
  </r>
  <r>
    <s v="Sports Direct"/>
    <n v="1197831"/>
    <d v="2021-05-19T00:00:00"/>
    <x v="1"/>
    <s v="Tennessee"/>
    <s v="Knoxville"/>
    <s v="Men's Apparel"/>
    <n v="50"/>
    <n v="140"/>
    <x v="837"/>
    <x v="231"/>
    <s v="Online"/>
  </r>
  <r>
    <s v="Amazon"/>
    <n v="1185732"/>
    <d v="2021-10-18T00:00:00"/>
    <x v="3"/>
    <s v="Maine"/>
    <s v="Portland"/>
    <s v="Men's Street Footwear"/>
    <n v="38"/>
    <n v="140"/>
    <x v="1042"/>
    <x v="404"/>
    <s v="Online"/>
  </r>
  <r>
    <s v="Walmart"/>
    <n v="1128299"/>
    <d v="2021-11-10T00:00:00"/>
    <x v="4"/>
    <s v="Hawaii"/>
    <s v="Honolulu"/>
    <s v="Women's Apparel"/>
    <n v="82"/>
    <n v="140"/>
    <x v="147"/>
    <x v="789"/>
    <s v="Online"/>
  </r>
  <r>
    <s v="Walmart"/>
    <n v="1128299"/>
    <d v="2021-09-18T00:00:00"/>
    <x v="0"/>
    <s v="Florida"/>
    <s v="Orlando"/>
    <s v="Men's Street Footwear"/>
    <n v="58"/>
    <n v="140"/>
    <x v="637"/>
    <x v="222"/>
    <s v="Online"/>
  </r>
  <r>
    <s v="Kohl's"/>
    <n v="1185732"/>
    <d v="2021-04-11T00:00:00"/>
    <x v="4"/>
    <s v="Wyoming"/>
    <s v="Cheyenne"/>
    <s v="Men's Athletic Footwear"/>
    <n v="39"/>
    <n v="140"/>
    <x v="321"/>
    <x v="685"/>
    <s v="Online"/>
  </r>
  <r>
    <s v="Kohl's"/>
    <n v="1185732"/>
    <d v="2021-06-12T00:00:00"/>
    <x v="4"/>
    <s v="Wyoming"/>
    <s v="Cheyenne"/>
    <s v="Women's Athletic Footwear"/>
    <n v="38"/>
    <n v="140"/>
    <x v="1042"/>
    <x v="485"/>
    <s v="Online"/>
  </r>
  <r>
    <s v="Kohl's"/>
    <n v="1185732"/>
    <d v="2021-08-11T00:00:00"/>
    <x v="4"/>
    <s v="Wyoming"/>
    <s v="Cheyenne"/>
    <s v="Men's Apparel"/>
    <n v="47"/>
    <n v="140"/>
    <x v="975"/>
    <x v="401"/>
    <s v="Online"/>
  </r>
  <r>
    <s v="West Gear"/>
    <n v="1128299"/>
    <d v="2021-02-17T00:00:00"/>
    <x v="4"/>
    <s v="Oregon"/>
    <s v="Portland"/>
    <s v="Men's Street Footwear"/>
    <n v="33"/>
    <n v="140"/>
    <x v="580"/>
    <x v="548"/>
    <s v="Online"/>
  </r>
  <r>
    <s v="Kohl's"/>
    <n v="1128299"/>
    <d v="2021-07-25T00:00:00"/>
    <x v="4"/>
    <s v="New Mexico"/>
    <s v="Albuquerque"/>
    <s v="Women's Apparel"/>
    <n v="69"/>
    <n v="140"/>
    <x v="67"/>
    <x v="667"/>
    <s v="Online"/>
  </r>
  <r>
    <s v="Kohl's"/>
    <n v="1128299"/>
    <d v="2021-11-26T00:00:00"/>
    <x v="4"/>
    <s v="New Mexico"/>
    <s v="Albuquerque"/>
    <s v="Women's Apparel"/>
    <n v="72"/>
    <n v="140"/>
    <x v="164"/>
    <x v="73"/>
    <s v="Online"/>
  </r>
  <r>
    <s v="Sports Direct"/>
    <n v="1185732"/>
    <d v="2021-04-03T00:00:00"/>
    <x v="0"/>
    <s v="North Carolina"/>
    <s v="Charlotte"/>
    <s v="Women's Athletic Footwear"/>
    <n v="24"/>
    <n v="140"/>
    <x v="1043"/>
    <x v="736"/>
    <s v="Online"/>
  </r>
  <r>
    <s v="Amazon"/>
    <n v="1185732"/>
    <d v="2021-06-11T00:00:00"/>
    <x v="2"/>
    <s v="Ohio"/>
    <s v="Columbus"/>
    <s v="Women's Athletic Footwear"/>
    <n v="49"/>
    <n v="140"/>
    <x v="600"/>
    <x v="231"/>
    <s v="Online"/>
  </r>
  <r>
    <s v="Amazon"/>
    <n v="1185732"/>
    <d v="2021-11-10T00:00:00"/>
    <x v="2"/>
    <s v="Ohio"/>
    <s v="Columbus"/>
    <s v="Men's Athletic Footwear"/>
    <n v="24"/>
    <n v="140"/>
    <x v="1043"/>
    <x v="670"/>
    <s v="Online"/>
  </r>
  <r>
    <s v="Foot Locker"/>
    <n v="1185732"/>
    <d v="2021-05-16T00:00:00"/>
    <x v="1"/>
    <s v="Mississippi"/>
    <s v="Jackson"/>
    <s v="Women's Apparel"/>
    <n v="47"/>
    <n v="140"/>
    <x v="975"/>
    <x v="291"/>
    <s v="Online"/>
  </r>
  <r>
    <s v="West Gear"/>
    <n v="1197831"/>
    <d v="2021-12-19T00:00:00"/>
    <x v="1"/>
    <s v="Arkansas"/>
    <s v="Little Rock"/>
    <s v="Men's Athletic Footwear"/>
    <n v="54"/>
    <n v="140"/>
    <x v="80"/>
    <x v="595"/>
    <s v="Online"/>
  </r>
  <r>
    <s v="Kohl's"/>
    <n v="1197831"/>
    <d v="2021-07-12T00:00:00"/>
    <x v="2"/>
    <s v="Kansas"/>
    <s v="Wichita"/>
    <s v="Women's Apparel"/>
    <n v="60"/>
    <n v="140"/>
    <x v="202"/>
    <x v="221"/>
    <s v="Online"/>
  </r>
  <r>
    <s v="Sports Direct"/>
    <n v="1185732"/>
    <d v="2021-12-11T00:00:00"/>
    <x v="2"/>
    <s v="South Dakota"/>
    <s v="Sioux Falls"/>
    <s v="Men's Street Footwear"/>
    <n v="58"/>
    <n v="140"/>
    <x v="637"/>
    <x v="176"/>
    <s v="Online"/>
  </r>
  <r>
    <s v="West Gear"/>
    <n v="1185732"/>
    <d v="2021-02-03T00:00:00"/>
    <x v="2"/>
    <s v="Iowa"/>
    <s v="Des Moines"/>
    <s v="Men's Street Footwear"/>
    <n v="29"/>
    <n v="140"/>
    <x v="873"/>
    <x v="612"/>
    <s v="Online"/>
  </r>
  <r>
    <s v="West Gear"/>
    <n v="1185732"/>
    <d v="2021-01-10T00:00:00"/>
    <x v="2"/>
    <s v="Wisconsin"/>
    <s v="Milwaukee"/>
    <s v="Men's Street Footwear"/>
    <n v="32"/>
    <n v="140"/>
    <x v="939"/>
    <x v="528"/>
    <s v="Online"/>
  </r>
  <r>
    <s v="Sports Direct"/>
    <n v="1185732"/>
    <d v="2021-02-15T00:00:00"/>
    <x v="3"/>
    <s v="Rhode Island"/>
    <s v="Providence"/>
    <s v="Men's Street Footwear"/>
    <n v="36"/>
    <n v="140"/>
    <x v="522"/>
    <x v="439"/>
    <s v="Online"/>
  </r>
  <r>
    <s v="Kohl's"/>
    <n v="1189833"/>
    <d v="2021-03-17T00:00:00"/>
    <x v="4"/>
    <s v="California"/>
    <s v="Los Angeles"/>
    <s v="Men's Apparel"/>
    <n v="40"/>
    <n v="140"/>
    <x v="482"/>
    <x v="424"/>
    <s v="Outlet"/>
  </r>
  <r>
    <s v="Kohl's"/>
    <n v="1189833"/>
    <d v="2021-04-17T00:00:00"/>
    <x v="4"/>
    <s v="California"/>
    <s v="Los Angeles"/>
    <s v="Men's Apparel"/>
    <n v="38"/>
    <n v="140"/>
    <x v="1042"/>
    <x v="74"/>
    <s v="Outlet"/>
  </r>
  <r>
    <s v="Sports Direct"/>
    <n v="1197831"/>
    <d v="2021-08-26T00:00:00"/>
    <x v="1"/>
    <s v="Texas"/>
    <s v="Dallas"/>
    <s v="Women's Athletic Footwear"/>
    <n v="26"/>
    <n v="140"/>
    <x v="646"/>
    <x v="524"/>
    <s v="Outlet"/>
  </r>
  <r>
    <s v="Foot Locker"/>
    <n v="1185732"/>
    <d v="2021-11-09T00:00:00"/>
    <x v="3"/>
    <s v="Pennsylvania"/>
    <s v="Philadelphia"/>
    <s v="Men's Street Footwear"/>
    <n v="35"/>
    <n v="140"/>
    <x v="556"/>
    <x v="157"/>
    <s v="Outlet"/>
  </r>
  <r>
    <s v="West Gear"/>
    <n v="1128299"/>
    <d v="2020-01-04T00:00:00"/>
    <x v="3"/>
    <s v="Pennsylvania"/>
    <s v="Philadelphia"/>
    <s v="Women's Street Footwear"/>
    <n v="36"/>
    <n v="140"/>
    <x v="522"/>
    <x v="664"/>
    <s v="Outlet"/>
  </r>
  <r>
    <s v="West Gear"/>
    <n v="1128299"/>
    <d v="2020-01-10T00:00:00"/>
    <x v="4"/>
    <s v="Nevada"/>
    <s v="Las Vegas"/>
    <s v="Women's Street Footwear"/>
    <n v="31"/>
    <n v="140"/>
    <x v="801"/>
    <x v="647"/>
    <s v="Outlet"/>
  </r>
  <r>
    <s v="West Gear"/>
    <n v="1128299"/>
    <d v="2020-01-13T00:00:00"/>
    <x v="4"/>
    <s v="Nevada"/>
    <s v="Las Vegas"/>
    <s v="Women's Apparel"/>
    <n v="31"/>
    <n v="140"/>
    <x v="801"/>
    <x v="790"/>
    <s v="Outlet"/>
  </r>
  <r>
    <s v="West Gear"/>
    <n v="1128299"/>
    <d v="2020-01-31T00:00:00"/>
    <x v="4"/>
    <s v="Nevada"/>
    <s v="Las Vegas"/>
    <s v="Women's Apparel"/>
    <n v="54"/>
    <n v="140"/>
    <x v="80"/>
    <x v="655"/>
    <s v="Outlet"/>
  </r>
  <r>
    <s v="West Gear"/>
    <n v="1128299"/>
    <d v="2020-02-10T00:00:00"/>
    <x v="4"/>
    <s v="Nevada"/>
    <s v="Las Vegas"/>
    <s v="Women's Athletic Footwear"/>
    <n v="46"/>
    <n v="140"/>
    <x v="765"/>
    <x v="401"/>
    <s v="Outlet"/>
  </r>
  <r>
    <s v="West Gear"/>
    <n v="1128299"/>
    <d v="2020-02-24T00:00:00"/>
    <x v="4"/>
    <s v="Nevada"/>
    <s v="Las Vegas"/>
    <s v="Women's Apparel"/>
    <n v="54"/>
    <n v="140"/>
    <x v="80"/>
    <x v="791"/>
    <s v="Outlet"/>
  </r>
  <r>
    <s v="West Gear"/>
    <n v="1128299"/>
    <d v="2020-03-05T00:00:00"/>
    <x v="4"/>
    <s v="Nevada"/>
    <s v="Las Vegas"/>
    <s v="Women's Street Footwear"/>
    <n v="44"/>
    <n v="140"/>
    <x v="458"/>
    <x v="638"/>
    <s v="Outlet"/>
  </r>
  <r>
    <s v="Sports Direct"/>
    <n v="1197831"/>
    <d v="2021-03-18T00:00:00"/>
    <x v="1"/>
    <s v="Tennessee"/>
    <s v="Knoxville"/>
    <s v="Women's Street Footwear"/>
    <n v="23"/>
    <n v="140"/>
    <x v="1044"/>
    <x v="745"/>
    <s v="Outlet"/>
  </r>
  <r>
    <s v="Sports Direct"/>
    <n v="1197831"/>
    <d v="2021-05-13T00:00:00"/>
    <x v="1"/>
    <s v="Tennessee"/>
    <s v="Knoxville"/>
    <s v="Men's Apparel"/>
    <n v="43"/>
    <n v="140"/>
    <x v="1045"/>
    <x v="552"/>
    <s v="Outlet"/>
  </r>
  <r>
    <s v="Foot Locker"/>
    <n v="1185732"/>
    <d v="2021-05-21T00:00:00"/>
    <x v="1"/>
    <s v="Tennessee"/>
    <s v="Knoxville"/>
    <s v="Men's Street Footwear"/>
    <n v="27"/>
    <n v="140"/>
    <x v="569"/>
    <x v="612"/>
    <s v="Outlet"/>
  </r>
  <r>
    <s v="Sports Direct"/>
    <n v="1197831"/>
    <d v="2021-09-15T00:00:00"/>
    <x v="1"/>
    <s v="Alabama"/>
    <s v="Birmingham"/>
    <s v="Women's Athletic Footwear"/>
    <n v="37"/>
    <n v="140"/>
    <x v="544"/>
    <x v="492"/>
    <s v="Outlet"/>
  </r>
  <r>
    <s v="Sports Direct"/>
    <n v="1197831"/>
    <d v="2021-09-16T00:00:00"/>
    <x v="1"/>
    <s v="Alabama"/>
    <s v="Birmingham"/>
    <s v="Men's Apparel"/>
    <n v="42"/>
    <n v="140"/>
    <x v="856"/>
    <x v="592"/>
    <s v="Outlet"/>
  </r>
  <r>
    <s v="Amazon"/>
    <n v="1185732"/>
    <d v="2021-10-12T00:00:00"/>
    <x v="1"/>
    <s v="Alabama"/>
    <s v="Birmingham"/>
    <s v="Men's Street Footwear"/>
    <n v="27"/>
    <n v="140"/>
    <x v="569"/>
    <x v="597"/>
    <s v="Outlet"/>
  </r>
  <r>
    <s v="Walmart"/>
    <n v="1128299"/>
    <d v="2021-10-17T00:00:00"/>
    <x v="0"/>
    <s v="Florida"/>
    <s v="Orlando"/>
    <s v="Men's Street Footwear"/>
    <n v="39"/>
    <n v="140"/>
    <x v="321"/>
    <x v="247"/>
    <s v="Outlet"/>
  </r>
  <r>
    <s v="Walmart"/>
    <n v="1128299"/>
    <d v="2021-10-17T00:00:00"/>
    <x v="0"/>
    <s v="Florida"/>
    <s v="Orlando"/>
    <s v="Women's Apparel"/>
    <n v="53"/>
    <n v="140"/>
    <x v="608"/>
    <x v="605"/>
    <s v="Outlet"/>
  </r>
  <r>
    <s v="Sports Direct"/>
    <n v="1185732"/>
    <d v="2021-01-19T00:00:00"/>
    <x v="0"/>
    <s v="Virginia"/>
    <s v="Richmond"/>
    <s v="Men's Apparel"/>
    <n v="30"/>
    <n v="140"/>
    <x v="664"/>
    <x v="558"/>
    <s v="Outlet"/>
  </r>
  <r>
    <s v="West Gear"/>
    <n v="1185732"/>
    <d v="2021-03-10T00:00:00"/>
    <x v="4"/>
    <s v="Utah"/>
    <s v="Salt Lake City"/>
    <s v="Women's Street Footwear"/>
    <n v="16"/>
    <n v="140"/>
    <x v="1046"/>
    <x v="762"/>
    <s v="Outlet"/>
  </r>
  <r>
    <s v="West Gear"/>
    <n v="1185732"/>
    <d v="2021-03-10T00:00:00"/>
    <x v="4"/>
    <s v="Utah"/>
    <s v="Salt Lake City"/>
    <s v="Women's Apparel"/>
    <n v="21"/>
    <n v="140"/>
    <x v="583"/>
    <x v="544"/>
    <s v="Outlet"/>
  </r>
  <r>
    <s v="West Gear"/>
    <n v="1185732"/>
    <d v="2021-07-10T00:00:00"/>
    <x v="4"/>
    <s v="Utah"/>
    <s v="Salt Lake City"/>
    <s v="Men's Apparel"/>
    <n v="28"/>
    <n v="140"/>
    <x v="1047"/>
    <x v="695"/>
    <s v="Outlet"/>
  </r>
  <r>
    <s v="West Gear"/>
    <n v="1185732"/>
    <d v="2021-10-11T00:00:00"/>
    <x v="4"/>
    <s v="Utah"/>
    <s v="Salt Lake City"/>
    <s v="Women's Apparel"/>
    <n v="25"/>
    <n v="140"/>
    <x v="1048"/>
    <x v="558"/>
    <s v="Outlet"/>
  </r>
  <r>
    <s v="West Gear"/>
    <n v="1128299"/>
    <d v="2021-06-24T00:00:00"/>
    <x v="4"/>
    <s v="Oregon"/>
    <s v="Portland"/>
    <s v="Men's Apparel"/>
    <n v="67"/>
    <n v="140"/>
    <x v="614"/>
    <x v="93"/>
    <s v="Outlet"/>
  </r>
  <r>
    <s v="West Gear"/>
    <n v="1128299"/>
    <d v="2021-01-17T00:00:00"/>
    <x v="4"/>
    <s v="Oregon"/>
    <s v="Portland"/>
    <s v="Women's Apparel"/>
    <n v="34"/>
    <n v="140"/>
    <x v="1049"/>
    <x v="506"/>
    <s v="Outlet"/>
  </r>
  <r>
    <s v="West Gear"/>
    <n v="1128299"/>
    <d v="2021-10-17T00:00:00"/>
    <x v="1"/>
    <s v="Louisiana"/>
    <s v="New Orleans"/>
    <s v="Women's Apparel"/>
    <n v="44"/>
    <n v="140"/>
    <x v="458"/>
    <x v="685"/>
    <s v="Outlet"/>
  </r>
  <r>
    <s v="Sports Direct"/>
    <n v="1197831"/>
    <d v="2021-09-05T00:00:00"/>
    <x v="4"/>
    <s v="Idaho"/>
    <s v="Boise"/>
    <s v="Men's Apparel"/>
    <n v="42"/>
    <n v="140"/>
    <x v="856"/>
    <x v="656"/>
    <s v="Outlet"/>
  </r>
  <r>
    <s v="Foot Locker"/>
    <n v="1128299"/>
    <d v="2021-01-23T00:00:00"/>
    <x v="4"/>
    <s v="Idaho"/>
    <s v="Boise"/>
    <s v="Men's Athletic Footwear"/>
    <n v="30"/>
    <n v="140"/>
    <x v="664"/>
    <x v="736"/>
    <s v="Outlet"/>
  </r>
  <r>
    <s v="Foot Locker"/>
    <n v="1128299"/>
    <d v="2021-01-23T00:00:00"/>
    <x v="4"/>
    <s v="Idaho"/>
    <s v="Boise"/>
    <s v="Women's Apparel"/>
    <n v="27"/>
    <n v="140"/>
    <x v="569"/>
    <x v="779"/>
    <s v="Outlet"/>
  </r>
  <r>
    <s v="Foot Locker"/>
    <n v="1128299"/>
    <d v="2021-11-23T00:00:00"/>
    <x v="4"/>
    <s v="Arizona"/>
    <s v="Phoenix"/>
    <s v="Women's Apparel"/>
    <n v="39"/>
    <n v="140"/>
    <x v="321"/>
    <x v="792"/>
    <s v="Outlet"/>
  </r>
  <r>
    <s v="Kohl's"/>
    <n v="1128299"/>
    <d v="2021-02-26T00:00:00"/>
    <x v="4"/>
    <s v="New Mexico"/>
    <s v="Albuquerque"/>
    <s v="Women's Apparel"/>
    <n v="35"/>
    <n v="140"/>
    <x v="556"/>
    <x v="774"/>
    <s v="Outlet"/>
  </r>
  <r>
    <s v="Kohl's"/>
    <n v="1128299"/>
    <d v="2021-04-26T00:00:00"/>
    <x v="4"/>
    <s v="New Mexico"/>
    <s v="Albuquerque"/>
    <s v="Women's Street Footwear"/>
    <n v="44"/>
    <n v="140"/>
    <x v="458"/>
    <x v="638"/>
    <s v="Outlet"/>
  </r>
  <r>
    <s v="Sports Direct"/>
    <n v="1128299"/>
    <d v="2021-01-13T00:00:00"/>
    <x v="4"/>
    <s v="New Mexico"/>
    <s v="Albuquerque"/>
    <s v="Men's Athletic Footwear"/>
    <n v="27"/>
    <n v="140"/>
    <x v="569"/>
    <x v="542"/>
    <s v="Outlet"/>
  </r>
  <r>
    <s v="Sports Direct"/>
    <n v="1128299"/>
    <d v="2021-01-13T00:00:00"/>
    <x v="4"/>
    <s v="New Mexico"/>
    <s v="Albuquerque"/>
    <s v="Women's Street Footwear"/>
    <n v="32"/>
    <n v="140"/>
    <x v="939"/>
    <x v="335"/>
    <s v="Outlet"/>
  </r>
  <r>
    <s v="Sports Direct"/>
    <n v="1128299"/>
    <d v="2021-01-13T00:00:00"/>
    <x v="4"/>
    <s v="New Mexico"/>
    <s v="Albuquerque"/>
    <s v="Women's Apparel"/>
    <n v="28"/>
    <n v="140"/>
    <x v="1047"/>
    <x v="793"/>
    <s v="Outlet"/>
  </r>
  <r>
    <s v="Sports Direct"/>
    <n v="1128299"/>
    <d v="2021-08-13T00:00:00"/>
    <x v="0"/>
    <s v="Georgia"/>
    <s v="Atlanta"/>
    <s v="Men's Apparel"/>
    <n v="51"/>
    <n v="140"/>
    <x v="578"/>
    <x v="249"/>
    <s v="Outlet"/>
  </r>
  <r>
    <s v="Sports Direct"/>
    <n v="1128299"/>
    <d v="2021-11-13T00:00:00"/>
    <x v="0"/>
    <s v="Georgia"/>
    <s v="Atlanta"/>
    <s v="Women's Athletic Footwear"/>
    <n v="37"/>
    <n v="140"/>
    <x v="544"/>
    <x v="536"/>
    <s v="Outlet"/>
  </r>
  <r>
    <s v="Foot Locker"/>
    <n v="1185732"/>
    <d v="2021-05-16T00:00:00"/>
    <x v="1"/>
    <s v="Mississippi"/>
    <s v="Jackson"/>
    <s v="Men's Athletic Footwear"/>
    <n v="28"/>
    <n v="140"/>
    <x v="1047"/>
    <x v="547"/>
    <s v="Outlet"/>
  </r>
  <r>
    <s v="Sports Direct"/>
    <n v="1197831"/>
    <d v="2021-01-23T00:00:00"/>
    <x v="1"/>
    <s v="Mississippi"/>
    <s v="Jackson"/>
    <s v="Women's Street Footwear"/>
    <n v="11"/>
    <n v="140"/>
    <x v="1050"/>
    <x v="794"/>
    <s v="Outlet"/>
  </r>
  <r>
    <s v="Walmart"/>
    <n v="1197831"/>
    <d v="2021-07-19T00:00:00"/>
    <x v="1"/>
    <s v="Arkansas"/>
    <s v="Little Rock"/>
    <s v="Women's Street Footwear"/>
    <n v="32"/>
    <n v="140"/>
    <x v="939"/>
    <x v="180"/>
    <s v="Outlet"/>
  </r>
  <r>
    <s v="Walmart"/>
    <n v="1197831"/>
    <d v="2021-09-19T00:00:00"/>
    <x v="1"/>
    <s v="Arkansas"/>
    <s v="Little Rock"/>
    <s v="Women's Apparel"/>
    <n v="22"/>
    <n v="140"/>
    <x v="928"/>
    <x v="688"/>
    <s v="Outlet"/>
  </r>
  <r>
    <s v="West Gear"/>
    <n v="1197831"/>
    <d v="2021-08-20T00:00:00"/>
    <x v="1"/>
    <s v="Oklahoma"/>
    <s v="Oklahoma City"/>
    <s v="Men's Athletic Footwear"/>
    <n v="37"/>
    <n v="140"/>
    <x v="544"/>
    <x v="285"/>
    <s v="Outlet"/>
  </r>
  <r>
    <s v="Sports Direct"/>
    <n v="1185732"/>
    <d v="2021-01-17T00:00:00"/>
    <x v="3"/>
    <s v="Rhode Island"/>
    <s v="Providence"/>
    <s v="Men's Street Footwear"/>
    <n v="28"/>
    <n v="140"/>
    <x v="1047"/>
    <x v="688"/>
    <s v="Outlet"/>
  </r>
  <r>
    <s v="West Gear"/>
    <n v="1185732"/>
    <d v="2021-11-11T00:00:00"/>
    <x v="3"/>
    <s v="Vermont"/>
    <s v="Burlington"/>
    <s v="Men's Street Footwear"/>
    <n v="54"/>
    <n v="140"/>
    <x v="80"/>
    <x v="532"/>
    <s v="Outlet"/>
  </r>
  <r>
    <s v="Amazon"/>
    <n v="1185732"/>
    <d v="2021-05-17T00:00:00"/>
    <x v="3"/>
    <s v="New Hampshire"/>
    <s v="Manchester"/>
    <s v="Women's Apparel"/>
    <n v="46"/>
    <n v="140"/>
    <x v="765"/>
    <x v="398"/>
    <s v="Outlet"/>
  </r>
  <r>
    <s v="Amazon"/>
    <n v="1185732"/>
    <d v="2021-06-19T00:00:00"/>
    <x v="3"/>
    <s v="New Hampshire"/>
    <s v="Manchester"/>
    <s v="Men's Athletic Footwear"/>
    <n v="40"/>
    <n v="140"/>
    <x v="482"/>
    <x v="487"/>
    <s v="Outlet"/>
  </r>
  <r>
    <s v="Foot Locker"/>
    <n v="1185732"/>
    <d v="2021-05-13T00:00:00"/>
    <x v="2"/>
    <s v="South Dakota"/>
    <s v="Sioux Falls"/>
    <s v="Men's Street Footwear"/>
    <n v="58"/>
    <n v="139"/>
    <x v="719"/>
    <x v="113"/>
    <s v="Online"/>
  </r>
  <r>
    <s v="Sports Direct"/>
    <n v="1197831"/>
    <d v="2021-10-14T00:00:00"/>
    <x v="1"/>
    <s v="Texas"/>
    <s v="Dallas"/>
    <s v="Men's Apparel"/>
    <n v="56"/>
    <n v="138"/>
    <x v="178"/>
    <x v="525"/>
    <s v="Online"/>
  </r>
  <r>
    <s v="West Gear"/>
    <n v="1128299"/>
    <d v="2020-02-17T00:00:00"/>
    <x v="4"/>
    <s v="Nevada"/>
    <s v="Las Vegas"/>
    <s v="Men's Apparel"/>
    <n v="68"/>
    <n v="138"/>
    <x v="614"/>
    <x v="795"/>
    <s v="Online"/>
  </r>
  <r>
    <s v="West Gear"/>
    <n v="1128299"/>
    <d v="2020-02-25T00:00:00"/>
    <x v="4"/>
    <s v="Nevada"/>
    <s v="Las Vegas"/>
    <s v="Men's Street Footwear"/>
    <n v="56"/>
    <n v="138"/>
    <x v="178"/>
    <x v="113"/>
    <s v="Online"/>
  </r>
  <r>
    <s v="West Gear"/>
    <n v="1128299"/>
    <d v="2020-06-01T00:00:00"/>
    <x v="4"/>
    <s v="Washington"/>
    <s v="Seattle"/>
    <s v="Men's Street Footwear"/>
    <n v="36"/>
    <n v="138"/>
    <x v="767"/>
    <x v="710"/>
    <s v="Online"/>
  </r>
  <r>
    <s v="West Gear"/>
    <n v="1128299"/>
    <d v="2020-07-20T00:00:00"/>
    <x v="4"/>
    <s v="Washington"/>
    <s v="Seattle"/>
    <s v="Men's Athletic Footwear"/>
    <n v="64"/>
    <n v="138"/>
    <x v="1051"/>
    <x v="622"/>
    <s v="Online"/>
  </r>
  <r>
    <s v="West Gear"/>
    <n v="1128299"/>
    <d v="2020-07-30T00:00:00"/>
    <x v="4"/>
    <s v="Washington"/>
    <s v="Seattle"/>
    <s v="Women's Apparel"/>
    <n v="88"/>
    <n v="138"/>
    <x v="225"/>
    <x v="220"/>
    <s v="Online"/>
  </r>
  <r>
    <s v="West Gear"/>
    <n v="1128299"/>
    <d v="2020-08-02T00:00:00"/>
    <x v="4"/>
    <s v="Washington"/>
    <s v="Seattle"/>
    <s v="Women's Street Footwear"/>
    <n v="73"/>
    <n v="138"/>
    <x v="103"/>
    <x v="73"/>
    <s v="Online"/>
  </r>
  <r>
    <s v="West Gear"/>
    <n v="1128299"/>
    <d v="2020-08-03T00:00:00"/>
    <x v="4"/>
    <s v="Washington"/>
    <s v="Seattle"/>
    <s v="Women's Athletic Footwear"/>
    <n v="76"/>
    <n v="138"/>
    <x v="1052"/>
    <x v="309"/>
    <s v="Online"/>
  </r>
  <r>
    <s v="Kohl's"/>
    <n v="1189833"/>
    <d v="2021-01-02T00:00:00"/>
    <x v="2"/>
    <s v="Montana"/>
    <s v="Billings"/>
    <s v="Women's Apparel"/>
    <n v="43"/>
    <n v="138"/>
    <x v="460"/>
    <x v="618"/>
    <s v="Online"/>
  </r>
  <r>
    <s v="Sports Direct"/>
    <n v="1197831"/>
    <d v="2021-08-03T00:00:00"/>
    <x v="2"/>
    <s v="Nebraska"/>
    <s v="Omaha"/>
    <s v="Women's Street Footwear"/>
    <n v="28"/>
    <n v="138"/>
    <x v="626"/>
    <x v="796"/>
    <s v="Online"/>
  </r>
  <r>
    <s v="Sports Direct"/>
    <n v="1197831"/>
    <d v="2021-08-04T00:00:00"/>
    <x v="2"/>
    <s v="Nebraska"/>
    <s v="Omaha"/>
    <s v="Women's Athletic Footwear"/>
    <n v="33"/>
    <n v="138"/>
    <x v="1053"/>
    <x v="406"/>
    <s v="Online"/>
  </r>
  <r>
    <s v="Sports Direct"/>
    <n v="1197831"/>
    <d v="2021-08-06T00:00:00"/>
    <x v="1"/>
    <s v="Alabama"/>
    <s v="Birmingham"/>
    <s v="Women's Apparel"/>
    <n v="32"/>
    <n v="138"/>
    <x v="510"/>
    <x v="245"/>
    <s v="Online"/>
  </r>
  <r>
    <s v="Amazon"/>
    <n v="1185732"/>
    <d v="2021-12-17T00:00:00"/>
    <x v="3"/>
    <s v="Maine"/>
    <s v="Portland"/>
    <s v="Men's Street Footwear"/>
    <n v="62"/>
    <n v="138"/>
    <x v="123"/>
    <x v="645"/>
    <s v="Online"/>
  </r>
  <r>
    <s v="Walmart"/>
    <n v="1128299"/>
    <d v="2021-10-10T00:00:00"/>
    <x v="4"/>
    <s v="Hawaii"/>
    <s v="Honolulu"/>
    <s v="Men's Athletic Footwear"/>
    <n v="61"/>
    <n v="138"/>
    <x v="277"/>
    <x v="356"/>
    <s v="Online"/>
  </r>
  <r>
    <s v="Walmart"/>
    <n v="1128299"/>
    <d v="2021-04-17T00:00:00"/>
    <x v="0"/>
    <s v="Florida"/>
    <s v="Orlando"/>
    <s v="Men's Street Footwear"/>
    <n v="62"/>
    <n v="138"/>
    <x v="123"/>
    <x v="266"/>
    <s v="Online"/>
  </r>
  <r>
    <s v="West Gear"/>
    <n v="1185732"/>
    <d v="2021-02-10T00:00:00"/>
    <x v="0"/>
    <s v="Florida"/>
    <s v="Orlando"/>
    <s v="Men's Athletic Footwear"/>
    <n v="42"/>
    <n v="138"/>
    <x v="1017"/>
    <x v="287"/>
    <s v="Online"/>
  </r>
  <r>
    <s v="West Gear"/>
    <n v="1185732"/>
    <d v="2021-09-08T00:00:00"/>
    <x v="3"/>
    <s v="New York"/>
    <s v="Albany"/>
    <s v="Women's Street Footwear"/>
    <n v="41"/>
    <n v="138"/>
    <x v="692"/>
    <x v="684"/>
    <s v="Online"/>
  </r>
  <r>
    <s v="Foot Locker"/>
    <n v="1128299"/>
    <d v="2021-11-24T00:00:00"/>
    <x v="0"/>
    <s v="Virginia"/>
    <s v="Richmond"/>
    <s v="Women's Street Footwear"/>
    <n v="43"/>
    <n v="138"/>
    <x v="460"/>
    <x v="243"/>
    <s v="Online"/>
  </r>
  <r>
    <s v="Sports Direct"/>
    <n v="1185732"/>
    <d v="2021-01-19T00:00:00"/>
    <x v="0"/>
    <s v="Virginia"/>
    <s v="Richmond"/>
    <s v="Women's Apparel"/>
    <n v="33"/>
    <n v="138"/>
    <x v="1053"/>
    <x v="540"/>
    <s v="Online"/>
  </r>
  <r>
    <s v="Sports Direct"/>
    <n v="1185732"/>
    <d v="2021-02-17T00:00:00"/>
    <x v="2"/>
    <s v="Michigan"/>
    <s v="Detroit"/>
    <s v="Women's Apparel"/>
    <n v="33"/>
    <n v="138"/>
    <x v="1053"/>
    <x v="121"/>
    <s v="Online"/>
  </r>
  <r>
    <s v="Sports Direct"/>
    <n v="1185732"/>
    <d v="2021-06-17T00:00:00"/>
    <x v="2"/>
    <s v="Michigan"/>
    <s v="Detroit"/>
    <s v="Women's Street Footwear"/>
    <n v="41"/>
    <n v="138"/>
    <x v="692"/>
    <x v="763"/>
    <s v="Online"/>
  </r>
  <r>
    <s v="Sports Direct"/>
    <n v="1185732"/>
    <d v="2021-11-16T00:00:00"/>
    <x v="2"/>
    <s v="Michigan"/>
    <s v="Detroit"/>
    <s v="Women's Athletic Footwear"/>
    <n v="41"/>
    <n v="138"/>
    <x v="692"/>
    <x v="552"/>
    <s v="Online"/>
  </r>
  <r>
    <s v="Foot Locker"/>
    <n v="1185732"/>
    <d v="2021-12-15T00:00:00"/>
    <x v="2"/>
    <s v="Michigan"/>
    <s v="Detroit"/>
    <s v="Women's Athletic Footwear"/>
    <n v="48"/>
    <n v="138"/>
    <x v="816"/>
    <x v="507"/>
    <s v="Online"/>
  </r>
  <r>
    <s v="West Gear"/>
    <n v="1185732"/>
    <d v="2021-01-11T00:00:00"/>
    <x v="2"/>
    <s v="Missouri"/>
    <s v="St. Louis"/>
    <s v="Women's Apparel"/>
    <n v="24"/>
    <n v="138"/>
    <x v="770"/>
    <x v="674"/>
    <s v="Online"/>
  </r>
  <r>
    <s v="West Gear"/>
    <n v="1185732"/>
    <d v="2021-07-10T00:00:00"/>
    <x v="4"/>
    <s v="Utah"/>
    <s v="Salt Lake City"/>
    <s v="Women's Street Footwear"/>
    <n v="24"/>
    <n v="138"/>
    <x v="770"/>
    <x v="791"/>
    <s v="Online"/>
  </r>
  <r>
    <s v="West Gear"/>
    <n v="1128299"/>
    <d v="2021-08-17T00:00:00"/>
    <x v="1"/>
    <s v="Louisiana"/>
    <s v="New Orleans"/>
    <s v="Men's Apparel"/>
    <n v="64"/>
    <n v="138"/>
    <x v="1051"/>
    <x v="527"/>
    <s v="Online"/>
  </r>
  <r>
    <s v="West Gear"/>
    <n v="1197831"/>
    <d v="2021-04-05T00:00:00"/>
    <x v="4"/>
    <s v="Idaho"/>
    <s v="Boise"/>
    <s v="Women's Street Footwear"/>
    <n v="24"/>
    <n v="138"/>
    <x v="770"/>
    <x v="347"/>
    <s v="Online"/>
  </r>
  <r>
    <s v="West Gear"/>
    <n v="1197831"/>
    <d v="2021-04-05T00:00:00"/>
    <x v="4"/>
    <s v="Idaho"/>
    <s v="Boise"/>
    <s v="Women's Apparel"/>
    <n v="28"/>
    <n v="138"/>
    <x v="626"/>
    <x v="455"/>
    <s v="Online"/>
  </r>
  <r>
    <s v="Foot Locker"/>
    <n v="1128299"/>
    <d v="2021-06-23T00:00:00"/>
    <x v="4"/>
    <s v="Arizona"/>
    <s v="Phoenix"/>
    <s v="Men's Athletic Footwear"/>
    <n v="51"/>
    <n v="138"/>
    <x v="95"/>
    <x v="244"/>
    <s v="Online"/>
  </r>
  <r>
    <s v="Foot Locker"/>
    <n v="1128299"/>
    <d v="2021-06-23T00:00:00"/>
    <x v="4"/>
    <s v="Arizona"/>
    <s v="Phoenix"/>
    <s v="Women's Street Footwear"/>
    <n v="51"/>
    <n v="138"/>
    <x v="95"/>
    <x v="598"/>
    <s v="Online"/>
  </r>
  <r>
    <s v="Kohl's"/>
    <n v="1128299"/>
    <d v="2021-01-26T00:00:00"/>
    <x v="4"/>
    <s v="Arizona"/>
    <s v="Phoenix"/>
    <s v="Men's Athletic Footwear"/>
    <n v="42"/>
    <n v="138"/>
    <x v="1017"/>
    <x v="296"/>
    <s v="Online"/>
  </r>
  <r>
    <s v="Kohl's"/>
    <n v="1128299"/>
    <d v="2021-01-26T00:00:00"/>
    <x v="4"/>
    <s v="Arizona"/>
    <s v="Phoenix"/>
    <s v="Women's Street Footwear"/>
    <n v="42"/>
    <n v="138"/>
    <x v="1017"/>
    <x v="586"/>
    <s v="Online"/>
  </r>
  <r>
    <s v="Sports Direct"/>
    <n v="1128299"/>
    <d v="2021-07-12T00:00:00"/>
    <x v="0"/>
    <s v="Georgia"/>
    <s v="Atlanta"/>
    <s v="Men's Apparel"/>
    <n v="54"/>
    <n v="138"/>
    <x v="677"/>
    <x v="515"/>
    <s v="Online"/>
  </r>
  <r>
    <s v="Foot Locker"/>
    <n v="1128299"/>
    <d v="2021-12-12T00:00:00"/>
    <x v="0"/>
    <s v="Georgia"/>
    <s v="Atlanta"/>
    <s v="Women's Street Footwear"/>
    <n v="53"/>
    <n v="138"/>
    <x v="630"/>
    <x v="244"/>
    <s v="Online"/>
  </r>
  <r>
    <s v="Amazon"/>
    <n v="1185732"/>
    <d v="2021-06-11T00:00:00"/>
    <x v="2"/>
    <s v="Ohio"/>
    <s v="Columbus"/>
    <s v="Men's Athletic Footwear"/>
    <n v="41"/>
    <n v="138"/>
    <x v="692"/>
    <x v="112"/>
    <s v="Online"/>
  </r>
  <r>
    <s v="Amazon"/>
    <n v="1185732"/>
    <d v="2021-09-09T00:00:00"/>
    <x v="2"/>
    <s v="Ohio"/>
    <s v="Columbus"/>
    <s v="Women's Street Footwear"/>
    <n v="23"/>
    <n v="138"/>
    <x v="829"/>
    <x v="744"/>
    <s v="Online"/>
  </r>
  <r>
    <s v="Amazon"/>
    <n v="1185732"/>
    <d v="2021-09-09T00:00:00"/>
    <x v="2"/>
    <s v="Ohio"/>
    <s v="Columbus"/>
    <s v="Women's Apparel"/>
    <n v="37"/>
    <n v="138"/>
    <x v="1040"/>
    <x v="598"/>
    <s v="Online"/>
  </r>
  <r>
    <s v="Amazon"/>
    <n v="1185732"/>
    <d v="2021-10-11T00:00:00"/>
    <x v="2"/>
    <s v="Ohio"/>
    <s v="Columbus"/>
    <s v="Men's Athletic Footwear"/>
    <n v="29"/>
    <n v="138"/>
    <x v="842"/>
    <x v="335"/>
    <s v="Online"/>
  </r>
  <r>
    <s v="Amazon"/>
    <n v="1185732"/>
    <d v="2021-11-10T00:00:00"/>
    <x v="2"/>
    <s v="Ohio"/>
    <s v="Columbus"/>
    <s v="Men's Apparel"/>
    <n v="76"/>
    <n v="138"/>
    <x v="1052"/>
    <x v="374"/>
    <s v="Online"/>
  </r>
  <r>
    <s v="Amazon"/>
    <n v="1185732"/>
    <d v="2021-02-22T00:00:00"/>
    <x v="2"/>
    <s v="Ohio"/>
    <s v="Columbus"/>
    <s v="Men's Street Footwear"/>
    <n v="38"/>
    <n v="138"/>
    <x v="459"/>
    <x v="249"/>
    <s v="Online"/>
  </r>
  <r>
    <s v="Foot Locker"/>
    <n v="1185732"/>
    <d v="2021-01-12T00:00:00"/>
    <x v="2"/>
    <s v="Kansas"/>
    <s v="Wichita"/>
    <s v="Men's Street Footwear"/>
    <n v="38"/>
    <n v="138"/>
    <x v="459"/>
    <x v="111"/>
    <s v="Online"/>
  </r>
  <r>
    <s v="Foot Locker"/>
    <n v="1185732"/>
    <d v="2021-09-13T00:00:00"/>
    <x v="2"/>
    <s v="South Dakota"/>
    <s v="Sioux Falls"/>
    <s v="Men's Street Footwear"/>
    <n v="42"/>
    <n v="138"/>
    <x v="1017"/>
    <x v="404"/>
    <s v="Online"/>
  </r>
  <r>
    <s v="Foot Locker"/>
    <n v="1185732"/>
    <d v="2021-07-05T00:00:00"/>
    <x v="2"/>
    <s v="Iowa"/>
    <s v="Des Moines"/>
    <s v="Men's Street Footwear"/>
    <n v="49"/>
    <n v="138"/>
    <x v="413"/>
    <x v="380"/>
    <s v="Online"/>
  </r>
  <r>
    <s v="West Gear"/>
    <n v="1185732"/>
    <d v="2021-12-02T00:00:00"/>
    <x v="2"/>
    <s v="Wisconsin"/>
    <s v="Milwaukee"/>
    <s v="Men's Street Footwear"/>
    <n v="58"/>
    <n v="138"/>
    <x v="685"/>
    <x v="264"/>
    <s v="Online"/>
  </r>
  <r>
    <s v="Foot Locker"/>
    <n v="1185732"/>
    <d v="2021-02-22T00:00:00"/>
    <x v="3"/>
    <s v="West Virginia"/>
    <s v="Charleston"/>
    <s v="Men's Street Footwear"/>
    <n v="32"/>
    <n v="138"/>
    <x v="510"/>
    <x v="614"/>
    <s v="Online"/>
  </r>
  <r>
    <s v="Kohl's"/>
    <n v="1185732"/>
    <d v="2021-01-10T00:00:00"/>
    <x v="3"/>
    <s v="Delaware"/>
    <s v="Wilmington"/>
    <s v="Men's Street Footwear"/>
    <n v="32"/>
    <n v="138"/>
    <x v="510"/>
    <x v="666"/>
    <s v="Online"/>
  </r>
  <r>
    <s v="Foot Locker"/>
    <n v="1185732"/>
    <d v="2021-06-08T00:00:00"/>
    <x v="3"/>
    <s v="Rhode Island"/>
    <s v="Providence"/>
    <s v="Men's Street Footwear"/>
    <n v="47"/>
    <n v="138"/>
    <x v="1054"/>
    <x v="213"/>
    <s v="Online"/>
  </r>
  <r>
    <s v="Amazon"/>
    <n v="1185732"/>
    <d v="2021-06-19T00:00:00"/>
    <x v="3"/>
    <s v="New Hampshire"/>
    <s v="Manchester"/>
    <s v="Women's Apparel"/>
    <n v="66"/>
    <n v="138"/>
    <x v="1055"/>
    <x v="208"/>
    <s v="Online"/>
  </r>
  <r>
    <s v="West Gear"/>
    <n v="1128299"/>
    <d v="2020-04-25T00:00:00"/>
    <x v="4"/>
    <s v="Colorado"/>
    <s v="Denver"/>
    <s v="Women's Apparel"/>
    <n v="78"/>
    <n v="137"/>
    <x v="116"/>
    <x v="770"/>
    <s v="Online"/>
  </r>
  <r>
    <s v="West Gear"/>
    <n v="1128299"/>
    <d v="2020-05-08T00:00:00"/>
    <x v="4"/>
    <s v="Colorado"/>
    <s v="Denver"/>
    <s v="Men's Street Footwear"/>
    <n v="51"/>
    <n v="137"/>
    <x v="772"/>
    <x v="235"/>
    <s v="Online"/>
  </r>
  <r>
    <s v="West Gear"/>
    <n v="1128299"/>
    <d v="2020-05-25T00:00:00"/>
    <x v="4"/>
    <s v="Colorado"/>
    <s v="Denver"/>
    <s v="Women's Apparel"/>
    <n v="75"/>
    <n v="137"/>
    <x v="996"/>
    <x v="142"/>
    <s v="Online"/>
  </r>
  <r>
    <s v="West Gear"/>
    <n v="1128299"/>
    <d v="2020-07-04T00:00:00"/>
    <x v="4"/>
    <s v="Washington"/>
    <s v="Seattle"/>
    <s v="Women's Athletic Footwear"/>
    <n v="78"/>
    <n v="137"/>
    <x v="116"/>
    <x v="660"/>
    <s v="Online"/>
  </r>
  <r>
    <s v="Foot Locker"/>
    <n v="1185732"/>
    <d v="2020-11-28T00:00:00"/>
    <x v="2"/>
    <s v="Minnesota"/>
    <s v="Minneapolis"/>
    <s v="Men's Street Footwear"/>
    <n v="47"/>
    <n v="137"/>
    <x v="765"/>
    <x v="409"/>
    <s v="Online"/>
  </r>
  <r>
    <s v="Sports Direct"/>
    <n v="1128299"/>
    <d v="2021-02-17T00:00:00"/>
    <x v="4"/>
    <s v="Hawaii"/>
    <s v="Honolulu"/>
    <s v="Men's Street Footwear"/>
    <n v="36"/>
    <n v="137"/>
    <x v="870"/>
    <x v="439"/>
    <s v="Online"/>
  </r>
  <r>
    <s v="West Gear"/>
    <n v="1185732"/>
    <d v="2021-05-08T00:00:00"/>
    <x v="3"/>
    <s v="New York"/>
    <s v="Albany"/>
    <s v="Men's Apparel"/>
    <n v="56"/>
    <n v="137"/>
    <x v="519"/>
    <x v="220"/>
    <s v="Online"/>
  </r>
  <r>
    <s v="West Gear"/>
    <n v="1185732"/>
    <d v="2021-09-08T00:00:00"/>
    <x v="3"/>
    <s v="New York"/>
    <s v="Albany"/>
    <s v="Women's Athletic Footwear"/>
    <n v="44"/>
    <n v="137"/>
    <x v="652"/>
    <x v="634"/>
    <s v="Online"/>
  </r>
  <r>
    <s v="West Gear"/>
    <n v="1185732"/>
    <d v="2021-10-10T00:00:00"/>
    <x v="3"/>
    <s v="New York"/>
    <s v="Albany"/>
    <s v="Women's Street Footwear"/>
    <n v="46"/>
    <n v="137"/>
    <x v="477"/>
    <x v="543"/>
    <s v="Online"/>
  </r>
  <r>
    <s v="Kohl's"/>
    <n v="1185732"/>
    <d v="2021-07-10T00:00:00"/>
    <x v="4"/>
    <s v="Wyoming"/>
    <s v="Cheyenne"/>
    <s v="Men's Apparel"/>
    <n v="48"/>
    <n v="137"/>
    <x v="975"/>
    <x v="512"/>
    <s v="Online"/>
  </r>
  <r>
    <s v="Kohl's"/>
    <n v="1185732"/>
    <d v="2021-09-10T00:00:00"/>
    <x v="4"/>
    <s v="Wyoming"/>
    <s v="Cheyenne"/>
    <s v="Women's Street Footwear"/>
    <n v="38"/>
    <n v="137"/>
    <x v="329"/>
    <x v="665"/>
    <s v="Online"/>
  </r>
  <r>
    <s v="Sports Direct"/>
    <n v="1185732"/>
    <d v="2021-10-17T00:00:00"/>
    <x v="2"/>
    <s v="Michigan"/>
    <s v="Detroit"/>
    <s v="Women's Apparel"/>
    <n v="52"/>
    <n v="137"/>
    <x v="1056"/>
    <x v="797"/>
    <s v="Online"/>
  </r>
  <r>
    <s v="West Gear"/>
    <n v="1128299"/>
    <d v="2021-11-17T00:00:00"/>
    <x v="1"/>
    <s v="Louisiana"/>
    <s v="New Orleans"/>
    <s v="Women's Street Footwear"/>
    <n v="38"/>
    <n v="137"/>
    <x v="329"/>
    <x v="449"/>
    <s v="Online"/>
  </r>
  <r>
    <s v="West Gear"/>
    <n v="1197831"/>
    <d v="2021-07-06T00:00:00"/>
    <x v="4"/>
    <s v="Idaho"/>
    <s v="Boise"/>
    <s v="Women's Athletic Footwear"/>
    <n v="47"/>
    <n v="137"/>
    <x v="765"/>
    <x v="221"/>
    <s v="Online"/>
  </r>
  <r>
    <s v="Sports Direct"/>
    <n v="1128299"/>
    <d v="2021-03-12T00:00:00"/>
    <x v="0"/>
    <s v="Georgia"/>
    <s v="Atlanta"/>
    <s v="Men's Street Footwear"/>
    <n v="37"/>
    <n v="137"/>
    <x v="1003"/>
    <x v="356"/>
    <s v="Online"/>
  </r>
  <r>
    <s v="Sports Direct"/>
    <n v="1128299"/>
    <d v="2021-07-12T00:00:00"/>
    <x v="0"/>
    <s v="Georgia"/>
    <s v="Atlanta"/>
    <s v="Women's Street Footwear"/>
    <n v="50"/>
    <n v="137"/>
    <x v="893"/>
    <x v="160"/>
    <s v="Online"/>
  </r>
  <r>
    <s v="Sports Direct"/>
    <n v="1128299"/>
    <d v="2021-11-13T00:00:00"/>
    <x v="0"/>
    <s v="Georgia"/>
    <s v="Atlanta"/>
    <s v="Men's Street Footwear"/>
    <n v="51"/>
    <n v="137"/>
    <x v="772"/>
    <x v="466"/>
    <s v="Online"/>
  </r>
  <r>
    <s v="Amazon"/>
    <n v="1185732"/>
    <d v="2021-04-10T00:00:00"/>
    <x v="2"/>
    <s v="Ohio"/>
    <s v="Columbus"/>
    <s v="Women's Apparel"/>
    <n v="34"/>
    <n v="137"/>
    <x v="1057"/>
    <x v="409"/>
    <s v="Online"/>
  </r>
  <r>
    <s v="Amazon"/>
    <n v="1185732"/>
    <d v="2021-09-23T00:00:00"/>
    <x v="0"/>
    <s v="Kentucky"/>
    <s v="Louisville"/>
    <s v="Men's Street Footwear"/>
    <n v="48"/>
    <n v="137"/>
    <x v="975"/>
    <x v="235"/>
    <s v="Online"/>
  </r>
  <r>
    <s v="Sports Direct"/>
    <n v="1185732"/>
    <d v="2021-12-16T00:00:00"/>
    <x v="1"/>
    <s v="Mississippi"/>
    <s v="Jackson"/>
    <s v="Women's Street Footwear"/>
    <n v="59"/>
    <n v="137"/>
    <x v="1058"/>
    <x v="292"/>
    <s v="Online"/>
  </r>
  <r>
    <s v="West Gear"/>
    <n v="1197831"/>
    <d v="2021-10-21T00:00:00"/>
    <x v="1"/>
    <s v="Oklahoma"/>
    <s v="Oklahoma City"/>
    <s v="Men's Street Footwear"/>
    <n v="29"/>
    <n v="137"/>
    <x v="1059"/>
    <x v="283"/>
    <s v="Online"/>
  </r>
  <r>
    <s v="Foot Locker"/>
    <n v="1185732"/>
    <d v="2021-06-06T00:00:00"/>
    <x v="2"/>
    <s v="Iowa"/>
    <s v="Des Moines"/>
    <s v="Men's Street Footwear"/>
    <n v="32"/>
    <n v="137"/>
    <x v="1060"/>
    <x v="785"/>
    <s v="Online"/>
  </r>
  <r>
    <s v="Foot Locker"/>
    <n v="1185732"/>
    <d v="2021-01-17T00:00:00"/>
    <x v="3"/>
    <s v="Maryland"/>
    <s v="Baltimore"/>
    <s v="Men's Street Footwear"/>
    <n v="36"/>
    <n v="137"/>
    <x v="870"/>
    <x v="772"/>
    <s v="Online"/>
  </r>
  <r>
    <s v="Amazon"/>
    <n v="1185732"/>
    <d v="2021-04-11T00:00:00"/>
    <x v="3"/>
    <s v="Vermont"/>
    <s v="Burlington"/>
    <s v="Men's Street Footwear"/>
    <n v="41"/>
    <n v="137"/>
    <x v="397"/>
    <x v="344"/>
    <s v="Online"/>
  </r>
  <r>
    <s v="Amazon"/>
    <n v="1185732"/>
    <d v="2021-09-10T00:00:00"/>
    <x v="3"/>
    <s v="Vermont"/>
    <s v="Burlington"/>
    <s v="Men's Street Footwear"/>
    <n v="56"/>
    <n v="137"/>
    <x v="519"/>
    <x v="531"/>
    <s v="Online"/>
  </r>
  <r>
    <s v="Amazon"/>
    <n v="1185732"/>
    <d v="2021-07-17T00:00:00"/>
    <x v="3"/>
    <s v="New Hampshire"/>
    <s v="Manchester"/>
    <s v="Women's Apparel"/>
    <n v="64"/>
    <n v="137"/>
    <x v="1061"/>
    <x v="96"/>
    <s v="Online"/>
  </r>
  <r>
    <s v="Foot Locker"/>
    <n v="1185732"/>
    <d v="2021-11-15T00:00:00"/>
    <x v="3"/>
    <s v="Pennsylvania"/>
    <s v="Philadelphia"/>
    <s v="Men's Street Footwear"/>
    <n v="58"/>
    <n v="136"/>
    <x v="195"/>
    <x v="46"/>
    <s v="Online"/>
  </r>
  <r>
    <s v="Foot Locker"/>
    <n v="1185732"/>
    <d v="2021-03-05T00:00:00"/>
    <x v="2"/>
    <s v="Iowa"/>
    <s v="Des Moines"/>
    <s v="Men's Street Footwear"/>
    <n v="19"/>
    <n v="136"/>
    <x v="1062"/>
    <x v="798"/>
    <s v="Online"/>
  </r>
  <r>
    <s v="Sports Direct"/>
    <n v="1197831"/>
    <d v="2021-08-20T00:00:00"/>
    <x v="1"/>
    <s v="Texas"/>
    <s v="Dallas"/>
    <s v="Women's Athletic Footwear"/>
    <n v="28"/>
    <n v="136"/>
    <x v="1063"/>
    <x v="524"/>
    <s v="Outlet"/>
  </r>
  <r>
    <s v="West Gear"/>
    <n v="1128299"/>
    <d v="2020-03-13T00:00:00"/>
    <x v="4"/>
    <s v="Nevada"/>
    <s v="Las Vegas"/>
    <s v="Men's Apparel"/>
    <n v="49"/>
    <n v="136"/>
    <x v="271"/>
    <x v="632"/>
    <s v="Outlet"/>
  </r>
  <r>
    <s v="Sports Direct"/>
    <n v="1197831"/>
    <d v="2021-04-30T00:00:00"/>
    <x v="1"/>
    <s v="Tennessee"/>
    <s v="Knoxville"/>
    <s v="Women's Athletic Footwear"/>
    <n v="40"/>
    <n v="136"/>
    <x v="938"/>
    <x v="540"/>
    <s v="Outlet"/>
  </r>
  <r>
    <s v="Sports Direct"/>
    <n v="1197831"/>
    <d v="2021-08-09T00:00:00"/>
    <x v="1"/>
    <s v="Alabama"/>
    <s v="Birmingham"/>
    <s v="Women's Street Footwear"/>
    <n v="26"/>
    <n v="136"/>
    <x v="1064"/>
    <x v="347"/>
    <s v="Outlet"/>
  </r>
  <r>
    <s v="Foot Locker"/>
    <n v="1128299"/>
    <d v="2021-08-24T00:00:00"/>
    <x v="0"/>
    <s v="Virginia"/>
    <s v="Richmond"/>
    <s v="Women's Athletic Footwear"/>
    <n v="52"/>
    <n v="136"/>
    <x v="1065"/>
    <x v="512"/>
    <s v="Outlet"/>
  </r>
  <r>
    <s v="Foot Locker"/>
    <n v="1128299"/>
    <d v="2021-11-24T00:00:00"/>
    <x v="0"/>
    <s v="Virginia"/>
    <s v="Richmond"/>
    <s v="Men's Apparel"/>
    <n v="56"/>
    <n v="136"/>
    <x v="432"/>
    <x v="89"/>
    <s v="Outlet"/>
  </r>
  <r>
    <s v="Sports Direct"/>
    <n v="1185732"/>
    <d v="2021-01-19T00:00:00"/>
    <x v="0"/>
    <s v="Virginia"/>
    <s v="Richmond"/>
    <s v="Women's Athletic Footwear"/>
    <n v="21"/>
    <n v="136"/>
    <x v="615"/>
    <x v="440"/>
    <s v="Outlet"/>
  </r>
  <r>
    <s v="West Gear"/>
    <n v="1185732"/>
    <d v="2021-04-11T00:00:00"/>
    <x v="4"/>
    <s v="Utah"/>
    <s v="Salt Lake City"/>
    <s v="Women's Apparel"/>
    <n v="20"/>
    <n v="136"/>
    <x v="1066"/>
    <x v="799"/>
    <s v="Outlet"/>
  </r>
  <r>
    <s v="West Gear"/>
    <n v="1185732"/>
    <d v="2021-11-11T00:00:00"/>
    <x v="4"/>
    <s v="Utah"/>
    <s v="Salt Lake City"/>
    <s v="Men's Athletic Footwear"/>
    <n v="14"/>
    <n v="136"/>
    <x v="1067"/>
    <x v="488"/>
    <s v="Outlet"/>
  </r>
  <r>
    <s v="West Gear"/>
    <n v="1185732"/>
    <d v="2021-12-10T00:00:00"/>
    <x v="4"/>
    <s v="Utah"/>
    <s v="Salt Lake City"/>
    <s v="Women's Athletic Footwear"/>
    <n v="22"/>
    <n v="136"/>
    <x v="830"/>
    <x v="745"/>
    <s v="Outlet"/>
  </r>
  <r>
    <s v="West Gear"/>
    <n v="1128299"/>
    <d v="2021-08-24T00:00:00"/>
    <x v="4"/>
    <s v="Oregon"/>
    <s v="Portland"/>
    <s v="Men's Apparel"/>
    <n v="53"/>
    <n v="136"/>
    <x v="1068"/>
    <x v="409"/>
    <s v="Outlet"/>
  </r>
  <r>
    <s v="West Gear"/>
    <n v="1128299"/>
    <d v="2021-05-18T00:00:00"/>
    <x v="1"/>
    <s v="Louisiana"/>
    <s v="New Orleans"/>
    <s v="Women's Street Footwear"/>
    <n v="37"/>
    <n v="136"/>
    <x v="1069"/>
    <x v="233"/>
    <s v="Outlet"/>
  </r>
  <r>
    <s v="Sports Direct"/>
    <n v="1197831"/>
    <d v="2021-09-05T00:00:00"/>
    <x v="4"/>
    <s v="Idaho"/>
    <s v="Boise"/>
    <s v="Women's Athletic Footwear"/>
    <n v="40"/>
    <n v="136"/>
    <x v="938"/>
    <x v="343"/>
    <s v="Outlet"/>
  </r>
  <r>
    <s v="Foot Locker"/>
    <n v="1128299"/>
    <d v="2021-01-23T00:00:00"/>
    <x v="4"/>
    <s v="Idaho"/>
    <s v="Boise"/>
    <s v="Men's Street Footwear"/>
    <n v="23"/>
    <n v="136"/>
    <x v="1070"/>
    <x v="793"/>
    <s v="Outlet"/>
  </r>
  <r>
    <s v="Foot Locker"/>
    <n v="1128299"/>
    <d v="2021-08-23T00:00:00"/>
    <x v="4"/>
    <s v="Arizona"/>
    <s v="Phoenix"/>
    <s v="Men's Apparel"/>
    <n v="45"/>
    <n v="136"/>
    <x v="94"/>
    <x v="565"/>
    <s v="Outlet"/>
  </r>
  <r>
    <s v="Kohl's"/>
    <n v="1128299"/>
    <d v="2021-12-22T00:00:00"/>
    <x v="4"/>
    <s v="Arizona"/>
    <s v="Phoenix"/>
    <s v="Women's Street Footwear"/>
    <n v="35"/>
    <n v="136"/>
    <x v="1049"/>
    <x v="587"/>
    <s v="Outlet"/>
  </r>
  <r>
    <s v="Kohl's"/>
    <n v="1128299"/>
    <d v="2021-02-26T00:00:00"/>
    <x v="4"/>
    <s v="Arizona"/>
    <s v="Phoenix"/>
    <s v="Men's Athletic Footwear"/>
    <n v="36"/>
    <n v="136"/>
    <x v="556"/>
    <x v="451"/>
    <s v="Outlet"/>
  </r>
  <r>
    <s v="Kohl's"/>
    <n v="1128299"/>
    <d v="2021-03-25T00:00:00"/>
    <x v="4"/>
    <s v="New Mexico"/>
    <s v="Albuquerque"/>
    <s v="Men's Athletic Footwear"/>
    <n v="36"/>
    <n v="136"/>
    <x v="556"/>
    <x v="580"/>
    <s v="Outlet"/>
  </r>
  <r>
    <s v="Kohl's"/>
    <n v="1128299"/>
    <d v="2021-05-27T00:00:00"/>
    <x v="4"/>
    <s v="New Mexico"/>
    <s v="Albuquerque"/>
    <s v="Men's Athletic Footwear"/>
    <n v="46"/>
    <n v="136"/>
    <x v="769"/>
    <x v="487"/>
    <s v="Outlet"/>
  </r>
  <r>
    <s v="Kohl's"/>
    <n v="1128299"/>
    <d v="2021-11-26T00:00:00"/>
    <x v="4"/>
    <s v="New Mexico"/>
    <s v="Albuquerque"/>
    <s v="Women's Athletic Footwear"/>
    <n v="40"/>
    <n v="136"/>
    <x v="938"/>
    <x v="355"/>
    <s v="Outlet"/>
  </r>
  <r>
    <s v="Sports Direct"/>
    <n v="1128299"/>
    <d v="2021-05-14T00:00:00"/>
    <x v="0"/>
    <s v="Georgia"/>
    <s v="Atlanta"/>
    <s v="Men's Athletic Footwear"/>
    <n v="36"/>
    <n v="136"/>
    <x v="556"/>
    <x v="580"/>
    <s v="Outlet"/>
  </r>
  <r>
    <s v="Foot Locker"/>
    <n v="1185732"/>
    <d v="2021-02-18T00:00:00"/>
    <x v="1"/>
    <s v="Mississippi"/>
    <s v="Jackson"/>
    <s v="Men's Apparel"/>
    <n v="26"/>
    <n v="136"/>
    <x v="1064"/>
    <x v="761"/>
    <s v="Outlet"/>
  </r>
  <r>
    <s v="Foot Locker"/>
    <n v="1185732"/>
    <d v="2021-03-16T00:00:00"/>
    <x v="1"/>
    <s v="Mississippi"/>
    <s v="Jackson"/>
    <s v="Women's Street Footwear"/>
    <n v="11"/>
    <n v="136"/>
    <x v="1071"/>
    <x v="800"/>
    <s v="Outlet"/>
  </r>
  <r>
    <s v="Foot Locker"/>
    <n v="1185732"/>
    <d v="2021-03-16T00:00:00"/>
    <x v="1"/>
    <s v="Mississippi"/>
    <s v="Jackson"/>
    <s v="Women's Apparel"/>
    <n v="17"/>
    <n v="136"/>
    <x v="904"/>
    <x v="793"/>
    <s v="Outlet"/>
  </r>
  <r>
    <s v="Foot Locker"/>
    <n v="1185732"/>
    <d v="2021-05-16T00:00:00"/>
    <x v="1"/>
    <s v="Mississippi"/>
    <s v="Jackson"/>
    <s v="Women's Street Footwear"/>
    <n v="26"/>
    <n v="136"/>
    <x v="1064"/>
    <x v="563"/>
    <s v="Outlet"/>
  </r>
  <r>
    <s v="Sports Direct"/>
    <n v="1197831"/>
    <d v="2021-02-21T00:00:00"/>
    <x v="1"/>
    <s v="Mississippi"/>
    <s v="Jackson"/>
    <s v="Women's Street Footwear"/>
    <n v="11"/>
    <n v="136"/>
    <x v="1071"/>
    <x v="801"/>
    <s v="Outlet"/>
  </r>
  <r>
    <s v="Foot Locker"/>
    <n v="1185732"/>
    <d v="2021-07-06T00:00:00"/>
    <x v="3"/>
    <s v="Rhode Island"/>
    <s v="Providence"/>
    <s v="Women's Apparel"/>
    <n v="38"/>
    <n v="136"/>
    <x v="980"/>
    <x v="742"/>
    <s v="Outlet"/>
  </r>
  <r>
    <s v="Amazon"/>
    <n v="1185732"/>
    <d v="2021-08-11T00:00:00"/>
    <x v="3"/>
    <s v="Vermont"/>
    <s v="Burlington"/>
    <s v="Women's Apparel"/>
    <n v="44"/>
    <n v="136"/>
    <x v="896"/>
    <x v="111"/>
    <s v="Outlet"/>
  </r>
  <r>
    <s v="Foot Locker"/>
    <n v="1185732"/>
    <d v="2021-06-30T00:00:00"/>
    <x v="2"/>
    <s v="Illinois"/>
    <s v="Chicago"/>
    <s v="Men's Street Footwear"/>
    <n v="46"/>
    <n v="135"/>
    <x v="702"/>
    <x v="143"/>
    <s v="Online"/>
  </r>
  <r>
    <s v="Foot Locker"/>
    <n v="1185732"/>
    <d v="2021-07-18T00:00:00"/>
    <x v="2"/>
    <s v="Illinois"/>
    <s v="Chicago"/>
    <s v="Men's Street Footwear"/>
    <n v="47"/>
    <n v="135"/>
    <x v="521"/>
    <x v="598"/>
    <s v="Online"/>
  </r>
  <r>
    <s v="Sports Direct"/>
    <n v="1197831"/>
    <d v="2021-08-28T00:00:00"/>
    <x v="1"/>
    <s v="Texas"/>
    <s v="Dallas"/>
    <s v="Women's Apparel"/>
    <n v="32"/>
    <n v="135"/>
    <x v="900"/>
    <x v="654"/>
    <s v="Online"/>
  </r>
  <r>
    <s v="Sports Direct"/>
    <n v="1197831"/>
    <d v="2021-10-02T00:00:00"/>
    <x v="1"/>
    <s v="Texas"/>
    <s v="Dallas"/>
    <s v="Men's Apparel"/>
    <n v="53"/>
    <n v="135"/>
    <x v="538"/>
    <x v="56"/>
    <s v="Online"/>
  </r>
  <r>
    <s v="Foot Locker"/>
    <n v="1185732"/>
    <d v="2021-11-21T00:00:00"/>
    <x v="3"/>
    <s v="Pennsylvania"/>
    <s v="Philadelphia"/>
    <s v="Men's Street Footwear"/>
    <n v="64"/>
    <n v="135"/>
    <x v="543"/>
    <x v="467"/>
    <s v="Online"/>
  </r>
  <r>
    <s v="West Gear"/>
    <n v="1128299"/>
    <d v="2020-04-17T00:00:00"/>
    <x v="4"/>
    <s v="Colorado"/>
    <s v="Denver"/>
    <s v="Women's Athletic Footwear"/>
    <n v="62"/>
    <n v="135"/>
    <x v="775"/>
    <x v="110"/>
    <s v="Online"/>
  </r>
  <r>
    <s v="West Gear"/>
    <n v="1128299"/>
    <d v="2020-04-29T00:00:00"/>
    <x v="4"/>
    <s v="Colorado"/>
    <s v="Denver"/>
    <s v="Women's Athletic Footwear"/>
    <n v="63"/>
    <n v="135"/>
    <x v="487"/>
    <x v="181"/>
    <s v="Online"/>
  </r>
  <r>
    <s v="West Gear"/>
    <n v="1128299"/>
    <d v="2020-05-28T00:00:00"/>
    <x v="4"/>
    <s v="Colorado"/>
    <s v="Denver"/>
    <s v="Women's Street Footwear"/>
    <n v="46"/>
    <n v="135"/>
    <x v="702"/>
    <x v="742"/>
    <s v="Online"/>
  </r>
  <r>
    <s v="West Gear"/>
    <n v="1128299"/>
    <d v="2020-07-15T00:00:00"/>
    <x v="4"/>
    <s v="Washington"/>
    <s v="Seattle"/>
    <s v="Women's Street Footwear"/>
    <n v="63"/>
    <n v="135"/>
    <x v="487"/>
    <x v="344"/>
    <s v="Online"/>
  </r>
  <r>
    <s v="Foot Locker"/>
    <n v="1185732"/>
    <d v="2020-10-23T00:00:00"/>
    <x v="2"/>
    <s v="Minnesota"/>
    <s v="Minneapolis"/>
    <s v="Men's Street Footwear"/>
    <n v="32"/>
    <n v="135"/>
    <x v="900"/>
    <x v="802"/>
    <s v="Online"/>
  </r>
  <r>
    <s v="Sports Direct"/>
    <n v="1197831"/>
    <d v="2021-03-13T00:00:00"/>
    <x v="2"/>
    <s v="Montana"/>
    <s v="Billings"/>
    <s v="Women's Athletic Footwear"/>
    <n v="32"/>
    <n v="135"/>
    <x v="900"/>
    <x v="685"/>
    <s v="Online"/>
  </r>
  <r>
    <s v="Sports Direct"/>
    <n v="1197831"/>
    <d v="2021-03-30T00:00:00"/>
    <x v="1"/>
    <s v="Tennessee"/>
    <s v="Knoxville"/>
    <s v="Women's Street Footwear"/>
    <n v="19"/>
    <n v="135"/>
    <x v="1072"/>
    <x v="799"/>
    <s v="Online"/>
  </r>
  <r>
    <s v="Sports Direct"/>
    <n v="1197831"/>
    <d v="2021-08-28T00:00:00"/>
    <x v="1"/>
    <s v="Alabama"/>
    <s v="Birmingham"/>
    <s v="Women's Athletic Footwear"/>
    <n v="34"/>
    <n v="135"/>
    <x v="1073"/>
    <x v="732"/>
    <s v="Online"/>
  </r>
  <r>
    <s v="Foot Locker"/>
    <n v="1128299"/>
    <d v="2021-03-09T00:00:00"/>
    <x v="4"/>
    <s v="Hawaii"/>
    <s v="Honolulu"/>
    <s v="Men's Street Footwear"/>
    <n v="44"/>
    <n v="135"/>
    <x v="909"/>
    <x v="536"/>
    <s v="Online"/>
  </r>
  <r>
    <s v="Sports Direct"/>
    <n v="1128299"/>
    <d v="2021-12-09T00:00:00"/>
    <x v="4"/>
    <s v="Hawaii"/>
    <s v="Honolulu"/>
    <s v="Women's Street Footwear"/>
    <n v="74"/>
    <n v="135"/>
    <x v="1074"/>
    <x v="231"/>
    <s v="Online"/>
  </r>
  <r>
    <s v="Walmart"/>
    <n v="1128299"/>
    <d v="2021-09-18T00:00:00"/>
    <x v="0"/>
    <s v="Florida"/>
    <s v="Orlando"/>
    <s v="Men's Athletic Footwear"/>
    <n v="60"/>
    <n v="135"/>
    <x v="771"/>
    <x v="477"/>
    <s v="Online"/>
  </r>
  <r>
    <s v="West Gear"/>
    <n v="1185732"/>
    <d v="2021-04-09T00:00:00"/>
    <x v="3"/>
    <s v="New York"/>
    <s v="Albany"/>
    <s v="Women's Athletic Footwear"/>
    <n v="37"/>
    <n v="135"/>
    <x v="1008"/>
    <x v="168"/>
    <s v="Online"/>
  </r>
  <r>
    <s v="West Gear"/>
    <n v="1185732"/>
    <d v="2021-10-10T00:00:00"/>
    <x v="3"/>
    <s v="New York"/>
    <s v="Albany"/>
    <s v="Women's Athletic Footwear"/>
    <n v="45"/>
    <n v="135"/>
    <x v="722"/>
    <x v="763"/>
    <s v="Online"/>
  </r>
  <r>
    <s v="Kohl's"/>
    <n v="1185732"/>
    <d v="2021-06-12T00:00:00"/>
    <x v="4"/>
    <s v="Wyoming"/>
    <s v="Cheyenne"/>
    <s v="Men's Apparel"/>
    <n v="49"/>
    <n v="135"/>
    <x v="816"/>
    <x v="406"/>
    <s v="Online"/>
  </r>
  <r>
    <s v="Kohl's"/>
    <n v="1185732"/>
    <d v="2021-09-10T00:00:00"/>
    <x v="4"/>
    <s v="Wyoming"/>
    <s v="Cheyenne"/>
    <s v="Women's Athletic Footwear"/>
    <n v="38"/>
    <n v="135"/>
    <x v="727"/>
    <x v="398"/>
    <s v="Online"/>
  </r>
  <r>
    <s v="Kohl's"/>
    <n v="1185732"/>
    <d v="2021-11-11T00:00:00"/>
    <x v="4"/>
    <s v="Wyoming"/>
    <s v="Cheyenne"/>
    <s v="Women's Athletic Footwear"/>
    <n v="42"/>
    <n v="135"/>
    <x v="575"/>
    <x v="249"/>
    <s v="Online"/>
  </r>
  <r>
    <s v="Foot Locker"/>
    <n v="1185732"/>
    <d v="2021-12-10T00:00:00"/>
    <x v="4"/>
    <s v="Wyoming"/>
    <s v="Cheyenne"/>
    <s v="Women's Athletic Footwear"/>
    <n v="44"/>
    <n v="135"/>
    <x v="909"/>
    <x v="406"/>
    <s v="Online"/>
  </r>
  <r>
    <s v="Sports Direct"/>
    <n v="1185732"/>
    <d v="2021-04-16T00:00:00"/>
    <x v="2"/>
    <s v="Michigan"/>
    <s v="Detroit"/>
    <s v="Women's Street Footwear"/>
    <n v="27"/>
    <n v="135"/>
    <x v="632"/>
    <x v="792"/>
    <s v="Online"/>
  </r>
  <r>
    <s v="Sports Direct"/>
    <n v="1185732"/>
    <d v="2021-08-16T00:00:00"/>
    <x v="2"/>
    <s v="Michigan"/>
    <s v="Detroit"/>
    <s v="Men's Apparel"/>
    <n v="42"/>
    <n v="135"/>
    <x v="575"/>
    <x v="723"/>
    <s v="Online"/>
  </r>
  <r>
    <s v="Foot Locker"/>
    <n v="1128299"/>
    <d v="2021-10-23T00:00:00"/>
    <x v="4"/>
    <s v="Arizona"/>
    <s v="Phoenix"/>
    <s v="Men's Street Footwear"/>
    <n v="41"/>
    <n v="135"/>
    <x v="561"/>
    <x v="689"/>
    <s v="Online"/>
  </r>
  <r>
    <s v="Foot Locker"/>
    <n v="1128299"/>
    <d v="2021-11-23T00:00:00"/>
    <x v="4"/>
    <s v="Arizona"/>
    <s v="Phoenix"/>
    <s v="Men's Street Footwear"/>
    <n v="42"/>
    <n v="135"/>
    <x v="575"/>
    <x v="689"/>
    <s v="Online"/>
  </r>
  <r>
    <s v="Kohl's"/>
    <n v="1128299"/>
    <d v="2021-12-22T00:00:00"/>
    <x v="4"/>
    <s v="Arizona"/>
    <s v="Phoenix"/>
    <s v="Women's Apparel"/>
    <n v="58"/>
    <n v="135"/>
    <x v="609"/>
    <x v="498"/>
    <s v="Online"/>
  </r>
  <r>
    <s v="Kohl's"/>
    <n v="1128299"/>
    <d v="2021-07-25T00:00:00"/>
    <x v="4"/>
    <s v="New Mexico"/>
    <s v="Albuquerque"/>
    <s v="Women's Athletic Footwear"/>
    <n v="54"/>
    <n v="135"/>
    <x v="508"/>
    <x v="264"/>
    <s v="Online"/>
  </r>
  <r>
    <s v="Sports Direct"/>
    <n v="1128299"/>
    <d v="2021-01-13T00:00:00"/>
    <x v="4"/>
    <s v="New Mexico"/>
    <s v="Albuquerque"/>
    <s v="Men's Athletic Footwear"/>
    <n v="39"/>
    <n v="135"/>
    <x v="1075"/>
    <x v="661"/>
    <s v="Online"/>
  </r>
  <r>
    <s v="Sports Direct"/>
    <n v="1128299"/>
    <d v="2021-09-14T00:00:00"/>
    <x v="0"/>
    <s v="Georgia"/>
    <s v="Atlanta"/>
    <s v="Women's Street Footwear"/>
    <n v="42"/>
    <n v="135"/>
    <x v="575"/>
    <x v="689"/>
    <s v="Online"/>
  </r>
  <r>
    <s v="Foot Locker"/>
    <n v="1128299"/>
    <d v="2021-12-12T00:00:00"/>
    <x v="0"/>
    <s v="Georgia"/>
    <s v="Atlanta"/>
    <s v="Women's Apparel"/>
    <n v="64"/>
    <n v="135"/>
    <x v="543"/>
    <x v="307"/>
    <s v="Online"/>
  </r>
  <r>
    <s v="Amazon"/>
    <n v="1185732"/>
    <d v="2021-05-09T00:00:00"/>
    <x v="2"/>
    <s v="Ohio"/>
    <s v="Columbus"/>
    <s v="Men's Athletic Footwear"/>
    <n v="44"/>
    <n v="135"/>
    <x v="909"/>
    <x v="406"/>
    <s v="Online"/>
  </r>
  <r>
    <s v="Amazon"/>
    <n v="1185732"/>
    <d v="2021-08-10T00:00:00"/>
    <x v="2"/>
    <s v="Ohio"/>
    <s v="Columbus"/>
    <s v="Men's Apparel"/>
    <n v="50"/>
    <n v="135"/>
    <x v="481"/>
    <x v="154"/>
    <s v="Online"/>
  </r>
  <r>
    <s v="Amazon"/>
    <n v="1185732"/>
    <d v="2021-11-10T00:00:00"/>
    <x v="2"/>
    <s v="Ohio"/>
    <s v="Columbus"/>
    <s v="Women's Athletic Footwear"/>
    <n v="59"/>
    <n v="135"/>
    <x v="1076"/>
    <x v="153"/>
    <s v="Online"/>
  </r>
  <r>
    <s v="Amazon"/>
    <n v="1185732"/>
    <d v="2021-01-22T00:00:00"/>
    <x v="2"/>
    <s v="Ohio"/>
    <s v="Columbus"/>
    <s v="Men's Street Footwear"/>
    <n v="37"/>
    <n v="135"/>
    <x v="1008"/>
    <x v="401"/>
    <s v="Online"/>
  </r>
  <r>
    <s v="Foot Locker"/>
    <n v="1185732"/>
    <d v="2021-06-18T00:00:00"/>
    <x v="1"/>
    <s v="Mississippi"/>
    <s v="Jackson"/>
    <s v="Men's Apparel"/>
    <n v="57"/>
    <n v="135"/>
    <x v="834"/>
    <x v="423"/>
    <s v="Online"/>
  </r>
  <r>
    <s v="Foot Locker"/>
    <n v="1185732"/>
    <d v="2021-06-12T00:00:00"/>
    <x v="2"/>
    <s v="South Dakota"/>
    <s v="Sioux Falls"/>
    <s v="Men's Street Footwear"/>
    <n v="41"/>
    <n v="135"/>
    <x v="561"/>
    <x v="431"/>
    <s v="Online"/>
  </r>
  <r>
    <s v="Foot Locker"/>
    <n v="1185732"/>
    <d v="2021-12-16T00:00:00"/>
    <x v="3"/>
    <s v="West Virginia"/>
    <s v="Charleston"/>
    <s v="Men's Athletic Footwear"/>
    <n v="52"/>
    <n v="135"/>
    <x v="212"/>
    <x v="45"/>
    <s v="Online"/>
  </r>
  <r>
    <s v="Sports Direct"/>
    <n v="1185732"/>
    <d v="2021-08-21T00:00:00"/>
    <x v="3"/>
    <s v="Maryland"/>
    <s v="Baltimore"/>
    <s v="Men's Street Footwear"/>
    <n v="48"/>
    <n v="135"/>
    <x v="764"/>
    <x v="160"/>
    <s v="Online"/>
  </r>
  <r>
    <s v="Foot Locker"/>
    <n v="1185732"/>
    <d v="2021-06-15T00:00:00"/>
    <x v="3"/>
    <s v="Delaware"/>
    <s v="Wilmington"/>
    <s v="Women's Apparel"/>
    <n v="56"/>
    <n v="135"/>
    <x v="80"/>
    <x v="60"/>
    <s v="Online"/>
  </r>
  <r>
    <s v="Kohl's"/>
    <n v="1185732"/>
    <d v="2021-11-14T00:00:00"/>
    <x v="3"/>
    <s v="Delaware"/>
    <s v="Wilmington"/>
    <s v="Men's Street Footwear"/>
    <n v="60"/>
    <n v="135"/>
    <x v="771"/>
    <x v="155"/>
    <s v="Online"/>
  </r>
  <r>
    <s v="Sports Direct"/>
    <n v="1185732"/>
    <d v="2021-12-06T00:00:00"/>
    <x v="3"/>
    <s v="Rhode Island"/>
    <s v="Providence"/>
    <s v="Men's Street Footwear"/>
    <n v="54"/>
    <n v="135"/>
    <x v="508"/>
    <x v="45"/>
    <s v="Online"/>
  </r>
  <r>
    <s v="Sports Direct"/>
    <n v="1185732"/>
    <d v="2021-09-13T00:00:00"/>
    <x v="3"/>
    <s v="Massachusetts"/>
    <s v="Boston"/>
    <s v="Men's Street Footwear"/>
    <n v="53"/>
    <n v="135"/>
    <x v="538"/>
    <x v="723"/>
    <s v="Online"/>
  </r>
  <r>
    <s v="Amazon"/>
    <n v="1185732"/>
    <d v="2021-08-18T00:00:00"/>
    <x v="3"/>
    <s v="New Hampshire"/>
    <s v="Manchester"/>
    <s v="Men's Athletic Footwear"/>
    <n v="58"/>
    <n v="135"/>
    <x v="609"/>
    <x v="782"/>
    <s v="Online"/>
  </r>
  <r>
    <s v="Sports Direct"/>
    <n v="1197831"/>
    <d v="2021-10-01T00:00:00"/>
    <x v="1"/>
    <s v="Texas"/>
    <s v="Dallas"/>
    <s v="Women's Athletic Footwear"/>
    <n v="41"/>
    <n v="135"/>
    <x v="561"/>
    <x v="609"/>
    <s v="Outlet"/>
  </r>
  <r>
    <s v="West Gear"/>
    <n v="1128299"/>
    <d v="2020-01-03T00:00:00"/>
    <x v="3"/>
    <s v="Pennsylvania"/>
    <s v="Philadelphia"/>
    <s v="Men's Athletic Footwear"/>
    <n v="35"/>
    <n v="135"/>
    <x v="794"/>
    <x v="628"/>
    <s v="Outlet"/>
  </r>
  <r>
    <s v="Sports Direct"/>
    <n v="1197831"/>
    <d v="2021-10-03T00:00:00"/>
    <x v="1"/>
    <s v="Alabama"/>
    <s v="Birmingham"/>
    <s v="Women's Athletic Footwear"/>
    <n v="36"/>
    <n v="135"/>
    <x v="810"/>
    <x v="483"/>
    <s v="Outlet"/>
  </r>
  <r>
    <s v="Foot Locker"/>
    <n v="1197831"/>
    <d v="2021-02-04T00:00:00"/>
    <x v="4"/>
    <s v="Idaho"/>
    <s v="Boise"/>
    <s v="Women's Apparel"/>
    <n v="26"/>
    <n v="135"/>
    <x v="1077"/>
    <x v="571"/>
    <s v="Outlet"/>
  </r>
  <r>
    <s v="Foot Locker"/>
    <n v="1197831"/>
    <d v="2021-03-06T00:00:00"/>
    <x v="4"/>
    <s v="Idaho"/>
    <s v="Boise"/>
    <s v="Women's Street Footwear"/>
    <n v="20"/>
    <n v="135"/>
    <x v="1078"/>
    <x v="798"/>
    <s v="Outlet"/>
  </r>
  <r>
    <s v="Kohl's"/>
    <n v="1128299"/>
    <d v="2021-12-22T00:00:00"/>
    <x v="4"/>
    <s v="Arizona"/>
    <s v="Phoenix"/>
    <s v="Women's Apparel"/>
    <n v="43"/>
    <n v="135"/>
    <x v="974"/>
    <x v="591"/>
    <s v="Outlet"/>
  </r>
  <r>
    <s v="Kohl's"/>
    <n v="1128299"/>
    <d v="2021-05-27T00:00:00"/>
    <x v="4"/>
    <s v="New Mexico"/>
    <s v="Albuquerque"/>
    <s v="Women's Street Footwear"/>
    <n v="46"/>
    <n v="135"/>
    <x v="702"/>
    <x v="431"/>
    <s v="Outlet"/>
  </r>
  <r>
    <s v="Sports Direct"/>
    <n v="1128299"/>
    <d v="2021-09-14T00:00:00"/>
    <x v="0"/>
    <s v="Georgia"/>
    <s v="Atlanta"/>
    <s v="Women's Street Footwear"/>
    <n v="32"/>
    <n v="135"/>
    <x v="900"/>
    <x v="786"/>
    <s v="Outlet"/>
  </r>
  <r>
    <s v="Sports Direct"/>
    <n v="1128299"/>
    <d v="2021-09-14T00:00:00"/>
    <x v="0"/>
    <s v="Georgia"/>
    <s v="Atlanta"/>
    <s v="Women's Apparel"/>
    <n v="46"/>
    <n v="135"/>
    <x v="702"/>
    <x v="501"/>
    <s v="Outlet"/>
  </r>
  <r>
    <s v="Foot Locker"/>
    <n v="1185732"/>
    <d v="2021-06-18T00:00:00"/>
    <x v="1"/>
    <s v="Mississippi"/>
    <s v="Jackson"/>
    <s v="Men's Apparel"/>
    <n v="47"/>
    <n v="135"/>
    <x v="521"/>
    <x v="656"/>
    <s v="Outlet"/>
  </r>
  <r>
    <s v="Sports Direct"/>
    <n v="1197831"/>
    <d v="2021-01-23T00:00:00"/>
    <x v="1"/>
    <s v="Mississippi"/>
    <s v="Jackson"/>
    <s v="Men's Athletic Footwear"/>
    <n v="18"/>
    <n v="135"/>
    <x v="1079"/>
    <x v="780"/>
    <s v="Outlet"/>
  </r>
  <r>
    <s v="Walmart"/>
    <n v="1197831"/>
    <d v="2021-08-20T00:00:00"/>
    <x v="1"/>
    <s v="Arkansas"/>
    <s v="Little Rock"/>
    <s v="Women's Street Footwear"/>
    <n v="40"/>
    <n v="135"/>
    <x v="211"/>
    <x v="536"/>
    <s v="Outlet"/>
  </r>
  <r>
    <s v="Walmart"/>
    <n v="1197831"/>
    <d v="2021-09-19T00:00:00"/>
    <x v="1"/>
    <s v="Arkansas"/>
    <s v="Little Rock"/>
    <s v="Men's Athletic Footwear"/>
    <n v="26"/>
    <n v="135"/>
    <x v="1077"/>
    <x v="776"/>
    <s v="Outlet"/>
  </r>
  <r>
    <s v="West Gear"/>
    <n v="1197831"/>
    <d v="2021-11-20T00:00:00"/>
    <x v="1"/>
    <s v="Arkansas"/>
    <s v="Little Rock"/>
    <s v="Women's Apparel"/>
    <n v="53"/>
    <n v="135"/>
    <x v="538"/>
    <x v="630"/>
    <s v="Outlet"/>
  </r>
  <r>
    <s v="West Gear"/>
    <n v="1197831"/>
    <d v="2021-07-19T00:00:00"/>
    <x v="1"/>
    <s v="Oklahoma"/>
    <s v="Oklahoma City"/>
    <s v="Men's Athletic Footwear"/>
    <n v="35"/>
    <n v="135"/>
    <x v="794"/>
    <x v="803"/>
    <s v="Outlet"/>
  </r>
  <r>
    <s v="Amazon"/>
    <n v="1185732"/>
    <d v="2021-08-18T00:00:00"/>
    <x v="3"/>
    <s v="New Hampshire"/>
    <s v="Manchester"/>
    <s v="Men's Athletic Footwear"/>
    <n v="39"/>
    <n v="135"/>
    <x v="1075"/>
    <x v="634"/>
    <s v="Outlet"/>
  </r>
  <r>
    <s v="Foot Locker"/>
    <n v="1185732"/>
    <d v="2021-06-24T00:00:00"/>
    <x v="2"/>
    <s v="Illinois"/>
    <s v="Chicago"/>
    <s v="Men's Street Footwear"/>
    <n v="58"/>
    <n v="134"/>
    <x v="215"/>
    <x v="239"/>
    <s v="Online"/>
  </r>
  <r>
    <s v="Sports Direct"/>
    <n v="1185732"/>
    <d v="2021-03-08T00:00:00"/>
    <x v="2"/>
    <s v="North Dakota"/>
    <s v="Fargo"/>
    <s v="Men's Street Footwear"/>
    <n v="29"/>
    <n v="134"/>
    <x v="881"/>
    <x v="571"/>
    <s v="Online"/>
  </r>
  <r>
    <s v="West Gear"/>
    <n v="1185732"/>
    <d v="2021-05-04T00:00:00"/>
    <x v="2"/>
    <s v="Wisconsin"/>
    <s v="Milwaukee"/>
    <s v="Men's Street Footwear"/>
    <n v="58"/>
    <n v="134"/>
    <x v="215"/>
    <x v="424"/>
    <s v="Online"/>
  </r>
  <r>
    <s v="West Gear"/>
    <n v="1128299"/>
    <d v="2020-03-08T00:00:00"/>
    <x v="4"/>
    <s v="Nevada"/>
    <s v="Las Vegas"/>
    <s v="Women's Apparel"/>
    <n v="68"/>
    <n v="133"/>
    <x v="1080"/>
    <x v="486"/>
    <s v="Online"/>
  </r>
  <r>
    <s v="West Gear"/>
    <n v="1128299"/>
    <d v="2020-03-12T00:00:00"/>
    <x v="4"/>
    <s v="Nevada"/>
    <s v="Las Vegas"/>
    <s v="Women's Athletic Footwear"/>
    <n v="57"/>
    <n v="133"/>
    <x v="1032"/>
    <x v="699"/>
    <s v="Online"/>
  </r>
  <r>
    <s v="West Gear"/>
    <n v="1128299"/>
    <d v="2020-04-13T00:00:00"/>
    <x v="4"/>
    <s v="Colorado"/>
    <s v="Denver"/>
    <s v="Women's Apparel"/>
    <n v="74"/>
    <n v="133"/>
    <x v="256"/>
    <x v="782"/>
    <s v="Online"/>
  </r>
  <r>
    <s v="West Gear"/>
    <n v="1128299"/>
    <d v="2020-08-04T00:00:00"/>
    <x v="4"/>
    <s v="Washington"/>
    <s v="Seattle"/>
    <s v="Men's Apparel"/>
    <n v="82"/>
    <n v="133"/>
    <x v="820"/>
    <x v="44"/>
    <s v="Online"/>
  </r>
  <r>
    <s v="Kohl's"/>
    <n v="1189833"/>
    <d v="2021-03-03T00:00:00"/>
    <x v="2"/>
    <s v="Montana"/>
    <s v="Billings"/>
    <s v="Women's Apparel"/>
    <n v="56"/>
    <n v="133"/>
    <x v="677"/>
    <x v="662"/>
    <s v="Online"/>
  </r>
  <r>
    <s v="Kohl's"/>
    <n v="1189833"/>
    <d v="2021-03-06T00:00:00"/>
    <x v="2"/>
    <s v="Montana"/>
    <s v="Billings"/>
    <s v="Women's Street Footwear"/>
    <n v="42"/>
    <n v="133"/>
    <x v="1007"/>
    <x v="89"/>
    <s v="Online"/>
  </r>
  <r>
    <s v="Sports Direct"/>
    <n v="1197831"/>
    <d v="2021-03-21T00:00:00"/>
    <x v="1"/>
    <s v="Tennessee"/>
    <s v="Knoxville"/>
    <s v="Women's Apparel"/>
    <n v="32"/>
    <n v="133"/>
    <x v="634"/>
    <x v="654"/>
    <s v="Online"/>
  </r>
  <r>
    <s v="Sports Direct"/>
    <n v="1197831"/>
    <d v="2021-04-24T00:00:00"/>
    <x v="1"/>
    <s v="Tennessee"/>
    <s v="Knoxville"/>
    <s v="Women's Athletic Footwear"/>
    <n v="42"/>
    <n v="133"/>
    <x v="1007"/>
    <x v="465"/>
    <s v="Online"/>
  </r>
  <r>
    <s v="Sports Direct"/>
    <n v="1197831"/>
    <d v="2021-04-25T00:00:00"/>
    <x v="1"/>
    <s v="Tennessee"/>
    <s v="Knoxville"/>
    <s v="Men's Apparel"/>
    <n v="49"/>
    <n v="133"/>
    <x v="922"/>
    <x v="422"/>
    <s v="Online"/>
  </r>
  <r>
    <s v="Sports Direct"/>
    <n v="1197831"/>
    <d v="2021-05-12T00:00:00"/>
    <x v="1"/>
    <s v="Tennessee"/>
    <s v="Knoxville"/>
    <s v="Women's Athletic Footwear"/>
    <n v="52"/>
    <n v="133"/>
    <x v="759"/>
    <x v="115"/>
    <s v="Online"/>
  </r>
  <r>
    <s v="Foot Locker"/>
    <n v="1128299"/>
    <d v="2021-06-10T00:00:00"/>
    <x v="4"/>
    <s v="Hawaii"/>
    <s v="Honolulu"/>
    <s v="Women's Athletic Footwear"/>
    <n v="74"/>
    <n v="133"/>
    <x v="256"/>
    <x v="176"/>
    <s v="Online"/>
  </r>
  <r>
    <s v="West Gear"/>
    <n v="1185732"/>
    <d v="2021-02-10T00:00:00"/>
    <x v="3"/>
    <s v="New York"/>
    <s v="Albany"/>
    <s v="Women's Athletic Footwear"/>
    <n v="37"/>
    <n v="133"/>
    <x v="1000"/>
    <x v="439"/>
    <s v="Online"/>
  </r>
  <r>
    <s v="West Gear"/>
    <n v="1185732"/>
    <d v="2021-03-08T00:00:00"/>
    <x v="3"/>
    <s v="New York"/>
    <s v="Albany"/>
    <s v="Men's Apparel"/>
    <n v="51"/>
    <n v="133"/>
    <x v="1081"/>
    <x v="492"/>
    <s v="Online"/>
  </r>
  <r>
    <s v="Kohl's"/>
    <n v="1185732"/>
    <d v="2021-05-10T00:00:00"/>
    <x v="4"/>
    <s v="Wyoming"/>
    <s v="Cheyenne"/>
    <s v="Men's Apparel"/>
    <n v="45"/>
    <n v="133"/>
    <x v="861"/>
    <x v="398"/>
    <s v="Online"/>
  </r>
  <r>
    <s v="Sports Direct"/>
    <n v="1128299"/>
    <d v="2021-12-23T00:00:00"/>
    <x v="0"/>
    <s v="Virginia"/>
    <s v="Richmond"/>
    <s v="Men's Apparel"/>
    <n v="72"/>
    <n v="133"/>
    <x v="455"/>
    <x v="644"/>
    <s v="Online"/>
  </r>
  <r>
    <s v="Sports Direct"/>
    <n v="1185732"/>
    <d v="2021-05-15T00:00:00"/>
    <x v="2"/>
    <s v="Michigan"/>
    <s v="Detroit"/>
    <s v="Women's Street Footwear"/>
    <n v="44"/>
    <n v="133"/>
    <x v="695"/>
    <x v="614"/>
    <s v="Online"/>
  </r>
  <r>
    <s v="West Gear"/>
    <n v="1185732"/>
    <d v="2021-01-11T00:00:00"/>
    <x v="2"/>
    <s v="Missouri"/>
    <s v="St. Louis"/>
    <s v="Men's Athletic Footwear"/>
    <n v="23"/>
    <n v="133"/>
    <x v="972"/>
    <x v="776"/>
    <s v="Online"/>
  </r>
  <r>
    <s v="West Gear"/>
    <n v="1128299"/>
    <d v="2021-12-23T00:00:00"/>
    <x v="4"/>
    <s v="Oregon"/>
    <s v="Portland"/>
    <s v="Men's Apparel"/>
    <n v="72"/>
    <n v="133"/>
    <x v="455"/>
    <x v="253"/>
    <s v="Online"/>
  </r>
  <r>
    <s v="Foot Locker"/>
    <n v="1197831"/>
    <d v="2021-01-05T00:00:00"/>
    <x v="1"/>
    <s v="Louisiana"/>
    <s v="New Orleans"/>
    <s v="Women's Athletic Footwear"/>
    <n v="33"/>
    <n v="133"/>
    <x v="1082"/>
    <x v="528"/>
    <s v="Online"/>
  </r>
  <r>
    <s v="Sports Direct"/>
    <n v="1197831"/>
    <d v="2021-08-08T00:00:00"/>
    <x v="4"/>
    <s v="Idaho"/>
    <s v="Boise"/>
    <s v="Men's Apparel"/>
    <n v="52"/>
    <n v="133"/>
    <x v="759"/>
    <x v="507"/>
    <s v="Online"/>
  </r>
  <r>
    <s v="Foot Locker"/>
    <n v="1197831"/>
    <d v="2021-12-04T00:00:00"/>
    <x v="4"/>
    <s v="Idaho"/>
    <s v="Boise"/>
    <s v="Men's Apparel"/>
    <n v="50"/>
    <n v="133"/>
    <x v="138"/>
    <x v="483"/>
    <s v="Online"/>
  </r>
  <r>
    <s v="Foot Locker"/>
    <n v="1128299"/>
    <d v="2021-07-22T00:00:00"/>
    <x v="4"/>
    <s v="Arizona"/>
    <s v="Phoenix"/>
    <s v="Women's Street Footwear"/>
    <n v="51"/>
    <n v="133"/>
    <x v="1081"/>
    <x v="424"/>
    <s v="Online"/>
  </r>
  <r>
    <s v="Kohl's"/>
    <n v="1128299"/>
    <d v="2021-01-26T00:00:00"/>
    <x v="4"/>
    <s v="Arizona"/>
    <s v="Phoenix"/>
    <s v="Men's Street Footwear"/>
    <n v="33"/>
    <n v="133"/>
    <x v="1082"/>
    <x v="283"/>
    <s v="Online"/>
  </r>
  <r>
    <s v="Kohl's"/>
    <n v="1128299"/>
    <d v="2021-09-27T00:00:00"/>
    <x v="4"/>
    <s v="New Mexico"/>
    <s v="Albuquerque"/>
    <s v="Women's Apparel"/>
    <n v="59"/>
    <n v="133"/>
    <x v="889"/>
    <x v="116"/>
    <s v="Online"/>
  </r>
  <r>
    <s v="Sports Direct"/>
    <n v="1185732"/>
    <d v="2021-12-16T00:00:00"/>
    <x v="1"/>
    <s v="Mississippi"/>
    <s v="Jackson"/>
    <s v="Women's Athletic Footwear"/>
    <n v="56"/>
    <n v="133"/>
    <x v="677"/>
    <x v="364"/>
    <s v="Online"/>
  </r>
  <r>
    <s v="Kohl's"/>
    <n v="1197831"/>
    <d v="2021-11-20T00:00:00"/>
    <x v="1"/>
    <s v="Oklahoma"/>
    <s v="Oklahoma City"/>
    <s v="Men's Street Footwear"/>
    <n v="23"/>
    <n v="133"/>
    <x v="972"/>
    <x v="705"/>
    <s v="Online"/>
  </r>
  <r>
    <s v="Sports Direct"/>
    <n v="1185732"/>
    <d v="2021-09-10T00:00:00"/>
    <x v="2"/>
    <s v="North Dakota"/>
    <s v="Fargo"/>
    <s v="Men's Street Footwear"/>
    <n v="36"/>
    <n v="133"/>
    <x v="1020"/>
    <x v="665"/>
    <s v="Online"/>
  </r>
  <r>
    <s v="Foot Locker"/>
    <n v="1185732"/>
    <d v="2021-09-07T00:00:00"/>
    <x v="2"/>
    <s v="Iowa"/>
    <s v="Des Moines"/>
    <s v="Men's Street Footwear"/>
    <n v="34"/>
    <n v="133"/>
    <x v="553"/>
    <x v="736"/>
    <s v="Online"/>
  </r>
  <r>
    <s v="West Gear"/>
    <n v="1185732"/>
    <d v="2021-09-11T00:00:00"/>
    <x v="2"/>
    <s v="Indiana"/>
    <s v="Indianapolis"/>
    <s v="Men's Street Footwear"/>
    <n v="33"/>
    <n v="133"/>
    <x v="1082"/>
    <x v="664"/>
    <s v="Online"/>
  </r>
  <r>
    <s v="West Gear"/>
    <n v="1185732"/>
    <d v="2021-07-16T00:00:00"/>
    <x v="3"/>
    <s v="West Virginia"/>
    <s v="Charleston"/>
    <s v="Women's Apparel"/>
    <n v="63"/>
    <n v="133"/>
    <x v="1038"/>
    <x v="33"/>
    <s v="Online"/>
  </r>
  <r>
    <s v="Kohl's"/>
    <n v="1185732"/>
    <d v="2021-04-07T00:00:00"/>
    <x v="3"/>
    <s v="New Jersey"/>
    <s v="Newark"/>
    <s v="Men's Street Footwear"/>
    <n v="34"/>
    <n v="133"/>
    <x v="553"/>
    <x v="565"/>
    <s v="Online"/>
  </r>
  <r>
    <s v="Amazon"/>
    <n v="1185732"/>
    <d v="2021-10-12T00:00:00"/>
    <x v="3"/>
    <s v="Vermont"/>
    <s v="Burlington"/>
    <s v="Men's Street Footwear"/>
    <n v="62"/>
    <n v="133"/>
    <x v="492"/>
    <x v="602"/>
    <s v="Online"/>
  </r>
  <r>
    <s v="West Gear"/>
    <n v="1128299"/>
    <d v="2020-01-28T00:00:00"/>
    <x v="4"/>
    <s v="Nevada"/>
    <s v="Las Vegas"/>
    <s v="Women's Street Footwear"/>
    <n v="49"/>
    <n v="132"/>
    <x v="678"/>
    <x v="609"/>
    <s v="Outlet"/>
  </r>
  <r>
    <s v="West Gear"/>
    <n v="1128299"/>
    <d v="2020-03-06T00:00:00"/>
    <x v="4"/>
    <s v="Nevada"/>
    <s v="Las Vegas"/>
    <s v="Women's Athletic Footwear"/>
    <n v="43"/>
    <n v="132"/>
    <x v="673"/>
    <x v="589"/>
    <s v="Outlet"/>
  </r>
  <r>
    <s v="Sports Direct"/>
    <n v="1197831"/>
    <d v="2021-04-07T00:00:00"/>
    <x v="1"/>
    <s v="Tennessee"/>
    <s v="Knoxville"/>
    <s v="Men's Apparel"/>
    <n v="33"/>
    <n v="132"/>
    <x v="1083"/>
    <x v="706"/>
    <s v="Outlet"/>
  </r>
  <r>
    <s v="Sports Direct"/>
    <n v="1197831"/>
    <d v="2021-08-29T00:00:00"/>
    <x v="1"/>
    <s v="Alabama"/>
    <s v="Birmingham"/>
    <s v="Men's Apparel"/>
    <n v="39"/>
    <n v="132"/>
    <x v="483"/>
    <x v="482"/>
    <s v="Outlet"/>
  </r>
  <r>
    <s v="Walmart"/>
    <n v="1128299"/>
    <d v="2021-04-17T00:00:00"/>
    <x v="0"/>
    <s v="Florida"/>
    <s v="Orlando"/>
    <s v="Women's Street Footwear"/>
    <n v="49"/>
    <n v="132"/>
    <x v="678"/>
    <x v="580"/>
    <s v="Outlet"/>
  </r>
  <r>
    <s v="Walmart"/>
    <n v="1128299"/>
    <d v="2021-05-18T00:00:00"/>
    <x v="0"/>
    <s v="Florida"/>
    <s v="Orlando"/>
    <s v="Men's Athletic Footwear"/>
    <n v="46"/>
    <n v="132"/>
    <x v="774"/>
    <x v="708"/>
    <s v="Outlet"/>
  </r>
  <r>
    <s v="Walmart"/>
    <n v="1128299"/>
    <d v="2021-05-18T00:00:00"/>
    <x v="0"/>
    <s v="Florida"/>
    <s v="Orlando"/>
    <s v="Women's Street Footwear"/>
    <n v="46"/>
    <n v="132"/>
    <x v="774"/>
    <x v="652"/>
    <s v="Outlet"/>
  </r>
  <r>
    <s v="Foot Locker"/>
    <n v="1128299"/>
    <d v="2021-08-24T00:00:00"/>
    <x v="0"/>
    <s v="Virginia"/>
    <s v="Richmond"/>
    <s v="Men's Apparel"/>
    <n v="51"/>
    <n v="132"/>
    <x v="1084"/>
    <x v="409"/>
    <s v="Outlet"/>
  </r>
  <r>
    <s v="West Gear"/>
    <n v="1185732"/>
    <d v="2021-06-11T00:00:00"/>
    <x v="4"/>
    <s v="Utah"/>
    <s v="Salt Lake City"/>
    <s v="Men's Athletic Footwear"/>
    <n v="18"/>
    <n v="132"/>
    <x v="1085"/>
    <x v="804"/>
    <s v="Outlet"/>
  </r>
  <r>
    <s v="West Gear"/>
    <n v="1185732"/>
    <d v="2021-06-11T00:00:00"/>
    <x v="4"/>
    <s v="Utah"/>
    <s v="Salt Lake City"/>
    <s v="Women's Athletic Footwear"/>
    <n v="13"/>
    <n v="132"/>
    <x v="1086"/>
    <x v="488"/>
    <s v="Outlet"/>
  </r>
  <r>
    <s v="West Gear"/>
    <n v="1185732"/>
    <d v="2021-06-11T00:00:00"/>
    <x v="4"/>
    <s v="Utah"/>
    <s v="Salt Lake City"/>
    <s v="Men's Apparel"/>
    <n v="24"/>
    <n v="132"/>
    <x v="829"/>
    <x v="702"/>
    <s v="Outlet"/>
  </r>
  <r>
    <s v="West Gear"/>
    <n v="1185732"/>
    <d v="2021-09-12T00:00:00"/>
    <x v="4"/>
    <s v="Utah"/>
    <s v="Salt Lake City"/>
    <s v="Women's Apparel"/>
    <n v="18"/>
    <n v="132"/>
    <x v="1085"/>
    <x v="546"/>
    <s v="Outlet"/>
  </r>
  <r>
    <s v="West Gear"/>
    <n v="1185732"/>
    <d v="2021-10-11T00:00:00"/>
    <x v="4"/>
    <s v="Utah"/>
    <s v="Salt Lake City"/>
    <s v="Men's Athletic Footwear"/>
    <n v="14"/>
    <n v="132"/>
    <x v="1087"/>
    <x v="488"/>
    <s v="Outlet"/>
  </r>
  <r>
    <s v="West Gear"/>
    <n v="1128299"/>
    <d v="2021-01-24T00:00:00"/>
    <x v="4"/>
    <s v="Utah"/>
    <s v="Salt Lake City"/>
    <s v="Women's Apparel"/>
    <n v="28"/>
    <n v="132"/>
    <x v="1088"/>
    <x v="745"/>
    <s v="Outlet"/>
  </r>
  <r>
    <s v="West Gear"/>
    <n v="1128299"/>
    <d v="2021-02-17T00:00:00"/>
    <x v="4"/>
    <s v="Oregon"/>
    <s v="Portland"/>
    <s v="Women's Street Footwear"/>
    <n v="34"/>
    <n v="132"/>
    <x v="1089"/>
    <x v="709"/>
    <s v="Outlet"/>
  </r>
  <r>
    <s v="Foot Locker"/>
    <n v="1128299"/>
    <d v="2021-05-24T00:00:00"/>
    <x v="4"/>
    <s v="Arizona"/>
    <s v="Phoenix"/>
    <s v="Women's Street Footwear"/>
    <n v="41"/>
    <n v="132"/>
    <x v="878"/>
    <x v="429"/>
    <s v="Outlet"/>
  </r>
  <r>
    <s v="Foot Locker"/>
    <n v="1128299"/>
    <d v="2021-09-24T00:00:00"/>
    <x v="4"/>
    <s v="Arizona"/>
    <s v="Phoenix"/>
    <s v="Women's Apparel"/>
    <n v="43"/>
    <n v="132"/>
    <x v="673"/>
    <x v="752"/>
    <s v="Outlet"/>
  </r>
  <r>
    <s v="Kohl's"/>
    <n v="1128299"/>
    <d v="2021-02-26T00:00:00"/>
    <x v="4"/>
    <s v="Arizona"/>
    <s v="Phoenix"/>
    <s v="Women's Street Footwear"/>
    <n v="35"/>
    <n v="132"/>
    <x v="580"/>
    <x v="642"/>
    <s v="Outlet"/>
  </r>
  <r>
    <s v="Kohl's"/>
    <n v="1128299"/>
    <d v="2021-05-27T00:00:00"/>
    <x v="4"/>
    <s v="New Mexico"/>
    <s v="Albuquerque"/>
    <s v="Women's Apparel"/>
    <n v="56"/>
    <n v="132"/>
    <x v="435"/>
    <x v="710"/>
    <s v="Outlet"/>
  </r>
  <r>
    <s v="Sports Direct"/>
    <n v="1128299"/>
    <d v="2021-06-13T00:00:00"/>
    <x v="0"/>
    <s v="Georgia"/>
    <s v="Atlanta"/>
    <s v="Women's Athletic Footwear"/>
    <n v="33"/>
    <n v="132"/>
    <x v="1083"/>
    <x v="647"/>
    <s v="Outlet"/>
  </r>
  <r>
    <s v="Sports Direct"/>
    <n v="1128299"/>
    <d v="2021-09-14T00:00:00"/>
    <x v="0"/>
    <s v="Georgia"/>
    <s v="Atlanta"/>
    <s v="Men's Apparel"/>
    <n v="36"/>
    <n v="132"/>
    <x v="1022"/>
    <x v="419"/>
    <s v="Outlet"/>
  </r>
  <r>
    <s v="Foot Locker"/>
    <n v="1185732"/>
    <d v="2021-05-16T00:00:00"/>
    <x v="1"/>
    <s v="Mississippi"/>
    <s v="Jackson"/>
    <s v="Men's Apparel"/>
    <n v="34"/>
    <n v="132"/>
    <x v="1089"/>
    <x v="803"/>
    <s v="Outlet"/>
  </r>
  <r>
    <s v="Walmart"/>
    <n v="1185732"/>
    <d v="2021-09-16T00:00:00"/>
    <x v="1"/>
    <s v="Mississippi"/>
    <s v="Jackson"/>
    <s v="Men's Apparel"/>
    <n v="22"/>
    <n v="132"/>
    <x v="1090"/>
    <x v="787"/>
    <s v="Outlet"/>
  </r>
  <r>
    <s v="Sports Direct"/>
    <n v="1185732"/>
    <d v="2021-11-17T00:00:00"/>
    <x v="1"/>
    <s v="Mississippi"/>
    <s v="Jackson"/>
    <s v="Men's Apparel"/>
    <n v="59"/>
    <n v="132"/>
    <x v="393"/>
    <x v="732"/>
    <s v="Outlet"/>
  </r>
  <r>
    <s v="Walmart"/>
    <n v="1197831"/>
    <d v="2021-08-20T00:00:00"/>
    <x v="1"/>
    <s v="Arkansas"/>
    <s v="Little Rock"/>
    <s v="Women's Athletic Footwear"/>
    <n v="29"/>
    <n v="132"/>
    <x v="1037"/>
    <x v="784"/>
    <s v="Outlet"/>
  </r>
  <r>
    <s v="Walmart"/>
    <n v="1197831"/>
    <d v="2021-10-21T00:00:00"/>
    <x v="1"/>
    <s v="Arkansas"/>
    <s v="Little Rock"/>
    <s v="Men's Athletic Footwear"/>
    <n v="14"/>
    <n v="132"/>
    <x v="1087"/>
    <x v="488"/>
    <s v="Outlet"/>
  </r>
  <r>
    <s v="West Gear"/>
    <n v="1197831"/>
    <d v="2021-10-21T00:00:00"/>
    <x v="1"/>
    <s v="Arkansas"/>
    <s v="Little Rock"/>
    <s v="Women's Apparel"/>
    <n v="20"/>
    <n v="132"/>
    <x v="635"/>
    <x v="613"/>
    <s v="Outlet"/>
  </r>
  <r>
    <s v="West Gear"/>
    <n v="1197831"/>
    <d v="2021-12-19T00:00:00"/>
    <x v="1"/>
    <s v="Arkansas"/>
    <s v="Little Rock"/>
    <s v="Men's Apparel"/>
    <n v="50"/>
    <n v="132"/>
    <x v="989"/>
    <x v="408"/>
    <s v="Outlet"/>
  </r>
  <r>
    <s v="Foot Locker"/>
    <n v="1185732"/>
    <d v="2021-04-07T00:00:00"/>
    <x v="3"/>
    <s v="Rhode Island"/>
    <s v="Providence"/>
    <s v="Men's Street Footwear"/>
    <n v="28"/>
    <n v="132"/>
    <x v="1088"/>
    <x v="588"/>
    <s v="Outlet"/>
  </r>
  <r>
    <s v="Sports Direct"/>
    <n v="1185732"/>
    <d v="2021-07-13T00:00:00"/>
    <x v="3"/>
    <s v="Massachusetts"/>
    <s v="Boston"/>
    <s v="Women's Apparel"/>
    <n v="41"/>
    <n v="132"/>
    <x v="878"/>
    <x v="579"/>
    <s v="Outlet"/>
  </r>
  <r>
    <s v="Sports Direct"/>
    <n v="1185732"/>
    <d v="2021-10-15T00:00:00"/>
    <x v="3"/>
    <s v="Massachusetts"/>
    <s v="Boston"/>
    <s v="Men's Street Footwear"/>
    <n v="40"/>
    <n v="132"/>
    <x v="779"/>
    <x v="596"/>
    <s v="Outlet"/>
  </r>
  <r>
    <s v="Amazon"/>
    <n v="1185732"/>
    <d v="2021-12-10T00:00:00"/>
    <x v="3"/>
    <s v="Vermont"/>
    <s v="Burlington"/>
    <s v="Men's Athletic Footwear"/>
    <n v="41"/>
    <n v="132"/>
    <x v="878"/>
    <x v="512"/>
    <s v="Outlet"/>
  </r>
  <r>
    <s v="Kohl's"/>
    <n v="1189833"/>
    <d v="2021-04-17T00:00:00"/>
    <x v="4"/>
    <s v="California"/>
    <s v="Los Angeles"/>
    <s v="Men's Apparel"/>
    <n v="45"/>
    <n v="131"/>
    <x v="1021"/>
    <x v="138"/>
    <s v="Online"/>
  </r>
  <r>
    <s v="Sports Direct"/>
    <n v="1197831"/>
    <d v="2021-09-08T00:00:00"/>
    <x v="1"/>
    <s v="Texas"/>
    <s v="Dallas"/>
    <s v="Men's Apparel"/>
    <n v="49"/>
    <n v="131"/>
    <x v="872"/>
    <x v="366"/>
    <s v="Online"/>
  </r>
  <r>
    <s v="West Gear"/>
    <n v="1128299"/>
    <d v="2020-01-31T00:00:00"/>
    <x v="4"/>
    <s v="Nevada"/>
    <s v="Las Vegas"/>
    <s v="Women's Apparel"/>
    <n v="78"/>
    <n v="131"/>
    <x v="1024"/>
    <x v="515"/>
    <s v="Online"/>
  </r>
  <r>
    <s v="West Gear"/>
    <n v="1128299"/>
    <d v="2020-03-21T00:00:00"/>
    <x v="4"/>
    <s v="Colorado"/>
    <s v="Denver"/>
    <s v="Men's Street Footwear"/>
    <n v="27"/>
    <n v="131"/>
    <x v="1064"/>
    <x v="708"/>
    <s v="Online"/>
  </r>
  <r>
    <s v="West Gear"/>
    <n v="1128299"/>
    <d v="2020-04-02T00:00:00"/>
    <x v="4"/>
    <s v="Colorado"/>
    <s v="Denver"/>
    <s v="Men's Street Footwear"/>
    <n v="55"/>
    <n v="131"/>
    <x v="1068"/>
    <x v="142"/>
    <s v="Online"/>
  </r>
  <r>
    <s v="West Gear"/>
    <n v="1128299"/>
    <d v="2020-04-08T00:00:00"/>
    <x v="4"/>
    <s v="Colorado"/>
    <s v="Denver"/>
    <s v="Men's Street Footwear"/>
    <n v="55"/>
    <n v="131"/>
    <x v="1068"/>
    <x v="400"/>
    <s v="Online"/>
  </r>
  <r>
    <s v="West Gear"/>
    <n v="1128299"/>
    <d v="2020-04-24T00:00:00"/>
    <x v="4"/>
    <s v="Colorado"/>
    <s v="Denver"/>
    <s v="Men's Apparel"/>
    <n v="67"/>
    <n v="131"/>
    <x v="588"/>
    <x v="187"/>
    <s v="Online"/>
  </r>
  <r>
    <s v="West Gear"/>
    <n v="1128299"/>
    <d v="2020-05-27T00:00:00"/>
    <x v="4"/>
    <s v="Colorado"/>
    <s v="Denver"/>
    <s v="Men's Athletic Footwear"/>
    <n v="48"/>
    <n v="131"/>
    <x v="414"/>
    <x v="543"/>
    <s v="Online"/>
  </r>
  <r>
    <s v="West Gear"/>
    <n v="1128299"/>
    <d v="2020-06-02T00:00:00"/>
    <x v="4"/>
    <s v="Washington"/>
    <s v="Seattle"/>
    <s v="Men's Athletic Footwear"/>
    <n v="47"/>
    <n v="131"/>
    <x v="458"/>
    <x v="746"/>
    <s v="Online"/>
  </r>
  <r>
    <s v="Foot Locker"/>
    <n v="1185732"/>
    <d v="2020-10-17T00:00:00"/>
    <x v="0"/>
    <s v="Florida"/>
    <s v="Miami"/>
    <s v="Men's Street Footwear"/>
    <n v="33"/>
    <n v="131"/>
    <x v="900"/>
    <x v="587"/>
    <s v="Online"/>
  </r>
  <r>
    <s v="Sports Direct"/>
    <n v="1197831"/>
    <d v="2021-05-08T00:00:00"/>
    <x v="1"/>
    <s v="Tennessee"/>
    <s v="Knoxville"/>
    <s v="Women's Apparel"/>
    <n v="43"/>
    <n v="131"/>
    <x v="649"/>
    <x v="750"/>
    <s v="Online"/>
  </r>
  <r>
    <s v="Sports Direct"/>
    <n v="1197831"/>
    <d v="2021-09-10T00:00:00"/>
    <x v="1"/>
    <s v="Alabama"/>
    <s v="Birmingham"/>
    <s v="Men's Apparel"/>
    <n v="45"/>
    <n v="131"/>
    <x v="1021"/>
    <x v="143"/>
    <s v="Online"/>
  </r>
  <r>
    <s v="Sports Direct"/>
    <n v="1197831"/>
    <d v="2021-09-24T00:00:00"/>
    <x v="1"/>
    <s v="Alabama"/>
    <s v="Birmingham"/>
    <s v="Men's Street Footwear"/>
    <n v="29"/>
    <n v="131"/>
    <x v="661"/>
    <x v="697"/>
    <s v="Online"/>
  </r>
  <r>
    <s v="Sports Direct"/>
    <n v="1197831"/>
    <d v="2021-10-03T00:00:00"/>
    <x v="1"/>
    <s v="Alabama"/>
    <s v="Birmingham"/>
    <s v="Women's Athletic Footwear"/>
    <n v="44"/>
    <n v="131"/>
    <x v="1091"/>
    <x v="291"/>
    <s v="Online"/>
  </r>
  <r>
    <s v="Amazon"/>
    <n v="1185732"/>
    <d v="2021-04-21T00:00:00"/>
    <x v="4"/>
    <s v="Alaska"/>
    <s v="Anchorage"/>
    <s v="Men's Street Footwear"/>
    <n v="54"/>
    <n v="131"/>
    <x v="1065"/>
    <x v="222"/>
    <s v="Online"/>
  </r>
  <r>
    <s v="Amazon"/>
    <n v="1185732"/>
    <d v="2021-09-20T00:00:00"/>
    <x v="4"/>
    <s v="Alaska"/>
    <s v="Anchorage"/>
    <s v="Men's Street Footwear"/>
    <n v="64"/>
    <n v="131"/>
    <x v="1038"/>
    <x v="167"/>
    <s v="Online"/>
  </r>
  <r>
    <s v="West Gear"/>
    <n v="1185732"/>
    <d v="2021-09-08T00:00:00"/>
    <x v="3"/>
    <s v="New York"/>
    <s v="Albany"/>
    <s v="Men's Apparel"/>
    <n v="51"/>
    <n v="131"/>
    <x v="916"/>
    <x v="58"/>
    <s v="Online"/>
  </r>
  <r>
    <s v="Kohl's"/>
    <n v="1185732"/>
    <d v="2021-01-14T00:00:00"/>
    <x v="3"/>
    <s v="New York"/>
    <s v="Albany"/>
    <s v="Women's Athletic Footwear"/>
    <n v="34"/>
    <n v="131"/>
    <x v="818"/>
    <x v="306"/>
    <s v="Online"/>
  </r>
  <r>
    <s v="Kohl's"/>
    <n v="1185732"/>
    <d v="2021-03-10T00:00:00"/>
    <x v="4"/>
    <s v="Wyoming"/>
    <s v="Cheyenne"/>
    <s v="Men's Athletic Footwear"/>
    <n v="37"/>
    <n v="131"/>
    <x v="1005"/>
    <x v="796"/>
    <s v="Online"/>
  </r>
  <r>
    <s v="Kohl's"/>
    <n v="1185732"/>
    <d v="2021-05-10T00:00:00"/>
    <x v="4"/>
    <s v="Wyoming"/>
    <s v="Cheyenne"/>
    <s v="Women's Athletic Footwear"/>
    <n v="39"/>
    <n v="131"/>
    <x v="1040"/>
    <x v="431"/>
    <s v="Online"/>
  </r>
  <r>
    <s v="Kohl's"/>
    <n v="1185732"/>
    <d v="2021-06-12T00:00:00"/>
    <x v="4"/>
    <s v="Wyoming"/>
    <s v="Cheyenne"/>
    <s v="Women's Street Footwear"/>
    <n v="38"/>
    <n v="131"/>
    <x v="1092"/>
    <x v="773"/>
    <s v="Online"/>
  </r>
  <r>
    <s v="Foot Locker"/>
    <n v="1185732"/>
    <d v="2021-10-18T00:00:00"/>
    <x v="2"/>
    <s v="Missouri"/>
    <s v="St. Louis"/>
    <s v="Men's Street Footwear"/>
    <n v="34"/>
    <n v="131"/>
    <x v="818"/>
    <x v="621"/>
    <s v="Online"/>
  </r>
  <r>
    <s v="West Gear"/>
    <n v="1185732"/>
    <d v="2021-02-11T00:00:00"/>
    <x v="4"/>
    <s v="Utah"/>
    <s v="Salt Lake City"/>
    <s v="Women's Apparel"/>
    <n v="24"/>
    <n v="131"/>
    <x v="1093"/>
    <x v="587"/>
    <s v="Online"/>
  </r>
  <r>
    <s v="West Gear"/>
    <n v="1185732"/>
    <d v="2021-08-11T00:00:00"/>
    <x v="4"/>
    <s v="Utah"/>
    <s v="Salt Lake City"/>
    <s v="Men's Athletic Footwear"/>
    <n v="34"/>
    <n v="131"/>
    <x v="818"/>
    <x v="306"/>
    <s v="Online"/>
  </r>
  <r>
    <s v="West Gear"/>
    <n v="1128299"/>
    <d v="2021-11-24T00:00:00"/>
    <x v="4"/>
    <s v="Oregon"/>
    <s v="Portland"/>
    <s v="Women's Athletic Footwear"/>
    <n v="51"/>
    <n v="131"/>
    <x v="916"/>
    <x v="296"/>
    <s v="Online"/>
  </r>
  <r>
    <s v="Foot Locker"/>
    <n v="1128299"/>
    <d v="2021-12-16T00:00:00"/>
    <x v="1"/>
    <s v="Louisiana"/>
    <s v="New Orleans"/>
    <s v="Men's Apparel"/>
    <n v="82"/>
    <n v="131"/>
    <x v="777"/>
    <x v="601"/>
    <s v="Online"/>
  </r>
  <r>
    <s v="Foot Locker"/>
    <n v="1197831"/>
    <d v="2021-02-04T00:00:00"/>
    <x v="4"/>
    <s v="Idaho"/>
    <s v="Boise"/>
    <s v="Women's Apparel"/>
    <n v="34"/>
    <n v="131"/>
    <x v="818"/>
    <x v="548"/>
    <s v="Online"/>
  </r>
  <r>
    <s v="West Gear"/>
    <n v="1197831"/>
    <d v="2021-07-06T00:00:00"/>
    <x v="4"/>
    <s v="Idaho"/>
    <s v="Boise"/>
    <s v="Men's Apparel"/>
    <n v="53"/>
    <n v="131"/>
    <x v="324"/>
    <x v="251"/>
    <s v="Online"/>
  </r>
  <r>
    <s v="Sports Direct"/>
    <n v="1197831"/>
    <d v="2021-10-04T00:00:00"/>
    <x v="4"/>
    <s v="Idaho"/>
    <s v="Boise"/>
    <s v="Women's Street Footwear"/>
    <n v="41"/>
    <n v="131"/>
    <x v="944"/>
    <x v="426"/>
    <s v="Online"/>
  </r>
  <r>
    <s v="Foot Locker"/>
    <n v="1128299"/>
    <d v="2021-06-23T00:00:00"/>
    <x v="4"/>
    <s v="Arizona"/>
    <s v="Phoenix"/>
    <s v="Women's Apparel"/>
    <n v="69"/>
    <n v="131"/>
    <x v="1080"/>
    <x v="610"/>
    <s v="Online"/>
  </r>
  <r>
    <s v="Sports Direct"/>
    <n v="1128299"/>
    <d v="2021-12-25T00:00:00"/>
    <x v="4"/>
    <s v="New Mexico"/>
    <s v="Albuquerque"/>
    <s v="Women's Apparel"/>
    <n v="72"/>
    <n v="131"/>
    <x v="450"/>
    <x v="438"/>
    <s v="Online"/>
  </r>
  <r>
    <s v="Sports Direct"/>
    <n v="1128299"/>
    <d v="2021-01-13T00:00:00"/>
    <x v="4"/>
    <s v="New Mexico"/>
    <s v="Albuquerque"/>
    <s v="Men's Street Footwear"/>
    <n v="29"/>
    <n v="131"/>
    <x v="661"/>
    <x v="802"/>
    <s v="Online"/>
  </r>
  <r>
    <s v="Sports Direct"/>
    <n v="1128299"/>
    <d v="2021-09-14T00:00:00"/>
    <x v="0"/>
    <s v="Georgia"/>
    <s v="Atlanta"/>
    <s v="Women's Apparel"/>
    <n v="59"/>
    <n v="131"/>
    <x v="178"/>
    <x v="245"/>
    <s v="Online"/>
  </r>
  <r>
    <s v="Sports Direct"/>
    <n v="1128299"/>
    <d v="2021-10-13T00:00:00"/>
    <x v="0"/>
    <s v="Georgia"/>
    <s v="Atlanta"/>
    <s v="Men's Street Footwear"/>
    <n v="42"/>
    <n v="131"/>
    <x v="1094"/>
    <x v="246"/>
    <s v="Online"/>
  </r>
  <r>
    <s v="Sports Direct"/>
    <n v="1185732"/>
    <d v="2021-04-03T00:00:00"/>
    <x v="0"/>
    <s v="North Carolina"/>
    <s v="Charlotte"/>
    <s v="Men's Apparel"/>
    <n v="42"/>
    <n v="131"/>
    <x v="1094"/>
    <x v="534"/>
    <s v="Online"/>
  </r>
  <r>
    <s v="Foot Locker"/>
    <n v="1185732"/>
    <d v="2021-05-16T00:00:00"/>
    <x v="1"/>
    <s v="Mississippi"/>
    <s v="Jackson"/>
    <s v="Men's Athletic Footwear"/>
    <n v="37"/>
    <n v="131"/>
    <x v="1005"/>
    <x v="285"/>
    <s v="Online"/>
  </r>
  <r>
    <s v="Sports Direct"/>
    <n v="1197831"/>
    <d v="2021-01-23T00:00:00"/>
    <x v="1"/>
    <s v="Mississippi"/>
    <s v="Jackson"/>
    <s v="Men's Athletic Footwear"/>
    <n v="25"/>
    <n v="131"/>
    <x v="780"/>
    <x v="597"/>
    <s v="Online"/>
  </r>
  <r>
    <s v="Foot Locker"/>
    <n v="1185732"/>
    <d v="2021-08-12T00:00:00"/>
    <x v="2"/>
    <s v="South Dakota"/>
    <s v="Sioux Falls"/>
    <s v="Men's Street Footwear"/>
    <n v="49"/>
    <n v="131"/>
    <x v="872"/>
    <x v="263"/>
    <s v="Online"/>
  </r>
  <r>
    <s v="Foot Locker"/>
    <n v="1185732"/>
    <d v="2021-08-06T00:00:00"/>
    <x v="2"/>
    <s v="Iowa"/>
    <s v="Des Moines"/>
    <s v="Men's Street Footwear"/>
    <n v="49"/>
    <n v="131"/>
    <x v="872"/>
    <x v="401"/>
    <s v="Online"/>
  </r>
  <r>
    <s v="West Gear"/>
    <n v="1185732"/>
    <d v="2021-08-17T00:00:00"/>
    <x v="3"/>
    <s v="West Virginia"/>
    <s v="Charleston"/>
    <s v="Men's Street Footwear"/>
    <n v="46"/>
    <n v="131"/>
    <x v="652"/>
    <x v="593"/>
    <s v="Online"/>
  </r>
  <r>
    <s v="Foot Locker"/>
    <n v="1185732"/>
    <d v="2021-07-20T00:00:00"/>
    <x v="3"/>
    <s v="Maryland"/>
    <s v="Baltimore"/>
    <s v="Men's Street Footwear"/>
    <n v="49"/>
    <n v="131"/>
    <x v="872"/>
    <x v="699"/>
    <s v="Online"/>
  </r>
  <r>
    <s v="Foot Locker"/>
    <n v="1185732"/>
    <d v="2021-04-14T00:00:00"/>
    <x v="3"/>
    <s v="Delaware"/>
    <s v="Wilmington"/>
    <s v="Men's Street Footwear"/>
    <n v="36"/>
    <n v="131"/>
    <x v="1028"/>
    <x v="455"/>
    <s v="Online"/>
  </r>
  <r>
    <s v="Kohl's"/>
    <n v="1185732"/>
    <d v="2021-07-06T00:00:00"/>
    <x v="3"/>
    <s v="New Jersey"/>
    <s v="Newark"/>
    <s v="Women's Apparel"/>
    <n v="54"/>
    <n v="131"/>
    <x v="1065"/>
    <x v="392"/>
    <s v="Online"/>
  </r>
  <r>
    <s v="Amazon"/>
    <n v="1185732"/>
    <d v="2021-01-21T00:00:00"/>
    <x v="3"/>
    <s v="Vermont"/>
    <s v="Burlington"/>
    <s v="Men's Street Footwear"/>
    <n v="49"/>
    <n v="131"/>
    <x v="872"/>
    <x v="610"/>
    <s v="Online"/>
  </r>
  <r>
    <s v="Amazon"/>
    <n v="1185732"/>
    <d v="2021-07-17T00:00:00"/>
    <x v="3"/>
    <s v="New Hampshire"/>
    <s v="Manchester"/>
    <s v="Men's Athletic Footwear"/>
    <n v="55"/>
    <n v="131"/>
    <x v="1068"/>
    <x v="632"/>
    <s v="Online"/>
  </r>
  <r>
    <s v="Sports Direct"/>
    <n v="1197831"/>
    <d v="2021-05-06T00:00:00"/>
    <x v="1"/>
    <s v="Tennessee"/>
    <s v="Knoxville"/>
    <s v="Women's Athletic Footwear"/>
    <n v="30"/>
    <n v="131"/>
    <x v="1095"/>
    <x v="455"/>
    <s v="Outlet"/>
  </r>
  <r>
    <s v="Sports Direct"/>
    <n v="1128299"/>
    <d v="2021-03-16T00:00:00"/>
    <x v="0"/>
    <s v="Florida"/>
    <s v="Orlando"/>
    <s v="Women's Apparel"/>
    <n v="48"/>
    <n v="131"/>
    <x v="414"/>
    <x v="680"/>
    <s v="Outlet"/>
  </r>
  <r>
    <s v="West Gear"/>
    <n v="1128299"/>
    <d v="2021-02-17T00:00:00"/>
    <x v="1"/>
    <s v="Louisiana"/>
    <s v="New Orleans"/>
    <s v="Women's Apparel"/>
    <n v="32"/>
    <n v="131"/>
    <x v="1096"/>
    <x v="588"/>
    <s v="Outlet"/>
  </r>
  <r>
    <s v="Foot Locker"/>
    <n v="1128299"/>
    <d v="2021-08-23T00:00:00"/>
    <x v="4"/>
    <s v="Arizona"/>
    <s v="Phoenix"/>
    <s v="Women's Apparel"/>
    <n v="48"/>
    <n v="131"/>
    <x v="414"/>
    <x v="419"/>
    <s v="Outlet"/>
  </r>
  <r>
    <s v="Kohl's"/>
    <n v="1128299"/>
    <d v="2021-03-25T00:00:00"/>
    <x v="4"/>
    <s v="New Mexico"/>
    <s v="Albuquerque"/>
    <s v="Women's Apparel"/>
    <n v="44"/>
    <n v="131"/>
    <x v="1091"/>
    <x v="706"/>
    <s v="Outlet"/>
  </r>
  <r>
    <s v="Kohl's"/>
    <n v="1128299"/>
    <d v="2021-10-26T00:00:00"/>
    <x v="4"/>
    <s v="New Mexico"/>
    <s v="Albuquerque"/>
    <s v="Women's Apparel"/>
    <n v="57"/>
    <n v="131"/>
    <x v="648"/>
    <x v="618"/>
    <s v="Outlet"/>
  </r>
  <r>
    <s v="Kohl's"/>
    <n v="1128299"/>
    <d v="2021-11-26T00:00:00"/>
    <x v="4"/>
    <s v="New Mexico"/>
    <s v="Albuquerque"/>
    <s v="Men's Apparel"/>
    <n v="54"/>
    <n v="131"/>
    <x v="1065"/>
    <x v="629"/>
    <s v="Outlet"/>
  </r>
  <r>
    <s v="Sports Direct"/>
    <n v="1128299"/>
    <d v="2021-02-13T00:00:00"/>
    <x v="0"/>
    <s v="Georgia"/>
    <s v="Atlanta"/>
    <s v="Women's Apparel"/>
    <n v="28"/>
    <n v="131"/>
    <x v="620"/>
    <x v="499"/>
    <s v="Outlet"/>
  </r>
  <r>
    <s v="West Gear"/>
    <n v="1197831"/>
    <d v="2021-01-23T00:00:00"/>
    <x v="1"/>
    <s v="Arkansas"/>
    <s v="Little Rock"/>
    <s v="Women's Street Footwear"/>
    <n v="10"/>
    <n v="131"/>
    <x v="1097"/>
    <x v="805"/>
    <s v="Outlet"/>
  </r>
  <r>
    <s v="West Gear"/>
    <n v="1197831"/>
    <d v="2021-07-19T00:00:00"/>
    <x v="1"/>
    <s v="Oklahoma"/>
    <s v="Oklahoma City"/>
    <s v="Women's Street Footwear"/>
    <n v="33"/>
    <n v="131"/>
    <x v="900"/>
    <x v="501"/>
    <s v="Outlet"/>
  </r>
  <r>
    <s v="Kohl's"/>
    <n v="1197831"/>
    <d v="2021-12-19T00:00:00"/>
    <x v="1"/>
    <s v="Oklahoma"/>
    <s v="Oklahoma City"/>
    <s v="Women's Street Footwear"/>
    <n v="44"/>
    <n v="131"/>
    <x v="1091"/>
    <x v="638"/>
    <s v="Outlet"/>
  </r>
  <r>
    <s v="Foot Locker"/>
    <n v="1185732"/>
    <d v="2021-12-03T00:00:00"/>
    <x v="3"/>
    <s v="Connecticut"/>
    <s v="Hartford"/>
    <s v="Men's Athletic Footwear"/>
    <n v="37"/>
    <n v="131"/>
    <x v="1005"/>
    <x v="285"/>
    <s v="Outlet"/>
  </r>
  <r>
    <s v="Amazon"/>
    <n v="1185732"/>
    <d v="2021-12-10T00:00:00"/>
    <x v="3"/>
    <s v="Vermont"/>
    <s v="Burlington"/>
    <s v="Women's Street Footwear"/>
    <n v="44"/>
    <n v="131"/>
    <x v="1091"/>
    <x v="618"/>
    <s v="Outlet"/>
  </r>
  <r>
    <s v="West Gear"/>
    <n v="1128299"/>
    <d v="2020-02-11T00:00:00"/>
    <x v="4"/>
    <s v="Nevada"/>
    <s v="Las Vegas"/>
    <s v="Men's Apparel"/>
    <n v="60"/>
    <n v="130"/>
    <x v="897"/>
    <x v="59"/>
    <s v="Online"/>
  </r>
  <r>
    <s v="West Gear"/>
    <n v="1128299"/>
    <d v="2020-05-19T00:00:00"/>
    <x v="4"/>
    <s v="Colorado"/>
    <s v="Denver"/>
    <s v="Women's Apparel"/>
    <n v="73"/>
    <n v="130"/>
    <x v="97"/>
    <x v="592"/>
    <s v="Online"/>
  </r>
  <r>
    <s v="Kohl's"/>
    <n v="1189833"/>
    <d v="2021-02-10T00:00:00"/>
    <x v="2"/>
    <s v="Montana"/>
    <s v="Billings"/>
    <s v="Women's Street Footwear"/>
    <n v="49"/>
    <n v="130"/>
    <x v="391"/>
    <x v="220"/>
    <s v="Online"/>
  </r>
  <r>
    <s v="Kohl's"/>
    <n v="1189833"/>
    <d v="2021-03-09T00:00:00"/>
    <x v="2"/>
    <s v="Montana"/>
    <s v="Billings"/>
    <s v="Women's Apparel"/>
    <n v="55"/>
    <n v="130"/>
    <x v="1034"/>
    <x v="553"/>
    <s v="Online"/>
  </r>
  <r>
    <s v="Sports Direct"/>
    <n v="1197831"/>
    <d v="2021-03-12T00:00:00"/>
    <x v="2"/>
    <s v="Montana"/>
    <s v="Billings"/>
    <s v="Women's Street Footwear"/>
    <n v="27"/>
    <n v="130"/>
    <x v="1077"/>
    <x v="781"/>
    <s v="Online"/>
  </r>
  <r>
    <s v="Amazon"/>
    <n v="1185732"/>
    <d v="2021-07-20T00:00:00"/>
    <x v="4"/>
    <s v="Alaska"/>
    <s v="Anchorage"/>
    <s v="Women's Apparel"/>
    <n v="67"/>
    <n v="130"/>
    <x v="223"/>
    <x v="387"/>
    <s v="Online"/>
  </r>
  <r>
    <s v="Foot Locker"/>
    <n v="1128299"/>
    <d v="2021-04-10T00:00:00"/>
    <x v="4"/>
    <s v="Hawaii"/>
    <s v="Honolulu"/>
    <s v="Men's Street Footwear"/>
    <n v="59"/>
    <n v="130"/>
    <x v="519"/>
    <x v="512"/>
    <s v="Online"/>
  </r>
  <r>
    <s v="Foot Locker"/>
    <n v="1128299"/>
    <d v="2021-07-09T00:00:00"/>
    <x v="4"/>
    <s v="Hawaii"/>
    <s v="Honolulu"/>
    <s v="Women's Athletic Footwear"/>
    <n v="73"/>
    <n v="130"/>
    <x v="97"/>
    <x v="658"/>
    <s v="Online"/>
  </r>
  <r>
    <s v="West Gear"/>
    <n v="1185732"/>
    <d v="2021-05-08T00:00:00"/>
    <x v="3"/>
    <s v="New York"/>
    <s v="Albany"/>
    <s v="Women's Athletic Footwear"/>
    <n v="47"/>
    <n v="130"/>
    <x v="902"/>
    <x v="704"/>
    <s v="Online"/>
  </r>
  <r>
    <s v="Foot Locker"/>
    <n v="1185732"/>
    <d v="2021-07-17T00:00:00"/>
    <x v="2"/>
    <s v="Missouri"/>
    <s v="St. Louis"/>
    <s v="Men's Athletic Footwear"/>
    <n v="33"/>
    <n v="130"/>
    <x v="905"/>
    <x v="247"/>
    <s v="Online"/>
  </r>
  <r>
    <s v="West Gear"/>
    <n v="1197831"/>
    <d v="2021-05-05T00:00:00"/>
    <x v="4"/>
    <s v="Idaho"/>
    <s v="Boise"/>
    <s v="Women's Athletic Footwear"/>
    <n v="33"/>
    <n v="130"/>
    <x v="905"/>
    <x v="455"/>
    <s v="Online"/>
  </r>
  <r>
    <s v="Foot Locker"/>
    <n v="1128299"/>
    <d v="2021-04-23T00:00:00"/>
    <x v="4"/>
    <s v="Arizona"/>
    <s v="Phoenix"/>
    <s v="Men's Street Footwear"/>
    <n v="48"/>
    <n v="130"/>
    <x v="436"/>
    <x v="246"/>
    <s v="Online"/>
  </r>
  <r>
    <s v="Sports Direct"/>
    <n v="1128299"/>
    <d v="2021-12-25T00:00:00"/>
    <x v="4"/>
    <s v="New Mexico"/>
    <s v="Albuquerque"/>
    <s v="Women's Street Footwear"/>
    <n v="59"/>
    <n v="130"/>
    <x v="519"/>
    <x v="220"/>
    <s v="Online"/>
  </r>
  <r>
    <s v="Walmart"/>
    <n v="1185732"/>
    <d v="2021-09-16T00:00:00"/>
    <x v="1"/>
    <s v="Mississippi"/>
    <s v="Jackson"/>
    <s v="Women's Apparel"/>
    <n v="32"/>
    <n v="130"/>
    <x v="941"/>
    <x v="529"/>
    <s v="Online"/>
  </r>
  <r>
    <s v="Kohl's"/>
    <n v="1185732"/>
    <d v="2021-05-06T00:00:00"/>
    <x v="3"/>
    <s v="New Jersey"/>
    <s v="Newark"/>
    <s v="Men's Street Footwear"/>
    <n v="48"/>
    <n v="130"/>
    <x v="436"/>
    <x v="405"/>
    <s v="Online"/>
  </r>
  <r>
    <s v="Sports Direct"/>
    <n v="1185732"/>
    <d v="2021-03-03T00:00:00"/>
    <x v="3"/>
    <s v="Connecticut"/>
    <s v="Hartford"/>
    <s v="Men's Street Footwear"/>
    <n v="39"/>
    <n v="130"/>
    <x v="1003"/>
    <x v="698"/>
    <s v="Online"/>
  </r>
  <r>
    <s v="Sports Direct"/>
    <n v="1185732"/>
    <d v="2021-05-10T00:00:00"/>
    <x v="2"/>
    <s v="North Dakota"/>
    <s v="Fargo"/>
    <s v="Men's Street Footwear"/>
    <n v="55"/>
    <n v="129"/>
    <x v="241"/>
    <x v="250"/>
    <s v="Online"/>
  </r>
  <r>
    <s v="Sports Direct"/>
    <n v="1185732"/>
    <d v="2021-05-13T00:00:00"/>
    <x v="3"/>
    <s v="Massachusetts"/>
    <s v="Boston"/>
    <s v="Men's Street Footwear"/>
    <n v="53"/>
    <n v="129"/>
    <x v="243"/>
    <x v="592"/>
    <s v="Online"/>
  </r>
  <r>
    <s v="Sports Direct"/>
    <n v="1197831"/>
    <d v="2021-08-20T00:00:00"/>
    <x v="1"/>
    <s v="Texas"/>
    <s v="Dallas"/>
    <s v="Women's Athletic Footwear"/>
    <n v="32"/>
    <n v="128"/>
    <x v="984"/>
    <x v="742"/>
    <s v="Online"/>
  </r>
  <r>
    <s v="Sports Direct"/>
    <n v="1197831"/>
    <d v="2021-09-01T00:00:00"/>
    <x v="1"/>
    <s v="Texas"/>
    <s v="Dallas"/>
    <s v="Women's Athletic Footwear"/>
    <n v="29"/>
    <n v="128"/>
    <x v="613"/>
    <x v="652"/>
    <s v="Online"/>
  </r>
  <r>
    <s v="West Gear"/>
    <n v="1128299"/>
    <d v="2020-01-07T00:00:00"/>
    <x v="4"/>
    <s v="Nevada"/>
    <s v="Las Vegas"/>
    <s v="Women's Apparel"/>
    <n v="41"/>
    <n v="128"/>
    <x v="647"/>
    <x v="731"/>
    <s v="Online"/>
  </r>
  <r>
    <s v="West Gear"/>
    <n v="1128299"/>
    <d v="2020-01-09T00:00:00"/>
    <x v="4"/>
    <s v="Nevada"/>
    <s v="Las Vegas"/>
    <s v="Men's Athletic Footwear"/>
    <n v="43"/>
    <n v="128"/>
    <x v="1094"/>
    <x v="580"/>
    <s v="Online"/>
  </r>
  <r>
    <s v="West Gear"/>
    <n v="1128299"/>
    <d v="2020-03-20T00:00:00"/>
    <x v="4"/>
    <s v="Colorado"/>
    <s v="Denver"/>
    <s v="Women's Apparel"/>
    <n v="37"/>
    <n v="128"/>
    <x v="951"/>
    <x v="568"/>
    <s v="Online"/>
  </r>
  <r>
    <s v="West Gear"/>
    <n v="1128299"/>
    <d v="2020-05-16T00:00:00"/>
    <x v="4"/>
    <s v="Colorado"/>
    <s v="Denver"/>
    <s v="Women's Street Footwear"/>
    <n v="51"/>
    <n v="128"/>
    <x v="618"/>
    <x v="423"/>
    <s v="Online"/>
  </r>
  <r>
    <s v="Kohl's"/>
    <n v="1189833"/>
    <d v="2020-12-29T00:00:00"/>
    <x v="2"/>
    <s v="Minnesota"/>
    <s v="Minneapolis"/>
    <s v="Men's Athletic Footwear"/>
    <n v="43"/>
    <n v="128"/>
    <x v="1094"/>
    <x v="618"/>
    <s v="Online"/>
  </r>
  <r>
    <s v="Kohl's"/>
    <n v="1189833"/>
    <d v="2021-01-11T00:00:00"/>
    <x v="2"/>
    <s v="Montana"/>
    <s v="Billings"/>
    <s v="Women's Street Footwear"/>
    <n v="42"/>
    <n v="128"/>
    <x v="884"/>
    <x v="505"/>
    <s v="Online"/>
  </r>
  <r>
    <s v="Sports Direct"/>
    <n v="1197831"/>
    <d v="2021-08-09T00:00:00"/>
    <x v="1"/>
    <s v="Alabama"/>
    <s v="Birmingham"/>
    <s v="Women's Street Footwear"/>
    <n v="32"/>
    <n v="128"/>
    <x v="984"/>
    <x v="796"/>
    <s v="Online"/>
  </r>
  <r>
    <s v="Sports Direct"/>
    <n v="1128299"/>
    <d v="2021-12-09T00:00:00"/>
    <x v="4"/>
    <s v="Hawaii"/>
    <s v="Honolulu"/>
    <s v="Men's Apparel"/>
    <n v="84"/>
    <n v="128"/>
    <x v="261"/>
    <x v="333"/>
    <s v="Online"/>
  </r>
  <r>
    <s v="Walmart"/>
    <n v="1128299"/>
    <d v="2021-05-18T00:00:00"/>
    <x v="0"/>
    <s v="Florida"/>
    <s v="Orlando"/>
    <s v="Men's Athletic Footwear"/>
    <n v="60"/>
    <n v="128"/>
    <x v="265"/>
    <x v="296"/>
    <s v="Online"/>
  </r>
  <r>
    <s v="Kohl's"/>
    <n v="1185732"/>
    <d v="2021-10-12T00:00:00"/>
    <x v="4"/>
    <s v="Wyoming"/>
    <s v="Cheyenne"/>
    <s v="Men's Apparel"/>
    <n v="54"/>
    <n v="128"/>
    <x v="540"/>
    <x v="609"/>
    <s v="Online"/>
  </r>
  <r>
    <s v="Sports Direct"/>
    <n v="1185732"/>
    <d v="2021-09-15T00:00:00"/>
    <x v="2"/>
    <s v="Michigan"/>
    <s v="Detroit"/>
    <s v="Men's Apparel"/>
    <n v="41"/>
    <n v="128"/>
    <x v="647"/>
    <x v="629"/>
    <s v="Online"/>
  </r>
  <r>
    <s v="Foot Locker"/>
    <n v="1185732"/>
    <d v="2021-07-17T00:00:00"/>
    <x v="2"/>
    <s v="Missouri"/>
    <s v="St. Louis"/>
    <s v="Women's Street Footwear"/>
    <n v="29"/>
    <n v="128"/>
    <x v="613"/>
    <x v="524"/>
    <s v="Online"/>
  </r>
  <r>
    <s v="Foot Locker"/>
    <n v="1185732"/>
    <d v="2021-08-18T00:00:00"/>
    <x v="2"/>
    <s v="Missouri"/>
    <s v="St. Louis"/>
    <s v="Women's Apparel"/>
    <n v="36"/>
    <n v="128"/>
    <x v="1026"/>
    <x v="477"/>
    <s v="Online"/>
  </r>
  <r>
    <s v="West Gear"/>
    <n v="1185732"/>
    <d v="2021-07-10T00:00:00"/>
    <x v="4"/>
    <s v="Utah"/>
    <s v="Salt Lake City"/>
    <s v="Men's Apparel"/>
    <n v="32"/>
    <n v="128"/>
    <x v="984"/>
    <x v="335"/>
    <s v="Online"/>
  </r>
  <r>
    <s v="West Gear"/>
    <n v="1128299"/>
    <d v="2021-03-23T00:00:00"/>
    <x v="4"/>
    <s v="Oregon"/>
    <s v="Portland"/>
    <s v="Men's Street Footwear"/>
    <n v="38"/>
    <n v="128"/>
    <x v="810"/>
    <x v="536"/>
    <s v="Online"/>
  </r>
  <r>
    <s v="West Gear"/>
    <n v="1128299"/>
    <d v="2021-08-24T00:00:00"/>
    <x v="4"/>
    <s v="Oregon"/>
    <s v="Portland"/>
    <s v="Men's Apparel"/>
    <n v="65"/>
    <n v="128"/>
    <x v="525"/>
    <x v="164"/>
    <s v="Online"/>
  </r>
  <r>
    <s v="West Gear"/>
    <n v="1128299"/>
    <d v="2021-11-24T00:00:00"/>
    <x v="4"/>
    <s v="Oregon"/>
    <s v="Portland"/>
    <s v="Women's Street Footwear"/>
    <n v="42"/>
    <n v="128"/>
    <x v="884"/>
    <x v="661"/>
    <s v="Online"/>
  </r>
  <r>
    <s v="West Gear"/>
    <n v="1128299"/>
    <d v="2021-08-17T00:00:00"/>
    <x v="1"/>
    <s v="Louisiana"/>
    <s v="New Orleans"/>
    <s v="Women's Athletic Footwear"/>
    <n v="74"/>
    <n v="128"/>
    <x v="239"/>
    <x v="110"/>
    <s v="Online"/>
  </r>
  <r>
    <s v="Foot Locker"/>
    <n v="1197831"/>
    <d v="2021-02-04T00:00:00"/>
    <x v="1"/>
    <s v="Louisiana"/>
    <s v="New Orleans"/>
    <s v="Women's Street Footwear"/>
    <n v="34"/>
    <n v="128"/>
    <x v="993"/>
    <x v="542"/>
    <s v="Online"/>
  </r>
  <r>
    <s v="Foot Locker"/>
    <n v="1128299"/>
    <d v="2021-07-22T00:00:00"/>
    <x v="4"/>
    <s v="Arizona"/>
    <s v="Phoenix"/>
    <s v="Men's Apparel"/>
    <n v="52"/>
    <n v="128"/>
    <x v="271"/>
    <x v="553"/>
    <s v="Online"/>
  </r>
  <r>
    <s v="Foot Locker"/>
    <n v="1128299"/>
    <d v="2021-09-24T00:00:00"/>
    <x v="4"/>
    <s v="Arizona"/>
    <s v="Phoenix"/>
    <s v="Women's Street Footwear"/>
    <n v="43"/>
    <n v="128"/>
    <x v="1094"/>
    <x v="633"/>
    <s v="Online"/>
  </r>
  <r>
    <s v="Kohl's"/>
    <n v="1128299"/>
    <d v="2021-01-26T00:00:00"/>
    <x v="4"/>
    <s v="Arizona"/>
    <s v="Phoenix"/>
    <s v="Women's Apparel"/>
    <n v="42"/>
    <n v="128"/>
    <x v="884"/>
    <x v="802"/>
    <s v="Online"/>
  </r>
  <r>
    <s v="Sports Direct"/>
    <n v="1128299"/>
    <d v="2021-07-12T00:00:00"/>
    <x v="0"/>
    <s v="Georgia"/>
    <s v="Atlanta"/>
    <s v="Women's Athletic Footwear"/>
    <n v="46"/>
    <n v="128"/>
    <x v="535"/>
    <x v="477"/>
    <s v="Online"/>
  </r>
  <r>
    <s v="Foot Locker"/>
    <n v="1128299"/>
    <d v="2021-12-12T00:00:00"/>
    <x v="0"/>
    <s v="Georgia"/>
    <s v="Atlanta"/>
    <s v="Women's Athletic Footwear"/>
    <n v="51"/>
    <n v="128"/>
    <x v="618"/>
    <x v="483"/>
    <s v="Online"/>
  </r>
  <r>
    <s v="Amazon"/>
    <n v="1185732"/>
    <d v="2021-01-13T00:00:00"/>
    <x v="0"/>
    <s v="North Carolina"/>
    <s v="Charlotte"/>
    <s v="Men's Apparel"/>
    <n v="44"/>
    <n v="128"/>
    <x v="649"/>
    <x v="116"/>
    <s v="Online"/>
  </r>
  <r>
    <s v="Amazon"/>
    <n v="1185732"/>
    <d v="2021-03-09T00:00:00"/>
    <x v="2"/>
    <s v="Ohio"/>
    <s v="Columbus"/>
    <s v="Women's Apparel"/>
    <n v="28"/>
    <n v="128"/>
    <x v="812"/>
    <x v="652"/>
    <s v="Online"/>
  </r>
  <r>
    <s v="Foot Locker"/>
    <n v="1185732"/>
    <d v="2021-03-16T00:00:00"/>
    <x v="1"/>
    <s v="Mississippi"/>
    <s v="Jackson"/>
    <s v="Women's Street Footwear"/>
    <n v="14"/>
    <n v="128"/>
    <x v="1098"/>
    <x v="804"/>
    <s v="Online"/>
  </r>
  <r>
    <s v="Walmart"/>
    <n v="1185732"/>
    <d v="2021-08-17T00:00:00"/>
    <x v="1"/>
    <s v="Mississippi"/>
    <s v="Jackson"/>
    <s v="Women's Athletic Footwear"/>
    <n v="39"/>
    <n v="128"/>
    <x v="717"/>
    <x v="112"/>
    <s v="Online"/>
  </r>
  <r>
    <s v="Sports Direct"/>
    <n v="1185732"/>
    <d v="2021-01-09T00:00:00"/>
    <x v="2"/>
    <s v="South Dakota"/>
    <s v="Sioux Falls"/>
    <s v="Men's Street Footwear"/>
    <n v="33"/>
    <n v="128"/>
    <x v="823"/>
    <x v="506"/>
    <s v="Online"/>
  </r>
  <r>
    <s v="West Gear"/>
    <n v="1185732"/>
    <d v="2021-04-21T00:00:00"/>
    <x v="3"/>
    <s v="Maryland"/>
    <s v="Baltimore"/>
    <s v="Men's Street Footwear"/>
    <n v="33"/>
    <n v="128"/>
    <x v="823"/>
    <x v="283"/>
    <s v="Online"/>
  </r>
  <r>
    <s v="Sports Direct"/>
    <n v="1185732"/>
    <d v="2021-09-20T00:00:00"/>
    <x v="3"/>
    <s v="Maryland"/>
    <s v="Baltimore"/>
    <s v="Men's Street Footwear"/>
    <n v="49"/>
    <n v="128"/>
    <x v="484"/>
    <x v="535"/>
    <s v="Online"/>
  </r>
  <r>
    <s v="Foot Locker"/>
    <n v="1185732"/>
    <d v="2021-08-14T00:00:00"/>
    <x v="3"/>
    <s v="Delaware"/>
    <s v="Wilmington"/>
    <s v="Men's Athletic Footwear"/>
    <n v="47"/>
    <n v="128"/>
    <x v="1045"/>
    <x v="552"/>
    <s v="Online"/>
  </r>
  <r>
    <s v="Foot Locker"/>
    <n v="1185732"/>
    <d v="2021-10-15T00:00:00"/>
    <x v="3"/>
    <s v="Delaware"/>
    <s v="Wilmington"/>
    <s v="Men's Street Footwear"/>
    <n v="56"/>
    <n v="128"/>
    <x v="269"/>
    <x v="491"/>
    <s v="Online"/>
  </r>
  <r>
    <s v="Sports Direct"/>
    <n v="1185732"/>
    <d v="2021-07-13T00:00:00"/>
    <x v="3"/>
    <s v="Massachusetts"/>
    <s v="Boston"/>
    <s v="Women's Apparel"/>
    <n v="55"/>
    <n v="128"/>
    <x v="95"/>
    <x v="680"/>
    <s v="Online"/>
  </r>
  <r>
    <s v="Kohl's"/>
    <n v="1189833"/>
    <d v="2021-03-23T00:00:00"/>
    <x v="4"/>
    <s v="California"/>
    <s v="Los Angeles"/>
    <s v="Men's Apparel"/>
    <n v="36"/>
    <n v="128"/>
    <x v="1026"/>
    <x v="654"/>
    <s v="Outlet"/>
  </r>
  <r>
    <s v="Sports Direct"/>
    <n v="1197831"/>
    <d v="2021-10-08T00:00:00"/>
    <x v="1"/>
    <s v="Texas"/>
    <s v="Dallas"/>
    <s v="Men's Apparel"/>
    <n v="30"/>
    <n v="128"/>
    <x v="892"/>
    <x v="806"/>
    <s v="Outlet"/>
  </r>
  <r>
    <s v="Foot Locker"/>
    <n v="1185732"/>
    <d v="2021-10-22T00:00:00"/>
    <x v="1"/>
    <s v="Texas"/>
    <s v="Dallas"/>
    <s v="Men's Street Footwear"/>
    <n v="34"/>
    <n v="128"/>
    <x v="993"/>
    <x v="401"/>
    <s v="Outlet"/>
  </r>
  <r>
    <s v="West Gear"/>
    <n v="1128299"/>
    <d v="2020-01-16T00:00:00"/>
    <x v="4"/>
    <s v="Nevada"/>
    <s v="Las Vegas"/>
    <s v="Women's Street Footwear"/>
    <n v="43"/>
    <n v="128"/>
    <x v="1094"/>
    <x v="638"/>
    <s v="Outlet"/>
  </r>
  <r>
    <s v="West Gear"/>
    <n v="1128299"/>
    <d v="2020-02-18T00:00:00"/>
    <x v="4"/>
    <s v="Nevada"/>
    <s v="Las Vegas"/>
    <s v="Women's Apparel"/>
    <n v="55"/>
    <n v="128"/>
    <x v="95"/>
    <x v="571"/>
    <s v="Outlet"/>
  </r>
  <r>
    <s v="West Gear"/>
    <n v="1128299"/>
    <d v="2020-02-23T00:00:00"/>
    <x v="4"/>
    <s v="Nevada"/>
    <s v="Las Vegas"/>
    <s v="Men's Apparel"/>
    <n v="53"/>
    <n v="128"/>
    <x v="1081"/>
    <x v="632"/>
    <s v="Outlet"/>
  </r>
  <r>
    <s v="West Gear"/>
    <n v="1128299"/>
    <d v="2020-03-17T00:00:00"/>
    <x v="4"/>
    <s v="Nevada"/>
    <s v="Las Vegas"/>
    <s v="Women's Street Footwear"/>
    <n v="26"/>
    <n v="128"/>
    <x v="1099"/>
    <x v="445"/>
    <s v="Outlet"/>
  </r>
  <r>
    <s v="Sports Direct"/>
    <n v="1197831"/>
    <d v="2021-03-19T00:00:00"/>
    <x v="1"/>
    <s v="Tennessee"/>
    <s v="Knoxville"/>
    <s v="Women's Athletic Footwear"/>
    <n v="28"/>
    <n v="128"/>
    <x v="812"/>
    <x v="419"/>
    <s v="Outlet"/>
  </r>
  <r>
    <s v="Sports Direct"/>
    <n v="1197831"/>
    <d v="2021-03-31T00:00:00"/>
    <x v="1"/>
    <s v="Tennessee"/>
    <s v="Knoxville"/>
    <s v="Women's Athletic Footwear"/>
    <n v="20"/>
    <n v="128"/>
    <x v="1100"/>
    <x v="737"/>
    <s v="Outlet"/>
  </r>
  <r>
    <s v="Walmart"/>
    <n v="1128299"/>
    <d v="2021-10-17T00:00:00"/>
    <x v="0"/>
    <s v="Florida"/>
    <s v="Orlando"/>
    <s v="Women's Street Footwear"/>
    <n v="43"/>
    <n v="128"/>
    <x v="1094"/>
    <x v="647"/>
    <s v="Outlet"/>
  </r>
  <r>
    <s v="Foot Locker"/>
    <n v="1128299"/>
    <d v="2021-06-24T00:00:00"/>
    <x v="0"/>
    <s v="Virginia"/>
    <s v="Richmond"/>
    <s v="Men's Apparel"/>
    <n v="68"/>
    <n v="128"/>
    <x v="266"/>
    <x v="750"/>
    <s v="Outlet"/>
  </r>
  <r>
    <s v="West Gear"/>
    <n v="1185732"/>
    <d v="2021-05-12T00:00:00"/>
    <x v="4"/>
    <s v="Utah"/>
    <s v="Salt Lake City"/>
    <s v="Men's Athletic Footwear"/>
    <n v="22"/>
    <n v="128"/>
    <x v="1101"/>
    <x v="758"/>
    <s v="Outlet"/>
  </r>
  <r>
    <s v="West Gear"/>
    <n v="1185732"/>
    <d v="2021-05-12T00:00:00"/>
    <x v="4"/>
    <s v="Utah"/>
    <s v="Salt Lake City"/>
    <s v="Women's Apparel"/>
    <n v="32"/>
    <n v="128"/>
    <x v="984"/>
    <x v="528"/>
    <s v="Outlet"/>
  </r>
  <r>
    <s v="West Gear"/>
    <n v="1185732"/>
    <d v="2021-06-11T00:00:00"/>
    <x v="4"/>
    <s v="Utah"/>
    <s v="Salt Lake City"/>
    <s v="Women's Street Footwear"/>
    <n v="13"/>
    <n v="128"/>
    <x v="1102"/>
    <x v="807"/>
    <s v="Outlet"/>
  </r>
  <r>
    <s v="West Gear"/>
    <n v="1185732"/>
    <d v="2021-07-10T00:00:00"/>
    <x v="4"/>
    <s v="Utah"/>
    <s v="Salt Lake City"/>
    <s v="Women's Athletic Footwear"/>
    <n v="16"/>
    <n v="128"/>
    <x v="1103"/>
    <x v="808"/>
    <s v="Outlet"/>
  </r>
  <r>
    <s v="West Gear"/>
    <n v="1128299"/>
    <d v="2021-08-24T00:00:00"/>
    <x v="4"/>
    <s v="Oregon"/>
    <s v="Portland"/>
    <s v="Women's Athletic Footwear"/>
    <n v="50"/>
    <n v="128"/>
    <x v="705"/>
    <x v="526"/>
    <s v="Outlet"/>
  </r>
  <r>
    <s v="West Gear"/>
    <n v="1128299"/>
    <d v="2021-01-17T00:00:00"/>
    <x v="4"/>
    <s v="Oregon"/>
    <s v="Portland"/>
    <s v="Women's Street Footwear"/>
    <n v="33"/>
    <n v="128"/>
    <x v="823"/>
    <x v="752"/>
    <s v="Outlet"/>
  </r>
  <r>
    <s v="West Gear"/>
    <n v="1128299"/>
    <d v="2021-05-18T00:00:00"/>
    <x v="1"/>
    <s v="Louisiana"/>
    <s v="New Orleans"/>
    <s v="Men's Athletic Footwear"/>
    <n v="40"/>
    <n v="128"/>
    <x v="906"/>
    <x v="504"/>
    <s v="Outlet"/>
  </r>
  <r>
    <s v="West Gear"/>
    <n v="1128299"/>
    <d v="2021-10-17T00:00:00"/>
    <x v="1"/>
    <s v="Louisiana"/>
    <s v="New Orleans"/>
    <s v="Women's Street Footwear"/>
    <n v="33"/>
    <n v="128"/>
    <x v="823"/>
    <x v="506"/>
    <s v="Outlet"/>
  </r>
  <r>
    <s v="Foot Locker"/>
    <n v="1197831"/>
    <d v="2021-02-04T00:00:00"/>
    <x v="1"/>
    <s v="Louisiana"/>
    <s v="New Orleans"/>
    <s v="Women's Street Footwear"/>
    <n v="28"/>
    <n v="128"/>
    <x v="812"/>
    <x v="793"/>
    <s v="Outlet"/>
  </r>
  <r>
    <s v="Foot Locker"/>
    <n v="1128299"/>
    <d v="2021-02-23T00:00:00"/>
    <x v="4"/>
    <s v="Idaho"/>
    <s v="Boise"/>
    <s v="Men's Athletic Footwear"/>
    <n v="28"/>
    <n v="128"/>
    <x v="812"/>
    <x v="806"/>
    <s v="Outlet"/>
  </r>
  <r>
    <s v="Foot Locker"/>
    <n v="1128299"/>
    <d v="2021-09-24T00:00:00"/>
    <x v="4"/>
    <s v="Arizona"/>
    <s v="Phoenix"/>
    <s v="Men's Apparel"/>
    <n v="41"/>
    <n v="128"/>
    <x v="647"/>
    <x v="579"/>
    <s v="Outlet"/>
  </r>
  <r>
    <s v="Kohl's"/>
    <n v="1128299"/>
    <d v="2021-12-22T00:00:00"/>
    <x v="4"/>
    <s v="Arizona"/>
    <s v="Phoenix"/>
    <s v="Women's Athletic Footwear"/>
    <n v="32"/>
    <n v="128"/>
    <x v="984"/>
    <x v="544"/>
    <s v="Outlet"/>
  </r>
  <r>
    <s v="Kohl's"/>
    <n v="1128299"/>
    <d v="2021-06-26T00:00:00"/>
    <x v="4"/>
    <s v="New Mexico"/>
    <s v="Albuquerque"/>
    <s v="Women's Athletic Footwear"/>
    <n v="37"/>
    <n v="128"/>
    <x v="951"/>
    <x v="558"/>
    <s v="Outlet"/>
  </r>
  <r>
    <s v="Sports Direct"/>
    <n v="1128299"/>
    <d v="2021-12-25T00:00:00"/>
    <x v="4"/>
    <s v="New Mexico"/>
    <s v="Albuquerque"/>
    <s v="Men's Apparel"/>
    <n v="55"/>
    <n v="128"/>
    <x v="95"/>
    <x v="753"/>
    <s v="Outlet"/>
  </r>
  <r>
    <s v="Sports Direct"/>
    <n v="1128299"/>
    <d v="2021-07-12T00:00:00"/>
    <x v="0"/>
    <s v="Georgia"/>
    <s v="Atlanta"/>
    <s v="Women's Athletic Footwear"/>
    <n v="39"/>
    <n v="128"/>
    <x v="717"/>
    <x v="504"/>
    <s v="Outlet"/>
  </r>
  <r>
    <s v="Sports Direct"/>
    <n v="1128299"/>
    <d v="2021-08-13T00:00:00"/>
    <x v="0"/>
    <s v="Georgia"/>
    <s v="Atlanta"/>
    <s v="Women's Apparel"/>
    <n v="50"/>
    <n v="128"/>
    <x v="705"/>
    <x v="501"/>
    <s v="Outlet"/>
  </r>
  <r>
    <s v="Foot Locker"/>
    <n v="1185732"/>
    <d v="2021-03-16T00:00:00"/>
    <x v="1"/>
    <s v="Mississippi"/>
    <s v="Jackson"/>
    <s v="Men's Athletic Footwear"/>
    <n v="20"/>
    <n v="128"/>
    <x v="1100"/>
    <x v="790"/>
    <s v="Outlet"/>
  </r>
  <r>
    <s v="West Gear"/>
    <n v="1197831"/>
    <d v="2021-11-20T00:00:00"/>
    <x v="1"/>
    <s v="Arkansas"/>
    <s v="Little Rock"/>
    <s v="Women's Athletic Footwear"/>
    <n v="41"/>
    <n v="128"/>
    <x v="647"/>
    <x v="618"/>
    <s v="Outlet"/>
  </r>
  <r>
    <s v="West Gear"/>
    <n v="1197831"/>
    <d v="2021-09-19T00:00:00"/>
    <x v="1"/>
    <s v="Oklahoma"/>
    <s v="Oklahoma City"/>
    <s v="Men's Athletic Footwear"/>
    <n v="28"/>
    <n v="128"/>
    <x v="812"/>
    <x v="597"/>
    <s v="Outlet"/>
  </r>
  <r>
    <s v="Kohl's"/>
    <n v="1197831"/>
    <d v="2021-11-20T00:00:00"/>
    <x v="1"/>
    <s v="Oklahoma"/>
    <s v="Oklahoma City"/>
    <s v="Women's Apparel"/>
    <n v="60"/>
    <n v="128"/>
    <x v="265"/>
    <x v="438"/>
    <s v="Outlet"/>
  </r>
  <r>
    <s v="Kohl's"/>
    <n v="1197831"/>
    <d v="2021-12-19T00:00:00"/>
    <x v="1"/>
    <s v="Oklahoma"/>
    <s v="Oklahoma City"/>
    <s v="Women's Apparel"/>
    <n v="51"/>
    <n v="128"/>
    <x v="618"/>
    <x v="246"/>
    <s v="Outlet"/>
  </r>
  <r>
    <s v="Sports Direct"/>
    <n v="1185732"/>
    <d v="2021-05-03T00:00:00"/>
    <x v="3"/>
    <s v="Connecticut"/>
    <s v="Hartford"/>
    <s v="Women's Apparel"/>
    <n v="41"/>
    <n v="128"/>
    <x v="647"/>
    <x v="580"/>
    <s v="Outlet"/>
  </r>
  <r>
    <s v="Sports Direct"/>
    <n v="1185732"/>
    <d v="2021-06-05T00:00:00"/>
    <x v="3"/>
    <s v="Connecticut"/>
    <s v="Hartford"/>
    <s v="Women's Apparel"/>
    <n v="39"/>
    <n v="128"/>
    <x v="717"/>
    <x v="587"/>
    <s v="Outlet"/>
  </r>
  <r>
    <s v="Sports Direct"/>
    <n v="1185732"/>
    <d v="2021-08-04T00:00:00"/>
    <x v="3"/>
    <s v="Connecticut"/>
    <s v="Hartford"/>
    <s v="Men's Athletic Footwear"/>
    <n v="34"/>
    <n v="128"/>
    <x v="993"/>
    <x v="647"/>
    <s v="Outlet"/>
  </r>
  <r>
    <s v="Foot Locker"/>
    <n v="1185732"/>
    <d v="2021-09-06T00:00:00"/>
    <x v="3"/>
    <s v="Rhode Island"/>
    <s v="Providence"/>
    <s v="Men's Street Footwear"/>
    <n v="39"/>
    <n v="128"/>
    <x v="717"/>
    <x v="659"/>
    <s v="Outlet"/>
  </r>
  <r>
    <s v="Amazon"/>
    <n v="1185732"/>
    <d v="2021-12-13T00:00:00"/>
    <x v="3"/>
    <s v="Massachusetts"/>
    <s v="Boston"/>
    <s v="Women's Apparel"/>
    <n v="51"/>
    <n v="128"/>
    <x v="618"/>
    <x v="283"/>
    <s v="Outlet"/>
  </r>
  <r>
    <s v="Amazon"/>
    <n v="1185732"/>
    <d v="2021-11-11T00:00:00"/>
    <x v="3"/>
    <s v="Vermont"/>
    <s v="Burlington"/>
    <s v="Women's Apparel"/>
    <n v="57"/>
    <n v="128"/>
    <x v="899"/>
    <x v="160"/>
    <s v="Outlet"/>
  </r>
  <r>
    <s v="Amazon"/>
    <n v="1185732"/>
    <d v="2021-07-17T00:00:00"/>
    <x v="3"/>
    <s v="New Hampshire"/>
    <s v="Manchester"/>
    <s v="Women's Street Footwear"/>
    <n v="37"/>
    <n v="128"/>
    <x v="951"/>
    <x v="708"/>
    <s v="Outlet"/>
  </r>
  <r>
    <s v="Foot Locker"/>
    <n v="1185732"/>
    <d v="2021-12-17T00:00:00"/>
    <x v="3"/>
    <s v="New Hampshire"/>
    <s v="Manchester"/>
    <s v="Men's Athletic Footwear"/>
    <n v="49"/>
    <n v="128"/>
    <x v="484"/>
    <x v="487"/>
    <s v="Outlet"/>
  </r>
  <r>
    <s v="Foot Locker"/>
    <n v="1185732"/>
    <d v="2021-12-17T00:00:00"/>
    <x v="3"/>
    <s v="New Hampshire"/>
    <s v="Manchester"/>
    <s v="Women's Street Footwear"/>
    <n v="47"/>
    <n v="128"/>
    <x v="1045"/>
    <x v="742"/>
    <s v="Outlet"/>
  </r>
  <r>
    <s v="Amazon"/>
    <n v="1185732"/>
    <d v="2021-10-24T00:00:00"/>
    <x v="3"/>
    <s v="Maine"/>
    <s v="Portland"/>
    <s v="Men's Street Footwear"/>
    <n v="39"/>
    <n v="127"/>
    <x v="550"/>
    <x v="526"/>
    <s v="Online"/>
  </r>
  <r>
    <s v="Sports Direct"/>
    <n v="1185732"/>
    <d v="2021-03-13T00:00:00"/>
    <x v="3"/>
    <s v="Massachusetts"/>
    <s v="Boston"/>
    <s v="Men's Street Footwear"/>
    <n v="38"/>
    <n v="127"/>
    <x v="713"/>
    <x v="674"/>
    <s v="Online"/>
  </r>
  <r>
    <s v="Sports Direct"/>
    <n v="1197831"/>
    <d v="2021-10-01T00:00:00"/>
    <x v="1"/>
    <s v="Texas"/>
    <s v="Dallas"/>
    <s v="Women's Athletic Footwear"/>
    <n v="56"/>
    <n v="126"/>
    <x v="681"/>
    <x v="181"/>
    <s v="Online"/>
  </r>
  <r>
    <s v="Sports Direct"/>
    <n v="1197831"/>
    <d v="2021-08-12T00:00:00"/>
    <x v="1"/>
    <s v="Alabama"/>
    <s v="Birmingham"/>
    <s v="Women's Apparel"/>
    <n v="33"/>
    <n v="126"/>
    <x v="941"/>
    <x v="157"/>
    <s v="Online"/>
  </r>
  <r>
    <s v="Amazon"/>
    <n v="1185732"/>
    <d v="2021-06-22T00:00:00"/>
    <x v="4"/>
    <s v="Alaska"/>
    <s v="Anchorage"/>
    <s v="Women's Apparel"/>
    <n v="67"/>
    <n v="126"/>
    <x v="1104"/>
    <x v="595"/>
    <s v="Online"/>
  </r>
  <r>
    <s v="Walmart"/>
    <n v="1128299"/>
    <d v="2021-06-17T00:00:00"/>
    <x v="0"/>
    <s v="Florida"/>
    <s v="Orlando"/>
    <s v="Men's Apparel"/>
    <n v="89"/>
    <n v="126"/>
    <x v="1105"/>
    <x v="266"/>
    <s v="Online"/>
  </r>
  <r>
    <s v="Kohl's"/>
    <n v="1185732"/>
    <d v="2021-03-10T00:00:00"/>
    <x v="4"/>
    <s v="Wyoming"/>
    <s v="Cheyenne"/>
    <s v="Men's Apparel"/>
    <n v="47"/>
    <n v="126"/>
    <x v="1106"/>
    <x v="689"/>
    <s v="Online"/>
  </r>
  <r>
    <s v="Sports Direct"/>
    <n v="1185732"/>
    <d v="2021-02-17T00:00:00"/>
    <x v="2"/>
    <s v="Michigan"/>
    <s v="Detroit"/>
    <s v="Men's Apparel"/>
    <n v="41"/>
    <n v="126"/>
    <x v="980"/>
    <x v="287"/>
    <s v="Online"/>
  </r>
  <r>
    <s v="Sports Direct"/>
    <n v="1185732"/>
    <d v="2021-03-15T00:00:00"/>
    <x v="2"/>
    <s v="Michigan"/>
    <s v="Detroit"/>
    <s v="Men's Athletic Footwear"/>
    <n v="32"/>
    <n v="126"/>
    <x v="963"/>
    <x v="285"/>
    <s v="Online"/>
  </r>
  <r>
    <s v="Sports Direct"/>
    <n v="1185732"/>
    <d v="2021-05-15T00:00:00"/>
    <x v="2"/>
    <s v="Michigan"/>
    <s v="Detroit"/>
    <s v="Women's Athletic Footwear"/>
    <n v="42"/>
    <n v="126"/>
    <x v="1006"/>
    <x v="454"/>
    <s v="Online"/>
  </r>
  <r>
    <s v="Sports Direct"/>
    <n v="1185732"/>
    <d v="2021-11-16T00:00:00"/>
    <x v="2"/>
    <s v="Michigan"/>
    <s v="Detroit"/>
    <s v="Men's Apparel"/>
    <n v="59"/>
    <n v="126"/>
    <x v="465"/>
    <x v="353"/>
    <s v="Online"/>
  </r>
  <r>
    <s v="West Gear"/>
    <n v="1185732"/>
    <d v="2021-12-17T00:00:00"/>
    <x v="2"/>
    <s v="Missouri"/>
    <s v="St. Louis"/>
    <s v="Women's Apparel"/>
    <n v="47"/>
    <n v="126"/>
    <x v="1106"/>
    <x v="383"/>
    <s v="Online"/>
  </r>
  <r>
    <s v="Kohl's"/>
    <n v="1128299"/>
    <d v="2021-05-27T00:00:00"/>
    <x v="4"/>
    <s v="New Mexico"/>
    <s v="Albuquerque"/>
    <s v="Women's Street Footwear"/>
    <n v="56"/>
    <n v="126"/>
    <x v="681"/>
    <x v="492"/>
    <s v="Online"/>
  </r>
  <r>
    <s v="Kohl's"/>
    <n v="1128299"/>
    <d v="2021-08-26T00:00:00"/>
    <x v="4"/>
    <s v="New Mexico"/>
    <s v="Albuquerque"/>
    <s v="Women's Apparel"/>
    <n v="70"/>
    <n v="126"/>
    <x v="78"/>
    <x v="89"/>
    <s v="Online"/>
  </r>
  <r>
    <s v="Sports Direct"/>
    <n v="1128299"/>
    <d v="2021-01-13T00:00:00"/>
    <x v="4"/>
    <s v="New Mexico"/>
    <s v="Albuquerque"/>
    <s v="Women's Street Footwear"/>
    <n v="38"/>
    <n v="126"/>
    <x v="1020"/>
    <x v="283"/>
    <s v="Online"/>
  </r>
  <r>
    <s v="Sports Direct"/>
    <n v="1128299"/>
    <d v="2021-08-13T00:00:00"/>
    <x v="0"/>
    <s v="Georgia"/>
    <s v="Atlanta"/>
    <s v="Men's Apparel"/>
    <n v="60"/>
    <n v="126"/>
    <x v="80"/>
    <x v="339"/>
    <s v="Online"/>
  </r>
  <r>
    <s v="Amazon"/>
    <n v="1185732"/>
    <d v="2021-03-09T00:00:00"/>
    <x v="2"/>
    <s v="Ohio"/>
    <s v="Columbus"/>
    <s v="Men's Athletic Footwear"/>
    <n v="27"/>
    <n v="126"/>
    <x v="927"/>
    <x v="792"/>
    <s v="Online"/>
  </r>
  <r>
    <s v="Amazon"/>
    <n v="1185732"/>
    <d v="2021-05-09T00:00:00"/>
    <x v="2"/>
    <s v="Ohio"/>
    <s v="Columbus"/>
    <s v="Men's Apparel"/>
    <n v="49"/>
    <n v="126"/>
    <x v="756"/>
    <x v="287"/>
    <s v="Online"/>
  </r>
  <r>
    <s v="Amazon"/>
    <n v="1185732"/>
    <d v="2021-10-22T00:00:00"/>
    <x v="0"/>
    <s v="Kentucky"/>
    <s v="Louisville"/>
    <s v="Men's Street Footwear"/>
    <n v="53"/>
    <n v="126"/>
    <x v="916"/>
    <x v="667"/>
    <s v="Online"/>
  </r>
  <r>
    <s v="Walmart"/>
    <n v="1197831"/>
    <d v="2021-07-19T00:00:00"/>
    <x v="1"/>
    <s v="Arkansas"/>
    <s v="Little Rock"/>
    <s v="Women's Street Footwear"/>
    <n v="43"/>
    <n v="126"/>
    <x v="1107"/>
    <x v="512"/>
    <s v="Online"/>
  </r>
  <r>
    <s v="Walmart"/>
    <n v="1197831"/>
    <d v="2021-08-20T00:00:00"/>
    <x v="1"/>
    <s v="Arkansas"/>
    <s v="Little Rock"/>
    <s v="Women's Street Footwear"/>
    <n v="47"/>
    <n v="126"/>
    <x v="1106"/>
    <x v="263"/>
    <s v="Online"/>
  </r>
  <r>
    <s v="Walmart"/>
    <n v="1197831"/>
    <d v="2021-09-19T00:00:00"/>
    <x v="1"/>
    <s v="Arkansas"/>
    <s v="Little Rock"/>
    <s v="Men's Athletic Footwear"/>
    <n v="39"/>
    <n v="126"/>
    <x v="791"/>
    <x v="455"/>
    <s v="Online"/>
  </r>
  <r>
    <s v="West Gear"/>
    <n v="1197831"/>
    <d v="2021-12-19T00:00:00"/>
    <x v="1"/>
    <s v="Arkansas"/>
    <s v="Little Rock"/>
    <s v="Women's Street Footwear"/>
    <n v="55"/>
    <n v="126"/>
    <x v="565"/>
    <x v="176"/>
    <s v="Online"/>
  </r>
  <r>
    <s v="West Gear"/>
    <n v="1185732"/>
    <d v="2021-01-03T00:00:00"/>
    <x v="2"/>
    <s v="Iowa"/>
    <s v="Des Moines"/>
    <s v="Men's Street Footwear"/>
    <n v="28"/>
    <n v="126"/>
    <x v="680"/>
    <x v="791"/>
    <s v="Online"/>
  </r>
  <r>
    <s v="Sports Direct"/>
    <n v="1185732"/>
    <d v="2021-01-17T00:00:00"/>
    <x v="3"/>
    <s v="Rhode Island"/>
    <s v="Providence"/>
    <s v="Men's Street Footwear"/>
    <n v="38"/>
    <n v="126"/>
    <x v="1020"/>
    <x v="429"/>
    <s v="Online"/>
  </r>
  <r>
    <s v="West Gear"/>
    <n v="1185732"/>
    <d v="2021-11-11T00:00:00"/>
    <x v="3"/>
    <s v="Vermont"/>
    <s v="Burlington"/>
    <s v="Men's Street Footwear"/>
    <n v="64"/>
    <n v="126"/>
    <x v="719"/>
    <x v="391"/>
    <s v="Online"/>
  </r>
  <r>
    <s v="Foot Locker"/>
    <n v="1185732"/>
    <d v="2021-06-03T00:00:00"/>
    <x v="4"/>
    <s v="California"/>
    <s v="Los Angeles"/>
    <s v="Women's Athletic Footwear"/>
    <n v="40"/>
    <n v="125"/>
    <x v="303"/>
    <x v="322"/>
    <s v="Outlet"/>
  </r>
  <r>
    <s v="Foot Locker"/>
    <n v="1185732"/>
    <d v="2021-06-16T00:00:00"/>
    <x v="2"/>
    <s v="Illinois"/>
    <s v="Chicago"/>
    <s v="Men's Apparel"/>
    <n v="60"/>
    <n v="125"/>
    <x v="20"/>
    <x v="24"/>
    <s v="Outlet"/>
  </r>
  <r>
    <s v="Foot Locker"/>
    <n v="1185732"/>
    <d v="2021-06-28T00:00:00"/>
    <x v="2"/>
    <s v="Illinois"/>
    <s v="Chicago"/>
    <s v="Men's Apparel"/>
    <n v="60"/>
    <n v="125"/>
    <x v="20"/>
    <x v="24"/>
    <s v="Outlet"/>
  </r>
  <r>
    <s v="Foot Locker"/>
    <n v="1185732"/>
    <d v="2021-07-27T00:00:00"/>
    <x v="2"/>
    <s v="Illinois"/>
    <s v="Chicago"/>
    <s v="Women's Athletic Footwear"/>
    <n v="50"/>
    <n v="125"/>
    <x v="302"/>
    <x v="320"/>
    <s v="Outlet"/>
  </r>
  <r>
    <s v="Foot Locker"/>
    <n v="1185732"/>
    <d v="2021-07-28T00:00:00"/>
    <x v="2"/>
    <s v="Illinois"/>
    <s v="Chicago"/>
    <s v="Men's Apparel"/>
    <n v="60"/>
    <n v="125"/>
    <x v="20"/>
    <x v="24"/>
    <s v="Outlet"/>
  </r>
  <r>
    <s v="Foot Locker"/>
    <n v="1185732"/>
    <d v="2021-10-26T00:00:00"/>
    <x v="3"/>
    <s v="Pennsylvania"/>
    <s v="Philadelphia"/>
    <s v="Men's Apparel"/>
    <n v="55"/>
    <n v="125"/>
    <x v="179"/>
    <x v="198"/>
    <s v="Outlet"/>
  </r>
  <r>
    <s v="Foot Locker"/>
    <n v="1185732"/>
    <d v="2021-10-29T00:00:00"/>
    <x v="3"/>
    <s v="Pennsylvania"/>
    <s v="Philadelphia"/>
    <s v="Men's Athletic Footwear"/>
    <n v="45"/>
    <n v="125"/>
    <x v="21"/>
    <x v="27"/>
    <s v="Outlet"/>
  </r>
  <r>
    <s v="Foot Locker"/>
    <n v="1185732"/>
    <d v="2021-11-01T00:00:00"/>
    <x v="3"/>
    <s v="Pennsylvania"/>
    <s v="Philadelphia"/>
    <s v="Men's Apparel"/>
    <n v="55"/>
    <n v="125"/>
    <x v="179"/>
    <x v="198"/>
    <s v="Outlet"/>
  </r>
  <r>
    <s v="Foot Locker"/>
    <n v="1185732"/>
    <d v="2021-11-19T00:00:00"/>
    <x v="3"/>
    <s v="Pennsylvania"/>
    <s v="Philadelphia"/>
    <s v="Men's Apparel"/>
    <n v="65"/>
    <n v="125"/>
    <x v="55"/>
    <x v="809"/>
    <s v="Outlet"/>
  </r>
  <r>
    <s v="Foot Locker"/>
    <n v="1185732"/>
    <d v="2021-12-13T00:00:00"/>
    <x v="3"/>
    <s v="Pennsylvania"/>
    <s v="Philadelphia"/>
    <s v="Men's Apparel"/>
    <n v="55"/>
    <n v="125"/>
    <x v="179"/>
    <x v="203"/>
    <s v="Outlet"/>
  </r>
  <r>
    <s v="Foot Locker"/>
    <n v="1185732"/>
    <d v="2021-12-17T00:00:00"/>
    <x v="3"/>
    <s v="Pennsylvania"/>
    <s v="Philadelphia"/>
    <s v="Women's Street Footwear"/>
    <n v="50"/>
    <n v="125"/>
    <x v="302"/>
    <x v="321"/>
    <s v="Outlet"/>
  </r>
  <r>
    <s v="Foot Locker"/>
    <n v="1185732"/>
    <d v="2020-10-30T00:00:00"/>
    <x v="2"/>
    <s v="Minnesota"/>
    <s v="Minneapolis"/>
    <s v="Men's Athletic Footwear"/>
    <n v="40"/>
    <n v="125"/>
    <x v="303"/>
    <x v="324"/>
    <s v="In-store"/>
  </r>
  <r>
    <s v="Foot Locker"/>
    <n v="1185732"/>
    <d v="2020-11-12T00:00:00"/>
    <x v="2"/>
    <s v="Minnesota"/>
    <s v="Minneapolis"/>
    <s v="Women's Street Footwear"/>
    <n v="40"/>
    <n v="125"/>
    <x v="303"/>
    <x v="324"/>
    <s v="In-store"/>
  </r>
  <r>
    <s v="Foot Locker"/>
    <n v="1185732"/>
    <d v="2020-12-07T00:00:00"/>
    <x v="2"/>
    <s v="Minnesota"/>
    <s v="Minneapolis"/>
    <s v="Women's Athletic Footwear"/>
    <n v="25"/>
    <n v="125"/>
    <x v="1108"/>
    <x v="810"/>
    <s v="Outlet"/>
  </r>
  <r>
    <s v="Foot Locker"/>
    <n v="1185732"/>
    <d v="2020-12-08T00:00:00"/>
    <x v="2"/>
    <s v="Minnesota"/>
    <s v="Minneapolis"/>
    <s v="Men's Apparel"/>
    <n v="35"/>
    <n v="125"/>
    <x v="831"/>
    <x v="325"/>
    <s v="Outlet"/>
  </r>
  <r>
    <s v="Foot Locker"/>
    <n v="1185732"/>
    <d v="2020-12-20T00:00:00"/>
    <x v="2"/>
    <s v="Minnesota"/>
    <s v="Minneapolis"/>
    <s v="Men's Apparel"/>
    <n v="55"/>
    <n v="125"/>
    <x v="179"/>
    <x v="203"/>
    <s v="Outlet"/>
  </r>
  <r>
    <s v="Foot Locker"/>
    <n v="1185732"/>
    <d v="2021-05-25T00:00:00"/>
    <x v="2"/>
    <s v="Nebraska"/>
    <s v="Omaha"/>
    <s v="Men's Apparel"/>
    <n v="45"/>
    <n v="125"/>
    <x v="21"/>
    <x v="27"/>
    <s v="Outlet"/>
  </r>
  <r>
    <s v="Foot Locker"/>
    <n v="1185732"/>
    <d v="2021-05-28T00:00:00"/>
    <x v="2"/>
    <s v="Nebraska"/>
    <s v="Omaha"/>
    <s v="Men's Athletic Footwear"/>
    <n v="35"/>
    <n v="125"/>
    <x v="831"/>
    <x v="716"/>
    <s v="Outlet"/>
  </r>
  <r>
    <s v="Foot Locker"/>
    <n v="1185732"/>
    <d v="2021-05-31T00:00:00"/>
    <x v="2"/>
    <s v="Nebraska"/>
    <s v="Omaha"/>
    <s v="Men's Apparel"/>
    <n v="45"/>
    <n v="125"/>
    <x v="21"/>
    <x v="27"/>
    <s v="Outlet"/>
  </r>
  <r>
    <s v="Foot Locker"/>
    <n v="1185732"/>
    <d v="2021-06-15T00:00:00"/>
    <x v="2"/>
    <s v="Nebraska"/>
    <s v="Omaha"/>
    <s v="Men's Athletic Footwear"/>
    <n v="40"/>
    <n v="125"/>
    <x v="303"/>
    <x v="323"/>
    <s v="Outlet"/>
  </r>
  <r>
    <s v="Foot Locker"/>
    <n v="1185732"/>
    <d v="2021-07-05T00:00:00"/>
    <x v="2"/>
    <s v="Nebraska"/>
    <s v="Omaha"/>
    <s v="Women's Athletic Footwear"/>
    <n v="30"/>
    <n v="125"/>
    <x v="304"/>
    <x v="324"/>
    <s v="Outlet"/>
  </r>
  <r>
    <s v="Foot Locker"/>
    <n v="1185732"/>
    <d v="2021-07-23T00:00:00"/>
    <x v="2"/>
    <s v="Nebraska"/>
    <s v="Omaha"/>
    <s v="Women's Athletic Footwear"/>
    <n v="30"/>
    <n v="125"/>
    <x v="304"/>
    <x v="324"/>
    <s v="Outlet"/>
  </r>
  <r>
    <s v="Amazon"/>
    <n v="1185732"/>
    <d v="2021-11-08T00:00:00"/>
    <x v="3"/>
    <s v="Maine"/>
    <s v="Portland"/>
    <s v="Women's Athletic Footwear"/>
    <n v="45"/>
    <n v="125"/>
    <x v="21"/>
    <x v="462"/>
    <s v="Outlet"/>
  </r>
  <r>
    <s v="Amazon"/>
    <n v="1185732"/>
    <d v="2021-12-30T00:00:00"/>
    <x v="3"/>
    <s v="Maine"/>
    <s v="Portland"/>
    <s v="Women's Athletic Footwear"/>
    <n v="45"/>
    <n v="125"/>
    <x v="21"/>
    <x v="462"/>
    <s v="Outlet"/>
  </r>
  <r>
    <s v="Amazon"/>
    <n v="1185732"/>
    <d v="2021-12-31T00:00:00"/>
    <x v="3"/>
    <s v="Maine"/>
    <s v="Portland"/>
    <s v="Men's Apparel"/>
    <n v="55"/>
    <n v="125"/>
    <x v="179"/>
    <x v="811"/>
    <s v="Outlet"/>
  </r>
  <r>
    <s v="Amazon"/>
    <n v="1185732"/>
    <d v="2021-10-19T00:00:00"/>
    <x v="3"/>
    <s v="Maine"/>
    <s v="Portland"/>
    <s v="Women's Street Footwear"/>
    <n v="55"/>
    <n v="125"/>
    <x v="179"/>
    <x v="194"/>
    <s v="Outlet"/>
  </r>
  <r>
    <s v="Amazon"/>
    <n v="1185732"/>
    <d v="2021-03-20T00:00:00"/>
    <x v="4"/>
    <s v="Alaska"/>
    <s v="Anchorage"/>
    <s v="Women's Athletic Footwear"/>
    <n v="50"/>
    <n v="125"/>
    <x v="302"/>
    <x v="812"/>
    <s v="Outlet"/>
  </r>
  <r>
    <s v="Foot Locker"/>
    <n v="1128299"/>
    <d v="2021-03-09T00:00:00"/>
    <x v="4"/>
    <s v="Hawaii"/>
    <s v="Honolulu"/>
    <s v="Men's Apparel"/>
    <n v="60"/>
    <n v="125"/>
    <x v="20"/>
    <x v="766"/>
    <s v="Outlet"/>
  </r>
  <r>
    <s v="Foot Locker"/>
    <n v="1128299"/>
    <d v="2021-02-24T00:00:00"/>
    <x v="0"/>
    <s v="Virginia"/>
    <s v="Richmond"/>
    <s v="Men's Apparel"/>
    <n v="45"/>
    <n v="125"/>
    <x v="21"/>
    <x v="26"/>
    <s v="In-store"/>
  </r>
  <r>
    <s v="Foot Locker"/>
    <n v="1128299"/>
    <d v="2021-04-24T00:00:00"/>
    <x v="0"/>
    <s v="Virginia"/>
    <s v="Richmond"/>
    <s v="Men's Apparel"/>
    <n v="50"/>
    <n v="125"/>
    <x v="302"/>
    <x v="320"/>
    <s v="In-store"/>
  </r>
  <r>
    <s v="West Gear"/>
    <n v="1128299"/>
    <d v="2021-02-24T00:00:00"/>
    <x v="4"/>
    <s v="Oregon"/>
    <s v="Portland"/>
    <s v="Men's Apparel"/>
    <n v="45"/>
    <n v="125"/>
    <x v="21"/>
    <x v="26"/>
    <s v="In-store"/>
  </r>
  <r>
    <s v="West Gear"/>
    <n v="1128299"/>
    <d v="2021-04-24T00:00:00"/>
    <x v="4"/>
    <s v="Oregon"/>
    <s v="Portland"/>
    <s v="Men's Apparel"/>
    <n v="50"/>
    <n v="125"/>
    <x v="302"/>
    <x v="320"/>
    <s v="In-store"/>
  </r>
  <r>
    <s v="Foot Locker"/>
    <n v="1128299"/>
    <d v="2021-03-22T00:00:00"/>
    <x v="4"/>
    <s v="Arizona"/>
    <s v="Phoenix"/>
    <s v="Men's Apparel"/>
    <n v="55"/>
    <n v="125"/>
    <x v="179"/>
    <x v="203"/>
    <s v="Online"/>
  </r>
  <r>
    <s v="Amazon"/>
    <n v="1185732"/>
    <d v="2021-02-22T00:00:00"/>
    <x v="0"/>
    <s v="Kentucky"/>
    <s v="Louisville"/>
    <s v="Women's Athletic Footwear"/>
    <n v="35"/>
    <n v="125"/>
    <x v="831"/>
    <x v="323"/>
    <s v="Online"/>
  </r>
  <r>
    <s v="Amazon"/>
    <n v="1185732"/>
    <d v="2021-04-22T00:00:00"/>
    <x v="0"/>
    <s v="Kentucky"/>
    <s v="Louisville"/>
    <s v="Men's Apparel"/>
    <n v="50"/>
    <n v="125"/>
    <x v="302"/>
    <x v="321"/>
    <s v="Online"/>
  </r>
  <r>
    <s v="Amazon"/>
    <n v="1185732"/>
    <d v="2021-05-23T00:00:00"/>
    <x v="0"/>
    <s v="Kentucky"/>
    <s v="Louisville"/>
    <s v="Women's Athletic Footwear"/>
    <n v="40"/>
    <n v="125"/>
    <x v="303"/>
    <x v="322"/>
    <s v="Online"/>
  </r>
  <r>
    <s v="West Gear"/>
    <n v="1197831"/>
    <d v="2021-03-19T00:00:00"/>
    <x v="1"/>
    <s v="Oklahoma"/>
    <s v="Oklahoma City"/>
    <s v="Women's Athletic Footwear"/>
    <n v="20"/>
    <n v="125"/>
    <x v="305"/>
    <x v="413"/>
    <s v="Online"/>
  </r>
  <r>
    <s v="Kohl's"/>
    <n v="1197831"/>
    <d v="2021-04-13T00:00:00"/>
    <x v="2"/>
    <s v="Kansas"/>
    <s v="Wichita"/>
    <s v="Women's Athletic Footwear"/>
    <n v="20"/>
    <n v="125"/>
    <x v="305"/>
    <x v="13"/>
    <s v="Online"/>
  </r>
  <r>
    <s v="Foot Locker"/>
    <n v="1185732"/>
    <d v="2021-01-12T00:00:00"/>
    <x v="2"/>
    <s v="Kansas"/>
    <s v="Wichita"/>
    <s v="Women's Athletic Footwear"/>
    <n v="35"/>
    <n v="125"/>
    <x v="831"/>
    <x v="325"/>
    <s v="Online"/>
  </r>
  <r>
    <s v="Foot Locker"/>
    <n v="1185732"/>
    <d v="2021-03-11T00:00:00"/>
    <x v="2"/>
    <s v="South Dakota"/>
    <s v="Sioux Falls"/>
    <s v="Men's Apparel"/>
    <n v="50"/>
    <n v="125"/>
    <x v="302"/>
    <x v="321"/>
    <s v="Online"/>
  </r>
  <r>
    <s v="Foot Locker"/>
    <n v="1185732"/>
    <d v="2021-05-13T00:00:00"/>
    <x v="2"/>
    <s v="South Dakota"/>
    <s v="Sioux Falls"/>
    <s v="Men's Apparel"/>
    <n v="55"/>
    <n v="125"/>
    <x v="179"/>
    <x v="198"/>
    <s v="Online"/>
  </r>
  <r>
    <s v="Foot Locker"/>
    <n v="1185732"/>
    <d v="2021-10-12T00:00:00"/>
    <x v="2"/>
    <s v="South Dakota"/>
    <s v="Sioux Falls"/>
    <s v="Women's Athletic Footwear"/>
    <n v="45"/>
    <n v="125"/>
    <x v="21"/>
    <x v="462"/>
    <s v="Online"/>
  </r>
  <r>
    <s v="Foot Locker"/>
    <n v="1185732"/>
    <d v="2021-10-12T00:00:00"/>
    <x v="2"/>
    <s v="South Dakota"/>
    <s v="Sioux Falls"/>
    <s v="Men's Apparel"/>
    <n v="55"/>
    <n v="125"/>
    <x v="179"/>
    <x v="198"/>
    <s v="Online"/>
  </r>
  <r>
    <s v="Sports Direct"/>
    <n v="1185732"/>
    <d v="2021-01-09T00:00:00"/>
    <x v="2"/>
    <s v="South Dakota"/>
    <s v="Sioux Falls"/>
    <s v="Women's Athletic Footwear"/>
    <n v="30"/>
    <n v="125"/>
    <x v="304"/>
    <x v="766"/>
    <s v="Online"/>
  </r>
  <r>
    <s v="Sports Direct"/>
    <n v="1185732"/>
    <d v="2021-03-08T00:00:00"/>
    <x v="2"/>
    <s v="North Dakota"/>
    <s v="Fargo"/>
    <s v="Men's Apparel"/>
    <n v="40"/>
    <n v="125"/>
    <x v="303"/>
    <x v="323"/>
    <s v="Online"/>
  </r>
  <r>
    <s v="Sports Direct"/>
    <n v="1185732"/>
    <d v="2021-05-10T00:00:00"/>
    <x v="2"/>
    <s v="North Dakota"/>
    <s v="Fargo"/>
    <s v="Men's Apparel"/>
    <n v="50"/>
    <n v="125"/>
    <x v="302"/>
    <x v="321"/>
    <s v="In-store"/>
  </r>
  <r>
    <s v="Sports Direct"/>
    <n v="1185732"/>
    <d v="2021-10-09T00:00:00"/>
    <x v="2"/>
    <s v="North Dakota"/>
    <s v="Fargo"/>
    <s v="Women's Athletic Footwear"/>
    <n v="40"/>
    <n v="125"/>
    <x v="303"/>
    <x v="324"/>
    <s v="In-store"/>
  </r>
  <r>
    <s v="Sports Direct"/>
    <n v="1185732"/>
    <d v="2021-10-09T00:00:00"/>
    <x v="2"/>
    <s v="North Dakota"/>
    <s v="Fargo"/>
    <s v="Men's Apparel"/>
    <n v="50"/>
    <n v="125"/>
    <x v="302"/>
    <x v="321"/>
    <s v="In-store"/>
  </r>
  <r>
    <s v="Foot Locker"/>
    <n v="1185732"/>
    <d v="2021-04-06T00:00:00"/>
    <x v="2"/>
    <s v="Iowa"/>
    <s v="Des Moines"/>
    <s v="Men's Apparel"/>
    <n v="60"/>
    <n v="125"/>
    <x v="20"/>
    <x v="813"/>
    <s v="In-store"/>
  </r>
  <r>
    <s v="Foot Locker"/>
    <n v="1185732"/>
    <d v="2021-05-07T00:00:00"/>
    <x v="2"/>
    <s v="Iowa"/>
    <s v="Des Moines"/>
    <s v="Women's Athletic Footwear"/>
    <n v="35"/>
    <n v="125"/>
    <x v="831"/>
    <x v="325"/>
    <s v="In-store"/>
  </r>
  <r>
    <s v="Foot Locker"/>
    <n v="1185732"/>
    <d v="2021-10-06T00:00:00"/>
    <x v="2"/>
    <s v="Iowa"/>
    <s v="Des Moines"/>
    <s v="Women's Athletic Footwear"/>
    <n v="35"/>
    <n v="125"/>
    <x v="831"/>
    <x v="325"/>
    <s v="In-store"/>
  </r>
  <r>
    <s v="Foot Locker"/>
    <n v="1185732"/>
    <d v="2021-10-06T00:00:00"/>
    <x v="2"/>
    <s v="Iowa"/>
    <s v="Des Moines"/>
    <s v="Men's Apparel"/>
    <n v="45"/>
    <n v="125"/>
    <x v="21"/>
    <x v="814"/>
    <s v="In-store"/>
  </r>
  <r>
    <s v="West Gear"/>
    <n v="1185732"/>
    <d v="2021-03-02T00:00:00"/>
    <x v="2"/>
    <s v="Wisconsin"/>
    <s v="Milwaukee"/>
    <s v="Men's Apparel"/>
    <n v="30"/>
    <n v="125"/>
    <x v="304"/>
    <x v="318"/>
    <s v="In-store"/>
  </r>
  <r>
    <s v="West Gear"/>
    <n v="1185732"/>
    <d v="2021-09-04T00:00:00"/>
    <x v="2"/>
    <s v="Wisconsin"/>
    <s v="Milwaukee"/>
    <s v="Women's Athletic Footwear"/>
    <n v="25"/>
    <n v="125"/>
    <x v="1108"/>
    <x v="741"/>
    <s v="In-store"/>
  </r>
  <r>
    <s v="West Gear"/>
    <n v="1185732"/>
    <d v="2021-09-04T00:00:00"/>
    <x v="2"/>
    <s v="Wisconsin"/>
    <s v="Milwaukee"/>
    <s v="Men's Apparel"/>
    <n v="35"/>
    <n v="125"/>
    <x v="831"/>
    <x v="321"/>
    <s v="In-store"/>
  </r>
  <r>
    <s v="West Gear"/>
    <n v="1185732"/>
    <d v="2021-10-03T00:00:00"/>
    <x v="2"/>
    <s v="Wisconsin"/>
    <s v="Milwaukee"/>
    <s v="Women's Street Footwear"/>
    <n v="35"/>
    <n v="125"/>
    <x v="831"/>
    <x v="325"/>
    <s v="In-store"/>
  </r>
  <r>
    <s v="West Gear"/>
    <n v="1185732"/>
    <d v="2021-10-03T00:00:00"/>
    <x v="2"/>
    <s v="Wisconsin"/>
    <s v="Milwaukee"/>
    <s v="Women's Athletic Footwear"/>
    <n v="35"/>
    <n v="125"/>
    <x v="831"/>
    <x v="325"/>
    <s v="In-store"/>
  </r>
  <r>
    <s v="West Gear"/>
    <n v="1185732"/>
    <d v="2021-10-03T00:00:00"/>
    <x v="2"/>
    <s v="Wisconsin"/>
    <s v="Milwaukee"/>
    <s v="Men's Apparel"/>
    <n v="45"/>
    <n v="125"/>
    <x v="21"/>
    <x v="814"/>
    <s v="In-store"/>
  </r>
  <r>
    <s v="West Gear"/>
    <n v="1185732"/>
    <d v="2021-02-10T00:00:00"/>
    <x v="2"/>
    <s v="Indiana"/>
    <s v="Indianapolis"/>
    <s v="Women's Athletic Footwear"/>
    <n v="30"/>
    <n v="125"/>
    <x v="304"/>
    <x v="325"/>
    <s v="In-store"/>
  </r>
  <r>
    <s v="West Gear"/>
    <n v="1185732"/>
    <d v="2021-03-09T00:00:00"/>
    <x v="2"/>
    <s v="Indiana"/>
    <s v="Indianapolis"/>
    <s v="Women's Athletic Footwear"/>
    <n v="20"/>
    <n v="125"/>
    <x v="305"/>
    <x v="13"/>
    <s v="In-store"/>
  </r>
  <r>
    <s v="West Gear"/>
    <n v="1185732"/>
    <d v="2021-04-10T00:00:00"/>
    <x v="2"/>
    <s v="Indiana"/>
    <s v="Indianapolis"/>
    <s v="Women's Athletic Footwear"/>
    <n v="20"/>
    <n v="125"/>
    <x v="305"/>
    <x v="13"/>
    <s v="In-store"/>
  </r>
  <r>
    <s v="Foot Locker"/>
    <n v="1185732"/>
    <d v="2021-01-24T00:00:00"/>
    <x v="3"/>
    <s v="West Virginia"/>
    <s v="Charleston"/>
    <s v="Men's Apparel"/>
    <n v="45"/>
    <n v="125"/>
    <x v="21"/>
    <x v="462"/>
    <s v="In-store"/>
  </r>
  <r>
    <s v="West Gear"/>
    <n v="1185732"/>
    <d v="2021-02-22T00:00:00"/>
    <x v="3"/>
    <s v="West Virginia"/>
    <s v="Charleston"/>
    <s v="Men's Athletic Footwear"/>
    <n v="35"/>
    <n v="125"/>
    <x v="831"/>
    <x v="716"/>
    <s v="In-store"/>
  </r>
  <r>
    <s v="West Gear"/>
    <n v="1185732"/>
    <d v="2021-02-22T00:00:00"/>
    <x v="3"/>
    <s v="Maryland"/>
    <s v="Baltimore"/>
    <s v="Men's Apparel"/>
    <n v="45"/>
    <n v="125"/>
    <x v="21"/>
    <x v="462"/>
    <s v="In-store"/>
  </r>
  <r>
    <s v="West Gear"/>
    <n v="1185732"/>
    <d v="2021-04-21T00:00:00"/>
    <x v="3"/>
    <s v="Maryland"/>
    <s v="Baltimore"/>
    <s v="Men's Athletic Footwear"/>
    <n v="35"/>
    <n v="125"/>
    <x v="831"/>
    <x v="716"/>
    <s v="In-store"/>
  </r>
  <r>
    <s v="West Gear"/>
    <n v="1185732"/>
    <d v="2021-04-21T00:00:00"/>
    <x v="3"/>
    <s v="Maryland"/>
    <s v="Baltimore"/>
    <s v="Women's Street Footwear"/>
    <n v="25"/>
    <n v="125"/>
    <x v="1108"/>
    <x v="810"/>
    <s v="In-store"/>
  </r>
  <r>
    <s v="West Gear"/>
    <n v="1185732"/>
    <d v="2021-05-20T00:00:00"/>
    <x v="3"/>
    <s v="Maryland"/>
    <s v="Baltimore"/>
    <s v="Men's Apparel"/>
    <n v="50"/>
    <n v="125"/>
    <x v="302"/>
    <x v="318"/>
    <s v="In-store"/>
  </r>
  <r>
    <s v="Sports Direct"/>
    <n v="1185732"/>
    <d v="2021-08-21T00:00:00"/>
    <x v="3"/>
    <s v="Maryland"/>
    <s v="Baltimore"/>
    <s v="Men's Apparel"/>
    <n v="50"/>
    <n v="125"/>
    <x v="302"/>
    <x v="318"/>
    <s v="In-store"/>
  </r>
  <r>
    <s v="Sports Direct"/>
    <n v="1185732"/>
    <d v="2021-09-20T00:00:00"/>
    <x v="3"/>
    <s v="Maryland"/>
    <s v="Baltimore"/>
    <s v="Women's Street Footwear"/>
    <n v="40"/>
    <n v="125"/>
    <x v="303"/>
    <x v="323"/>
    <s v="In-store"/>
  </r>
  <r>
    <s v="Foot Locker"/>
    <n v="1185732"/>
    <d v="2021-11-21T00:00:00"/>
    <x v="3"/>
    <s v="Maryland"/>
    <s v="Baltimore"/>
    <s v="Men's Apparel"/>
    <n v="60"/>
    <n v="125"/>
    <x v="20"/>
    <x v="26"/>
    <s v="In-store"/>
  </r>
  <r>
    <s v="Foot Locker"/>
    <n v="1185732"/>
    <d v="2021-03-13T00:00:00"/>
    <x v="3"/>
    <s v="Delaware"/>
    <s v="Wilmington"/>
    <s v="Women's Athletic Footwear"/>
    <n v="35"/>
    <n v="125"/>
    <x v="831"/>
    <x v="323"/>
    <s v="In-store"/>
  </r>
  <r>
    <s v="Kohl's"/>
    <n v="1185732"/>
    <d v="2021-01-10T00:00:00"/>
    <x v="3"/>
    <s v="Delaware"/>
    <s v="Wilmington"/>
    <s v="Women's Athletic Footwear"/>
    <n v="30"/>
    <n v="125"/>
    <x v="304"/>
    <x v="324"/>
    <s v="In-store"/>
  </r>
  <r>
    <s v="Kohl's"/>
    <n v="1185732"/>
    <d v="2021-03-06T00:00:00"/>
    <x v="3"/>
    <s v="New Jersey"/>
    <s v="Newark"/>
    <s v="Men's Apparel"/>
    <n v="45"/>
    <n v="125"/>
    <x v="21"/>
    <x v="462"/>
    <s v="In-store"/>
  </r>
  <r>
    <s v="Kohl's"/>
    <n v="1185732"/>
    <d v="2021-10-08T00:00:00"/>
    <x v="3"/>
    <s v="New Jersey"/>
    <s v="Newark"/>
    <s v="Women's Athletic Footwear"/>
    <n v="50"/>
    <n v="125"/>
    <x v="302"/>
    <x v="320"/>
    <s v="In-store"/>
  </r>
  <r>
    <s v="Kohl's"/>
    <n v="1185732"/>
    <d v="2021-10-08T00:00:00"/>
    <x v="3"/>
    <s v="New Jersey"/>
    <s v="Newark"/>
    <s v="Men's Apparel"/>
    <n v="60"/>
    <n v="125"/>
    <x v="20"/>
    <x v="26"/>
    <s v="In-store"/>
  </r>
  <r>
    <s v="Sports Direct"/>
    <n v="1185732"/>
    <d v="2021-02-05T00:00:00"/>
    <x v="3"/>
    <s v="Connecticut"/>
    <s v="Hartford"/>
    <s v="Women's Athletic Footwear"/>
    <n v="35"/>
    <n v="125"/>
    <x v="831"/>
    <x v="325"/>
    <s v="In-store"/>
  </r>
  <r>
    <s v="Sports Direct"/>
    <n v="1185732"/>
    <d v="2021-04-04T00:00:00"/>
    <x v="3"/>
    <s v="Connecticut"/>
    <s v="Hartford"/>
    <s v="Women's Athletic Footwear"/>
    <n v="35"/>
    <n v="125"/>
    <x v="831"/>
    <x v="325"/>
    <s v="In-store"/>
  </r>
  <r>
    <s v="Sports Direct"/>
    <n v="1185732"/>
    <d v="2021-04-04T00:00:00"/>
    <x v="3"/>
    <s v="Connecticut"/>
    <s v="Hartford"/>
    <s v="Men's Apparel"/>
    <n v="50"/>
    <n v="125"/>
    <x v="302"/>
    <x v="318"/>
    <s v="In-store"/>
  </r>
  <r>
    <s v="Foot Locker"/>
    <n v="1185732"/>
    <d v="2021-01-10T00:00:00"/>
    <x v="3"/>
    <s v="Connecticut"/>
    <s v="Hartford"/>
    <s v="Men's Apparel"/>
    <n v="45"/>
    <n v="125"/>
    <x v="21"/>
    <x v="462"/>
    <s v="In-store"/>
  </r>
  <r>
    <s v="Foot Locker"/>
    <n v="1185732"/>
    <d v="2021-02-08T00:00:00"/>
    <x v="3"/>
    <s v="Connecticut"/>
    <s v="Hartford"/>
    <s v="Men's Athletic Footwear"/>
    <n v="35"/>
    <n v="125"/>
    <x v="831"/>
    <x v="716"/>
    <s v="In-store"/>
  </r>
  <r>
    <s v="Foot Locker"/>
    <n v="1185732"/>
    <d v="2021-02-08T00:00:00"/>
    <x v="3"/>
    <s v="Rhode Island"/>
    <s v="Providence"/>
    <s v="Men's Apparel"/>
    <n v="45"/>
    <n v="125"/>
    <x v="21"/>
    <x v="462"/>
    <s v="In-store"/>
  </r>
  <r>
    <s v="Foot Locker"/>
    <n v="1185732"/>
    <d v="2021-04-07T00:00:00"/>
    <x v="3"/>
    <s v="Rhode Island"/>
    <s v="Providence"/>
    <s v="Men's Athletic Footwear"/>
    <n v="35"/>
    <n v="125"/>
    <x v="831"/>
    <x v="716"/>
    <s v="In-store"/>
  </r>
  <r>
    <s v="Foot Locker"/>
    <n v="1185732"/>
    <d v="2021-04-07T00:00:00"/>
    <x v="3"/>
    <s v="Rhode Island"/>
    <s v="Providence"/>
    <s v="Women's Street Footwear"/>
    <n v="25"/>
    <n v="125"/>
    <x v="1108"/>
    <x v="32"/>
    <s v="In-store"/>
  </r>
  <r>
    <s v="Foot Locker"/>
    <n v="1185732"/>
    <d v="2021-08-07T00:00:00"/>
    <x v="3"/>
    <s v="Rhode Island"/>
    <s v="Providence"/>
    <s v="Men's Apparel"/>
    <n v="50"/>
    <n v="125"/>
    <x v="302"/>
    <x v="318"/>
    <s v="In-store"/>
  </r>
  <r>
    <s v="Foot Locker"/>
    <n v="1185732"/>
    <d v="2021-09-06T00:00:00"/>
    <x v="3"/>
    <s v="Rhode Island"/>
    <s v="Providence"/>
    <s v="Women's Street Footwear"/>
    <n v="40"/>
    <n v="125"/>
    <x v="303"/>
    <x v="322"/>
    <s v="In-store"/>
  </r>
  <r>
    <s v="Sports Direct"/>
    <n v="1185732"/>
    <d v="2021-04-14T00:00:00"/>
    <x v="3"/>
    <s v="Massachusetts"/>
    <s v="Boston"/>
    <s v="Women's Athletic Footwear"/>
    <n v="35"/>
    <n v="125"/>
    <x v="831"/>
    <x v="810"/>
    <s v="In-store"/>
  </r>
  <r>
    <s v="Sports Direct"/>
    <n v="1185732"/>
    <d v="2021-04-14T00:00:00"/>
    <x v="3"/>
    <s v="Massachusetts"/>
    <s v="Boston"/>
    <s v="Men's Apparel"/>
    <n v="50"/>
    <n v="125"/>
    <x v="302"/>
    <x v="812"/>
    <s v="In-store"/>
  </r>
  <r>
    <s v="Sports Direct"/>
    <n v="1185732"/>
    <d v="2021-09-13T00:00:00"/>
    <x v="3"/>
    <s v="Massachusetts"/>
    <s v="Boston"/>
    <s v="Women's Athletic Footwear"/>
    <n v="45"/>
    <n v="125"/>
    <x v="21"/>
    <x v="815"/>
    <s v="In-store"/>
  </r>
  <r>
    <s v="Sports Direct"/>
    <n v="1185732"/>
    <d v="2021-09-13T00:00:00"/>
    <x v="3"/>
    <s v="Massachusetts"/>
    <s v="Boston"/>
    <s v="Men's Apparel"/>
    <n v="55"/>
    <n v="125"/>
    <x v="179"/>
    <x v="811"/>
    <s v="In-store"/>
  </r>
  <r>
    <s v="Sports Direct"/>
    <n v="1185732"/>
    <d v="2021-10-15T00:00:00"/>
    <x v="3"/>
    <s v="Massachusetts"/>
    <s v="Boston"/>
    <s v="Women's Street Footwear"/>
    <n v="55"/>
    <n v="125"/>
    <x v="179"/>
    <x v="811"/>
    <s v="In-store"/>
  </r>
  <r>
    <s v="Amazon"/>
    <n v="1185732"/>
    <d v="2021-03-10T00:00:00"/>
    <x v="3"/>
    <s v="Vermont"/>
    <s v="Burlington"/>
    <s v="Women's Athletic Footwear"/>
    <n v="40"/>
    <n v="125"/>
    <x v="303"/>
    <x v="323"/>
    <s v="In-store"/>
  </r>
  <r>
    <s v="Sports Direct"/>
    <n v="1197831"/>
    <d v="2020-07-29T00:00:00"/>
    <x v="1"/>
    <s v="Texas"/>
    <s v="Houston"/>
    <s v="Men's Apparel"/>
    <n v="38"/>
    <n v="125"/>
    <x v="1022"/>
    <x v="710"/>
    <s v="Online"/>
  </r>
  <r>
    <s v="Sports Direct"/>
    <n v="1197831"/>
    <d v="2020-08-04T00:00:00"/>
    <x v="1"/>
    <s v="Texas"/>
    <s v="Houston"/>
    <s v="Men's Apparel"/>
    <n v="41"/>
    <n v="125"/>
    <x v="727"/>
    <x v="168"/>
    <s v="Online"/>
  </r>
  <r>
    <s v="Kohl's"/>
    <n v="1189833"/>
    <d v="2021-04-23T00:00:00"/>
    <x v="4"/>
    <s v="California"/>
    <s v="Los Angeles"/>
    <s v="Men's Apparel"/>
    <n v="45"/>
    <n v="125"/>
    <x v="649"/>
    <x v="740"/>
    <s v="Online"/>
  </r>
  <r>
    <s v="West Gear"/>
    <n v="1128299"/>
    <d v="2020-05-22T00:00:00"/>
    <x v="4"/>
    <s v="Colorado"/>
    <s v="Denver"/>
    <s v="Women's Street Footwear"/>
    <n v="60"/>
    <n v="125"/>
    <x v="923"/>
    <x v="480"/>
    <s v="Online"/>
  </r>
  <r>
    <s v="West Gear"/>
    <n v="1128299"/>
    <d v="2020-05-23T00:00:00"/>
    <x v="4"/>
    <s v="Colorado"/>
    <s v="Denver"/>
    <s v="Women's Athletic Footwear"/>
    <n v="63"/>
    <n v="125"/>
    <x v="479"/>
    <x v="337"/>
    <s v="Online"/>
  </r>
  <r>
    <s v="West Gear"/>
    <n v="1128299"/>
    <d v="2020-05-31T00:00:00"/>
    <x v="4"/>
    <s v="Washington"/>
    <s v="Seattle"/>
    <s v="Women's Apparel"/>
    <n v="46"/>
    <n v="125"/>
    <x v="883"/>
    <x v="542"/>
    <s v="Online"/>
  </r>
  <r>
    <s v="West Gear"/>
    <n v="1128299"/>
    <d v="2020-06-24T00:00:00"/>
    <x v="4"/>
    <s v="Washington"/>
    <s v="Seattle"/>
    <s v="Women's Apparel"/>
    <n v="75"/>
    <n v="125"/>
    <x v="614"/>
    <x v="245"/>
    <s v="Online"/>
  </r>
  <r>
    <s v="West Gear"/>
    <n v="1128299"/>
    <d v="2020-06-28T00:00:00"/>
    <x v="4"/>
    <s v="Washington"/>
    <s v="Seattle"/>
    <s v="Women's Athletic Footwear"/>
    <n v="75"/>
    <n v="125"/>
    <x v="614"/>
    <x v="392"/>
    <s v="Online"/>
  </r>
  <r>
    <s v="Sports Direct"/>
    <n v="1197831"/>
    <d v="2021-03-15T00:00:00"/>
    <x v="1"/>
    <s v="Tennessee"/>
    <s v="Knoxville"/>
    <s v="Women's Apparel"/>
    <n v="33"/>
    <n v="125"/>
    <x v="973"/>
    <x v="500"/>
    <s v="Online"/>
  </r>
  <r>
    <s v="Kohl's"/>
    <n v="1185732"/>
    <d v="2021-09-10T00:00:00"/>
    <x v="4"/>
    <s v="Wyoming"/>
    <s v="Cheyenne"/>
    <s v="Men's Apparel"/>
    <n v="48"/>
    <n v="125"/>
    <x v="949"/>
    <x v="529"/>
    <s v="Online"/>
  </r>
  <r>
    <s v="Kohl's"/>
    <n v="1185732"/>
    <d v="2021-10-12T00:00:00"/>
    <x v="4"/>
    <s v="Wyoming"/>
    <s v="Cheyenne"/>
    <s v="Women's Street Footwear"/>
    <n v="42"/>
    <n v="125"/>
    <x v="647"/>
    <x v="655"/>
    <s v="Online"/>
  </r>
  <r>
    <s v="Foot Locker"/>
    <n v="1128299"/>
    <d v="2021-05-25T00:00:00"/>
    <x v="0"/>
    <s v="Virginia"/>
    <s v="Richmond"/>
    <s v="Men's Street Footwear"/>
    <n v="46"/>
    <n v="125"/>
    <x v="883"/>
    <x v="454"/>
    <s v="Online"/>
  </r>
  <r>
    <s v="West Gear"/>
    <n v="1185732"/>
    <d v="2021-12-10T00:00:00"/>
    <x v="4"/>
    <s v="Utah"/>
    <s v="Salt Lake City"/>
    <s v="Women's Apparel"/>
    <n v="42"/>
    <n v="125"/>
    <x v="647"/>
    <x v="535"/>
    <s v="Online"/>
  </r>
  <r>
    <s v="West Gear"/>
    <n v="1128299"/>
    <d v="2021-09-18T00:00:00"/>
    <x v="1"/>
    <s v="Louisiana"/>
    <s v="New Orleans"/>
    <s v="Men's Athletic Footwear"/>
    <n v="46"/>
    <n v="125"/>
    <x v="883"/>
    <x v="405"/>
    <s v="Online"/>
  </r>
  <r>
    <s v="West Gear"/>
    <n v="1128299"/>
    <d v="2021-11-17T00:00:00"/>
    <x v="1"/>
    <s v="Louisiana"/>
    <s v="New Orleans"/>
    <s v="Women's Athletic Footwear"/>
    <n v="48"/>
    <n v="125"/>
    <x v="949"/>
    <x v="477"/>
    <s v="Online"/>
  </r>
  <r>
    <s v="Foot Locker"/>
    <n v="1185732"/>
    <d v="2021-02-18T00:00:00"/>
    <x v="1"/>
    <s v="Mississippi"/>
    <s v="Jackson"/>
    <s v="Women's Apparel"/>
    <n v="24"/>
    <n v="125"/>
    <x v="440"/>
    <x v="803"/>
    <s v="Online"/>
  </r>
  <r>
    <s v="Foot Locker"/>
    <n v="1185732"/>
    <d v="2021-06-18T00:00:00"/>
    <x v="1"/>
    <s v="Mississippi"/>
    <s v="Jackson"/>
    <s v="Men's Athletic Footwear"/>
    <n v="37"/>
    <n v="125"/>
    <x v="1109"/>
    <x v="742"/>
    <s v="Online"/>
  </r>
  <r>
    <s v="Sports Direct"/>
    <n v="1185732"/>
    <d v="2021-06-09T00:00:00"/>
    <x v="2"/>
    <s v="North Dakota"/>
    <s v="Fargo"/>
    <s v="Men's Street Footwear"/>
    <n v="36"/>
    <n v="125"/>
    <x v="994"/>
    <x v="256"/>
    <s v="Online"/>
  </r>
  <r>
    <s v="West Gear"/>
    <n v="1185732"/>
    <d v="2021-04-10T00:00:00"/>
    <x v="2"/>
    <s v="Indiana"/>
    <s v="Indianapolis"/>
    <s v="Men's Street Footwear"/>
    <n v="23"/>
    <n v="125"/>
    <x v="1023"/>
    <x v="781"/>
    <s v="Online"/>
  </r>
  <r>
    <s v="West Gear"/>
    <n v="1185732"/>
    <d v="2021-01-17T00:00:00"/>
    <x v="2"/>
    <s v="Indiana"/>
    <s v="Indianapolis"/>
    <s v="Men's Street Footwear"/>
    <n v="32"/>
    <n v="125"/>
    <x v="842"/>
    <x v="673"/>
    <s v="Online"/>
  </r>
  <r>
    <s v="West Gear"/>
    <n v="1185732"/>
    <d v="2021-03-20T00:00:00"/>
    <x v="3"/>
    <s v="Maryland"/>
    <s v="Baltimore"/>
    <s v="Men's Street Footwear"/>
    <n v="32"/>
    <n v="125"/>
    <x v="842"/>
    <x v="674"/>
    <s v="Online"/>
  </r>
  <r>
    <s v="West Gear"/>
    <n v="1185732"/>
    <d v="2021-06-22T00:00:00"/>
    <x v="3"/>
    <s v="Maryland"/>
    <s v="Baltimore"/>
    <s v="Men's Street Footwear"/>
    <n v="47"/>
    <n v="125"/>
    <x v="856"/>
    <x v="592"/>
    <s v="Online"/>
  </r>
  <r>
    <s v="Sports Direct"/>
    <n v="1185732"/>
    <d v="2021-01-07T00:00:00"/>
    <x v="3"/>
    <s v="New Jersey"/>
    <s v="Newark"/>
    <s v="Men's Street Footwear"/>
    <n v="38"/>
    <n v="125"/>
    <x v="1022"/>
    <x v="655"/>
    <s v="Online"/>
  </r>
  <r>
    <s v="Sports Direct"/>
    <n v="1185732"/>
    <d v="2021-09-03T00:00:00"/>
    <x v="3"/>
    <s v="Connecticut"/>
    <s v="Hartford"/>
    <s v="Men's Street Footwear"/>
    <n v="52"/>
    <n v="125"/>
    <x v="624"/>
    <x v="56"/>
    <s v="Online"/>
  </r>
  <r>
    <s v="Amazon"/>
    <n v="1185732"/>
    <d v="2021-07-10T00:00:00"/>
    <x v="3"/>
    <s v="Vermont"/>
    <s v="Burlington"/>
    <s v="Women's Apparel"/>
    <n v="61"/>
    <n v="125"/>
    <x v="760"/>
    <x v="87"/>
    <s v="Online"/>
  </r>
  <r>
    <s v="Foot Locker"/>
    <n v="1185732"/>
    <d v="2021-05-31T00:00:00"/>
    <x v="4"/>
    <s v="California"/>
    <s v="Los Angeles"/>
    <s v="Men's Street Footwear"/>
    <n v="44"/>
    <n v="124"/>
    <x v="321"/>
    <x v="287"/>
    <s v="Online"/>
  </r>
  <r>
    <s v="Foot Locker"/>
    <n v="1185732"/>
    <d v="2021-12-27T00:00:00"/>
    <x v="3"/>
    <s v="Pennsylvania"/>
    <s v="Philadelphia"/>
    <s v="Men's Street Footwear"/>
    <n v="67"/>
    <n v="124"/>
    <x v="919"/>
    <x v="619"/>
    <s v="Online"/>
  </r>
  <r>
    <s v="West Gear"/>
    <n v="1128299"/>
    <d v="2020-02-16T00:00:00"/>
    <x v="4"/>
    <s v="Nevada"/>
    <s v="Las Vegas"/>
    <s v="Women's Athletic Footwear"/>
    <n v="64"/>
    <n v="124"/>
    <x v="270"/>
    <x v="177"/>
    <s v="Online"/>
  </r>
  <r>
    <s v="West Gear"/>
    <n v="1128299"/>
    <d v="2020-07-27T00:00:00"/>
    <x v="4"/>
    <s v="Washington"/>
    <s v="Seattle"/>
    <s v="Women's Street Footwear"/>
    <n v="54"/>
    <n v="124"/>
    <x v="325"/>
    <x v="633"/>
    <s v="Online"/>
  </r>
  <r>
    <s v="Foot Locker"/>
    <n v="1185732"/>
    <d v="2020-12-22T00:00:00"/>
    <x v="2"/>
    <s v="Minnesota"/>
    <s v="Minneapolis"/>
    <s v="Men's Street Footwear"/>
    <n v="50"/>
    <n v="124"/>
    <x v="965"/>
    <x v="540"/>
    <s v="Online"/>
  </r>
  <r>
    <s v="Kohl's"/>
    <n v="1189833"/>
    <d v="2021-02-06T00:00:00"/>
    <x v="2"/>
    <s v="Montana"/>
    <s v="Billings"/>
    <s v="Men's Apparel"/>
    <n v="42"/>
    <n v="124"/>
    <x v="329"/>
    <x v="45"/>
    <s v="Online"/>
  </r>
  <r>
    <s v="Sports Direct"/>
    <n v="1197831"/>
    <d v="2021-03-24T00:00:00"/>
    <x v="1"/>
    <s v="Tennessee"/>
    <s v="Knoxville"/>
    <s v="Women's Street Footwear"/>
    <n v="28"/>
    <n v="124"/>
    <x v="985"/>
    <x v="686"/>
    <s v="Online"/>
  </r>
  <r>
    <s v="Sports Direct"/>
    <n v="1197831"/>
    <d v="2021-09-26T00:00:00"/>
    <x v="1"/>
    <s v="Alabama"/>
    <s v="Birmingham"/>
    <s v="Women's Street Footwear"/>
    <n v="32"/>
    <n v="124"/>
    <x v="1059"/>
    <x v="536"/>
    <s v="Online"/>
  </r>
  <r>
    <s v="Walmart"/>
    <n v="1128299"/>
    <d v="2021-10-10T00:00:00"/>
    <x v="4"/>
    <s v="Hawaii"/>
    <s v="Honolulu"/>
    <s v="Men's Street Footwear"/>
    <n v="52"/>
    <n v="124"/>
    <x v="549"/>
    <x v="529"/>
    <s v="Online"/>
  </r>
  <r>
    <s v="Sports Direct"/>
    <n v="1128299"/>
    <d v="2021-01-17T00:00:00"/>
    <x v="4"/>
    <s v="Hawaii"/>
    <s v="Honolulu"/>
    <s v="Women's Apparel"/>
    <n v="49"/>
    <n v="124"/>
    <x v="722"/>
    <x v="515"/>
    <s v="Online"/>
  </r>
  <r>
    <s v="Walmart"/>
    <n v="1128299"/>
    <d v="2021-11-17T00:00:00"/>
    <x v="0"/>
    <s v="Florida"/>
    <s v="Orlando"/>
    <s v="Men's Apparel"/>
    <n v="77"/>
    <n v="124"/>
    <x v="158"/>
    <x v="553"/>
    <s v="Online"/>
  </r>
  <r>
    <s v="West Gear"/>
    <n v="1185732"/>
    <d v="2021-04-09T00:00:00"/>
    <x v="3"/>
    <s v="New York"/>
    <s v="Albany"/>
    <s v="Men's Apparel"/>
    <n v="50"/>
    <n v="124"/>
    <x v="965"/>
    <x v="406"/>
    <s v="Online"/>
  </r>
  <r>
    <s v="Foot Locker"/>
    <n v="1128299"/>
    <d v="2021-04-24T00:00:00"/>
    <x v="0"/>
    <s v="Virginia"/>
    <s v="Richmond"/>
    <s v="Men's Street Footwear"/>
    <n v="52"/>
    <n v="124"/>
    <x v="549"/>
    <x v="540"/>
    <s v="Online"/>
  </r>
  <r>
    <s v="Sports Direct"/>
    <n v="1185732"/>
    <d v="2021-03-15T00:00:00"/>
    <x v="2"/>
    <s v="Michigan"/>
    <s v="Detroit"/>
    <s v="Women's Street Footwear"/>
    <n v="25"/>
    <n v="124"/>
    <x v="964"/>
    <x v="484"/>
    <s v="Online"/>
  </r>
  <r>
    <s v="Sports Direct"/>
    <n v="1185732"/>
    <d v="2021-05-15T00:00:00"/>
    <x v="2"/>
    <s v="Michigan"/>
    <s v="Detroit"/>
    <s v="Men's Apparel"/>
    <n v="52"/>
    <n v="124"/>
    <x v="549"/>
    <x v="143"/>
    <s v="Online"/>
  </r>
  <r>
    <s v="West Gear"/>
    <n v="1128299"/>
    <d v="2021-04-24T00:00:00"/>
    <x v="4"/>
    <s v="Oregon"/>
    <s v="Portland"/>
    <s v="Men's Street Footwear"/>
    <n v="51"/>
    <n v="124"/>
    <x v="398"/>
    <x v="406"/>
    <s v="Online"/>
  </r>
  <r>
    <s v="Foot Locker"/>
    <n v="1197831"/>
    <d v="2021-08-08T00:00:00"/>
    <x v="4"/>
    <s v="Idaho"/>
    <s v="Boise"/>
    <s v="Women's Athletic Footwear"/>
    <n v="48"/>
    <n v="124"/>
    <x v="833"/>
    <x v="364"/>
    <s v="Online"/>
  </r>
  <r>
    <s v="Kohl's"/>
    <n v="1128299"/>
    <d v="2021-08-26T00:00:00"/>
    <x v="4"/>
    <s v="New Mexico"/>
    <s v="Albuquerque"/>
    <s v="Men's Apparel"/>
    <n v="67"/>
    <n v="124"/>
    <x v="919"/>
    <x v="492"/>
    <s v="Online"/>
  </r>
  <r>
    <s v="Sports Direct"/>
    <n v="1128299"/>
    <d v="2021-11-13T00:00:00"/>
    <x v="0"/>
    <s v="Georgia"/>
    <s v="Atlanta"/>
    <s v="Women's Apparel"/>
    <n v="65"/>
    <n v="124"/>
    <x v="719"/>
    <x v="116"/>
    <s v="Online"/>
  </r>
  <r>
    <s v="Sports Direct"/>
    <n v="1185732"/>
    <d v="2021-03-02T00:00:00"/>
    <x v="0"/>
    <s v="North Carolina"/>
    <s v="Charlotte"/>
    <s v="Women's Athletic Footwear"/>
    <n v="25"/>
    <n v="124"/>
    <x v="964"/>
    <x v="816"/>
    <s v="Online"/>
  </r>
  <r>
    <s v="Amazon"/>
    <n v="1185732"/>
    <d v="2021-03-09T00:00:00"/>
    <x v="2"/>
    <s v="Ohio"/>
    <s v="Columbus"/>
    <s v="Women's Street Footwear"/>
    <n v="20"/>
    <n v="124"/>
    <x v="1110"/>
    <x v="594"/>
    <s v="Online"/>
  </r>
  <r>
    <s v="Foot Locker"/>
    <n v="1185732"/>
    <d v="2021-02-18T00:00:00"/>
    <x v="0"/>
    <s v="Kentucky"/>
    <s v="Louisville"/>
    <s v="Women's Street Footwear"/>
    <n v="18"/>
    <n v="124"/>
    <x v="1111"/>
    <x v="568"/>
    <s v="Online"/>
  </r>
  <r>
    <s v="Foot Locker"/>
    <n v="1185732"/>
    <d v="2021-04-17T00:00:00"/>
    <x v="1"/>
    <s v="Mississippi"/>
    <s v="Jackson"/>
    <s v="Women's Apparel"/>
    <n v="28"/>
    <n v="124"/>
    <x v="985"/>
    <x v="674"/>
    <s v="Online"/>
  </r>
  <r>
    <s v="Walmart"/>
    <n v="1185732"/>
    <d v="2021-07-16T00:00:00"/>
    <x v="1"/>
    <s v="Mississippi"/>
    <s v="Jackson"/>
    <s v="Women's Athletic Footwear"/>
    <n v="48"/>
    <n v="124"/>
    <x v="833"/>
    <x v="344"/>
    <s v="Online"/>
  </r>
  <r>
    <s v="Sports Direct"/>
    <n v="1185732"/>
    <d v="2021-10-18T00:00:00"/>
    <x v="1"/>
    <s v="Mississippi"/>
    <s v="Jackson"/>
    <s v="Women's Apparel"/>
    <n v="33"/>
    <n v="124"/>
    <x v="1112"/>
    <x v="629"/>
    <s v="Online"/>
  </r>
  <r>
    <s v="Sports Direct"/>
    <n v="1185732"/>
    <d v="2021-12-16T00:00:00"/>
    <x v="1"/>
    <s v="Mississippi"/>
    <s v="Jackson"/>
    <s v="Men's Apparel"/>
    <n v="65"/>
    <n v="124"/>
    <x v="719"/>
    <x v="80"/>
    <s v="Online"/>
  </r>
  <r>
    <s v="West Gear"/>
    <n v="1197831"/>
    <d v="2021-06-21T00:00:00"/>
    <x v="1"/>
    <s v="Oklahoma"/>
    <s v="Oklahoma City"/>
    <s v="Women's Apparel"/>
    <n v="55"/>
    <n v="124"/>
    <x v="966"/>
    <x v="95"/>
    <s v="Online"/>
  </r>
  <r>
    <s v="West Gear"/>
    <n v="1197831"/>
    <d v="2021-08-20T00:00:00"/>
    <x v="1"/>
    <s v="Oklahoma"/>
    <s v="Oklahoma City"/>
    <s v="Women's Apparel"/>
    <n v="50"/>
    <n v="124"/>
    <x v="965"/>
    <x v="630"/>
    <s v="Online"/>
  </r>
  <r>
    <s v="Foot Locker"/>
    <n v="1185732"/>
    <d v="2021-03-11T00:00:00"/>
    <x v="2"/>
    <s v="South Dakota"/>
    <s v="Sioux Falls"/>
    <s v="Men's Street Footwear"/>
    <n v="39"/>
    <n v="124"/>
    <x v="848"/>
    <x v="664"/>
    <s v="Online"/>
  </r>
  <r>
    <s v="Foot Locker"/>
    <n v="1185732"/>
    <d v="2021-04-06T00:00:00"/>
    <x v="2"/>
    <s v="Iowa"/>
    <s v="Des Moines"/>
    <s v="Men's Street Footwear"/>
    <n v="20"/>
    <n v="124"/>
    <x v="1110"/>
    <x v="729"/>
    <s v="Online"/>
  </r>
  <r>
    <s v="Kohl's"/>
    <n v="1185732"/>
    <d v="2021-09-06T00:00:00"/>
    <x v="3"/>
    <s v="New Jersey"/>
    <s v="Newark"/>
    <s v="Men's Street Footwear"/>
    <n v="46"/>
    <n v="124"/>
    <x v="991"/>
    <x v="157"/>
    <s v="Online"/>
  </r>
  <r>
    <s v="Foot Locker"/>
    <n v="1185732"/>
    <d v="2021-12-15T00:00:00"/>
    <x v="3"/>
    <s v="Pennsylvania"/>
    <s v="Philadelphia"/>
    <s v="Men's Street Footwear"/>
    <n v="47"/>
    <n v="124"/>
    <x v="1113"/>
    <x v="245"/>
    <s v="Outlet"/>
  </r>
  <r>
    <s v="Foot Locker"/>
    <n v="1185732"/>
    <d v="2021-12-21T00:00:00"/>
    <x v="3"/>
    <s v="Pennsylvania"/>
    <s v="Philadelphia"/>
    <s v="Men's Street Footwear"/>
    <n v="48"/>
    <n v="124"/>
    <x v="833"/>
    <x v="574"/>
    <s v="Outlet"/>
  </r>
  <r>
    <s v="West Gear"/>
    <n v="1128299"/>
    <d v="2020-01-15T00:00:00"/>
    <x v="4"/>
    <s v="Nevada"/>
    <s v="Las Vegas"/>
    <s v="Men's Athletic Footwear"/>
    <n v="42"/>
    <n v="124"/>
    <x v="329"/>
    <x v="816"/>
    <s v="Outlet"/>
  </r>
  <r>
    <s v="West Gear"/>
    <n v="1128299"/>
    <d v="2020-01-19T00:00:00"/>
    <x v="4"/>
    <s v="Nevada"/>
    <s v="Las Vegas"/>
    <s v="Women's Apparel"/>
    <n v="39"/>
    <n v="124"/>
    <x v="848"/>
    <x v="745"/>
    <s v="Outlet"/>
  </r>
  <r>
    <s v="West Gear"/>
    <n v="1128299"/>
    <d v="2020-02-22T00:00:00"/>
    <x v="4"/>
    <s v="Nevada"/>
    <s v="Las Vegas"/>
    <s v="Women's Athletic Footwear"/>
    <n v="43"/>
    <n v="124"/>
    <x v="1025"/>
    <x v="647"/>
    <s v="Outlet"/>
  </r>
  <r>
    <s v="Sports Direct"/>
    <n v="1197831"/>
    <d v="2021-03-25T00:00:00"/>
    <x v="1"/>
    <s v="Tennessee"/>
    <s v="Knoxville"/>
    <s v="Women's Athletic Footwear"/>
    <n v="25"/>
    <n v="124"/>
    <x v="964"/>
    <x v="596"/>
    <s v="Outlet"/>
  </r>
  <r>
    <s v="Sports Direct"/>
    <n v="1128299"/>
    <d v="2021-02-17T00:00:00"/>
    <x v="0"/>
    <s v="Florida"/>
    <s v="Orlando"/>
    <s v="Women's Apparel"/>
    <n v="33"/>
    <n v="124"/>
    <x v="1112"/>
    <x v="306"/>
    <s v="Outlet"/>
  </r>
  <r>
    <s v="Sports Direct"/>
    <n v="1128299"/>
    <d v="2021-03-16T00:00:00"/>
    <x v="0"/>
    <s v="Florida"/>
    <s v="Orlando"/>
    <s v="Men's Athletic Footwear"/>
    <n v="44"/>
    <n v="124"/>
    <x v="321"/>
    <x v="690"/>
    <s v="Outlet"/>
  </r>
  <r>
    <s v="West Gear"/>
    <n v="1185732"/>
    <d v="2021-08-11T00:00:00"/>
    <x v="4"/>
    <s v="Utah"/>
    <s v="Salt Lake City"/>
    <s v="Women's Athletic Footwear"/>
    <n v="14"/>
    <n v="124"/>
    <x v="1114"/>
    <x v="817"/>
    <s v="Outlet"/>
  </r>
  <r>
    <s v="West Gear"/>
    <n v="1185732"/>
    <d v="2021-11-11T00:00:00"/>
    <x v="4"/>
    <s v="Utah"/>
    <s v="Salt Lake City"/>
    <s v="Women's Athletic Footwear"/>
    <n v="15"/>
    <n v="124"/>
    <x v="1115"/>
    <x v="818"/>
    <s v="Outlet"/>
  </r>
  <r>
    <s v="West Gear"/>
    <n v="1185732"/>
    <d v="2021-12-10T00:00:00"/>
    <x v="4"/>
    <s v="Utah"/>
    <s v="Salt Lake City"/>
    <s v="Men's Apparel"/>
    <n v="27"/>
    <n v="124"/>
    <x v="1116"/>
    <x v="774"/>
    <s v="Outlet"/>
  </r>
  <r>
    <s v="West Gear"/>
    <n v="1128299"/>
    <d v="2021-01-17T00:00:00"/>
    <x v="4"/>
    <s v="Oregon"/>
    <s v="Portland"/>
    <s v="Men's Athletic Footwear"/>
    <n v="31"/>
    <n v="124"/>
    <x v="892"/>
    <x v="690"/>
    <s v="Outlet"/>
  </r>
  <r>
    <s v="West Gear"/>
    <n v="1128299"/>
    <d v="2021-02-17T00:00:00"/>
    <x v="4"/>
    <s v="Oregon"/>
    <s v="Portland"/>
    <s v="Men's Athletic Footwear"/>
    <n v="31"/>
    <n v="124"/>
    <x v="892"/>
    <x v="705"/>
    <s v="Outlet"/>
  </r>
  <r>
    <s v="West Gear"/>
    <n v="1128299"/>
    <d v="2021-10-17T00:00:00"/>
    <x v="1"/>
    <s v="Louisiana"/>
    <s v="New Orleans"/>
    <s v="Men's Street Footwear"/>
    <n v="25"/>
    <n v="124"/>
    <x v="964"/>
    <x v="354"/>
    <s v="Outlet"/>
  </r>
  <r>
    <s v="West Gear"/>
    <n v="1197831"/>
    <d v="2021-03-06T00:00:00"/>
    <x v="4"/>
    <s v="Idaho"/>
    <s v="Boise"/>
    <s v="Women's Apparel"/>
    <n v="25"/>
    <n v="124"/>
    <x v="964"/>
    <x v="775"/>
    <s v="Outlet"/>
  </r>
  <r>
    <s v="Foot Locker"/>
    <n v="1128299"/>
    <d v="2021-02-23T00:00:00"/>
    <x v="4"/>
    <s v="Idaho"/>
    <s v="Boise"/>
    <s v="Women's Street Footwear"/>
    <n v="28"/>
    <n v="124"/>
    <x v="985"/>
    <x v="628"/>
    <s v="Outlet"/>
  </r>
  <r>
    <s v="Foot Locker"/>
    <n v="1128299"/>
    <d v="2021-05-24T00:00:00"/>
    <x v="4"/>
    <s v="Arizona"/>
    <s v="Phoenix"/>
    <s v="Women's Apparel"/>
    <n v="53"/>
    <n v="124"/>
    <x v="523"/>
    <x v="686"/>
    <s v="Outlet"/>
  </r>
  <r>
    <s v="Foot Locker"/>
    <n v="1128299"/>
    <d v="2021-09-24T00:00:00"/>
    <x v="4"/>
    <s v="Arizona"/>
    <s v="Phoenix"/>
    <s v="Women's Athletic Footwear"/>
    <n v="33"/>
    <n v="124"/>
    <x v="1112"/>
    <x v="670"/>
    <s v="Outlet"/>
  </r>
  <r>
    <s v="Foot Locker"/>
    <n v="1128299"/>
    <d v="2021-11-23T00:00:00"/>
    <x v="4"/>
    <s v="Arizona"/>
    <s v="Phoenix"/>
    <s v="Women's Street Footwear"/>
    <n v="33"/>
    <n v="124"/>
    <x v="1112"/>
    <x v="786"/>
    <s v="Outlet"/>
  </r>
  <r>
    <s v="Kohl's"/>
    <n v="1128299"/>
    <d v="2021-03-25T00:00:00"/>
    <x v="4"/>
    <s v="New Mexico"/>
    <s v="Albuquerque"/>
    <s v="Women's Street Footwear"/>
    <n v="44"/>
    <n v="124"/>
    <x v="321"/>
    <x v="439"/>
    <s v="Outlet"/>
  </r>
  <r>
    <s v="Sports Direct"/>
    <n v="1128299"/>
    <d v="2021-02-13T00:00:00"/>
    <x v="4"/>
    <s v="New Mexico"/>
    <s v="Albuquerque"/>
    <s v="Men's Athletic Footwear"/>
    <n v="27"/>
    <n v="124"/>
    <x v="1116"/>
    <x v="806"/>
    <s v="Outlet"/>
  </r>
  <r>
    <s v="Sports Direct"/>
    <n v="1128299"/>
    <d v="2021-03-12T00:00:00"/>
    <x v="0"/>
    <s v="Georgia"/>
    <s v="Atlanta"/>
    <s v="Women's Street Footwear"/>
    <n v="39"/>
    <n v="124"/>
    <x v="848"/>
    <x v="785"/>
    <s v="Outlet"/>
  </r>
  <r>
    <s v="Sports Direct"/>
    <n v="1128299"/>
    <d v="2021-05-14T00:00:00"/>
    <x v="0"/>
    <s v="Georgia"/>
    <s v="Atlanta"/>
    <s v="Women's Apparel"/>
    <n v="53"/>
    <n v="124"/>
    <x v="523"/>
    <x v="381"/>
    <s v="Outlet"/>
  </r>
  <r>
    <s v="Foot Locker"/>
    <n v="1185732"/>
    <d v="2021-04-17T00:00:00"/>
    <x v="1"/>
    <s v="Mississippi"/>
    <s v="Jackson"/>
    <s v="Women's Street Footwear"/>
    <n v="11"/>
    <n v="124"/>
    <x v="1117"/>
    <x v="819"/>
    <s v="Outlet"/>
  </r>
  <r>
    <s v="Walmart"/>
    <n v="1197831"/>
    <d v="2021-06-21T00:00:00"/>
    <x v="1"/>
    <s v="Arkansas"/>
    <s v="Little Rock"/>
    <s v="Women's Street Footwear"/>
    <n v="28"/>
    <n v="124"/>
    <x v="985"/>
    <x v="347"/>
    <s v="Outlet"/>
  </r>
  <r>
    <s v="Walmart"/>
    <n v="1197831"/>
    <d v="2021-06-21T00:00:00"/>
    <x v="1"/>
    <s v="Arkansas"/>
    <s v="Little Rock"/>
    <s v="Women's Athletic Footwear"/>
    <n v="29"/>
    <n v="124"/>
    <x v="663"/>
    <x v="781"/>
    <s v="Outlet"/>
  </r>
  <r>
    <s v="West Gear"/>
    <n v="1197831"/>
    <d v="2021-12-19T00:00:00"/>
    <x v="1"/>
    <s v="Arkansas"/>
    <s v="Little Rock"/>
    <s v="Women's Athletic Footwear"/>
    <n v="40"/>
    <n v="124"/>
    <x v="1118"/>
    <x v="697"/>
    <s v="Outlet"/>
  </r>
  <r>
    <s v="West Gear"/>
    <n v="1197831"/>
    <d v="2021-01-23T00:00:00"/>
    <x v="1"/>
    <s v="Arkansas"/>
    <s v="Little Rock"/>
    <s v="Men's Athletic Footwear"/>
    <n v="18"/>
    <n v="124"/>
    <x v="1111"/>
    <x v="820"/>
    <s v="Outlet"/>
  </r>
  <r>
    <s v="West Gear"/>
    <n v="1197831"/>
    <d v="2021-01-23T00:00:00"/>
    <x v="1"/>
    <s v="Arkansas"/>
    <s v="Little Rock"/>
    <s v="Women's Apparel"/>
    <n v="18"/>
    <n v="124"/>
    <x v="1111"/>
    <x v="790"/>
    <s v="Outlet"/>
  </r>
  <r>
    <s v="Sports Direct"/>
    <n v="1185732"/>
    <d v="2021-06-05T00:00:00"/>
    <x v="3"/>
    <s v="Connecticut"/>
    <s v="Hartford"/>
    <s v="Men's Athletic Footwear"/>
    <n v="38"/>
    <n v="124"/>
    <x v="1119"/>
    <x v="666"/>
    <s v="Outlet"/>
  </r>
  <r>
    <s v="Sports Direct"/>
    <n v="1185732"/>
    <d v="2021-08-04T00:00:00"/>
    <x v="3"/>
    <s v="Connecticut"/>
    <s v="Hartford"/>
    <s v="Women's Apparel"/>
    <n v="44"/>
    <n v="124"/>
    <x v="321"/>
    <x v="439"/>
    <s v="Outlet"/>
  </r>
  <r>
    <s v="Amazon"/>
    <n v="1185732"/>
    <d v="2021-02-19T00:00:00"/>
    <x v="3"/>
    <s v="New Hampshire"/>
    <s v="Manchester"/>
    <s v="Women's Apparel"/>
    <n v="36"/>
    <n v="124"/>
    <x v="502"/>
    <x v="706"/>
    <s v="Outlet"/>
  </r>
  <r>
    <s v="West Gear"/>
    <n v="1128299"/>
    <d v="2020-03-15T00:00:00"/>
    <x v="4"/>
    <s v="Nevada"/>
    <s v="Las Vegas"/>
    <s v="Men's Street Footwear"/>
    <n v="28"/>
    <n v="123"/>
    <x v="803"/>
    <x v="784"/>
    <s v="Online"/>
  </r>
  <r>
    <s v="West Gear"/>
    <n v="1128299"/>
    <d v="2020-03-16T00:00:00"/>
    <x v="4"/>
    <s v="Nevada"/>
    <s v="Las Vegas"/>
    <s v="Men's Athletic Footwear"/>
    <n v="38"/>
    <n v="123"/>
    <x v="853"/>
    <x v="806"/>
    <s v="Online"/>
  </r>
  <r>
    <s v="West Gear"/>
    <n v="1128299"/>
    <d v="2020-03-23T00:00:00"/>
    <x v="4"/>
    <s v="Colorado"/>
    <s v="Denver"/>
    <s v="Women's Street Footwear"/>
    <n v="38"/>
    <n v="123"/>
    <x v="853"/>
    <x v="614"/>
    <s v="Online"/>
  </r>
  <r>
    <s v="West Gear"/>
    <n v="1128299"/>
    <d v="2020-06-06T00:00:00"/>
    <x v="4"/>
    <s v="Washington"/>
    <s v="Seattle"/>
    <s v="Women's Apparel"/>
    <n v="46"/>
    <n v="123"/>
    <x v="692"/>
    <x v="744"/>
    <s v="Online"/>
  </r>
  <r>
    <s v="Kohl's"/>
    <n v="1189833"/>
    <d v="2021-01-04T00:00:00"/>
    <x v="2"/>
    <s v="Montana"/>
    <s v="Billings"/>
    <s v="Men's Athletic Footwear"/>
    <n v="42"/>
    <n v="123"/>
    <x v="980"/>
    <x v="753"/>
    <s v="Online"/>
  </r>
  <r>
    <s v="Kohl's"/>
    <n v="1189833"/>
    <d v="2021-02-28T00:00:00"/>
    <x v="2"/>
    <s v="Montana"/>
    <s v="Billings"/>
    <s v="Women's Street Footwear"/>
    <n v="37"/>
    <n v="123"/>
    <x v="1053"/>
    <x v="638"/>
    <s v="Online"/>
  </r>
  <r>
    <s v="Sports Direct"/>
    <n v="1197831"/>
    <d v="2021-09-16T00:00:00"/>
    <x v="1"/>
    <s v="Alabama"/>
    <s v="Birmingham"/>
    <s v="Men's Apparel"/>
    <n v="50"/>
    <n v="123"/>
    <x v="802"/>
    <x v="339"/>
    <s v="Online"/>
  </r>
  <r>
    <s v="Amazon"/>
    <n v="1185732"/>
    <d v="2021-11-21T00:00:00"/>
    <x v="4"/>
    <s v="Alaska"/>
    <s v="Anchorage"/>
    <s v="Men's Street Footwear"/>
    <n v="68"/>
    <n v="123"/>
    <x v="586"/>
    <x v="60"/>
    <s v="Online"/>
  </r>
  <r>
    <s v="Foot Locker"/>
    <n v="1128299"/>
    <d v="2021-01-10T00:00:00"/>
    <x v="4"/>
    <s v="Alaska"/>
    <s v="Anchorage"/>
    <s v="Women's Apparel"/>
    <n v="42"/>
    <n v="123"/>
    <x v="980"/>
    <x v="157"/>
    <s v="Online"/>
  </r>
  <r>
    <s v="Walmart"/>
    <n v="1128299"/>
    <d v="2021-11-10T00:00:00"/>
    <x v="4"/>
    <s v="Hawaii"/>
    <s v="Honolulu"/>
    <s v="Women's Street Footwear"/>
    <n v="50"/>
    <n v="123"/>
    <x v="802"/>
    <x v="685"/>
    <s v="Online"/>
  </r>
  <r>
    <s v="Sports Direct"/>
    <n v="1128299"/>
    <d v="2021-01-17T00:00:00"/>
    <x v="4"/>
    <s v="Hawaii"/>
    <s v="Honolulu"/>
    <s v="Men's Athletic Footwear"/>
    <n v="48"/>
    <n v="123"/>
    <x v="1021"/>
    <x v="439"/>
    <s v="Online"/>
  </r>
  <r>
    <s v="Sports Direct"/>
    <n v="1128299"/>
    <d v="2021-01-17T00:00:00"/>
    <x v="4"/>
    <s v="Hawaii"/>
    <s v="Honolulu"/>
    <s v="Women's Street Footwear"/>
    <n v="45"/>
    <n v="123"/>
    <x v="561"/>
    <x v="621"/>
    <s v="Online"/>
  </r>
  <r>
    <s v="Kohl's"/>
    <n v="1185732"/>
    <d v="2021-02-12T00:00:00"/>
    <x v="4"/>
    <s v="Wyoming"/>
    <s v="Cheyenne"/>
    <s v="Women's Athletic Footwear"/>
    <n v="32"/>
    <n v="123"/>
    <x v="1120"/>
    <x v="558"/>
    <s v="Online"/>
  </r>
  <r>
    <s v="Sports Direct"/>
    <n v="1185732"/>
    <d v="2021-10-17T00:00:00"/>
    <x v="2"/>
    <s v="Michigan"/>
    <s v="Detroit"/>
    <s v="Women's Street Footwear"/>
    <n v="37"/>
    <n v="123"/>
    <x v="1053"/>
    <x v="168"/>
    <s v="Online"/>
  </r>
  <r>
    <s v="Foot Locker"/>
    <n v="1185732"/>
    <d v="2021-01-18T00:00:00"/>
    <x v="2"/>
    <s v="Michigan"/>
    <s v="Detroit"/>
    <s v="Men's Athletic Footwear"/>
    <n v="29"/>
    <n v="123"/>
    <x v="584"/>
    <x v="544"/>
    <s v="Online"/>
  </r>
  <r>
    <s v="Foot Locker"/>
    <n v="1185732"/>
    <d v="2021-01-18T00:00:00"/>
    <x v="2"/>
    <s v="Michigan"/>
    <s v="Detroit"/>
    <s v="Women's Street Footwear"/>
    <n v="19"/>
    <n v="123"/>
    <x v="1121"/>
    <x v="821"/>
    <s v="Online"/>
  </r>
  <r>
    <s v="Foot Locker"/>
    <n v="1185732"/>
    <d v="2021-01-18T00:00:00"/>
    <x v="2"/>
    <s v="Michigan"/>
    <s v="Detroit"/>
    <s v="Women's Apparel"/>
    <n v="29"/>
    <n v="123"/>
    <x v="584"/>
    <x v="504"/>
    <s v="Online"/>
  </r>
  <r>
    <s v="Foot Locker"/>
    <n v="1128299"/>
    <d v="2021-07-22T00:00:00"/>
    <x v="4"/>
    <s v="Arizona"/>
    <s v="Phoenix"/>
    <s v="Women's Apparel"/>
    <n v="67"/>
    <n v="123"/>
    <x v="102"/>
    <x v="593"/>
    <s v="Online"/>
  </r>
  <r>
    <s v="Kohl's"/>
    <n v="1128299"/>
    <d v="2021-12-22T00:00:00"/>
    <x v="4"/>
    <s v="Arizona"/>
    <s v="Phoenix"/>
    <s v="Women's Street Footwear"/>
    <n v="43"/>
    <n v="123"/>
    <x v="1006"/>
    <x v="698"/>
    <s v="Online"/>
  </r>
  <r>
    <s v="Kohl's"/>
    <n v="1128299"/>
    <d v="2021-09-27T00:00:00"/>
    <x v="4"/>
    <s v="New Mexico"/>
    <s v="Albuquerque"/>
    <s v="Women's Athletic Footwear"/>
    <n v="49"/>
    <n v="123"/>
    <x v="652"/>
    <x v="662"/>
    <s v="Online"/>
  </r>
  <r>
    <s v="Sports Direct"/>
    <n v="1128299"/>
    <d v="2021-05-14T00:00:00"/>
    <x v="0"/>
    <s v="Georgia"/>
    <s v="Atlanta"/>
    <s v="Women's Street Footwear"/>
    <n v="52"/>
    <n v="123"/>
    <x v="705"/>
    <x v="535"/>
    <s v="Online"/>
  </r>
  <r>
    <s v="Amazon"/>
    <n v="1185732"/>
    <d v="2021-01-13T00:00:00"/>
    <x v="0"/>
    <s v="North Carolina"/>
    <s v="Charlotte"/>
    <s v="Women's Athletic Footwear"/>
    <n v="29"/>
    <n v="123"/>
    <x v="584"/>
    <x v="642"/>
    <s v="Online"/>
  </r>
  <r>
    <s v="Amazon"/>
    <n v="1185732"/>
    <d v="2021-05-09T00:00:00"/>
    <x v="2"/>
    <s v="Ohio"/>
    <s v="Columbus"/>
    <s v="Women's Athletic Footwear"/>
    <n v="38"/>
    <n v="123"/>
    <x v="853"/>
    <x v="111"/>
    <s v="Online"/>
  </r>
  <r>
    <s v="Amazon"/>
    <n v="1185732"/>
    <d v="2021-11-22T00:00:00"/>
    <x v="0"/>
    <s v="Kentucky"/>
    <s v="Louisville"/>
    <s v="Men's Street Footwear"/>
    <n v="48"/>
    <n v="123"/>
    <x v="1021"/>
    <x v="296"/>
    <s v="Online"/>
  </r>
  <r>
    <s v="Foot Locker"/>
    <n v="1185732"/>
    <d v="2021-03-16T00:00:00"/>
    <x v="1"/>
    <s v="Mississippi"/>
    <s v="Jackson"/>
    <s v="Women's Apparel"/>
    <n v="24"/>
    <n v="123"/>
    <x v="1122"/>
    <x v="571"/>
    <s v="Online"/>
  </r>
  <r>
    <s v="Walmart"/>
    <n v="1185732"/>
    <d v="2021-09-16T00:00:00"/>
    <x v="1"/>
    <s v="Mississippi"/>
    <s v="Jackson"/>
    <s v="Women's Street Footwear"/>
    <n v="19"/>
    <n v="123"/>
    <x v="1121"/>
    <x v="702"/>
    <s v="Online"/>
  </r>
  <r>
    <s v="Sports Direct"/>
    <n v="1185732"/>
    <d v="2021-11-17T00:00:00"/>
    <x v="1"/>
    <s v="Mississippi"/>
    <s v="Jackson"/>
    <s v="Men's Apparel"/>
    <n v="71"/>
    <n v="123"/>
    <x v="557"/>
    <x v="73"/>
    <s v="Online"/>
  </r>
  <r>
    <s v="Kohl's"/>
    <n v="1197831"/>
    <d v="2021-12-19T00:00:00"/>
    <x v="1"/>
    <s v="Oklahoma"/>
    <s v="Oklahoma City"/>
    <s v="Women's Apparel"/>
    <n v="68"/>
    <n v="123"/>
    <x v="586"/>
    <x v="569"/>
    <s v="Online"/>
  </r>
  <r>
    <s v="West Gear"/>
    <n v="1185732"/>
    <d v="2021-11-10T00:00:00"/>
    <x v="2"/>
    <s v="Indiana"/>
    <s v="Indianapolis"/>
    <s v="Men's Street Footwear"/>
    <n v="41"/>
    <n v="123"/>
    <x v="522"/>
    <x v="111"/>
    <s v="Online"/>
  </r>
  <r>
    <s v="Kohl's"/>
    <n v="1185732"/>
    <d v="2021-12-13T00:00:00"/>
    <x v="3"/>
    <s v="Delaware"/>
    <s v="Wilmington"/>
    <s v="Women's Apparel"/>
    <n v="65"/>
    <n v="123"/>
    <x v="685"/>
    <x v="750"/>
    <s v="Online"/>
  </r>
  <r>
    <s v="Sports Direct"/>
    <n v="1185732"/>
    <d v="2021-06-05T00:00:00"/>
    <x v="3"/>
    <s v="Connecticut"/>
    <s v="Hartford"/>
    <s v="Women's Apparel"/>
    <n v="56"/>
    <n v="123"/>
    <x v="1123"/>
    <x v="581"/>
    <s v="Online"/>
  </r>
  <r>
    <s v="Amazon"/>
    <n v="1185732"/>
    <d v="2021-06-19T00:00:00"/>
    <x v="3"/>
    <s v="New Hampshire"/>
    <s v="Manchester"/>
    <s v="Men's Athletic Footwear"/>
    <n v="56"/>
    <n v="123"/>
    <x v="1123"/>
    <x v="56"/>
    <s v="Online"/>
  </r>
  <r>
    <s v="Foot Locker"/>
    <n v="1185732"/>
    <d v="2021-12-08T00:00:00"/>
    <x v="3"/>
    <s v="Pennsylvania"/>
    <s v="Philadelphia"/>
    <s v="Women's Apparel"/>
    <n v="49"/>
    <n v="123"/>
    <x v="652"/>
    <x v="742"/>
    <s v="Outlet"/>
  </r>
  <r>
    <s v="West Gear"/>
    <n v="1128299"/>
    <d v="2020-01-25T00:00:00"/>
    <x v="4"/>
    <s v="Nevada"/>
    <s v="Las Vegas"/>
    <s v="Women's Apparel"/>
    <n v="54"/>
    <n v="123"/>
    <x v="898"/>
    <x v="706"/>
    <s v="Outlet"/>
  </r>
  <r>
    <s v="Sports Direct"/>
    <n v="1197831"/>
    <d v="2021-03-14T00:00:00"/>
    <x v="1"/>
    <s v="Tennessee"/>
    <s v="Knoxville"/>
    <s v="Men's Apparel"/>
    <n v="30"/>
    <n v="123"/>
    <x v="1124"/>
    <x v="793"/>
    <s v="Outlet"/>
  </r>
  <r>
    <s v="West Gear"/>
    <n v="1185732"/>
    <d v="2021-11-11T00:00:00"/>
    <x v="4"/>
    <s v="Utah"/>
    <s v="Salt Lake City"/>
    <s v="Men's Apparel"/>
    <n v="28"/>
    <n v="123"/>
    <x v="803"/>
    <x v="594"/>
    <s v="Outlet"/>
  </r>
  <r>
    <s v="West Gear"/>
    <n v="1128299"/>
    <d v="2021-01-24T00:00:00"/>
    <x v="4"/>
    <s v="Utah"/>
    <s v="Salt Lake City"/>
    <s v="Men's Athletic Footwear"/>
    <n v="29"/>
    <n v="123"/>
    <x v="584"/>
    <x v="737"/>
    <s v="Outlet"/>
  </r>
  <r>
    <s v="West Gear"/>
    <n v="1128299"/>
    <d v="2021-02-24T00:00:00"/>
    <x v="4"/>
    <s v="Utah"/>
    <s v="Salt Lake City"/>
    <s v="Men's Athletic Footwear"/>
    <n v="29"/>
    <n v="123"/>
    <x v="584"/>
    <x v="570"/>
    <s v="Outlet"/>
  </r>
  <r>
    <s v="West Gear"/>
    <n v="1128299"/>
    <d v="2021-02-24T00:00:00"/>
    <x v="4"/>
    <s v="Utah"/>
    <s v="Salt Lake City"/>
    <s v="Women's Street Footwear"/>
    <n v="28"/>
    <n v="123"/>
    <x v="803"/>
    <x v="822"/>
    <s v="Outlet"/>
  </r>
  <r>
    <s v="West Gear"/>
    <n v="1128299"/>
    <d v="2021-10-24T00:00:00"/>
    <x v="4"/>
    <s v="Oregon"/>
    <s v="Portland"/>
    <s v="Women's Apparel"/>
    <n v="41"/>
    <n v="123"/>
    <x v="522"/>
    <x v="647"/>
    <s v="Outlet"/>
  </r>
  <r>
    <s v="West Gear"/>
    <n v="1128299"/>
    <d v="2021-04-17T00:00:00"/>
    <x v="1"/>
    <s v="Louisiana"/>
    <s v="New Orleans"/>
    <s v="Women's Apparel"/>
    <n v="39"/>
    <n v="123"/>
    <x v="367"/>
    <x v="765"/>
    <s v="Outlet"/>
  </r>
  <r>
    <s v="Sports Direct"/>
    <n v="1197831"/>
    <d v="2021-10-04T00:00:00"/>
    <x v="4"/>
    <s v="Idaho"/>
    <s v="Boise"/>
    <s v="Men's Apparel"/>
    <n v="25"/>
    <n v="123"/>
    <x v="928"/>
    <x v="440"/>
    <s v="Outlet"/>
  </r>
  <r>
    <s v="Foot Locker"/>
    <n v="1128299"/>
    <d v="2021-04-23T00:00:00"/>
    <x v="4"/>
    <s v="Arizona"/>
    <s v="Phoenix"/>
    <s v="Women's Street Footwear"/>
    <n v="42"/>
    <n v="123"/>
    <x v="980"/>
    <x v="686"/>
    <s v="Outlet"/>
  </r>
  <r>
    <s v="Sports Direct"/>
    <n v="1128299"/>
    <d v="2021-10-13T00:00:00"/>
    <x v="0"/>
    <s v="Georgia"/>
    <s v="Atlanta"/>
    <s v="Women's Street Footwear"/>
    <n v="32"/>
    <n v="123"/>
    <x v="1120"/>
    <x v="570"/>
    <s v="Outlet"/>
  </r>
  <r>
    <s v="Sports Direct"/>
    <n v="1197831"/>
    <d v="2021-01-23T00:00:00"/>
    <x v="1"/>
    <s v="Mississippi"/>
    <s v="Jackson"/>
    <s v="Men's Apparel"/>
    <n v="26"/>
    <n v="123"/>
    <x v="940"/>
    <x v="754"/>
    <s v="Outlet"/>
  </r>
  <r>
    <s v="Walmart"/>
    <n v="1197831"/>
    <d v="2021-09-19T00:00:00"/>
    <x v="1"/>
    <s v="Arkansas"/>
    <s v="Little Rock"/>
    <s v="Women's Street Footwear"/>
    <n v="11"/>
    <n v="123"/>
    <x v="1125"/>
    <x v="823"/>
    <s v="Outlet"/>
  </r>
  <r>
    <s v="West Gear"/>
    <n v="1197831"/>
    <d v="2021-06-21T00:00:00"/>
    <x v="1"/>
    <s v="Oklahoma"/>
    <s v="Oklahoma City"/>
    <s v="Men's Athletic Footwear"/>
    <n v="25"/>
    <n v="123"/>
    <x v="928"/>
    <x v="440"/>
    <s v="Outlet"/>
  </r>
  <r>
    <s v="Amazon"/>
    <n v="1185732"/>
    <d v="2021-11-14T00:00:00"/>
    <x v="3"/>
    <s v="Massachusetts"/>
    <s v="Boston"/>
    <s v="Women's Apparel"/>
    <n v="48"/>
    <n v="123"/>
    <x v="1021"/>
    <x v="439"/>
    <s v="Outlet"/>
  </r>
  <r>
    <s v="Foot Locker"/>
    <n v="1185732"/>
    <d v="2021-12-17T00:00:00"/>
    <x v="3"/>
    <s v="New Hampshire"/>
    <s v="Manchester"/>
    <s v="Men's Apparel"/>
    <n v="50"/>
    <n v="123"/>
    <x v="802"/>
    <x v="697"/>
    <s v="Outlet"/>
  </r>
  <r>
    <s v="Foot Locker"/>
    <n v="1185732"/>
    <d v="2021-06-18T00:00:00"/>
    <x v="2"/>
    <s v="Illinois"/>
    <s v="Chicago"/>
    <s v="Men's Street Footwear"/>
    <n v="48"/>
    <n v="122"/>
    <x v="1033"/>
    <x v="121"/>
    <s v="Online"/>
  </r>
  <r>
    <s v="Foot Locker"/>
    <n v="1185732"/>
    <d v="2021-11-09T00:00:00"/>
    <x v="3"/>
    <s v="Pennsylvania"/>
    <s v="Philadelphia"/>
    <s v="Men's Street Footwear"/>
    <n v="46"/>
    <n v="122"/>
    <x v="757"/>
    <x v="337"/>
    <s v="Online"/>
  </r>
  <r>
    <s v="West Gear"/>
    <n v="1128299"/>
    <d v="2020-01-02T00:00:00"/>
    <x v="3"/>
    <s v="Pennsylvania"/>
    <s v="Philadelphia"/>
    <s v="Men's Street Footwear"/>
    <n v="32"/>
    <n v="122"/>
    <x v="1126"/>
    <x v="589"/>
    <s v="Online"/>
  </r>
  <r>
    <s v="West Gear"/>
    <n v="1128299"/>
    <d v="2020-06-03T00:00:00"/>
    <x v="4"/>
    <s v="Washington"/>
    <s v="Seattle"/>
    <s v="Women's Street Footwear"/>
    <n v="47"/>
    <n v="122"/>
    <x v="1011"/>
    <x v="773"/>
    <s v="Online"/>
  </r>
  <r>
    <s v="Kohl's"/>
    <n v="1189833"/>
    <d v="2021-01-05T00:00:00"/>
    <x v="2"/>
    <s v="Montana"/>
    <s v="Billings"/>
    <s v="Women's Street Footwear"/>
    <n v="43"/>
    <n v="122"/>
    <x v="647"/>
    <x v="343"/>
    <s v="Online"/>
  </r>
  <r>
    <s v="Kohl's"/>
    <n v="1189833"/>
    <d v="2021-02-19T00:00:00"/>
    <x v="2"/>
    <s v="Montana"/>
    <s v="Billings"/>
    <s v="Women's Apparel"/>
    <n v="59"/>
    <n v="122"/>
    <x v="665"/>
    <x v="514"/>
    <s v="Online"/>
  </r>
  <r>
    <s v="Sports Direct"/>
    <n v="1197831"/>
    <d v="2021-03-18T00:00:00"/>
    <x v="1"/>
    <s v="Tennessee"/>
    <s v="Knoxville"/>
    <s v="Women's Street Footwear"/>
    <n v="32"/>
    <n v="122"/>
    <x v="1126"/>
    <x v="647"/>
    <s v="Online"/>
  </r>
  <r>
    <s v="Foot Locker"/>
    <n v="1185732"/>
    <d v="2021-06-02T00:00:00"/>
    <x v="2"/>
    <s v="Nebraska"/>
    <s v="Omaha"/>
    <s v="Men's Street Footwear"/>
    <n v="38"/>
    <n v="122"/>
    <x v="937"/>
    <x v="485"/>
    <s v="Online"/>
  </r>
  <r>
    <s v="Amazon"/>
    <n v="1185732"/>
    <d v="2021-10-30T00:00:00"/>
    <x v="3"/>
    <s v="Maine"/>
    <s v="Portland"/>
    <s v="Men's Street Footwear"/>
    <n v="37"/>
    <n v="122"/>
    <x v="674"/>
    <x v="742"/>
    <s v="Online"/>
  </r>
  <r>
    <s v="Amazon"/>
    <n v="1185732"/>
    <d v="2021-12-27T00:00:00"/>
    <x v="3"/>
    <s v="Maine"/>
    <s v="Portland"/>
    <s v="Men's Street Footwear"/>
    <n v="53"/>
    <n v="122"/>
    <x v="678"/>
    <x v="540"/>
    <s v="Online"/>
  </r>
  <r>
    <s v="Sports Direct"/>
    <n v="1185732"/>
    <d v="2021-01-19T00:00:00"/>
    <x v="0"/>
    <s v="Virginia"/>
    <s v="Richmond"/>
    <s v="Men's Apparel"/>
    <n v="43"/>
    <n v="122"/>
    <x v="647"/>
    <x v="456"/>
    <s v="Online"/>
  </r>
  <r>
    <s v="West Gear"/>
    <n v="1185732"/>
    <d v="2021-09-12T00:00:00"/>
    <x v="4"/>
    <s v="Utah"/>
    <s v="Salt Lake City"/>
    <s v="Men's Athletic Footwear"/>
    <n v="23"/>
    <n v="122"/>
    <x v="908"/>
    <x v="745"/>
    <s v="Online"/>
  </r>
  <r>
    <s v="West Gear"/>
    <n v="1128299"/>
    <d v="2021-09-25T00:00:00"/>
    <x v="4"/>
    <s v="Oregon"/>
    <s v="Portland"/>
    <s v="Men's Street Footwear"/>
    <n v="46"/>
    <n v="122"/>
    <x v="757"/>
    <x v="356"/>
    <s v="Online"/>
  </r>
  <r>
    <s v="West Gear"/>
    <n v="1128299"/>
    <d v="2021-09-25T00:00:00"/>
    <x v="4"/>
    <s v="Oregon"/>
    <s v="Portland"/>
    <s v="Men's Athletic Footwear"/>
    <n v="51"/>
    <n v="122"/>
    <x v="887"/>
    <x v="553"/>
    <s v="Online"/>
  </r>
  <r>
    <s v="West Gear"/>
    <n v="1128299"/>
    <d v="2021-01-17T00:00:00"/>
    <x v="4"/>
    <s v="Oregon"/>
    <s v="Portland"/>
    <s v="Women's Apparel"/>
    <n v="41"/>
    <n v="122"/>
    <x v="1008"/>
    <x v="746"/>
    <s v="Online"/>
  </r>
  <r>
    <s v="Sports Direct"/>
    <n v="1197831"/>
    <d v="2021-11-05T00:00:00"/>
    <x v="4"/>
    <s v="Idaho"/>
    <s v="Boise"/>
    <s v="Women's Athletic Footwear"/>
    <n v="54"/>
    <n v="122"/>
    <x v="871"/>
    <x v="167"/>
    <s v="Online"/>
  </r>
  <r>
    <s v="Amazon"/>
    <n v="1185732"/>
    <d v="2021-02-11T00:00:00"/>
    <x v="2"/>
    <s v="Ohio"/>
    <s v="Columbus"/>
    <s v="Men's Apparel"/>
    <n v="41"/>
    <n v="122"/>
    <x v="1008"/>
    <x v="451"/>
    <s v="Online"/>
  </r>
  <r>
    <s v="Amazon"/>
    <n v="1185732"/>
    <d v="2021-09-09T00:00:00"/>
    <x v="2"/>
    <s v="Ohio"/>
    <s v="Columbus"/>
    <s v="Men's Apparel"/>
    <n v="32"/>
    <n v="122"/>
    <x v="1126"/>
    <x v="647"/>
    <s v="Online"/>
  </r>
  <r>
    <s v="Walmart"/>
    <n v="1185732"/>
    <d v="2021-08-17T00:00:00"/>
    <x v="1"/>
    <s v="Mississippi"/>
    <s v="Jackson"/>
    <s v="Men's Apparel"/>
    <n v="46"/>
    <n v="122"/>
    <x v="757"/>
    <x v="356"/>
    <s v="Online"/>
  </r>
  <r>
    <s v="Sports Direct"/>
    <n v="1197831"/>
    <d v="2021-01-23T00:00:00"/>
    <x v="1"/>
    <s v="Mississippi"/>
    <s v="Jackson"/>
    <s v="Women's Apparel"/>
    <n v="23"/>
    <n v="122"/>
    <x v="908"/>
    <x v="628"/>
    <s v="Online"/>
  </r>
  <r>
    <s v="Foot Locker"/>
    <n v="1197831"/>
    <d v="2021-11-13T00:00:00"/>
    <x v="2"/>
    <s v="Kansas"/>
    <s v="Wichita"/>
    <s v="Men's Street Footwear"/>
    <n v="23"/>
    <n v="122"/>
    <x v="908"/>
    <x v="672"/>
    <s v="Online"/>
  </r>
  <r>
    <s v="West Gear"/>
    <n v="1185732"/>
    <d v="2021-04-03T00:00:00"/>
    <x v="2"/>
    <s v="Wisconsin"/>
    <s v="Milwaukee"/>
    <s v="Men's Street Footwear"/>
    <n v="18"/>
    <n v="122"/>
    <x v="1127"/>
    <x v="824"/>
    <s v="Online"/>
  </r>
  <r>
    <s v="Foot Locker"/>
    <n v="1185732"/>
    <d v="2021-12-16T00:00:00"/>
    <x v="3"/>
    <s v="West Virginia"/>
    <s v="Charleston"/>
    <s v="Women's Apparel"/>
    <n v="68"/>
    <n v="122"/>
    <x v="847"/>
    <x v="313"/>
    <s v="Online"/>
  </r>
  <r>
    <s v="Foot Locker"/>
    <n v="1185732"/>
    <d v="2021-12-20T00:00:00"/>
    <x v="3"/>
    <s v="Maryland"/>
    <s v="Baltimore"/>
    <s v="Men's Street Footwear"/>
    <n v="57"/>
    <n v="122"/>
    <x v="712"/>
    <x v="95"/>
    <s v="Online"/>
  </r>
  <r>
    <s v="Foot Locker"/>
    <n v="1185732"/>
    <d v="2021-05-06T00:00:00"/>
    <x v="3"/>
    <s v="Rhode Island"/>
    <s v="Providence"/>
    <s v="Men's Street Footwear"/>
    <n v="49"/>
    <n v="122"/>
    <x v="896"/>
    <x v="343"/>
    <s v="Online"/>
  </r>
  <r>
    <s v="Foot Locker"/>
    <n v="1185732"/>
    <d v="2021-07-11T00:00:00"/>
    <x v="2"/>
    <s v="Illinois"/>
    <s v="Chicago"/>
    <s v="Women's Apparel"/>
    <n v="54"/>
    <n v="120"/>
    <x v="764"/>
    <x v="600"/>
    <s v="Online"/>
  </r>
  <r>
    <s v="Foot Locker"/>
    <n v="1185732"/>
    <d v="2021-11-03T00:00:00"/>
    <x v="3"/>
    <s v="Pennsylvania"/>
    <s v="Philadelphia"/>
    <s v="Men's Street Footwear"/>
    <n v="49"/>
    <n v="120"/>
    <x v="856"/>
    <x v="221"/>
    <s v="Online"/>
  </r>
  <r>
    <s v="West Gear"/>
    <n v="1128299"/>
    <d v="2020-01-15T00:00:00"/>
    <x v="4"/>
    <s v="Nevada"/>
    <s v="Las Vegas"/>
    <s v="Men's Athletic Footwear"/>
    <n v="50"/>
    <n v="120"/>
    <x v="949"/>
    <x v="746"/>
    <s v="Online"/>
  </r>
  <r>
    <s v="West Gear"/>
    <n v="1128299"/>
    <d v="2020-01-22T00:00:00"/>
    <x v="4"/>
    <s v="Nevada"/>
    <s v="Las Vegas"/>
    <s v="Women's Street Footwear"/>
    <n v="61"/>
    <n v="120"/>
    <x v="392"/>
    <x v="740"/>
    <s v="Online"/>
  </r>
  <r>
    <s v="West Gear"/>
    <n v="1128299"/>
    <d v="2020-02-23T00:00:00"/>
    <x v="4"/>
    <s v="Nevada"/>
    <s v="Las Vegas"/>
    <s v="Men's Apparel"/>
    <n v="67"/>
    <n v="120"/>
    <x v="670"/>
    <x v="53"/>
    <s v="Online"/>
  </r>
  <r>
    <s v="West Gear"/>
    <n v="1128299"/>
    <d v="2020-05-06T00:00:00"/>
    <x v="4"/>
    <s v="Colorado"/>
    <s v="Denver"/>
    <s v="Men's Apparel"/>
    <n v="74"/>
    <n v="120"/>
    <x v="739"/>
    <x v="444"/>
    <s v="Online"/>
  </r>
  <r>
    <s v="West Gear"/>
    <n v="1128299"/>
    <d v="2020-06-15T00:00:00"/>
    <x v="4"/>
    <s v="Washington"/>
    <s v="Seattle"/>
    <s v="Women's Street Footwear"/>
    <n v="74"/>
    <n v="120"/>
    <x v="739"/>
    <x v="423"/>
    <s v="Online"/>
  </r>
  <r>
    <s v="West Gear"/>
    <n v="1128299"/>
    <d v="2020-06-21T00:00:00"/>
    <x v="4"/>
    <s v="Washington"/>
    <s v="Seattle"/>
    <s v="Women's Street Footwear"/>
    <n v="61"/>
    <n v="120"/>
    <x v="392"/>
    <x v="249"/>
    <s v="Online"/>
  </r>
  <r>
    <s v="Foot Locker"/>
    <n v="1185732"/>
    <d v="2020-11-04T00:00:00"/>
    <x v="2"/>
    <s v="Minnesota"/>
    <s v="Minneapolis"/>
    <s v="Men's Street Footwear"/>
    <n v="36"/>
    <n v="120"/>
    <x v="900"/>
    <x v="256"/>
    <s v="Online"/>
  </r>
  <r>
    <s v="Kohl's"/>
    <n v="1189833"/>
    <d v="2021-01-17T00:00:00"/>
    <x v="2"/>
    <s v="Montana"/>
    <s v="Billings"/>
    <s v="Women's Street Footwear"/>
    <n v="44"/>
    <n v="120"/>
    <x v="779"/>
    <x v="598"/>
    <s v="Online"/>
  </r>
  <r>
    <s v="Kohl's"/>
    <n v="1189833"/>
    <d v="2021-03-08T00:00:00"/>
    <x v="2"/>
    <s v="Montana"/>
    <s v="Billings"/>
    <s v="Men's Apparel"/>
    <n v="53"/>
    <n v="120"/>
    <x v="1128"/>
    <x v="340"/>
    <s v="Online"/>
  </r>
  <r>
    <s v="Sports Direct"/>
    <n v="1197831"/>
    <d v="2021-05-01T00:00:00"/>
    <x v="1"/>
    <s v="Tennessee"/>
    <s v="Knoxville"/>
    <s v="Men's Apparel"/>
    <n v="47"/>
    <n v="120"/>
    <x v="792"/>
    <x v="514"/>
    <s v="Online"/>
  </r>
  <r>
    <s v="Foot Locker"/>
    <n v="1185732"/>
    <d v="2021-06-20T00:00:00"/>
    <x v="2"/>
    <s v="Nebraska"/>
    <s v="Omaha"/>
    <s v="Men's Street Footwear"/>
    <n v="36"/>
    <n v="120"/>
    <x v="900"/>
    <x v="338"/>
    <s v="Online"/>
  </r>
  <r>
    <s v="Sports Direct"/>
    <n v="1197831"/>
    <d v="2021-08-29T00:00:00"/>
    <x v="1"/>
    <s v="Alabama"/>
    <s v="Birmingham"/>
    <s v="Men's Apparel"/>
    <n v="49"/>
    <n v="120"/>
    <x v="856"/>
    <x v="507"/>
    <s v="Online"/>
  </r>
  <r>
    <s v="Amazon"/>
    <n v="1185732"/>
    <d v="2021-10-19T00:00:00"/>
    <x v="3"/>
    <s v="Maine"/>
    <s v="Portland"/>
    <s v="Men's Street Footwear"/>
    <n v="55"/>
    <n v="120"/>
    <x v="989"/>
    <x v="438"/>
    <s v="Online"/>
  </r>
  <r>
    <s v="Walmart"/>
    <n v="1128299"/>
    <d v="2021-04-17T00:00:00"/>
    <x v="0"/>
    <s v="Florida"/>
    <s v="Orlando"/>
    <s v="Women's Street Footwear"/>
    <n v="66"/>
    <n v="120"/>
    <x v="224"/>
    <x v="222"/>
    <s v="Online"/>
  </r>
  <r>
    <s v="Sports Direct"/>
    <n v="1185732"/>
    <d v="2021-04-16T00:00:00"/>
    <x v="2"/>
    <s v="Michigan"/>
    <s v="Detroit"/>
    <s v="Men's Apparel"/>
    <n v="45"/>
    <n v="120"/>
    <x v="211"/>
    <x v="401"/>
    <s v="Online"/>
  </r>
  <r>
    <s v="Sports Direct"/>
    <n v="1185732"/>
    <d v="2021-11-16T00:00:00"/>
    <x v="2"/>
    <s v="Michigan"/>
    <s v="Detroit"/>
    <s v="Women's Street Footwear"/>
    <n v="43"/>
    <n v="120"/>
    <x v="1129"/>
    <x v="753"/>
    <s v="Online"/>
  </r>
  <r>
    <s v="Foot Locker"/>
    <n v="1185732"/>
    <d v="2021-02-18T00:00:00"/>
    <x v="2"/>
    <s v="Missouri"/>
    <s v="St. Louis"/>
    <s v="Women's Apparel"/>
    <n v="28"/>
    <n v="120"/>
    <x v="1043"/>
    <x v="674"/>
    <s v="Online"/>
  </r>
  <r>
    <s v="Foot Locker"/>
    <n v="1185732"/>
    <d v="2021-08-18T00:00:00"/>
    <x v="2"/>
    <s v="Missouri"/>
    <s v="St. Louis"/>
    <s v="Women's Street Footwear"/>
    <n v="32"/>
    <n v="120"/>
    <x v="892"/>
    <x v="765"/>
    <s v="Online"/>
  </r>
  <r>
    <s v="West Gear"/>
    <n v="1185732"/>
    <d v="2021-12-17T00:00:00"/>
    <x v="2"/>
    <s v="Missouri"/>
    <s v="St. Louis"/>
    <s v="Women's Street Footwear"/>
    <n v="32"/>
    <n v="120"/>
    <x v="892"/>
    <x v="803"/>
    <s v="Online"/>
  </r>
  <r>
    <s v="West Gear"/>
    <n v="1185732"/>
    <d v="2021-05-12T00:00:00"/>
    <x v="4"/>
    <s v="Utah"/>
    <s v="Salt Lake City"/>
    <s v="Women's Apparel"/>
    <n v="44"/>
    <n v="120"/>
    <x v="779"/>
    <x v="160"/>
    <s v="Online"/>
  </r>
  <r>
    <s v="West Gear"/>
    <n v="1185732"/>
    <d v="2021-09-12T00:00:00"/>
    <x v="4"/>
    <s v="Utah"/>
    <s v="Salt Lake City"/>
    <s v="Women's Apparel"/>
    <n v="24"/>
    <n v="120"/>
    <x v="1023"/>
    <x v="785"/>
    <s v="Online"/>
  </r>
  <r>
    <s v="West Gear"/>
    <n v="1128299"/>
    <d v="2021-02-17T00:00:00"/>
    <x v="4"/>
    <s v="Oregon"/>
    <s v="Portland"/>
    <s v="Women's Street Footwear"/>
    <n v="41"/>
    <n v="120"/>
    <x v="1000"/>
    <x v="727"/>
    <s v="Online"/>
  </r>
  <r>
    <s v="West Gear"/>
    <n v="1197831"/>
    <d v="2021-05-05T00:00:00"/>
    <x v="4"/>
    <s v="Idaho"/>
    <s v="Boise"/>
    <s v="Men's Apparel"/>
    <n v="47"/>
    <n v="120"/>
    <x v="792"/>
    <x v="565"/>
    <s v="Online"/>
  </r>
  <r>
    <s v="Foot Locker"/>
    <n v="1128299"/>
    <d v="2021-05-24T00:00:00"/>
    <x v="4"/>
    <s v="Arizona"/>
    <s v="Phoenix"/>
    <s v="Women's Street Footwear"/>
    <n v="50"/>
    <n v="120"/>
    <x v="949"/>
    <x v="116"/>
    <s v="Online"/>
  </r>
  <r>
    <s v="Sports Direct"/>
    <n v="1128299"/>
    <d v="2021-05-14T00:00:00"/>
    <x v="0"/>
    <s v="Georgia"/>
    <s v="Atlanta"/>
    <s v="Women's Apparel"/>
    <n v="64"/>
    <n v="120"/>
    <x v="265"/>
    <x v="296"/>
    <s v="Online"/>
  </r>
  <r>
    <s v="Sports Direct"/>
    <n v="1128299"/>
    <d v="2021-06-13T00:00:00"/>
    <x v="0"/>
    <s v="Georgia"/>
    <s v="Atlanta"/>
    <s v="Women's Athletic Footwear"/>
    <n v="49"/>
    <n v="120"/>
    <x v="856"/>
    <x v="477"/>
    <s v="Online"/>
  </r>
  <r>
    <s v="Sports Direct"/>
    <n v="1128299"/>
    <d v="2021-09-14T00:00:00"/>
    <x v="0"/>
    <s v="Georgia"/>
    <s v="Atlanta"/>
    <s v="Women's Athletic Footwear"/>
    <n v="43"/>
    <n v="120"/>
    <x v="1129"/>
    <x v="157"/>
    <s v="Online"/>
  </r>
  <r>
    <s v="Amazon"/>
    <n v="1185732"/>
    <d v="2021-08-22T00:00:00"/>
    <x v="0"/>
    <s v="Kentucky"/>
    <s v="Louisville"/>
    <s v="Women's Apparel"/>
    <n v="51"/>
    <n v="120"/>
    <x v="94"/>
    <x v="438"/>
    <s v="Online"/>
  </r>
  <r>
    <s v="Sports Direct"/>
    <n v="1197831"/>
    <d v="2021-02-21T00:00:00"/>
    <x v="1"/>
    <s v="Mississippi"/>
    <s v="Jackson"/>
    <s v="Women's Street Footwear"/>
    <n v="14"/>
    <n v="120"/>
    <x v="1130"/>
    <x v="825"/>
    <s v="Online"/>
  </r>
  <r>
    <s v="West Gear"/>
    <n v="1197831"/>
    <d v="2021-12-19T00:00:00"/>
    <x v="1"/>
    <s v="Arkansas"/>
    <s v="Little Rock"/>
    <s v="Women's Athletic Footwear"/>
    <n v="57"/>
    <n v="120"/>
    <x v="243"/>
    <x v="235"/>
    <s v="Online"/>
  </r>
  <r>
    <s v="Foot Locker"/>
    <n v="1197831"/>
    <d v="2021-12-12T00:00:00"/>
    <x v="2"/>
    <s v="Kansas"/>
    <s v="Wichita"/>
    <s v="Men's Athletic Footwear"/>
    <n v="59"/>
    <n v="120"/>
    <x v="932"/>
    <x v="337"/>
    <s v="Online"/>
  </r>
  <r>
    <s v="Foot Locker"/>
    <n v="1185732"/>
    <d v="2021-11-09T00:00:00"/>
    <x v="2"/>
    <s v="North Dakota"/>
    <s v="Fargo"/>
    <s v="Men's Street Footwear"/>
    <n v="49"/>
    <n v="120"/>
    <x v="856"/>
    <x v="592"/>
    <s v="Online"/>
  </r>
  <r>
    <s v="West Gear"/>
    <n v="1185732"/>
    <d v="2021-12-09T00:00:00"/>
    <x v="2"/>
    <s v="Indiana"/>
    <s v="Indianapolis"/>
    <s v="Women's Apparel"/>
    <n v="62"/>
    <n v="120"/>
    <x v="364"/>
    <x v="284"/>
    <s v="Online"/>
  </r>
  <r>
    <s v="Foot Locker"/>
    <n v="1185732"/>
    <d v="2021-06-15T00:00:00"/>
    <x v="3"/>
    <s v="Delaware"/>
    <s v="Wilmington"/>
    <s v="Men's Athletic Footwear"/>
    <n v="48"/>
    <n v="120"/>
    <x v="1091"/>
    <x v="638"/>
    <s v="Online"/>
  </r>
  <r>
    <s v="Foot Locker"/>
    <n v="1185732"/>
    <d v="2021-08-14T00:00:00"/>
    <x v="3"/>
    <s v="Delaware"/>
    <s v="Wilmington"/>
    <s v="Women's Apparel"/>
    <n v="59"/>
    <n v="120"/>
    <x v="932"/>
    <x v="308"/>
    <s v="Online"/>
  </r>
  <r>
    <s v="Kohl's"/>
    <n v="1185732"/>
    <d v="2021-06-08T00:00:00"/>
    <x v="3"/>
    <s v="New Jersey"/>
    <s v="Newark"/>
    <s v="Women's Apparel"/>
    <n v="50"/>
    <n v="120"/>
    <x v="949"/>
    <x v="477"/>
    <s v="Online"/>
  </r>
  <r>
    <s v="Sports Direct"/>
    <n v="1185732"/>
    <d v="2021-10-15T00:00:00"/>
    <x v="3"/>
    <s v="Massachusetts"/>
    <s v="Boston"/>
    <s v="Men's Street Footwear"/>
    <n v="57"/>
    <n v="120"/>
    <x v="243"/>
    <x v="263"/>
    <s v="Online"/>
  </r>
  <r>
    <s v="Amazon"/>
    <n v="1185732"/>
    <d v="2021-05-10T00:00:00"/>
    <x v="3"/>
    <s v="Vermont"/>
    <s v="Burlington"/>
    <s v="Women's Apparel"/>
    <n v="60"/>
    <n v="120"/>
    <x v="665"/>
    <x v="176"/>
    <s v="Online"/>
  </r>
  <r>
    <s v="West Gear"/>
    <n v="1128299"/>
    <d v="2020-01-22T00:00:00"/>
    <x v="4"/>
    <s v="Nevada"/>
    <s v="Las Vegas"/>
    <s v="Women's Street Footwear"/>
    <n v="47"/>
    <n v="120"/>
    <x v="792"/>
    <x v="698"/>
    <s v="Outlet"/>
  </r>
  <r>
    <s v="West Gear"/>
    <n v="1128299"/>
    <d v="2020-01-27T00:00:00"/>
    <x v="4"/>
    <s v="Nevada"/>
    <s v="Las Vegas"/>
    <s v="Men's Athletic Footwear"/>
    <n v="43"/>
    <n v="120"/>
    <x v="1129"/>
    <x v="736"/>
    <s v="Outlet"/>
  </r>
  <r>
    <s v="West Gear"/>
    <n v="1128299"/>
    <d v="2020-03-02T00:00:00"/>
    <x v="4"/>
    <s v="Nevada"/>
    <s v="Las Vegas"/>
    <s v="Women's Apparel"/>
    <n v="53"/>
    <n v="120"/>
    <x v="1128"/>
    <x v="445"/>
    <s v="Outlet"/>
  </r>
  <r>
    <s v="Sports Direct"/>
    <n v="1197831"/>
    <d v="2021-05-01T00:00:00"/>
    <x v="1"/>
    <s v="Tennessee"/>
    <s v="Knoxville"/>
    <s v="Men's Apparel"/>
    <n v="39"/>
    <n v="120"/>
    <x v="499"/>
    <x v="365"/>
    <s v="Outlet"/>
  </r>
  <r>
    <s v="Sports Direct"/>
    <n v="1197831"/>
    <d v="2021-08-18T00:00:00"/>
    <x v="1"/>
    <s v="Alabama"/>
    <s v="Birmingham"/>
    <s v="Women's Apparel"/>
    <n v="26"/>
    <n v="120"/>
    <x v="500"/>
    <x v="429"/>
    <s v="Outlet"/>
  </r>
  <r>
    <s v="Walmart"/>
    <n v="1128299"/>
    <d v="2021-10-17T00:00:00"/>
    <x v="0"/>
    <s v="Florida"/>
    <s v="Orlando"/>
    <s v="Women's Athletic Footwear"/>
    <n v="40"/>
    <n v="120"/>
    <x v="367"/>
    <x v="544"/>
    <s v="Outlet"/>
  </r>
  <r>
    <s v="West Gear"/>
    <n v="1185732"/>
    <d v="2021-02-11T00:00:00"/>
    <x v="4"/>
    <s v="Utah"/>
    <s v="Salt Lake City"/>
    <s v="Men's Apparel"/>
    <n v="28"/>
    <n v="120"/>
    <x v="1043"/>
    <x v="799"/>
    <s v="Outlet"/>
  </r>
  <r>
    <s v="West Gear"/>
    <n v="1128299"/>
    <d v="2021-01-17T00:00:00"/>
    <x v="4"/>
    <s v="Oregon"/>
    <s v="Portland"/>
    <s v="Men's Street Footwear"/>
    <n v="28"/>
    <n v="120"/>
    <x v="1043"/>
    <x v="799"/>
    <s v="Outlet"/>
  </r>
  <r>
    <s v="West Gear"/>
    <n v="1128299"/>
    <d v="2021-03-16T00:00:00"/>
    <x v="1"/>
    <s v="Louisiana"/>
    <s v="New Orleans"/>
    <s v="Men's Athletic Footwear"/>
    <n v="38"/>
    <n v="120"/>
    <x v="457"/>
    <x v="365"/>
    <s v="Outlet"/>
  </r>
  <r>
    <s v="West Gear"/>
    <n v="1128299"/>
    <d v="2021-03-16T00:00:00"/>
    <x v="1"/>
    <s v="Louisiana"/>
    <s v="New Orleans"/>
    <s v="Women's Street Footwear"/>
    <n v="39"/>
    <n v="120"/>
    <x v="499"/>
    <x v="233"/>
    <s v="Outlet"/>
  </r>
  <r>
    <s v="West Gear"/>
    <n v="1128299"/>
    <d v="2021-04-17T00:00:00"/>
    <x v="1"/>
    <s v="Louisiana"/>
    <s v="New Orleans"/>
    <s v="Women's Street Footwear"/>
    <n v="40"/>
    <n v="120"/>
    <x v="367"/>
    <x v="247"/>
    <s v="Outlet"/>
  </r>
  <r>
    <s v="West Gear"/>
    <n v="1128299"/>
    <d v="2021-10-17T00:00:00"/>
    <x v="1"/>
    <s v="Louisiana"/>
    <s v="New Orleans"/>
    <s v="Women's Athletic Footwear"/>
    <n v="31"/>
    <n v="120"/>
    <x v="967"/>
    <x v="786"/>
    <s v="Outlet"/>
  </r>
  <r>
    <s v="West Gear"/>
    <n v="1197831"/>
    <d v="2021-05-05T00:00:00"/>
    <x v="4"/>
    <s v="Idaho"/>
    <s v="Boise"/>
    <s v="Men's Apparel"/>
    <n v="34"/>
    <n v="120"/>
    <x v="866"/>
    <x v="737"/>
    <s v="Outlet"/>
  </r>
  <r>
    <s v="Foot Locker"/>
    <n v="1128299"/>
    <d v="2021-08-23T00:00:00"/>
    <x v="4"/>
    <s v="Arizona"/>
    <s v="Phoenix"/>
    <s v="Women's Athletic Footwear"/>
    <n v="43"/>
    <n v="120"/>
    <x v="1129"/>
    <x v="742"/>
    <s v="Outlet"/>
  </r>
  <r>
    <s v="Kohl's"/>
    <n v="1128299"/>
    <d v="2021-10-26T00:00:00"/>
    <x v="4"/>
    <s v="New Mexico"/>
    <s v="Albuquerque"/>
    <s v="Women's Street Footwear"/>
    <n v="34"/>
    <n v="120"/>
    <x v="866"/>
    <x v="591"/>
    <s v="Outlet"/>
  </r>
  <r>
    <s v="Sports Direct"/>
    <n v="1128299"/>
    <d v="2021-02-13T00:00:00"/>
    <x v="4"/>
    <s v="New Mexico"/>
    <s v="Albuquerque"/>
    <s v="Women's Street Footwear"/>
    <n v="28"/>
    <n v="120"/>
    <x v="1043"/>
    <x v="761"/>
    <s v="Outlet"/>
  </r>
  <r>
    <s v="Sports Direct"/>
    <n v="1128299"/>
    <d v="2021-09-14T00:00:00"/>
    <x v="0"/>
    <s v="Georgia"/>
    <s v="Atlanta"/>
    <s v="Women's Athletic Footwear"/>
    <n v="35"/>
    <n v="120"/>
    <x v="664"/>
    <x v="709"/>
    <s v="Outlet"/>
  </r>
  <r>
    <s v="Foot Locker"/>
    <n v="1128299"/>
    <d v="2021-12-12T00:00:00"/>
    <x v="0"/>
    <s v="Georgia"/>
    <s v="Atlanta"/>
    <s v="Men's Apparel"/>
    <n v="44"/>
    <n v="120"/>
    <x v="779"/>
    <x v="365"/>
    <s v="Outlet"/>
  </r>
  <r>
    <s v="Walmart"/>
    <n v="1185732"/>
    <d v="2021-09-16T00:00:00"/>
    <x v="1"/>
    <s v="Mississippi"/>
    <s v="Jackson"/>
    <s v="Women's Athletic Footwear"/>
    <n v="16"/>
    <n v="120"/>
    <x v="1131"/>
    <x v="826"/>
    <s v="Outlet"/>
  </r>
  <r>
    <s v="Walmart"/>
    <n v="1185732"/>
    <d v="2021-10-18T00:00:00"/>
    <x v="1"/>
    <s v="Mississippi"/>
    <s v="Jackson"/>
    <s v="Women's Street Footwear"/>
    <n v="19"/>
    <n v="120"/>
    <x v="1132"/>
    <x v="827"/>
    <s v="Outlet"/>
  </r>
  <r>
    <s v="Walmart"/>
    <n v="1197831"/>
    <d v="2021-04-20T00:00:00"/>
    <x v="1"/>
    <s v="Arkansas"/>
    <s v="Little Rock"/>
    <s v="Women's Apparel"/>
    <n v="24"/>
    <n v="120"/>
    <x v="1023"/>
    <x v="822"/>
    <s v="Outlet"/>
  </r>
  <r>
    <s v="Walmart"/>
    <n v="1197831"/>
    <d v="2021-07-19T00:00:00"/>
    <x v="1"/>
    <s v="Arkansas"/>
    <s v="Little Rock"/>
    <s v="Women's Athletic Footwear"/>
    <n v="35"/>
    <n v="120"/>
    <x v="664"/>
    <x v="736"/>
    <s v="Outlet"/>
  </r>
  <r>
    <s v="Sports Direct"/>
    <n v="1185732"/>
    <d v="2021-07-03T00:00:00"/>
    <x v="3"/>
    <s v="Connecticut"/>
    <s v="Hartford"/>
    <s v="Men's Athletic Footwear"/>
    <n v="38"/>
    <n v="120"/>
    <x v="457"/>
    <x v="828"/>
    <s v="Outlet"/>
  </r>
  <r>
    <s v="Foot Locker"/>
    <n v="1185732"/>
    <d v="2021-12-03T00:00:00"/>
    <x v="3"/>
    <s v="Connecticut"/>
    <s v="Hartford"/>
    <s v="Women's Apparel"/>
    <n v="52"/>
    <n v="120"/>
    <x v="436"/>
    <x v="618"/>
    <s v="Outlet"/>
  </r>
  <r>
    <s v="Sports Direct"/>
    <n v="1185732"/>
    <d v="2021-06-15T00:00:00"/>
    <x v="3"/>
    <s v="Massachusetts"/>
    <s v="Boston"/>
    <s v="Women's Apparel"/>
    <n v="47"/>
    <n v="120"/>
    <x v="792"/>
    <x v="180"/>
    <s v="Outlet"/>
  </r>
  <r>
    <s v="Amazon"/>
    <n v="1185732"/>
    <d v="2021-11-14T00:00:00"/>
    <x v="3"/>
    <s v="Massachusetts"/>
    <s v="Boston"/>
    <s v="Men's Street Footwear"/>
    <n v="49"/>
    <n v="120"/>
    <x v="856"/>
    <x v="429"/>
    <s v="Outlet"/>
  </r>
  <r>
    <s v="Amazon"/>
    <n v="1185732"/>
    <d v="2021-05-10T00:00:00"/>
    <x v="3"/>
    <s v="Vermont"/>
    <s v="Burlington"/>
    <s v="Women's Apparel"/>
    <n v="47"/>
    <n v="120"/>
    <x v="792"/>
    <x v="638"/>
    <s v="Outlet"/>
  </r>
  <r>
    <s v="Amazon"/>
    <n v="1185732"/>
    <d v="2021-06-12T00:00:00"/>
    <x v="3"/>
    <s v="Vermont"/>
    <s v="Burlington"/>
    <s v="Men's Athletic Footwear"/>
    <n v="44"/>
    <n v="120"/>
    <x v="779"/>
    <x v="408"/>
    <s v="Outlet"/>
  </r>
  <r>
    <s v="Foot Locker"/>
    <n v="1185732"/>
    <d v="2021-11-18T00:00:00"/>
    <x v="3"/>
    <s v="New Hampshire"/>
    <s v="Manchester"/>
    <s v="Women's Apparel"/>
    <n v="61"/>
    <n v="120"/>
    <x v="392"/>
    <x v="477"/>
    <s v="Outlet"/>
  </r>
  <r>
    <s v="Kohl's"/>
    <n v="1189833"/>
    <d v="2021-04-11T00:00:00"/>
    <x v="4"/>
    <s v="California"/>
    <s v="Los Angeles"/>
    <s v="Men's Apparel"/>
    <n v="49"/>
    <n v="119"/>
    <x v="1113"/>
    <x v="465"/>
    <s v="Online"/>
  </r>
  <r>
    <s v="Sports Direct"/>
    <n v="1197831"/>
    <d v="2021-08-19T00:00:00"/>
    <x v="1"/>
    <s v="Texas"/>
    <s v="Dallas"/>
    <s v="Women's Street Footwear"/>
    <n v="34"/>
    <n v="119"/>
    <x v="821"/>
    <x v="596"/>
    <s v="Online"/>
  </r>
  <r>
    <s v="Foot Locker"/>
    <n v="1185732"/>
    <d v="2021-10-28T00:00:00"/>
    <x v="3"/>
    <s v="Pennsylvania"/>
    <s v="Philadelphia"/>
    <s v="Men's Street Footwear"/>
    <n v="42"/>
    <n v="119"/>
    <x v="1008"/>
    <x v="89"/>
    <s v="Online"/>
  </r>
  <r>
    <s v="West Gear"/>
    <n v="1128299"/>
    <d v="2020-01-10T00:00:00"/>
    <x v="4"/>
    <s v="Nevada"/>
    <s v="Las Vegas"/>
    <s v="Women's Street Footwear"/>
    <n v="41"/>
    <n v="119"/>
    <x v="1133"/>
    <x v="638"/>
    <s v="Online"/>
  </r>
  <r>
    <s v="West Gear"/>
    <n v="1128299"/>
    <d v="2020-03-11T00:00:00"/>
    <x v="4"/>
    <s v="Nevada"/>
    <s v="Las Vegas"/>
    <s v="Women's Street Footwear"/>
    <n v="59"/>
    <n v="119"/>
    <x v="212"/>
    <x v="438"/>
    <s v="Online"/>
  </r>
  <r>
    <s v="Kohl's"/>
    <n v="1189833"/>
    <d v="2020-12-28T00:00:00"/>
    <x v="2"/>
    <s v="Minnesota"/>
    <s v="Minneapolis"/>
    <s v="Men's Street Footwear"/>
    <n v="32"/>
    <n v="119"/>
    <x v="1063"/>
    <x v="666"/>
    <s v="Online"/>
  </r>
  <r>
    <s v="Kohl's"/>
    <n v="1189833"/>
    <d v="2020-12-30T00:00:00"/>
    <x v="2"/>
    <s v="Minnesota"/>
    <s v="Minneapolis"/>
    <s v="Women's Street Footwear"/>
    <n v="41"/>
    <n v="119"/>
    <x v="1133"/>
    <x v="514"/>
    <s v="Online"/>
  </r>
  <r>
    <s v="Kohl's"/>
    <n v="1189833"/>
    <d v="2021-01-08T00:00:00"/>
    <x v="2"/>
    <s v="Montana"/>
    <s v="Billings"/>
    <s v="Women's Apparel"/>
    <n v="43"/>
    <n v="119"/>
    <x v="906"/>
    <x v="558"/>
    <s v="Online"/>
  </r>
  <r>
    <s v="Kohl's"/>
    <n v="1189833"/>
    <d v="2021-03-01T00:00:00"/>
    <x v="2"/>
    <s v="Montana"/>
    <s v="Billings"/>
    <s v="Women's Athletic Footwear"/>
    <n v="39"/>
    <n v="119"/>
    <x v="937"/>
    <x v="431"/>
    <s v="Online"/>
  </r>
  <r>
    <s v="Foot Locker"/>
    <n v="1185732"/>
    <d v="2021-05-21T00:00:00"/>
    <x v="1"/>
    <s v="Tennessee"/>
    <s v="Knoxville"/>
    <s v="Men's Street Footwear"/>
    <n v="32"/>
    <n v="119"/>
    <x v="1063"/>
    <x v="506"/>
    <s v="Online"/>
  </r>
  <r>
    <s v="Foot Locker"/>
    <n v="1185732"/>
    <d v="2021-05-27T00:00:00"/>
    <x v="2"/>
    <s v="Nebraska"/>
    <s v="Omaha"/>
    <s v="Men's Street Footwear"/>
    <n v="32"/>
    <n v="119"/>
    <x v="1063"/>
    <x v="429"/>
    <s v="Online"/>
  </r>
  <r>
    <s v="Sports Direct"/>
    <n v="1197831"/>
    <d v="2021-08-21T00:00:00"/>
    <x v="1"/>
    <s v="Alabama"/>
    <s v="Birmingham"/>
    <s v="Women's Street Footwear"/>
    <n v="14"/>
    <n v="119"/>
    <x v="983"/>
    <x v="829"/>
    <s v="Online"/>
  </r>
  <r>
    <s v="Sports Direct"/>
    <n v="1197831"/>
    <d v="2021-09-15T00:00:00"/>
    <x v="1"/>
    <s v="Alabama"/>
    <s v="Birmingham"/>
    <s v="Women's Athletic Footwear"/>
    <n v="46"/>
    <n v="119"/>
    <x v="1134"/>
    <x v="620"/>
    <s v="Online"/>
  </r>
  <r>
    <s v="Walmart"/>
    <n v="1128299"/>
    <d v="2021-05-18T00:00:00"/>
    <x v="0"/>
    <s v="Florida"/>
    <s v="Orlando"/>
    <s v="Women's Street Footwear"/>
    <n v="59"/>
    <n v="119"/>
    <x v="212"/>
    <x v="637"/>
    <s v="Online"/>
  </r>
  <r>
    <s v="Kohl's"/>
    <n v="1185732"/>
    <d v="2021-04-11T00:00:00"/>
    <x v="4"/>
    <s v="Wyoming"/>
    <s v="Cheyenne"/>
    <s v="Women's Athletic Footwear"/>
    <n v="33"/>
    <n v="119"/>
    <x v="1095"/>
    <x v="642"/>
    <s v="Online"/>
  </r>
  <r>
    <s v="Kohl's"/>
    <n v="1185732"/>
    <d v="2021-10-12T00:00:00"/>
    <x v="4"/>
    <s v="Wyoming"/>
    <s v="Cheyenne"/>
    <s v="Women's Athletic Footwear"/>
    <n v="41"/>
    <n v="119"/>
    <x v="1133"/>
    <x v="773"/>
    <s v="Online"/>
  </r>
  <r>
    <s v="Sports Direct"/>
    <n v="1185732"/>
    <d v="2021-09-15T00:00:00"/>
    <x v="2"/>
    <s v="Michigan"/>
    <s v="Detroit"/>
    <s v="Women's Athletic Footwear"/>
    <n v="34"/>
    <n v="119"/>
    <x v="821"/>
    <x v="752"/>
    <s v="Online"/>
  </r>
  <r>
    <s v="West Gear"/>
    <n v="1128299"/>
    <d v="2021-08-24T00:00:00"/>
    <x v="4"/>
    <s v="Oregon"/>
    <s v="Portland"/>
    <s v="Women's Athletic Footwear"/>
    <n v="68"/>
    <n v="119"/>
    <x v="140"/>
    <x v="284"/>
    <s v="Online"/>
  </r>
  <r>
    <s v="West Gear"/>
    <n v="1128299"/>
    <d v="2021-11-17T00:00:00"/>
    <x v="1"/>
    <s v="Louisiana"/>
    <s v="New Orleans"/>
    <s v="Men's Apparel"/>
    <n v="68"/>
    <n v="119"/>
    <x v="140"/>
    <x v="29"/>
    <s v="Online"/>
  </r>
  <r>
    <s v="Foot Locker"/>
    <n v="1197831"/>
    <d v="2021-01-05T00:00:00"/>
    <x v="1"/>
    <s v="Louisiana"/>
    <s v="New Orleans"/>
    <s v="Women's Street Footwear"/>
    <n v="28"/>
    <n v="119"/>
    <x v="1099"/>
    <x v="354"/>
    <s v="Online"/>
  </r>
  <r>
    <s v="Foot Locker"/>
    <n v="1128299"/>
    <d v="2021-01-23T00:00:00"/>
    <x v="4"/>
    <s v="Idaho"/>
    <s v="Boise"/>
    <s v="Men's Street Footwear"/>
    <n v="29"/>
    <n v="119"/>
    <x v="636"/>
    <x v="612"/>
    <s v="Online"/>
  </r>
  <r>
    <s v="Foot Locker"/>
    <n v="1128299"/>
    <d v="2021-09-24T00:00:00"/>
    <x v="4"/>
    <s v="Arizona"/>
    <s v="Phoenix"/>
    <s v="Women's Apparel"/>
    <n v="56"/>
    <n v="119"/>
    <x v="271"/>
    <x v="634"/>
    <s v="Online"/>
  </r>
  <r>
    <s v="Sports Direct"/>
    <n v="1128299"/>
    <d v="2021-12-25T00:00:00"/>
    <x v="4"/>
    <s v="New Mexico"/>
    <s v="Albuquerque"/>
    <s v="Men's Apparel"/>
    <n v="64"/>
    <n v="119"/>
    <x v="432"/>
    <x v="160"/>
    <s v="Online"/>
  </r>
  <r>
    <s v="Sports Direct"/>
    <n v="1128299"/>
    <d v="2021-08-13T00:00:00"/>
    <x v="0"/>
    <s v="Georgia"/>
    <s v="Atlanta"/>
    <s v="Women's Apparel"/>
    <n v="68"/>
    <n v="119"/>
    <x v="140"/>
    <x v="662"/>
    <s v="Online"/>
  </r>
  <r>
    <s v="Amazon"/>
    <n v="1185732"/>
    <d v="2021-04-22T00:00:00"/>
    <x v="0"/>
    <s v="Kentucky"/>
    <s v="Louisville"/>
    <s v="Men's Street Footwear"/>
    <n v="41"/>
    <n v="119"/>
    <x v="1133"/>
    <x v="500"/>
    <s v="Online"/>
  </r>
  <r>
    <s v="Foot Locker"/>
    <n v="1185732"/>
    <d v="2021-05-16T00:00:00"/>
    <x v="1"/>
    <s v="Mississippi"/>
    <s v="Jackson"/>
    <s v="Women's Street Footwear"/>
    <n v="33"/>
    <n v="119"/>
    <x v="1095"/>
    <x v="674"/>
    <s v="Online"/>
  </r>
  <r>
    <s v="Walmart"/>
    <n v="1197831"/>
    <d v="2021-07-19T00:00:00"/>
    <x v="1"/>
    <s v="Arkansas"/>
    <s v="Little Rock"/>
    <s v="Men's Apparel"/>
    <n v="55"/>
    <n v="119"/>
    <x v="957"/>
    <x v="58"/>
    <s v="Online"/>
  </r>
  <r>
    <s v="Walmart"/>
    <n v="1197831"/>
    <d v="2021-09-19T00:00:00"/>
    <x v="1"/>
    <s v="Arkansas"/>
    <s v="Little Rock"/>
    <s v="Women's Apparel"/>
    <n v="29"/>
    <n v="119"/>
    <x v="636"/>
    <x v="501"/>
    <s v="Online"/>
  </r>
  <r>
    <s v="Kohl's"/>
    <n v="1197831"/>
    <d v="2021-12-19T00:00:00"/>
    <x v="1"/>
    <s v="Oklahoma"/>
    <s v="Oklahoma City"/>
    <s v="Men's Athletic Footwear"/>
    <n v="58"/>
    <n v="119"/>
    <x v="621"/>
    <x v="582"/>
    <s v="Online"/>
  </r>
  <r>
    <s v="Kohl's"/>
    <n v="1197831"/>
    <d v="2021-07-12T00:00:00"/>
    <x v="2"/>
    <s v="Kansas"/>
    <s v="Wichita"/>
    <s v="Men's Athletic Footwear"/>
    <n v="49"/>
    <n v="119"/>
    <x v="1113"/>
    <x v="213"/>
    <s v="Online"/>
  </r>
  <r>
    <s v="West Gear"/>
    <n v="1185732"/>
    <d v="2021-06-17T00:00:00"/>
    <x v="3"/>
    <s v="West Virginia"/>
    <s v="Charleston"/>
    <s v="Men's Athletic Footwear"/>
    <n v="37"/>
    <n v="119"/>
    <x v="921"/>
    <x v="580"/>
    <s v="Online"/>
  </r>
  <r>
    <s v="Foot Locker"/>
    <n v="1185732"/>
    <d v="2021-07-13T00:00:00"/>
    <x v="3"/>
    <s v="Delaware"/>
    <s v="Wilmington"/>
    <s v="Men's Athletic Footwear"/>
    <n v="47"/>
    <n v="119"/>
    <x v="1007"/>
    <x v="543"/>
    <s v="Online"/>
  </r>
  <r>
    <s v="Kohl's"/>
    <n v="1185732"/>
    <d v="2021-10-08T00:00:00"/>
    <x v="3"/>
    <s v="New Jersey"/>
    <s v="Newark"/>
    <s v="Men's Street Footwear"/>
    <n v="53"/>
    <n v="119"/>
    <x v="968"/>
    <x v="498"/>
    <s v="Online"/>
  </r>
  <r>
    <s v="Foot Locker"/>
    <n v="1185732"/>
    <d v="2021-02-08T00:00:00"/>
    <x v="3"/>
    <s v="Connecticut"/>
    <s v="Hartford"/>
    <s v="Men's Street Footwear"/>
    <n v="34"/>
    <n v="119"/>
    <x v="821"/>
    <x v="684"/>
    <s v="Online"/>
  </r>
  <r>
    <s v="Foot Locker"/>
    <n v="1185732"/>
    <d v="2021-10-19T00:00:00"/>
    <x v="3"/>
    <s v="New Hampshire"/>
    <s v="Manchester"/>
    <s v="Men's Street Footwear"/>
    <n v="64"/>
    <n v="119"/>
    <x v="432"/>
    <x v="211"/>
    <s v="Online"/>
  </r>
  <r>
    <s v="West Gear"/>
    <n v="1128299"/>
    <d v="2020-02-28T00:00:00"/>
    <x v="4"/>
    <s v="Nevada"/>
    <s v="Las Vegas"/>
    <s v="Women's Athletic Footwear"/>
    <n v="43"/>
    <n v="119"/>
    <x v="906"/>
    <x v="690"/>
    <s v="Outlet"/>
  </r>
  <r>
    <s v="West Gear"/>
    <n v="1128299"/>
    <d v="2020-03-07T00:00:00"/>
    <x v="4"/>
    <s v="Nevada"/>
    <s v="Las Vegas"/>
    <s v="Men's Apparel"/>
    <n v="46"/>
    <n v="119"/>
    <x v="1134"/>
    <x v="680"/>
    <s v="Outlet"/>
  </r>
  <r>
    <s v="Foot Locker"/>
    <n v="1128299"/>
    <d v="2021-10-24T00:00:00"/>
    <x v="0"/>
    <s v="Virginia"/>
    <s v="Richmond"/>
    <s v="Men's Street Footwear"/>
    <n v="28"/>
    <n v="119"/>
    <x v="1099"/>
    <x v="354"/>
    <s v="Outlet"/>
  </r>
  <r>
    <s v="Foot Locker"/>
    <n v="1128299"/>
    <d v="2021-10-24T00:00:00"/>
    <x v="0"/>
    <s v="Virginia"/>
    <s v="Richmond"/>
    <s v="Women's Street Footwear"/>
    <n v="39"/>
    <n v="119"/>
    <x v="937"/>
    <x v="587"/>
    <s v="Outlet"/>
  </r>
  <r>
    <s v="West Gear"/>
    <n v="1128299"/>
    <d v="2021-05-25T00:00:00"/>
    <x v="4"/>
    <s v="Oregon"/>
    <s v="Portland"/>
    <s v="Women's Street Footwear"/>
    <n v="39"/>
    <n v="119"/>
    <x v="937"/>
    <x v="736"/>
    <s v="Outlet"/>
  </r>
  <r>
    <s v="West Gear"/>
    <n v="1128299"/>
    <d v="2021-10-24T00:00:00"/>
    <x v="4"/>
    <s v="Oregon"/>
    <s v="Portland"/>
    <s v="Men's Street Footwear"/>
    <n v="29"/>
    <n v="119"/>
    <x v="636"/>
    <x v="546"/>
    <s v="Outlet"/>
  </r>
  <r>
    <s v="Foot Locker"/>
    <n v="1128299"/>
    <d v="2021-03-22T00:00:00"/>
    <x v="4"/>
    <s v="Arizona"/>
    <s v="Phoenix"/>
    <s v="Women's Street Footwear"/>
    <n v="37"/>
    <n v="119"/>
    <x v="921"/>
    <x v="736"/>
    <s v="Outlet"/>
  </r>
  <r>
    <s v="Sports Direct"/>
    <n v="1128299"/>
    <d v="2021-11-13T00:00:00"/>
    <x v="0"/>
    <s v="Georgia"/>
    <s v="Atlanta"/>
    <s v="Men's Apparel"/>
    <n v="47"/>
    <n v="119"/>
    <x v="1007"/>
    <x v="796"/>
    <s v="Outlet"/>
  </r>
  <r>
    <s v="Sports Direct"/>
    <n v="1185732"/>
    <d v="2021-11-17T00:00:00"/>
    <x v="1"/>
    <s v="Mississippi"/>
    <s v="Jackson"/>
    <s v="Women's Street Footwear"/>
    <n v="22"/>
    <n v="119"/>
    <x v="1135"/>
    <x v="787"/>
    <s v="Outlet"/>
  </r>
  <r>
    <s v="Walmart"/>
    <n v="1197831"/>
    <d v="2021-05-19T00:00:00"/>
    <x v="1"/>
    <s v="Arkansas"/>
    <s v="Little Rock"/>
    <s v="Women's Street Footwear"/>
    <n v="27"/>
    <n v="119"/>
    <x v="874"/>
    <x v="799"/>
    <s v="Outlet"/>
  </r>
  <r>
    <s v="West Gear"/>
    <n v="1197831"/>
    <d v="2021-09-19T00:00:00"/>
    <x v="1"/>
    <s v="Oklahoma"/>
    <s v="Oklahoma City"/>
    <s v="Women's Apparel"/>
    <n v="23"/>
    <n v="119"/>
    <x v="1136"/>
    <x v="688"/>
    <s v="Outlet"/>
  </r>
  <r>
    <s v="Kohl's"/>
    <n v="1197831"/>
    <d v="2021-01-16T00:00:00"/>
    <x v="1"/>
    <s v="Oklahoma"/>
    <s v="Oklahoma City"/>
    <s v="Women's Apparel"/>
    <n v="17"/>
    <n v="119"/>
    <x v="1137"/>
    <x v="830"/>
    <s v="Outlet"/>
  </r>
  <r>
    <s v="Foot Locker"/>
    <n v="1185732"/>
    <d v="2021-06-08T00:00:00"/>
    <x v="3"/>
    <s v="Rhode Island"/>
    <s v="Providence"/>
    <s v="Women's Apparel"/>
    <n v="43"/>
    <n v="119"/>
    <x v="906"/>
    <x v="451"/>
    <s v="Outlet"/>
  </r>
  <r>
    <s v="Amazon"/>
    <n v="1185732"/>
    <d v="2021-07-17T00:00:00"/>
    <x v="3"/>
    <s v="New Hampshire"/>
    <s v="Manchester"/>
    <s v="Men's Apparel"/>
    <n v="47"/>
    <n v="119"/>
    <x v="1007"/>
    <x v="439"/>
    <s v="Outlet"/>
  </r>
  <r>
    <s v="Foot Locker"/>
    <n v="1185732"/>
    <d v="2021-06-14T00:00:00"/>
    <x v="2"/>
    <s v="Nebraska"/>
    <s v="Omaha"/>
    <s v="Men's Street Footwear"/>
    <n v="44"/>
    <n v="118"/>
    <x v="814"/>
    <x v="333"/>
    <s v="Online"/>
  </r>
  <r>
    <s v="West Gear"/>
    <n v="1185732"/>
    <d v="2021-05-20T00:00:00"/>
    <x v="3"/>
    <s v="Maryland"/>
    <s v="Baltimore"/>
    <s v="Men's Street Footwear"/>
    <n v="49"/>
    <n v="118"/>
    <x v="836"/>
    <x v="723"/>
    <s v="Online"/>
  </r>
  <r>
    <s v="West Gear"/>
    <n v="1128299"/>
    <d v="2020-01-03T00:00:00"/>
    <x v="3"/>
    <s v="Pennsylvania"/>
    <s v="Philadelphia"/>
    <s v="Men's Athletic Footwear"/>
    <n v="44"/>
    <n v="117"/>
    <x v="483"/>
    <x v="506"/>
    <s v="Online"/>
  </r>
  <r>
    <s v="West Gear"/>
    <n v="1128299"/>
    <d v="2020-01-04T00:00:00"/>
    <x v="3"/>
    <s v="Pennsylvania"/>
    <s v="Philadelphia"/>
    <s v="Women's Street Footwear"/>
    <n v="41"/>
    <n v="117"/>
    <x v="367"/>
    <x v="638"/>
    <s v="Online"/>
  </r>
  <r>
    <s v="West Gear"/>
    <n v="1128299"/>
    <d v="2020-02-10T00:00:00"/>
    <x v="4"/>
    <s v="Nevada"/>
    <s v="Las Vegas"/>
    <s v="Women's Athletic Footwear"/>
    <n v="55"/>
    <n v="117"/>
    <x v="765"/>
    <x v="344"/>
    <s v="Online"/>
  </r>
  <r>
    <s v="West Gear"/>
    <n v="1128299"/>
    <d v="2020-02-21T00:00:00"/>
    <x v="4"/>
    <s v="Nevada"/>
    <s v="Las Vegas"/>
    <s v="Women's Street Footwear"/>
    <n v="57"/>
    <n v="117"/>
    <x v="339"/>
    <x v="251"/>
    <s v="Online"/>
  </r>
  <r>
    <s v="West Gear"/>
    <n v="1128299"/>
    <d v="2020-05-26T00:00:00"/>
    <x v="4"/>
    <s v="Colorado"/>
    <s v="Denver"/>
    <s v="Men's Street Footwear"/>
    <n v="36"/>
    <n v="117"/>
    <x v="955"/>
    <x v="579"/>
    <s v="Online"/>
  </r>
  <r>
    <s v="West Gear"/>
    <n v="1128299"/>
    <d v="2020-07-28T00:00:00"/>
    <x v="4"/>
    <s v="Washington"/>
    <s v="Seattle"/>
    <s v="Women's Athletic Footwear"/>
    <n v="69"/>
    <n v="117"/>
    <x v="528"/>
    <x v="430"/>
    <s v="Online"/>
  </r>
  <r>
    <s v="Kohl's"/>
    <n v="1189833"/>
    <d v="2021-02-16T00:00:00"/>
    <x v="2"/>
    <s v="Montana"/>
    <s v="Billings"/>
    <s v="Women's Street Footwear"/>
    <n v="42"/>
    <n v="117"/>
    <x v="791"/>
    <x v="534"/>
    <s v="Online"/>
  </r>
  <r>
    <s v="Foot Locker"/>
    <n v="1185732"/>
    <d v="2021-07-26T00:00:00"/>
    <x v="2"/>
    <s v="Nebraska"/>
    <s v="Omaha"/>
    <s v="Men's Street Footwear"/>
    <n v="49"/>
    <n v="117"/>
    <x v="1011"/>
    <x v="191"/>
    <s v="Online"/>
  </r>
  <r>
    <s v="Sports Direct"/>
    <n v="1197831"/>
    <d v="2021-08-15T00:00:00"/>
    <x v="1"/>
    <s v="Alabama"/>
    <s v="Birmingham"/>
    <s v="Women's Street Footwear"/>
    <n v="27"/>
    <n v="117"/>
    <x v="1138"/>
    <x v="571"/>
    <s v="Online"/>
  </r>
  <r>
    <s v="Amazon"/>
    <n v="1185732"/>
    <d v="2021-10-12T00:00:00"/>
    <x v="1"/>
    <s v="Alabama"/>
    <s v="Birmingham"/>
    <s v="Men's Street Footwear"/>
    <n v="38"/>
    <n v="117"/>
    <x v="818"/>
    <x v="772"/>
    <s v="Online"/>
  </r>
  <r>
    <s v="Sports Direct"/>
    <n v="1185732"/>
    <d v="2021-02-17T00:00:00"/>
    <x v="0"/>
    <s v="Virginia"/>
    <s v="Richmond"/>
    <s v="Men's Athletic Footwear"/>
    <n v="33"/>
    <n v="117"/>
    <x v="626"/>
    <x v="365"/>
    <s v="Online"/>
  </r>
  <r>
    <s v="West Gear"/>
    <n v="1128299"/>
    <d v="2021-02-24T00:00:00"/>
    <x v="4"/>
    <s v="Utah"/>
    <s v="Salt Lake City"/>
    <s v="Men's Street Footwear"/>
    <n v="29"/>
    <n v="117"/>
    <x v="1139"/>
    <x v="792"/>
    <s v="Online"/>
  </r>
  <r>
    <s v="West Gear"/>
    <n v="1128299"/>
    <d v="2021-06-17T00:00:00"/>
    <x v="1"/>
    <s v="Louisiana"/>
    <s v="New Orleans"/>
    <s v="Men's Apparel"/>
    <n v="92"/>
    <n v="117"/>
    <x v="399"/>
    <x v="187"/>
    <s v="Online"/>
  </r>
  <r>
    <s v="West Gear"/>
    <n v="1197831"/>
    <d v="2021-06-04T00:00:00"/>
    <x v="4"/>
    <s v="Idaho"/>
    <s v="Boise"/>
    <s v="Men's Apparel"/>
    <n v="52"/>
    <n v="117"/>
    <x v="722"/>
    <x v="629"/>
    <s v="Online"/>
  </r>
  <r>
    <s v="Kohl's"/>
    <n v="1128299"/>
    <d v="2021-11-26T00:00:00"/>
    <x v="4"/>
    <s v="New Mexico"/>
    <s v="Albuquerque"/>
    <s v="Women's Street Footwear"/>
    <n v="54"/>
    <n v="117"/>
    <x v="398"/>
    <x v="409"/>
    <s v="Online"/>
  </r>
  <r>
    <s v="Sports Direct"/>
    <n v="1128299"/>
    <d v="2021-01-13T00:00:00"/>
    <x v="4"/>
    <s v="New Mexico"/>
    <s v="Albuquerque"/>
    <s v="Women's Apparel"/>
    <n v="36"/>
    <n v="117"/>
    <x v="955"/>
    <x v="775"/>
    <s v="Online"/>
  </r>
  <r>
    <s v="Foot Locker"/>
    <n v="1185732"/>
    <d v="2021-06-18T00:00:00"/>
    <x v="1"/>
    <s v="Mississippi"/>
    <s v="Jackson"/>
    <s v="Women's Athletic Footwear"/>
    <n v="43"/>
    <n v="117"/>
    <x v="1069"/>
    <x v="543"/>
    <s v="Online"/>
  </r>
  <r>
    <s v="Sports Direct"/>
    <n v="1185732"/>
    <d v="2021-11-17T00:00:00"/>
    <x v="1"/>
    <s v="Mississippi"/>
    <s v="Jackson"/>
    <s v="Men's Athletic Footwear"/>
    <n v="18"/>
    <n v="117"/>
    <x v="1140"/>
    <x v="804"/>
    <s v="Online"/>
  </r>
  <r>
    <s v="Sports Direct"/>
    <n v="1185732"/>
    <d v="2021-11-17T00:00:00"/>
    <x v="1"/>
    <s v="Mississippi"/>
    <s v="Jackson"/>
    <s v="Women's Athletic Footwear"/>
    <n v="54"/>
    <n v="117"/>
    <x v="398"/>
    <x v="89"/>
    <s v="Online"/>
  </r>
  <r>
    <s v="Sports Direct"/>
    <n v="1197831"/>
    <d v="2021-01-23T00:00:00"/>
    <x v="1"/>
    <s v="Mississippi"/>
    <s v="Jackson"/>
    <s v="Women's Street Footwear"/>
    <n v="14"/>
    <n v="117"/>
    <x v="1141"/>
    <x v="825"/>
    <s v="Online"/>
  </r>
  <r>
    <s v="West Gear"/>
    <n v="1197831"/>
    <d v="2021-11-20T00:00:00"/>
    <x v="1"/>
    <s v="Arkansas"/>
    <s v="Little Rock"/>
    <s v="Women's Apparel"/>
    <n v="73"/>
    <n v="117"/>
    <x v="1142"/>
    <x v="277"/>
    <s v="Online"/>
  </r>
  <r>
    <s v="West Gear"/>
    <n v="1197831"/>
    <d v="2021-07-19T00:00:00"/>
    <x v="1"/>
    <s v="Oklahoma"/>
    <s v="Oklahoma City"/>
    <s v="Men's Athletic Footwear"/>
    <n v="45"/>
    <n v="117"/>
    <x v="1075"/>
    <x v="487"/>
    <s v="Online"/>
  </r>
  <r>
    <s v="Kohl's"/>
    <n v="1197831"/>
    <d v="2021-06-14T00:00:00"/>
    <x v="2"/>
    <s v="Kansas"/>
    <s v="Wichita"/>
    <s v="Women's Apparel"/>
    <n v="58"/>
    <n v="117"/>
    <x v="708"/>
    <x v="251"/>
    <s v="Online"/>
  </r>
  <r>
    <s v="Foot Locker"/>
    <n v="1185732"/>
    <d v="2021-11-17T00:00:00"/>
    <x v="3"/>
    <s v="West Virginia"/>
    <s v="Charleston"/>
    <s v="Men's Street Footwear"/>
    <n v="44"/>
    <n v="117"/>
    <x v="483"/>
    <x v="500"/>
    <s v="Online"/>
  </r>
  <r>
    <s v="Sports Direct"/>
    <n v="1185732"/>
    <d v="2021-04-14T00:00:00"/>
    <x v="3"/>
    <s v="Massachusetts"/>
    <s v="Boston"/>
    <s v="Men's Street Footwear"/>
    <n v="38"/>
    <n v="117"/>
    <x v="818"/>
    <x v="541"/>
    <s v="Online"/>
  </r>
  <r>
    <s v="Amazon"/>
    <n v="1185732"/>
    <d v="2021-06-12T00:00:00"/>
    <x v="3"/>
    <s v="Vermont"/>
    <s v="Burlington"/>
    <s v="Women's Apparel"/>
    <n v="62"/>
    <n v="117"/>
    <x v="931"/>
    <x v="252"/>
    <s v="Online"/>
  </r>
  <r>
    <s v="Foot Locker"/>
    <n v="1185732"/>
    <d v="2021-11-18T00:00:00"/>
    <x v="3"/>
    <s v="New Hampshire"/>
    <s v="Manchester"/>
    <s v="Men's Street Footwear"/>
    <n v="68"/>
    <n v="117"/>
    <x v="511"/>
    <x v="545"/>
    <s v="Online"/>
  </r>
  <r>
    <s v="Foot Locker"/>
    <n v="1185732"/>
    <d v="2021-12-17T00:00:00"/>
    <x v="3"/>
    <s v="New Hampshire"/>
    <s v="Manchester"/>
    <s v="Women's Apparel"/>
    <n v="74"/>
    <n v="117"/>
    <x v="981"/>
    <x v="668"/>
    <s v="Online"/>
  </r>
  <r>
    <s v="Sports Direct"/>
    <n v="1197831"/>
    <d v="2021-08-26T00:00:00"/>
    <x v="1"/>
    <s v="Texas"/>
    <s v="Dallas"/>
    <s v="Women's Athletic Footwear"/>
    <n v="32"/>
    <n v="116"/>
    <x v="613"/>
    <x v="674"/>
    <s v="Online"/>
  </r>
  <r>
    <s v="West Gear"/>
    <n v="1128299"/>
    <d v="2020-01-13T00:00:00"/>
    <x v="4"/>
    <s v="Nevada"/>
    <s v="Las Vegas"/>
    <s v="Women's Apparel"/>
    <n v="41"/>
    <n v="116"/>
    <x v="1049"/>
    <x v="771"/>
    <s v="Online"/>
  </r>
  <r>
    <s v="West Gear"/>
    <n v="1128299"/>
    <d v="2020-01-28T00:00:00"/>
    <x v="4"/>
    <s v="Nevada"/>
    <s v="Las Vegas"/>
    <s v="Women's Street Footwear"/>
    <n v="63"/>
    <n v="116"/>
    <x v="630"/>
    <x v="193"/>
    <s v="Online"/>
  </r>
  <r>
    <s v="West Gear"/>
    <n v="1128299"/>
    <d v="2020-03-26T00:00:00"/>
    <x v="4"/>
    <s v="Colorado"/>
    <s v="Denver"/>
    <s v="Women's Apparel"/>
    <n v="37"/>
    <n v="116"/>
    <x v="905"/>
    <x v="755"/>
    <s v="Online"/>
  </r>
  <r>
    <s v="West Gear"/>
    <n v="1128299"/>
    <d v="2020-03-29T00:00:00"/>
    <x v="4"/>
    <s v="Colorado"/>
    <s v="Denver"/>
    <s v="Women's Street Footwear"/>
    <n v="51"/>
    <n v="116"/>
    <x v="1106"/>
    <x v="498"/>
    <s v="Online"/>
  </r>
  <r>
    <s v="West Gear"/>
    <n v="1128299"/>
    <d v="2020-05-17T00:00:00"/>
    <x v="4"/>
    <s v="Colorado"/>
    <s v="Denver"/>
    <s v="Women's Athletic Footwear"/>
    <n v="60"/>
    <n v="116"/>
    <x v="1016"/>
    <x v="699"/>
    <s v="Online"/>
  </r>
  <r>
    <s v="Foot Locker"/>
    <n v="1185732"/>
    <d v="2020-10-29T00:00:00"/>
    <x v="2"/>
    <s v="Minnesota"/>
    <s v="Minneapolis"/>
    <s v="Men's Street Footwear"/>
    <n v="39"/>
    <n v="116"/>
    <x v="553"/>
    <x v="565"/>
    <s v="Online"/>
  </r>
  <r>
    <s v="Foot Locker"/>
    <n v="1185732"/>
    <d v="2020-11-10T00:00:00"/>
    <x v="2"/>
    <s v="Minnesota"/>
    <s v="Minneapolis"/>
    <s v="Men's Street Footwear"/>
    <n v="48"/>
    <n v="116"/>
    <x v="426"/>
    <x v="629"/>
    <s v="Online"/>
  </r>
  <r>
    <s v="Kohl's"/>
    <n v="1189833"/>
    <d v="2021-02-17T00:00:00"/>
    <x v="2"/>
    <s v="Montana"/>
    <s v="Billings"/>
    <s v="Women's Athletic Footwear"/>
    <n v="41"/>
    <n v="116"/>
    <x v="1049"/>
    <x v="629"/>
    <s v="Online"/>
  </r>
  <r>
    <s v="Kohl's"/>
    <n v="1189833"/>
    <d v="2021-02-22T00:00:00"/>
    <x v="2"/>
    <s v="Montana"/>
    <s v="Billings"/>
    <s v="Women's Street Footwear"/>
    <n v="41"/>
    <n v="116"/>
    <x v="1049"/>
    <x v="449"/>
    <s v="Online"/>
  </r>
  <r>
    <s v="Foot Locker"/>
    <n v="1128299"/>
    <d v="2021-01-24T00:00:00"/>
    <x v="4"/>
    <s v="Wyoming"/>
    <s v="Cheyenne"/>
    <s v="Women's Apparel"/>
    <n v="38"/>
    <n v="116"/>
    <x v="579"/>
    <x v="684"/>
    <s v="Online"/>
  </r>
  <r>
    <s v="Sports Direct"/>
    <n v="1185732"/>
    <d v="2021-01-19T00:00:00"/>
    <x v="0"/>
    <s v="Virginia"/>
    <s v="Richmond"/>
    <s v="Women's Athletic Footwear"/>
    <n v="29"/>
    <n v="116"/>
    <x v="1043"/>
    <x v="544"/>
    <s v="Online"/>
  </r>
  <r>
    <s v="Sports Direct"/>
    <n v="1185732"/>
    <d v="2021-10-17T00:00:00"/>
    <x v="2"/>
    <s v="Michigan"/>
    <s v="Detroit"/>
    <s v="Women's Athletic Footwear"/>
    <n v="38"/>
    <n v="116"/>
    <x v="579"/>
    <x v="580"/>
    <s v="Online"/>
  </r>
  <r>
    <s v="West Gear"/>
    <n v="1128299"/>
    <d v="2021-02-17T00:00:00"/>
    <x v="4"/>
    <s v="Oregon"/>
    <s v="Portland"/>
    <s v="Men's Athletic Footwear"/>
    <n v="41"/>
    <n v="116"/>
    <x v="1049"/>
    <x v="526"/>
    <s v="Online"/>
  </r>
  <r>
    <s v="West Gear"/>
    <n v="1128299"/>
    <d v="2021-03-16T00:00:00"/>
    <x v="1"/>
    <s v="Louisiana"/>
    <s v="New Orleans"/>
    <s v="Women's Street Footwear"/>
    <n v="56"/>
    <n v="116"/>
    <x v="624"/>
    <x v="574"/>
    <s v="Online"/>
  </r>
  <r>
    <s v="West Gear"/>
    <n v="1197831"/>
    <d v="2021-03-06T00:00:00"/>
    <x v="4"/>
    <s v="Idaho"/>
    <s v="Boise"/>
    <s v="Women's Apparel"/>
    <n v="33"/>
    <n v="116"/>
    <x v="1037"/>
    <x v="763"/>
    <s v="Online"/>
  </r>
  <r>
    <s v="Sports Direct"/>
    <n v="1197831"/>
    <d v="2021-09-05T00:00:00"/>
    <x v="4"/>
    <s v="Idaho"/>
    <s v="Boise"/>
    <s v="Women's Athletic Footwear"/>
    <n v="55"/>
    <n v="116"/>
    <x v="886"/>
    <x v="167"/>
    <s v="Online"/>
  </r>
  <r>
    <s v="Foot Locker"/>
    <n v="1128299"/>
    <d v="2021-08-23T00:00:00"/>
    <x v="4"/>
    <s v="Arizona"/>
    <s v="Phoenix"/>
    <s v="Men's Apparel"/>
    <n v="59"/>
    <n v="116"/>
    <x v="243"/>
    <x v="246"/>
    <s v="Online"/>
  </r>
  <r>
    <s v="Kohl's"/>
    <n v="1128299"/>
    <d v="2021-04-26T00:00:00"/>
    <x v="4"/>
    <s v="New Mexico"/>
    <s v="Albuquerque"/>
    <s v="Women's Street Footwear"/>
    <n v="55"/>
    <n v="116"/>
    <x v="886"/>
    <x v="424"/>
    <s v="Online"/>
  </r>
  <r>
    <s v="Sports Direct"/>
    <n v="1128299"/>
    <d v="2021-11-13T00:00:00"/>
    <x v="0"/>
    <s v="Georgia"/>
    <s v="Atlanta"/>
    <s v="Women's Athletic Footwear"/>
    <n v="51"/>
    <n v="116"/>
    <x v="1106"/>
    <x v="263"/>
    <s v="Online"/>
  </r>
  <r>
    <s v="Foot Locker"/>
    <n v="1128299"/>
    <d v="2021-12-12T00:00:00"/>
    <x v="0"/>
    <s v="Georgia"/>
    <s v="Atlanta"/>
    <s v="Men's Apparel"/>
    <n v="64"/>
    <n v="116"/>
    <x v="608"/>
    <x v="525"/>
    <s v="Online"/>
  </r>
  <r>
    <s v="Amazon"/>
    <n v="1185732"/>
    <d v="2021-10-11T00:00:00"/>
    <x v="2"/>
    <s v="Ohio"/>
    <s v="Columbus"/>
    <s v="Men's Apparel"/>
    <n v="37"/>
    <n v="116"/>
    <x v="905"/>
    <x v="180"/>
    <s v="Online"/>
  </r>
  <r>
    <s v="Amazon"/>
    <n v="1185732"/>
    <d v="2021-11-10T00:00:00"/>
    <x v="2"/>
    <s v="Ohio"/>
    <s v="Columbus"/>
    <s v="Women's Street Footwear"/>
    <n v="32"/>
    <n v="116"/>
    <x v="613"/>
    <x v="501"/>
    <s v="Online"/>
  </r>
  <r>
    <s v="Foot Locker"/>
    <n v="1185732"/>
    <d v="2021-05-16T00:00:00"/>
    <x v="1"/>
    <s v="Mississippi"/>
    <s v="Jackson"/>
    <s v="Men's Apparel"/>
    <n v="41"/>
    <n v="116"/>
    <x v="1049"/>
    <x v="773"/>
    <s v="Online"/>
  </r>
  <r>
    <s v="Walmart"/>
    <n v="1197831"/>
    <d v="2021-04-20T00:00:00"/>
    <x v="1"/>
    <s v="Arkansas"/>
    <s v="Little Rock"/>
    <s v="Women's Apparel"/>
    <n v="28"/>
    <n v="116"/>
    <x v="1143"/>
    <x v="612"/>
    <s v="Online"/>
  </r>
  <r>
    <s v="Walmart"/>
    <n v="1197831"/>
    <d v="2021-07-19T00:00:00"/>
    <x v="1"/>
    <s v="Arkansas"/>
    <s v="Little Rock"/>
    <s v="Women's Athletic Footwear"/>
    <n v="41"/>
    <n v="116"/>
    <x v="1049"/>
    <x v="111"/>
    <s v="Online"/>
  </r>
  <r>
    <s v="Sports Direct"/>
    <n v="1185732"/>
    <d v="2021-10-09T00:00:00"/>
    <x v="2"/>
    <s v="North Dakota"/>
    <s v="Fargo"/>
    <s v="Men's Street Footwear"/>
    <n v="49"/>
    <n v="116"/>
    <x v="673"/>
    <x v="586"/>
    <s v="Online"/>
  </r>
  <r>
    <s v="West Gear"/>
    <n v="1185732"/>
    <d v="2021-10-10T00:00:00"/>
    <x v="2"/>
    <s v="Indiana"/>
    <s v="Indianapolis"/>
    <s v="Men's Street Footwear"/>
    <n v="41"/>
    <n v="116"/>
    <x v="1049"/>
    <x v="543"/>
    <s v="Online"/>
  </r>
  <r>
    <s v="West Gear"/>
    <n v="1185732"/>
    <d v="2021-07-16T00:00:00"/>
    <x v="3"/>
    <s v="West Virginia"/>
    <s v="Charleston"/>
    <s v="Men's Athletic Footwear"/>
    <n v="50"/>
    <n v="116"/>
    <x v="1017"/>
    <x v="296"/>
    <s v="Online"/>
  </r>
  <r>
    <s v="Foot Locker"/>
    <n v="1185732"/>
    <d v="2021-07-06T00:00:00"/>
    <x v="3"/>
    <s v="Rhode Island"/>
    <s v="Providence"/>
    <s v="Women's Apparel"/>
    <n v="50"/>
    <n v="116"/>
    <x v="1017"/>
    <x v="498"/>
    <s v="Online"/>
  </r>
  <r>
    <s v="Amazon"/>
    <n v="1185732"/>
    <d v="2021-06-12T00:00:00"/>
    <x v="3"/>
    <s v="Vermont"/>
    <s v="Burlington"/>
    <s v="Men's Athletic Footwear"/>
    <n v="53"/>
    <n v="116"/>
    <x v="802"/>
    <x v="339"/>
    <s v="Online"/>
  </r>
  <r>
    <s v="Foot Locker"/>
    <n v="1185732"/>
    <d v="2021-11-18T00:00:00"/>
    <x v="3"/>
    <s v="New Hampshire"/>
    <s v="Manchester"/>
    <s v="Women's Apparel"/>
    <n v="78"/>
    <n v="116"/>
    <x v="420"/>
    <x v="77"/>
    <s v="Online"/>
  </r>
  <r>
    <s v="Foot Locker"/>
    <n v="1185732"/>
    <d v="2021-12-02T00:00:00"/>
    <x v="3"/>
    <s v="Pennsylvania"/>
    <s v="Philadelphia"/>
    <s v="Women's Apparel"/>
    <n v="50"/>
    <n v="116"/>
    <x v="1017"/>
    <x v="306"/>
    <s v="Outlet"/>
  </r>
  <r>
    <s v="West Gear"/>
    <n v="1128299"/>
    <d v="2020-01-21T00:00:00"/>
    <x v="4"/>
    <s v="Nevada"/>
    <s v="Las Vegas"/>
    <s v="Men's Athletic Footwear"/>
    <n v="46"/>
    <n v="116"/>
    <x v="1144"/>
    <x v="588"/>
    <s v="Outlet"/>
  </r>
  <r>
    <s v="Sports Direct"/>
    <n v="1197831"/>
    <d v="2021-08-16T00:00:00"/>
    <x v="1"/>
    <s v="Alabama"/>
    <s v="Birmingham"/>
    <s v="Women's Athletic Footwear"/>
    <n v="23"/>
    <n v="116"/>
    <x v="1145"/>
    <x v="591"/>
    <s v="Outlet"/>
  </r>
  <r>
    <s v="Sports Direct"/>
    <n v="1197831"/>
    <d v="2021-08-22T00:00:00"/>
    <x v="1"/>
    <s v="Alabama"/>
    <s v="Birmingham"/>
    <s v="Women's Athletic Footwear"/>
    <n v="15"/>
    <n v="116"/>
    <x v="1114"/>
    <x v="730"/>
    <s v="Outlet"/>
  </r>
  <r>
    <s v="Sports Direct"/>
    <n v="1197831"/>
    <d v="2021-09-22T00:00:00"/>
    <x v="1"/>
    <s v="Alabama"/>
    <s v="Birmingham"/>
    <s v="Men's Apparel"/>
    <n v="35"/>
    <n v="116"/>
    <x v="873"/>
    <x v="587"/>
    <s v="Outlet"/>
  </r>
  <r>
    <s v="Walmart"/>
    <n v="1128299"/>
    <d v="2021-10-17T00:00:00"/>
    <x v="0"/>
    <s v="Florida"/>
    <s v="Orlando"/>
    <s v="Men's Apparel"/>
    <n v="47"/>
    <n v="116"/>
    <x v="530"/>
    <x v="440"/>
    <s v="Outlet"/>
  </r>
  <r>
    <s v="Foot Locker"/>
    <n v="1197831"/>
    <d v="2021-02-04T00:00:00"/>
    <x v="4"/>
    <s v="Idaho"/>
    <s v="Boise"/>
    <s v="Women's Athletic Footwear"/>
    <n v="27"/>
    <n v="116"/>
    <x v="1070"/>
    <x v="672"/>
    <s v="Outlet"/>
  </r>
  <r>
    <s v="West Gear"/>
    <n v="1197831"/>
    <d v="2021-04-05T00:00:00"/>
    <x v="4"/>
    <s v="Idaho"/>
    <s v="Boise"/>
    <s v="Women's Athletic Footwear"/>
    <n v="20"/>
    <n v="116"/>
    <x v="1019"/>
    <x v="714"/>
    <s v="Outlet"/>
  </r>
  <r>
    <s v="Sports Direct"/>
    <n v="1197831"/>
    <d v="2021-10-04T00:00:00"/>
    <x v="4"/>
    <s v="Idaho"/>
    <s v="Boise"/>
    <s v="Women's Athletic Footwear"/>
    <n v="35"/>
    <n v="116"/>
    <x v="873"/>
    <x v="283"/>
    <s v="Outlet"/>
  </r>
  <r>
    <s v="Foot Locker"/>
    <n v="1128299"/>
    <d v="2021-02-23T00:00:00"/>
    <x v="4"/>
    <s v="Arizona"/>
    <s v="Phoenix"/>
    <s v="Women's Apparel"/>
    <n v="31"/>
    <n v="116"/>
    <x v="663"/>
    <x v="780"/>
    <s v="Outlet"/>
  </r>
  <r>
    <s v="Foot Locker"/>
    <n v="1128299"/>
    <d v="2021-03-22T00:00:00"/>
    <x v="4"/>
    <s v="Arizona"/>
    <s v="Phoenix"/>
    <s v="Men's Athletic Footwear"/>
    <n v="38"/>
    <n v="116"/>
    <x v="579"/>
    <x v="802"/>
    <s v="Outlet"/>
  </r>
  <r>
    <s v="Foot Locker"/>
    <n v="1128299"/>
    <d v="2021-05-24T00:00:00"/>
    <x v="4"/>
    <s v="Arizona"/>
    <s v="Phoenix"/>
    <s v="Men's Athletic Footwear"/>
    <n v="36"/>
    <n v="116"/>
    <x v="587"/>
    <x v="744"/>
    <s v="Outlet"/>
  </r>
  <r>
    <s v="Foot Locker"/>
    <n v="1128299"/>
    <d v="2021-11-23T00:00:00"/>
    <x v="4"/>
    <s v="Arizona"/>
    <s v="Phoenix"/>
    <s v="Women's Athletic Footwear"/>
    <n v="33"/>
    <n v="116"/>
    <x v="1037"/>
    <x v="547"/>
    <s v="Outlet"/>
  </r>
  <r>
    <s v="Kohl's"/>
    <n v="1128299"/>
    <d v="2021-04-26T00:00:00"/>
    <x v="4"/>
    <s v="New Mexico"/>
    <s v="Albuquerque"/>
    <s v="Women's Apparel"/>
    <n v="56"/>
    <n v="116"/>
    <x v="624"/>
    <x v="752"/>
    <s v="Outlet"/>
  </r>
  <r>
    <s v="Foot Locker"/>
    <n v="1185732"/>
    <d v="2021-04-17T00:00:00"/>
    <x v="1"/>
    <s v="Mississippi"/>
    <s v="Jackson"/>
    <s v="Men's Athletic Footwear"/>
    <n v="20"/>
    <n v="116"/>
    <x v="1019"/>
    <x v="831"/>
    <s v="Outlet"/>
  </r>
  <r>
    <s v="Foot Locker"/>
    <n v="1185732"/>
    <d v="2021-05-16T00:00:00"/>
    <x v="1"/>
    <s v="Mississippi"/>
    <s v="Jackson"/>
    <s v="Women's Athletic Footwear"/>
    <n v="24"/>
    <n v="116"/>
    <x v="1146"/>
    <x v="832"/>
    <s v="Outlet"/>
  </r>
  <r>
    <s v="Walmart"/>
    <n v="1197831"/>
    <d v="2021-05-19T00:00:00"/>
    <x v="1"/>
    <s v="Arkansas"/>
    <s v="Little Rock"/>
    <s v="Men's Athletic Footwear"/>
    <n v="28"/>
    <n v="116"/>
    <x v="1143"/>
    <x v="833"/>
    <s v="Outlet"/>
  </r>
  <r>
    <s v="Walmart"/>
    <n v="1197831"/>
    <d v="2021-06-21T00:00:00"/>
    <x v="1"/>
    <s v="Arkansas"/>
    <s v="Little Rock"/>
    <s v="Men's Apparel"/>
    <n v="37"/>
    <n v="116"/>
    <x v="905"/>
    <x v="816"/>
    <s v="Outlet"/>
  </r>
  <r>
    <s v="West Gear"/>
    <n v="1197831"/>
    <d v="2021-11-20T00:00:00"/>
    <x v="1"/>
    <s v="Arkansas"/>
    <s v="Little Rock"/>
    <s v="Men's Athletic Footwear"/>
    <n v="11"/>
    <n v="116"/>
    <x v="1147"/>
    <x v="834"/>
    <s v="Outlet"/>
  </r>
  <r>
    <s v="West Gear"/>
    <n v="1197831"/>
    <d v="2021-05-19T00:00:00"/>
    <x v="1"/>
    <s v="Oklahoma"/>
    <s v="Oklahoma City"/>
    <s v="Women's Apparel"/>
    <n v="33"/>
    <n v="116"/>
    <x v="1037"/>
    <x v="784"/>
    <s v="Outlet"/>
  </r>
  <r>
    <s v="West Gear"/>
    <n v="1197831"/>
    <d v="2021-07-19T00:00:00"/>
    <x v="1"/>
    <s v="Oklahoma"/>
    <s v="Oklahoma City"/>
    <s v="Men's Apparel"/>
    <n v="43"/>
    <n v="116"/>
    <x v="717"/>
    <x v="168"/>
    <s v="Outlet"/>
  </r>
  <r>
    <s v="Kohl's"/>
    <n v="1197831"/>
    <d v="2021-01-16T00:00:00"/>
    <x v="1"/>
    <s v="Oklahoma"/>
    <s v="Oklahoma City"/>
    <s v="Women's Street Footwear"/>
    <n v="12"/>
    <n v="116"/>
    <x v="1148"/>
    <x v="805"/>
    <s v="Outlet"/>
  </r>
  <r>
    <s v="Foot Locker"/>
    <n v="1185732"/>
    <d v="2021-11-04T00:00:00"/>
    <x v="3"/>
    <s v="Connecticut"/>
    <s v="Hartford"/>
    <s v="Women's Apparel"/>
    <n v="52"/>
    <n v="116"/>
    <x v="652"/>
    <x v="486"/>
    <s v="Outlet"/>
  </r>
  <r>
    <s v="Foot Locker"/>
    <n v="1185732"/>
    <d v="2021-12-03T00:00:00"/>
    <x v="3"/>
    <s v="Connecticut"/>
    <s v="Hartford"/>
    <s v="Women's Street Footwear"/>
    <n v="43"/>
    <n v="116"/>
    <x v="717"/>
    <x v="705"/>
    <s v="Outlet"/>
  </r>
  <r>
    <s v="Amazon"/>
    <n v="1185732"/>
    <d v="2021-08-11T00:00:00"/>
    <x v="3"/>
    <s v="Vermont"/>
    <s v="Burlington"/>
    <s v="Women's Street Footwear"/>
    <n v="34"/>
    <n v="116"/>
    <x v="1120"/>
    <x v="806"/>
    <s v="Outlet"/>
  </r>
  <r>
    <s v="Amazon"/>
    <n v="1185732"/>
    <d v="2021-09-17T00:00:00"/>
    <x v="3"/>
    <s v="New Hampshire"/>
    <s v="Manchester"/>
    <s v="Men's Athletic Footwear"/>
    <n v="43"/>
    <n v="116"/>
    <x v="717"/>
    <x v="306"/>
    <s v="Outlet"/>
  </r>
  <r>
    <s v="Foot Locker"/>
    <n v="1185732"/>
    <d v="2021-12-17T00:00:00"/>
    <x v="3"/>
    <s v="New Hampshire"/>
    <s v="Manchester"/>
    <s v="Women's Athletic Footwear"/>
    <n v="49"/>
    <n v="116"/>
    <x v="673"/>
    <x v="589"/>
    <s v="Outlet"/>
  </r>
  <r>
    <s v="Foot Locker"/>
    <n v="1185732"/>
    <d v="2021-07-24T00:00:00"/>
    <x v="2"/>
    <s v="Illinois"/>
    <s v="Chicago"/>
    <s v="Men's Street Footwear"/>
    <n v="56"/>
    <n v="115"/>
    <x v="765"/>
    <x v="337"/>
    <s v="Online"/>
  </r>
  <r>
    <s v="West Gear"/>
    <n v="1128299"/>
    <d v="2020-03-17T00:00:00"/>
    <x v="4"/>
    <s v="Nevada"/>
    <s v="Las Vegas"/>
    <s v="Women's Street Footwear"/>
    <n v="39"/>
    <n v="115"/>
    <x v="1089"/>
    <x v="429"/>
    <s v="Online"/>
  </r>
  <r>
    <s v="West Gear"/>
    <n v="1128299"/>
    <d v="2020-05-24T00:00:00"/>
    <x v="4"/>
    <s v="Colorado"/>
    <s v="Denver"/>
    <s v="Men's Apparel"/>
    <n v="68"/>
    <n v="115"/>
    <x v="446"/>
    <x v="649"/>
    <s v="Online"/>
  </r>
  <r>
    <s v="West Gear"/>
    <n v="1128299"/>
    <d v="2020-06-08T00:00:00"/>
    <x v="4"/>
    <s v="Washington"/>
    <s v="Seattle"/>
    <s v="Men's Athletic Footwear"/>
    <n v="58"/>
    <n v="115"/>
    <x v="339"/>
    <x v="746"/>
    <s v="Online"/>
  </r>
  <r>
    <s v="West Gear"/>
    <n v="1128299"/>
    <d v="2020-06-09T00:00:00"/>
    <x v="4"/>
    <s v="Washington"/>
    <s v="Seattle"/>
    <s v="Women's Street Footwear"/>
    <n v="60"/>
    <n v="115"/>
    <x v="621"/>
    <x v="512"/>
    <s v="Online"/>
  </r>
  <r>
    <s v="West Gear"/>
    <n v="1128299"/>
    <d v="2020-07-29T00:00:00"/>
    <x v="4"/>
    <s v="Washington"/>
    <s v="Seattle"/>
    <s v="Men's Apparel"/>
    <n v="85"/>
    <n v="115"/>
    <x v="1149"/>
    <x v="522"/>
    <s v="Online"/>
  </r>
  <r>
    <s v="Kohl's"/>
    <n v="1189833"/>
    <d v="2021-01-10T00:00:00"/>
    <x v="2"/>
    <s v="Montana"/>
    <s v="Billings"/>
    <s v="Men's Athletic Footwear"/>
    <n v="41"/>
    <n v="115"/>
    <x v="1028"/>
    <x v="709"/>
    <s v="Online"/>
  </r>
  <r>
    <s v="Sports Direct"/>
    <n v="1128299"/>
    <d v="2021-01-17T00:00:00"/>
    <x v="4"/>
    <s v="Hawaii"/>
    <s v="Honolulu"/>
    <s v="Men's Street Footwear"/>
    <n v="38"/>
    <n v="115"/>
    <x v="449"/>
    <x v="335"/>
    <s v="Online"/>
  </r>
  <r>
    <s v="Sports Direct"/>
    <n v="1128299"/>
    <d v="2021-03-16T00:00:00"/>
    <x v="0"/>
    <s v="Florida"/>
    <s v="Orlando"/>
    <s v="Women's Street Footwear"/>
    <n v="59"/>
    <n v="115"/>
    <x v="708"/>
    <x v="213"/>
    <s v="Online"/>
  </r>
  <r>
    <s v="West Gear"/>
    <n v="1185732"/>
    <d v="2021-02-11T00:00:00"/>
    <x v="2"/>
    <s v="Missouri"/>
    <s v="St. Louis"/>
    <s v="Women's Street Footwear"/>
    <n v="14"/>
    <n v="115"/>
    <x v="1150"/>
    <x v="835"/>
    <s v="Online"/>
  </r>
  <r>
    <s v="West Gear"/>
    <n v="1185732"/>
    <d v="2021-06-11T00:00:00"/>
    <x v="4"/>
    <s v="Utah"/>
    <s v="Salt Lake City"/>
    <s v="Women's Street Footwear"/>
    <n v="19"/>
    <n v="115"/>
    <x v="1151"/>
    <x v="827"/>
    <s v="Online"/>
  </r>
  <r>
    <s v="West Gear"/>
    <n v="1185732"/>
    <d v="2021-07-10T00:00:00"/>
    <x v="4"/>
    <s v="Utah"/>
    <s v="Salt Lake City"/>
    <s v="Women's Athletic Footwear"/>
    <n v="23"/>
    <n v="115"/>
    <x v="734"/>
    <x v="672"/>
    <s v="Online"/>
  </r>
  <r>
    <s v="Kohl's"/>
    <n v="1128299"/>
    <d v="2021-12-22T00:00:00"/>
    <x v="4"/>
    <s v="Arizona"/>
    <s v="Phoenix"/>
    <s v="Women's Athletic Footwear"/>
    <n v="44"/>
    <n v="115"/>
    <x v="1152"/>
    <x v="697"/>
    <s v="Online"/>
  </r>
  <r>
    <s v="Kohl's"/>
    <n v="1128299"/>
    <d v="2021-05-27T00:00:00"/>
    <x v="4"/>
    <s v="New Mexico"/>
    <s v="Albuquerque"/>
    <s v="Women's Apparel"/>
    <n v="69"/>
    <n v="115"/>
    <x v="270"/>
    <x v="245"/>
    <s v="Online"/>
  </r>
  <r>
    <s v="Kohl's"/>
    <n v="1128299"/>
    <d v="2021-11-26T00:00:00"/>
    <x v="4"/>
    <s v="New Mexico"/>
    <s v="Albuquerque"/>
    <s v="Women's Athletic Footwear"/>
    <n v="55"/>
    <n v="115"/>
    <x v="1153"/>
    <x v="701"/>
    <s v="Online"/>
  </r>
  <r>
    <s v="Sports Direct"/>
    <n v="1128299"/>
    <d v="2021-11-13T00:00:00"/>
    <x v="0"/>
    <s v="Georgia"/>
    <s v="Atlanta"/>
    <s v="Women's Street Footwear"/>
    <n v="54"/>
    <n v="115"/>
    <x v="702"/>
    <x v="213"/>
    <s v="Online"/>
  </r>
  <r>
    <s v="Amazon"/>
    <n v="1185732"/>
    <d v="2021-07-21T00:00:00"/>
    <x v="0"/>
    <s v="Kentucky"/>
    <s v="Louisville"/>
    <s v="Women's Apparel"/>
    <n v="50"/>
    <n v="115"/>
    <x v="883"/>
    <x v="582"/>
    <s v="Online"/>
  </r>
  <r>
    <s v="Foot Locker"/>
    <n v="1185732"/>
    <d v="2021-01-20T00:00:00"/>
    <x v="0"/>
    <s v="Kentucky"/>
    <s v="Louisville"/>
    <s v="Men's Apparel"/>
    <n v="38"/>
    <n v="115"/>
    <x v="449"/>
    <x v="659"/>
    <s v="Online"/>
  </r>
  <r>
    <s v="Walmart"/>
    <n v="1197831"/>
    <d v="2021-02-21T00:00:00"/>
    <x v="1"/>
    <s v="Arkansas"/>
    <s v="Little Rock"/>
    <s v="Women's Apparel"/>
    <n v="19"/>
    <n v="115"/>
    <x v="1151"/>
    <x v="758"/>
    <s v="Online"/>
  </r>
  <r>
    <s v="West Gear"/>
    <n v="1185732"/>
    <d v="2021-06-17T00:00:00"/>
    <x v="3"/>
    <s v="West Virginia"/>
    <s v="Charleston"/>
    <s v="Women's Apparel"/>
    <n v="59"/>
    <n v="115"/>
    <x v="708"/>
    <x v="610"/>
    <s v="Online"/>
  </r>
  <r>
    <s v="West Gear"/>
    <n v="1185732"/>
    <d v="2021-08-17T00:00:00"/>
    <x v="3"/>
    <s v="West Virginia"/>
    <s v="Charleston"/>
    <s v="Women's Apparel"/>
    <n v="54"/>
    <n v="115"/>
    <x v="702"/>
    <x v="89"/>
    <s v="Online"/>
  </r>
  <r>
    <s v="West Gear"/>
    <n v="1185732"/>
    <d v="2021-10-17T00:00:00"/>
    <x v="3"/>
    <s v="West Virginia"/>
    <s v="Charleston"/>
    <s v="Men's Street Footwear"/>
    <n v="41"/>
    <n v="115"/>
    <x v="1028"/>
    <x v="431"/>
    <s v="Online"/>
  </r>
  <r>
    <s v="Foot Locker"/>
    <n v="1185732"/>
    <d v="2021-01-10T00:00:00"/>
    <x v="3"/>
    <s v="Connecticut"/>
    <s v="Hartford"/>
    <s v="Men's Street Footwear"/>
    <n v="34"/>
    <n v="115"/>
    <x v="920"/>
    <x v="803"/>
    <s v="Online"/>
  </r>
  <r>
    <s v="Amazon"/>
    <n v="1185732"/>
    <d v="2021-07-10T00:00:00"/>
    <x v="3"/>
    <s v="Vermont"/>
    <s v="Burlington"/>
    <s v="Men's Athletic Footwear"/>
    <n v="51"/>
    <n v="115"/>
    <x v="910"/>
    <x v="264"/>
    <s v="Online"/>
  </r>
  <r>
    <s v="Amazon"/>
    <n v="1185732"/>
    <d v="2021-05-17T00:00:00"/>
    <x v="3"/>
    <s v="New Hampshire"/>
    <s v="Manchester"/>
    <s v="Women's Apparel"/>
    <n v="65"/>
    <n v="115"/>
    <x v="839"/>
    <x v="489"/>
    <s v="Online"/>
  </r>
  <r>
    <s v="Foot Locker"/>
    <n v="1185732"/>
    <d v="2021-12-17T00:00:00"/>
    <x v="3"/>
    <s v="New Hampshire"/>
    <s v="Manchester"/>
    <s v="Men's Athletic Footwear"/>
    <n v="59"/>
    <n v="115"/>
    <x v="708"/>
    <x v="177"/>
    <s v="Online"/>
  </r>
  <r>
    <s v="Sports Direct"/>
    <n v="1197831"/>
    <d v="2021-08-05T00:00:00"/>
    <x v="1"/>
    <s v="Alabama"/>
    <s v="Birmingham"/>
    <s v="Men's Apparel"/>
    <n v="31"/>
    <n v="114"/>
    <x v="680"/>
    <x v="590"/>
    <s v="Outlet"/>
  </r>
  <r>
    <s v="Sports Direct"/>
    <n v="1128299"/>
    <d v="2021-03-16T00:00:00"/>
    <x v="0"/>
    <s v="Florida"/>
    <s v="Orlando"/>
    <s v="Women's Athletic Footwear"/>
    <n v="42"/>
    <n v="114"/>
    <x v="1020"/>
    <x v="544"/>
    <s v="Outlet"/>
  </r>
  <r>
    <s v="Foot Locker"/>
    <n v="1128299"/>
    <d v="2021-04-24T00:00:00"/>
    <x v="0"/>
    <s v="Virginia"/>
    <s v="Richmond"/>
    <s v="Women's Street Footwear"/>
    <n v="41"/>
    <n v="114"/>
    <x v="853"/>
    <x v="579"/>
    <s v="Outlet"/>
  </r>
  <r>
    <s v="West Gear"/>
    <n v="1185732"/>
    <d v="2021-09-12T00:00:00"/>
    <x v="4"/>
    <s v="Utah"/>
    <s v="Salt Lake City"/>
    <s v="Men's Apparel"/>
    <n v="16"/>
    <n v="114"/>
    <x v="1154"/>
    <x v="830"/>
    <s v="Outlet"/>
  </r>
  <r>
    <s v="West Gear"/>
    <n v="1128299"/>
    <d v="2021-04-24T00:00:00"/>
    <x v="4"/>
    <s v="Oregon"/>
    <s v="Portland"/>
    <s v="Women's Street Footwear"/>
    <n v="47"/>
    <n v="114"/>
    <x v="417"/>
    <x v="580"/>
    <s v="Outlet"/>
  </r>
  <r>
    <s v="West Gear"/>
    <n v="1128299"/>
    <d v="2021-10-24T00:00:00"/>
    <x v="4"/>
    <s v="Oregon"/>
    <s v="Portland"/>
    <s v="Women's Athletic Footwear"/>
    <n v="34"/>
    <n v="114"/>
    <x v="619"/>
    <x v="670"/>
    <s v="Outlet"/>
  </r>
  <r>
    <s v="Kohl's"/>
    <n v="1128299"/>
    <d v="2021-10-26T00:00:00"/>
    <x v="4"/>
    <s v="New Mexico"/>
    <s v="Albuquerque"/>
    <s v="Men's Apparel"/>
    <n v="41"/>
    <n v="114"/>
    <x v="853"/>
    <x v="806"/>
    <s v="Outlet"/>
  </r>
  <r>
    <s v="Sports Direct"/>
    <n v="1128299"/>
    <d v="2021-05-14T00:00:00"/>
    <x v="0"/>
    <s v="Georgia"/>
    <s v="Atlanta"/>
    <s v="Women's Athletic Footwear"/>
    <n v="34"/>
    <n v="114"/>
    <x v="619"/>
    <x v="816"/>
    <s v="Outlet"/>
  </r>
  <r>
    <s v="Sports Direct"/>
    <n v="1128299"/>
    <d v="2021-10-13T00:00:00"/>
    <x v="0"/>
    <s v="Georgia"/>
    <s v="Atlanta"/>
    <s v="Women's Athletic Footwear"/>
    <n v="32"/>
    <n v="114"/>
    <x v="632"/>
    <x v="547"/>
    <s v="Outlet"/>
  </r>
  <r>
    <s v="Kohl's"/>
    <n v="1197831"/>
    <d v="2021-12-19T00:00:00"/>
    <x v="1"/>
    <s v="Oklahoma"/>
    <s v="Oklahoma City"/>
    <s v="Women's Athletic Footwear"/>
    <n v="45"/>
    <n v="114"/>
    <x v="727"/>
    <x v="618"/>
    <s v="Outlet"/>
  </r>
  <r>
    <s v="Foot Locker"/>
    <n v="1185732"/>
    <d v="2021-07-06T00:00:00"/>
    <x v="3"/>
    <s v="Rhode Island"/>
    <s v="Providence"/>
    <s v="Men's Athletic Footwear"/>
    <n v="32"/>
    <n v="114"/>
    <x v="632"/>
    <x v="546"/>
    <s v="Outlet"/>
  </r>
  <r>
    <s v="Sports Direct"/>
    <n v="1185732"/>
    <d v="2021-06-15T00:00:00"/>
    <x v="3"/>
    <s v="Massachusetts"/>
    <s v="Boston"/>
    <s v="Men's Athletic Footwear"/>
    <n v="36"/>
    <n v="114"/>
    <x v="984"/>
    <x v="594"/>
    <s v="Outlet"/>
  </r>
  <r>
    <s v="Amazon"/>
    <n v="1185732"/>
    <d v="2021-07-10T00:00:00"/>
    <x v="3"/>
    <s v="Vermont"/>
    <s v="Burlington"/>
    <s v="Men's Apparel"/>
    <n v="39"/>
    <n v="114"/>
    <x v="818"/>
    <x v="690"/>
    <s v="Outlet"/>
  </r>
  <r>
    <s v="Amazon"/>
    <n v="1185732"/>
    <d v="2021-06-19T00:00:00"/>
    <x v="3"/>
    <s v="New Hampshire"/>
    <s v="Manchester"/>
    <s v="Men's Apparel"/>
    <n v="47"/>
    <n v="114"/>
    <x v="417"/>
    <x v="684"/>
    <s v="Outlet"/>
  </r>
  <r>
    <s v="Foot Locker"/>
    <n v="1185732"/>
    <d v="2021-11-18T00:00:00"/>
    <x v="3"/>
    <s v="New Hampshire"/>
    <s v="Manchester"/>
    <s v="Men's Athletic Footwear"/>
    <n v="42"/>
    <n v="114"/>
    <x v="1020"/>
    <x v="429"/>
    <s v="Outlet"/>
  </r>
  <r>
    <s v="Foot Locker"/>
    <n v="1185732"/>
    <d v="2021-11-18T00:00:00"/>
    <x v="3"/>
    <s v="New Hampshire"/>
    <s v="Manchester"/>
    <s v="Women's Street Footwear"/>
    <n v="51"/>
    <n v="114"/>
    <x v="974"/>
    <x v="256"/>
    <s v="Outlet"/>
  </r>
  <r>
    <s v="Foot Locker"/>
    <n v="1185732"/>
    <d v="2021-11-18T00:00:00"/>
    <x v="3"/>
    <s v="New Hampshire"/>
    <s v="Manchester"/>
    <s v="Women's Athletic Footwear"/>
    <n v="43"/>
    <n v="114"/>
    <x v="556"/>
    <x v="816"/>
    <s v="Outlet"/>
  </r>
  <r>
    <s v="Kohl's"/>
    <n v="1189833"/>
    <d v="2021-03-17T00:00:00"/>
    <x v="4"/>
    <s v="California"/>
    <s v="Los Angeles"/>
    <s v="Men's Apparel"/>
    <n v="46"/>
    <n v="113"/>
    <x v="1155"/>
    <x v="610"/>
    <s v="Online"/>
  </r>
  <r>
    <s v="Foot Locker"/>
    <n v="1185732"/>
    <d v="2021-12-21T00:00:00"/>
    <x v="3"/>
    <s v="Pennsylvania"/>
    <s v="Philadelphia"/>
    <s v="Men's Street Footwear"/>
    <n v="66"/>
    <n v="113"/>
    <x v="778"/>
    <x v="411"/>
    <s v="Online"/>
  </r>
  <r>
    <s v="West Gear"/>
    <n v="1128299"/>
    <d v="2020-02-24T00:00:00"/>
    <x v="4"/>
    <s v="Nevada"/>
    <s v="Las Vegas"/>
    <s v="Women's Apparel"/>
    <n v="74"/>
    <n v="113"/>
    <x v="586"/>
    <x v="398"/>
    <s v="Online"/>
  </r>
  <r>
    <s v="West Gear"/>
    <n v="1128299"/>
    <d v="2020-04-04T00:00:00"/>
    <x v="4"/>
    <s v="Colorado"/>
    <s v="Denver"/>
    <s v="Women's Street Footwear"/>
    <n v="61"/>
    <n v="113"/>
    <x v="1123"/>
    <x v="422"/>
    <s v="Online"/>
  </r>
  <r>
    <s v="West Gear"/>
    <n v="1128299"/>
    <d v="2020-05-04T00:00:00"/>
    <x v="4"/>
    <s v="Colorado"/>
    <s v="Denver"/>
    <s v="Women's Street Footwear"/>
    <n v="60"/>
    <n v="113"/>
    <x v="1081"/>
    <x v="142"/>
    <s v="Online"/>
  </r>
  <r>
    <s v="West Gear"/>
    <n v="1128299"/>
    <d v="2020-07-18T00:00:00"/>
    <x v="4"/>
    <s v="Washington"/>
    <s v="Seattle"/>
    <s v="Women's Apparel"/>
    <n v="62"/>
    <n v="113"/>
    <x v="859"/>
    <x v="548"/>
    <s v="Online"/>
  </r>
  <r>
    <s v="West Gear"/>
    <n v="1128299"/>
    <d v="2020-07-21T00:00:00"/>
    <x v="4"/>
    <s v="Washington"/>
    <s v="Seattle"/>
    <s v="Women's Street Footwear"/>
    <n v="56"/>
    <n v="113"/>
    <x v="1153"/>
    <x v="697"/>
    <s v="Online"/>
  </r>
  <r>
    <s v="Foot Locker"/>
    <n v="1185732"/>
    <d v="2020-12-04T00:00:00"/>
    <x v="2"/>
    <s v="Minnesota"/>
    <s v="Minneapolis"/>
    <s v="Men's Street Footwear"/>
    <n v="43"/>
    <n v="113"/>
    <x v="810"/>
    <x v="528"/>
    <s v="Online"/>
  </r>
  <r>
    <s v="Kohl's"/>
    <n v="1189833"/>
    <d v="2021-02-05T00:00:00"/>
    <x v="2"/>
    <s v="Montana"/>
    <s v="Billings"/>
    <s v="Women's Athletic Footwear"/>
    <n v="36"/>
    <n v="113"/>
    <x v="1156"/>
    <x v="482"/>
    <s v="Online"/>
  </r>
  <r>
    <s v="Kohl's"/>
    <n v="1189833"/>
    <d v="2021-03-02T00:00:00"/>
    <x v="2"/>
    <s v="Montana"/>
    <s v="Billings"/>
    <s v="Men's Apparel"/>
    <n v="51"/>
    <n v="113"/>
    <x v="1091"/>
    <x v="49"/>
    <s v="Online"/>
  </r>
  <r>
    <s v="Sports Direct"/>
    <n v="1197831"/>
    <d v="2021-05-13T00:00:00"/>
    <x v="1"/>
    <s v="Tennessee"/>
    <s v="Knoxville"/>
    <s v="Men's Apparel"/>
    <n v="51"/>
    <n v="113"/>
    <x v="1091"/>
    <x v="121"/>
    <s v="Online"/>
  </r>
  <r>
    <s v="Sports Direct"/>
    <n v="1197831"/>
    <d v="2021-08-22T00:00:00"/>
    <x v="1"/>
    <s v="Alabama"/>
    <s v="Birmingham"/>
    <s v="Women's Athletic Footwear"/>
    <n v="18"/>
    <n v="113"/>
    <x v="1157"/>
    <x v="836"/>
    <s v="Online"/>
  </r>
  <r>
    <s v="Amazon"/>
    <n v="1185732"/>
    <d v="2021-12-20T00:00:00"/>
    <x v="3"/>
    <s v="Maine"/>
    <s v="Portland"/>
    <s v="Women's Apparel"/>
    <n v="58"/>
    <n v="113"/>
    <x v="957"/>
    <x v="337"/>
    <s v="Online"/>
  </r>
  <r>
    <s v="Amazon"/>
    <n v="1185732"/>
    <d v="2021-10-22T00:00:00"/>
    <x v="4"/>
    <s v="Alaska"/>
    <s v="Anchorage"/>
    <s v="Men's Street Footwear"/>
    <n v="68"/>
    <n v="113"/>
    <x v="265"/>
    <x v="383"/>
    <s v="Online"/>
  </r>
  <r>
    <s v="Foot Locker"/>
    <n v="1128299"/>
    <d v="2021-01-10T00:00:00"/>
    <x v="4"/>
    <s v="Alaska"/>
    <s v="Anchorage"/>
    <s v="Women's Street Footwear"/>
    <n v="41"/>
    <n v="113"/>
    <x v="1109"/>
    <x v="816"/>
    <s v="Online"/>
  </r>
  <r>
    <s v="Walmart"/>
    <n v="1128299"/>
    <d v="2021-11-10T00:00:00"/>
    <x v="4"/>
    <s v="Hawaii"/>
    <s v="Honolulu"/>
    <s v="Men's Apparel"/>
    <n v="83"/>
    <n v="113"/>
    <x v="614"/>
    <x v="246"/>
    <s v="Online"/>
  </r>
  <r>
    <s v="Walmart"/>
    <n v="1128299"/>
    <d v="2021-10-17T00:00:00"/>
    <x v="0"/>
    <s v="Florida"/>
    <s v="Orlando"/>
    <s v="Women's Athletic Footwear"/>
    <n v="51"/>
    <n v="113"/>
    <x v="1091"/>
    <x v="455"/>
    <s v="Online"/>
  </r>
  <r>
    <s v="Foot Locker"/>
    <n v="1128299"/>
    <d v="2021-02-24T00:00:00"/>
    <x v="4"/>
    <s v="Wyoming"/>
    <s v="Cheyenne"/>
    <s v="Men's Street Footwear"/>
    <n v="27"/>
    <n v="113"/>
    <x v="1158"/>
    <x v="445"/>
    <s v="Online"/>
  </r>
  <r>
    <s v="Foot Locker"/>
    <n v="1128299"/>
    <d v="2021-09-25T00:00:00"/>
    <x v="0"/>
    <s v="Virginia"/>
    <s v="Richmond"/>
    <s v="Men's Street Footwear"/>
    <n v="46"/>
    <n v="113"/>
    <x v="1155"/>
    <x v="112"/>
    <s v="Online"/>
  </r>
  <r>
    <s v="Foot Locker"/>
    <n v="1128299"/>
    <d v="2021-09-25T00:00:00"/>
    <x v="0"/>
    <s v="Virginia"/>
    <s v="Richmond"/>
    <s v="Men's Athletic Footwear"/>
    <n v="52"/>
    <n v="113"/>
    <x v="856"/>
    <x v="401"/>
    <s v="Online"/>
  </r>
  <r>
    <s v="Foot Locker"/>
    <n v="1128299"/>
    <d v="2021-11-24T00:00:00"/>
    <x v="0"/>
    <s v="Virginia"/>
    <s v="Richmond"/>
    <s v="Women's Athletic Footwear"/>
    <n v="52"/>
    <n v="113"/>
    <x v="856"/>
    <x v="116"/>
    <s v="Online"/>
  </r>
  <r>
    <s v="Foot Locker"/>
    <n v="1185732"/>
    <d v="2021-02-18T00:00:00"/>
    <x v="2"/>
    <s v="Michigan"/>
    <s v="Detroit"/>
    <s v="Women's Street Footwear"/>
    <n v="19"/>
    <n v="113"/>
    <x v="1159"/>
    <x v="780"/>
    <s v="Online"/>
  </r>
  <r>
    <s v="Foot Locker"/>
    <n v="1185732"/>
    <d v="2021-06-18T00:00:00"/>
    <x v="2"/>
    <s v="Missouri"/>
    <s v="St. Louis"/>
    <s v="Women's Street Footwear"/>
    <n v="23"/>
    <n v="113"/>
    <x v="845"/>
    <x v="822"/>
    <s v="Online"/>
  </r>
  <r>
    <s v="Foot Locker"/>
    <n v="1185732"/>
    <d v="2021-12-17T00:00:00"/>
    <x v="2"/>
    <s v="Missouri"/>
    <s v="St. Louis"/>
    <s v="Men's Athletic Footwear"/>
    <n v="32"/>
    <n v="113"/>
    <x v="1160"/>
    <x v="596"/>
    <s v="Online"/>
  </r>
  <r>
    <s v="West Gear"/>
    <n v="1185732"/>
    <d v="2021-08-11T00:00:00"/>
    <x v="4"/>
    <s v="Utah"/>
    <s v="Salt Lake City"/>
    <s v="Women's Street Footwear"/>
    <n v="29"/>
    <n v="113"/>
    <x v="780"/>
    <x v="547"/>
    <s v="Online"/>
  </r>
  <r>
    <s v="West Gear"/>
    <n v="1185732"/>
    <d v="2021-11-11T00:00:00"/>
    <x v="4"/>
    <s v="Utah"/>
    <s v="Salt Lake City"/>
    <s v="Women's Athletic Footwear"/>
    <n v="19"/>
    <n v="113"/>
    <x v="1159"/>
    <x v="663"/>
    <s v="Online"/>
  </r>
  <r>
    <s v="West Gear"/>
    <n v="1185732"/>
    <d v="2021-11-11T00:00:00"/>
    <x v="4"/>
    <s v="Utah"/>
    <s v="Salt Lake City"/>
    <s v="Women's Apparel"/>
    <n v="43"/>
    <n v="113"/>
    <x v="810"/>
    <x v="637"/>
    <s v="Online"/>
  </r>
  <r>
    <s v="West Gear"/>
    <n v="1185732"/>
    <d v="2021-12-10T00:00:00"/>
    <x v="4"/>
    <s v="Utah"/>
    <s v="Salt Lake City"/>
    <s v="Women's Street Footwear"/>
    <n v="29"/>
    <n v="113"/>
    <x v="780"/>
    <x v="806"/>
    <s v="Online"/>
  </r>
  <r>
    <s v="Foot Locker"/>
    <n v="1197831"/>
    <d v="2021-03-06T00:00:00"/>
    <x v="4"/>
    <s v="Idaho"/>
    <s v="Boise"/>
    <s v="Women's Street Footwear"/>
    <n v="28"/>
    <n v="113"/>
    <x v="1138"/>
    <x v="588"/>
    <s v="Online"/>
  </r>
  <r>
    <s v="West Gear"/>
    <n v="1197831"/>
    <d v="2021-04-05T00:00:00"/>
    <x v="4"/>
    <s v="Idaho"/>
    <s v="Boise"/>
    <s v="Women's Athletic Footwear"/>
    <n v="29"/>
    <n v="113"/>
    <x v="780"/>
    <x v="803"/>
    <s v="Online"/>
  </r>
  <r>
    <s v="Foot Locker"/>
    <n v="1128299"/>
    <d v="2021-02-23T00:00:00"/>
    <x v="4"/>
    <s v="Idaho"/>
    <s v="Boise"/>
    <s v="Men's Athletic Footwear"/>
    <n v="38"/>
    <n v="113"/>
    <x v="905"/>
    <x v="753"/>
    <s v="Online"/>
  </r>
  <r>
    <s v="Foot Locker"/>
    <n v="1128299"/>
    <d v="2021-05-24T00:00:00"/>
    <x v="4"/>
    <s v="Arizona"/>
    <s v="Phoenix"/>
    <s v="Men's Athletic Footwear"/>
    <n v="53"/>
    <n v="113"/>
    <x v="861"/>
    <x v="491"/>
    <s v="Online"/>
  </r>
  <r>
    <s v="Foot Locker"/>
    <n v="1128299"/>
    <d v="2021-08-23T00:00:00"/>
    <x v="4"/>
    <s v="Arizona"/>
    <s v="Phoenix"/>
    <s v="Women's Street Footwear"/>
    <n v="54"/>
    <n v="113"/>
    <x v="534"/>
    <x v="343"/>
    <s v="Online"/>
  </r>
  <r>
    <s v="Foot Locker"/>
    <n v="1128299"/>
    <d v="2021-09-24T00:00:00"/>
    <x v="4"/>
    <s v="Arizona"/>
    <s v="Phoenix"/>
    <s v="Women's Athletic Footwear"/>
    <n v="41"/>
    <n v="113"/>
    <x v="1109"/>
    <x v="285"/>
    <s v="Online"/>
  </r>
  <r>
    <s v="Kohl's"/>
    <n v="1128299"/>
    <d v="2021-11-26T00:00:00"/>
    <x v="4"/>
    <s v="New Mexico"/>
    <s v="Albuquerque"/>
    <s v="Men's Apparel"/>
    <n v="65"/>
    <n v="113"/>
    <x v="860"/>
    <x v="491"/>
    <s v="Online"/>
  </r>
  <r>
    <s v="Sports Direct"/>
    <n v="1128299"/>
    <d v="2021-03-12T00:00:00"/>
    <x v="0"/>
    <s v="Georgia"/>
    <s v="Atlanta"/>
    <s v="Women's Street Footwear"/>
    <n v="49"/>
    <n v="113"/>
    <x v="561"/>
    <x v="449"/>
    <s v="Online"/>
  </r>
  <r>
    <s v="Sports Direct"/>
    <n v="1128299"/>
    <d v="2021-08-13T00:00:00"/>
    <x v="0"/>
    <s v="Georgia"/>
    <s v="Atlanta"/>
    <s v="Women's Athletic Footwear"/>
    <n v="53"/>
    <n v="113"/>
    <x v="861"/>
    <x v="582"/>
    <s v="Online"/>
  </r>
  <r>
    <s v="Amazon"/>
    <n v="1185732"/>
    <d v="2021-03-09T00:00:00"/>
    <x v="2"/>
    <s v="Ohio"/>
    <s v="Columbus"/>
    <s v="Men's Apparel"/>
    <n v="37"/>
    <n v="113"/>
    <x v="587"/>
    <x v="168"/>
    <s v="Online"/>
  </r>
  <r>
    <s v="Amazon"/>
    <n v="1185732"/>
    <d v="2021-09-09T00:00:00"/>
    <x v="2"/>
    <s v="Ohio"/>
    <s v="Columbus"/>
    <s v="Women's Athletic Footwear"/>
    <n v="24"/>
    <n v="113"/>
    <x v="1161"/>
    <x v="761"/>
    <s v="Online"/>
  </r>
  <r>
    <s v="Walmart"/>
    <n v="1197831"/>
    <d v="2021-05-19T00:00:00"/>
    <x v="1"/>
    <s v="Arkansas"/>
    <s v="Little Rock"/>
    <s v="Men's Athletic Footwear"/>
    <n v="38"/>
    <n v="113"/>
    <x v="905"/>
    <x v="283"/>
    <s v="Online"/>
  </r>
  <r>
    <s v="Walmart"/>
    <n v="1197831"/>
    <d v="2021-08-20T00:00:00"/>
    <x v="1"/>
    <s v="Arkansas"/>
    <s v="Little Rock"/>
    <s v="Men's Apparel"/>
    <n v="48"/>
    <n v="113"/>
    <x v="1107"/>
    <x v="689"/>
    <s v="Online"/>
  </r>
  <r>
    <s v="West Gear"/>
    <n v="1197831"/>
    <d v="2021-08-20T00:00:00"/>
    <x v="1"/>
    <s v="Oklahoma"/>
    <s v="Oklahoma City"/>
    <s v="Men's Athletic Footwear"/>
    <n v="51"/>
    <n v="113"/>
    <x v="1091"/>
    <x v="449"/>
    <s v="Online"/>
  </r>
  <r>
    <s v="West Gear"/>
    <n v="1197831"/>
    <d v="2021-08-20T00:00:00"/>
    <x v="1"/>
    <s v="Oklahoma"/>
    <s v="Oklahoma City"/>
    <s v="Women's Street Footwear"/>
    <n v="47"/>
    <n v="113"/>
    <x v="895"/>
    <x v="246"/>
    <s v="Online"/>
  </r>
  <r>
    <s v="Kohl's"/>
    <n v="1197831"/>
    <d v="2021-08-13T00:00:00"/>
    <x v="2"/>
    <s v="Kansas"/>
    <s v="Wichita"/>
    <s v="Women's Apparel"/>
    <n v="52"/>
    <n v="113"/>
    <x v="856"/>
    <x v="592"/>
    <s v="Online"/>
  </r>
  <r>
    <s v="Foot Locker"/>
    <n v="1185732"/>
    <d v="2021-04-12T00:00:00"/>
    <x v="2"/>
    <s v="South Dakota"/>
    <s v="Sioux Falls"/>
    <s v="Men's Street Footwear"/>
    <n v="38"/>
    <n v="113"/>
    <x v="905"/>
    <x v="684"/>
    <s v="Online"/>
  </r>
  <r>
    <s v="Sports Direct"/>
    <n v="1185732"/>
    <d v="2021-04-09T00:00:00"/>
    <x v="2"/>
    <s v="North Dakota"/>
    <s v="Fargo"/>
    <s v="Men's Street Footwear"/>
    <n v="28"/>
    <n v="113"/>
    <x v="1138"/>
    <x v="588"/>
    <s v="Online"/>
  </r>
  <r>
    <s v="Foot Locker"/>
    <n v="1185732"/>
    <d v="2021-01-06T00:00:00"/>
    <x v="2"/>
    <s v="North Dakota"/>
    <s v="Fargo"/>
    <s v="Men's Street Footwear"/>
    <n v="27"/>
    <n v="113"/>
    <x v="1158"/>
    <x v="774"/>
    <s v="Online"/>
  </r>
  <r>
    <s v="West Gear"/>
    <n v="1185732"/>
    <d v="2021-10-03T00:00:00"/>
    <x v="2"/>
    <s v="Wisconsin"/>
    <s v="Milwaukee"/>
    <s v="Men's Street Footwear"/>
    <n v="43"/>
    <n v="113"/>
    <x v="810"/>
    <x v="381"/>
    <s v="Online"/>
  </r>
  <r>
    <s v="Sports Direct"/>
    <n v="1185732"/>
    <d v="2021-10-22T00:00:00"/>
    <x v="3"/>
    <s v="Maryland"/>
    <s v="Baltimore"/>
    <s v="Men's Street Footwear"/>
    <n v="52"/>
    <n v="113"/>
    <x v="856"/>
    <x v="598"/>
    <s v="Online"/>
  </r>
  <r>
    <s v="Sports Direct"/>
    <n v="1185732"/>
    <d v="2021-05-03T00:00:00"/>
    <x v="3"/>
    <s v="Connecticut"/>
    <s v="Hartford"/>
    <s v="Women's Apparel"/>
    <n v="55"/>
    <n v="113"/>
    <x v="887"/>
    <x v="121"/>
    <s v="Online"/>
  </r>
  <r>
    <s v="Sports Direct"/>
    <n v="1185732"/>
    <d v="2021-10-05T00:00:00"/>
    <x v="3"/>
    <s v="Connecticut"/>
    <s v="Hartford"/>
    <s v="Men's Street Footwear"/>
    <n v="59"/>
    <n v="113"/>
    <x v="339"/>
    <x v="667"/>
    <s v="Online"/>
  </r>
  <r>
    <s v="Amazon"/>
    <n v="1185732"/>
    <d v="2021-11-14T00:00:00"/>
    <x v="3"/>
    <s v="Massachusetts"/>
    <s v="Boston"/>
    <s v="Men's Street Footwear"/>
    <n v="62"/>
    <n v="113"/>
    <x v="859"/>
    <x v="723"/>
    <s v="Online"/>
  </r>
  <r>
    <s v="Amazon"/>
    <n v="1185732"/>
    <d v="2021-12-10T00:00:00"/>
    <x v="3"/>
    <s v="Vermont"/>
    <s v="Burlington"/>
    <s v="Women's Street Footwear"/>
    <n v="55"/>
    <n v="113"/>
    <x v="887"/>
    <x v="213"/>
    <s v="Online"/>
  </r>
  <r>
    <s v="Sports Direct"/>
    <n v="1197831"/>
    <d v="2021-08-15T00:00:00"/>
    <x v="1"/>
    <s v="Texas"/>
    <s v="Dallas"/>
    <s v="Men's Apparel"/>
    <n v="26"/>
    <n v="113"/>
    <x v="583"/>
    <x v="764"/>
    <s v="Outlet"/>
  </r>
  <r>
    <s v="West Gear"/>
    <n v="1128299"/>
    <d v="2020-02-27T00:00:00"/>
    <x v="4"/>
    <s v="Nevada"/>
    <s v="Las Vegas"/>
    <s v="Women's Street Footwear"/>
    <n v="47"/>
    <n v="113"/>
    <x v="895"/>
    <x v="355"/>
    <s v="Outlet"/>
  </r>
  <r>
    <s v="Sports Direct"/>
    <n v="1197831"/>
    <d v="2021-08-10T00:00:00"/>
    <x v="1"/>
    <s v="Alabama"/>
    <s v="Birmingham"/>
    <s v="Women's Athletic Footwear"/>
    <n v="24"/>
    <n v="113"/>
    <x v="1161"/>
    <x v="628"/>
    <s v="Outlet"/>
  </r>
  <r>
    <s v="Walmart"/>
    <n v="1128299"/>
    <d v="2021-04-17T00:00:00"/>
    <x v="0"/>
    <s v="Florida"/>
    <s v="Orlando"/>
    <s v="Women's Apparel"/>
    <n v="57"/>
    <n v="113"/>
    <x v="765"/>
    <x v="630"/>
    <s v="Outlet"/>
  </r>
  <r>
    <s v="Foot Locker"/>
    <n v="1128299"/>
    <d v="2021-07-22T00:00:00"/>
    <x v="4"/>
    <s v="Arizona"/>
    <s v="Phoenix"/>
    <s v="Women's Athletic Footwear"/>
    <n v="36"/>
    <n v="113"/>
    <x v="1156"/>
    <x v="588"/>
    <s v="Outlet"/>
  </r>
  <r>
    <s v="Sports Direct"/>
    <n v="1128299"/>
    <d v="2021-03-12T00:00:00"/>
    <x v="0"/>
    <s v="Georgia"/>
    <s v="Atlanta"/>
    <s v="Men's Athletic Footwear"/>
    <n v="37"/>
    <n v="113"/>
    <x v="587"/>
    <x v="785"/>
    <s v="Outlet"/>
  </r>
  <r>
    <s v="Sports Direct"/>
    <n v="1128299"/>
    <d v="2021-04-13T00:00:00"/>
    <x v="0"/>
    <s v="Georgia"/>
    <s v="Atlanta"/>
    <s v="Women's Street Footwear"/>
    <n v="36"/>
    <n v="113"/>
    <x v="1156"/>
    <x v="670"/>
    <s v="Outlet"/>
  </r>
  <r>
    <s v="Walmart"/>
    <n v="1197831"/>
    <d v="2021-08-20T00:00:00"/>
    <x v="1"/>
    <s v="Arkansas"/>
    <s v="Little Rock"/>
    <s v="Men's Apparel"/>
    <n v="40"/>
    <n v="113"/>
    <x v="553"/>
    <x v="816"/>
    <s v="Outlet"/>
  </r>
  <r>
    <s v="West Gear"/>
    <n v="1197831"/>
    <d v="2021-08-20T00:00:00"/>
    <x v="1"/>
    <s v="Oklahoma"/>
    <s v="Oklahoma City"/>
    <s v="Women's Street Footwear"/>
    <n v="38"/>
    <n v="113"/>
    <x v="905"/>
    <x v="247"/>
    <s v="Outlet"/>
  </r>
  <r>
    <s v="Foot Locker"/>
    <n v="1185732"/>
    <d v="2021-10-08T00:00:00"/>
    <x v="3"/>
    <s v="Rhode Island"/>
    <s v="Providence"/>
    <s v="Men's Street Footwear"/>
    <n v="37"/>
    <n v="113"/>
    <x v="587"/>
    <x v="524"/>
    <s v="Outlet"/>
  </r>
  <r>
    <s v="Amazon"/>
    <n v="1185732"/>
    <d v="2021-12-13T00:00:00"/>
    <x v="3"/>
    <s v="Massachusetts"/>
    <s v="Boston"/>
    <s v="Men's Athletic Footwear"/>
    <n v="37"/>
    <n v="113"/>
    <x v="587"/>
    <x v="836"/>
    <s v="Outlet"/>
  </r>
  <r>
    <s v="Amazon"/>
    <n v="1185732"/>
    <d v="2021-08-18T00:00:00"/>
    <x v="3"/>
    <s v="New Hampshire"/>
    <s v="Manchester"/>
    <s v="Women's Street Footwear"/>
    <n v="39"/>
    <n v="113"/>
    <x v="579"/>
    <x v="806"/>
    <s v="Outlet"/>
  </r>
  <r>
    <s v="Foot Locker"/>
    <n v="1185732"/>
    <d v="2021-07-30T00:00:00"/>
    <x v="2"/>
    <s v="Illinois"/>
    <s v="Chicago"/>
    <s v="Men's Street Footwear"/>
    <n v="55"/>
    <n v="112"/>
    <x v="458"/>
    <x v="251"/>
    <s v="Online"/>
  </r>
  <r>
    <s v="West Gear"/>
    <n v="1128299"/>
    <d v="2020-02-22T00:00:00"/>
    <x v="4"/>
    <s v="Nevada"/>
    <s v="Las Vegas"/>
    <s v="Women's Athletic Footwear"/>
    <n v="58"/>
    <n v="112"/>
    <x v="624"/>
    <x v="553"/>
    <s v="Online"/>
  </r>
  <r>
    <s v="West Gear"/>
    <n v="1128299"/>
    <d v="2020-03-13T00:00:00"/>
    <x v="4"/>
    <s v="Nevada"/>
    <s v="Las Vegas"/>
    <s v="Men's Apparel"/>
    <n v="69"/>
    <n v="112"/>
    <x v="178"/>
    <x v="340"/>
    <s v="Online"/>
  </r>
  <r>
    <s v="West Gear"/>
    <n v="1128299"/>
    <d v="2020-03-28T00:00:00"/>
    <x v="4"/>
    <s v="Colorado"/>
    <s v="Denver"/>
    <s v="Men's Athletic Footwear"/>
    <n v="48"/>
    <n v="112"/>
    <x v="884"/>
    <x v="571"/>
    <s v="Online"/>
  </r>
  <r>
    <s v="West Gear"/>
    <n v="1128299"/>
    <d v="2020-07-16T00:00:00"/>
    <x v="4"/>
    <s v="Washington"/>
    <s v="Seattle"/>
    <s v="Women's Athletic Footwear"/>
    <n v="67"/>
    <n v="112"/>
    <x v="923"/>
    <x v="477"/>
    <s v="Online"/>
  </r>
  <r>
    <s v="Kohl's"/>
    <n v="1189833"/>
    <d v="2021-01-14T00:00:00"/>
    <x v="2"/>
    <s v="Montana"/>
    <s v="Billings"/>
    <s v="Women's Apparel"/>
    <n v="42"/>
    <n v="112"/>
    <x v="1012"/>
    <x v="571"/>
    <s v="Online"/>
  </r>
  <r>
    <s v="Kohl's"/>
    <n v="1189833"/>
    <d v="2021-02-13T00:00:00"/>
    <x v="2"/>
    <s v="Montana"/>
    <s v="Billings"/>
    <s v="Women's Apparel"/>
    <n v="56"/>
    <n v="112"/>
    <x v="484"/>
    <x v="536"/>
    <s v="Online"/>
  </r>
  <r>
    <s v="Sports Direct"/>
    <n v="1197831"/>
    <d v="2021-03-31T00:00:00"/>
    <x v="1"/>
    <s v="Tennessee"/>
    <s v="Knoxville"/>
    <s v="Women's Athletic Footwear"/>
    <n v="23"/>
    <n v="112"/>
    <x v="1062"/>
    <x v="816"/>
    <s v="Online"/>
  </r>
  <r>
    <s v="Foot Locker"/>
    <n v="1185732"/>
    <d v="2021-07-08T00:00:00"/>
    <x v="2"/>
    <s v="Nebraska"/>
    <s v="Omaha"/>
    <s v="Men's Street Footwear"/>
    <n v="38"/>
    <n v="112"/>
    <x v="634"/>
    <x v="451"/>
    <s v="Online"/>
  </r>
  <r>
    <s v="Amazon"/>
    <n v="1185732"/>
    <d v="2021-06-22T00:00:00"/>
    <x v="4"/>
    <s v="Alaska"/>
    <s v="Anchorage"/>
    <s v="Men's Athletic Footwear"/>
    <n v="55"/>
    <n v="112"/>
    <x v="458"/>
    <x v="263"/>
    <s v="Online"/>
  </r>
  <r>
    <s v="Amazon"/>
    <n v="1185732"/>
    <d v="2021-12-20T00:00:00"/>
    <x v="4"/>
    <s v="Alaska"/>
    <s v="Anchorage"/>
    <s v="Men's Athletic Footwear"/>
    <n v="60"/>
    <n v="112"/>
    <x v="366"/>
    <x v="637"/>
    <s v="Online"/>
  </r>
  <r>
    <s v="Walmart"/>
    <n v="1128299"/>
    <d v="2021-10-17T00:00:00"/>
    <x v="0"/>
    <s v="Florida"/>
    <s v="Orlando"/>
    <s v="Women's Street Footwear"/>
    <n v="55"/>
    <n v="112"/>
    <x v="458"/>
    <x v="356"/>
    <s v="Online"/>
  </r>
  <r>
    <s v="Kohl's"/>
    <n v="1185732"/>
    <d v="2021-03-10T00:00:00"/>
    <x v="4"/>
    <s v="Wyoming"/>
    <s v="Cheyenne"/>
    <s v="Women's Athletic Footwear"/>
    <n v="33"/>
    <n v="112"/>
    <x v="1088"/>
    <x v="596"/>
    <s v="Online"/>
  </r>
  <r>
    <s v="Sports Direct"/>
    <n v="1185732"/>
    <d v="2021-10-17T00:00:00"/>
    <x v="2"/>
    <s v="Michigan"/>
    <s v="Detroit"/>
    <s v="Men's Apparel"/>
    <n v="48"/>
    <n v="112"/>
    <x v="884"/>
    <x v="680"/>
    <s v="Online"/>
  </r>
  <r>
    <s v="West Gear"/>
    <n v="1185732"/>
    <d v="2021-03-10T00:00:00"/>
    <x v="4"/>
    <s v="Utah"/>
    <s v="Salt Lake City"/>
    <s v="Women's Street Footwear"/>
    <n v="18"/>
    <n v="112"/>
    <x v="1137"/>
    <x v="713"/>
    <s v="Online"/>
  </r>
  <r>
    <s v="West Gear"/>
    <n v="1185732"/>
    <d v="2021-04-11T00:00:00"/>
    <x v="4"/>
    <s v="Utah"/>
    <s v="Salt Lake City"/>
    <s v="Women's Apparel"/>
    <n v="24"/>
    <n v="112"/>
    <x v="1162"/>
    <x v="547"/>
    <s v="Online"/>
  </r>
  <r>
    <s v="West Gear"/>
    <n v="1185732"/>
    <d v="2021-06-11T00:00:00"/>
    <x v="4"/>
    <s v="Utah"/>
    <s v="Salt Lake City"/>
    <s v="Men's Athletic Footwear"/>
    <n v="24"/>
    <n v="112"/>
    <x v="1162"/>
    <x v="672"/>
    <s v="Online"/>
  </r>
  <r>
    <s v="West Gear"/>
    <n v="1185732"/>
    <d v="2021-12-10T00:00:00"/>
    <x v="4"/>
    <s v="Utah"/>
    <s v="Salt Lake City"/>
    <s v="Women's Athletic Footwear"/>
    <n v="27"/>
    <n v="112"/>
    <x v="1163"/>
    <x v="806"/>
    <s v="Online"/>
  </r>
  <r>
    <s v="West Gear"/>
    <n v="1185732"/>
    <d v="2021-12-10T00:00:00"/>
    <x v="4"/>
    <s v="Utah"/>
    <s v="Salt Lake City"/>
    <s v="Men's Apparel"/>
    <n v="38"/>
    <n v="112"/>
    <x v="634"/>
    <x v="796"/>
    <s v="Online"/>
  </r>
  <r>
    <s v="West Gear"/>
    <n v="1128299"/>
    <d v="2021-01-17T00:00:00"/>
    <x v="4"/>
    <s v="Oregon"/>
    <s v="Portland"/>
    <s v="Women's Street Footwear"/>
    <n v="43"/>
    <n v="112"/>
    <x v="650"/>
    <x v="112"/>
    <s v="Online"/>
  </r>
  <r>
    <s v="West Gear"/>
    <n v="1128299"/>
    <d v="2021-05-18T00:00:00"/>
    <x v="1"/>
    <s v="Louisiana"/>
    <s v="New Orleans"/>
    <s v="Women's Street Footwear"/>
    <n v="49"/>
    <n v="112"/>
    <x v="672"/>
    <x v="333"/>
    <s v="Online"/>
  </r>
  <r>
    <s v="West Gear"/>
    <n v="1128299"/>
    <d v="2021-10-17T00:00:00"/>
    <x v="1"/>
    <s v="Louisiana"/>
    <s v="New Orleans"/>
    <s v="Men's Street Footwear"/>
    <n v="34"/>
    <n v="112"/>
    <x v="1063"/>
    <x v="429"/>
    <s v="Online"/>
  </r>
  <r>
    <s v="Foot Locker"/>
    <n v="1128299"/>
    <d v="2021-08-23T00:00:00"/>
    <x v="4"/>
    <s v="Arizona"/>
    <s v="Phoenix"/>
    <s v="Women's Athletic Footwear"/>
    <n v="52"/>
    <n v="112"/>
    <x v="485"/>
    <x v="243"/>
    <s v="Online"/>
  </r>
  <r>
    <s v="Kohl's"/>
    <n v="1128299"/>
    <d v="2021-03-25T00:00:00"/>
    <x v="4"/>
    <s v="New Mexico"/>
    <s v="Albuquerque"/>
    <s v="Men's Athletic Footwear"/>
    <n v="51"/>
    <n v="112"/>
    <x v="844"/>
    <x v="409"/>
    <s v="Online"/>
  </r>
  <r>
    <s v="Kohl's"/>
    <n v="1128299"/>
    <d v="2021-03-25T00:00:00"/>
    <x v="4"/>
    <s v="New Mexico"/>
    <s v="Albuquerque"/>
    <s v="Women's Street Footwear"/>
    <n v="52"/>
    <n v="112"/>
    <x v="485"/>
    <x v="243"/>
    <s v="Online"/>
  </r>
  <r>
    <s v="Sports Direct"/>
    <n v="1128299"/>
    <d v="2021-02-13T00:00:00"/>
    <x v="4"/>
    <s v="New Mexico"/>
    <s v="Albuquerque"/>
    <s v="Men's Athletic Footwear"/>
    <n v="37"/>
    <n v="112"/>
    <x v="1164"/>
    <x v="697"/>
    <s v="Online"/>
  </r>
  <r>
    <s v="Amazon"/>
    <n v="1185732"/>
    <d v="2021-10-11T00:00:00"/>
    <x v="2"/>
    <s v="Ohio"/>
    <s v="Columbus"/>
    <s v="Women's Athletic Footwear"/>
    <n v="29"/>
    <n v="112"/>
    <x v="1143"/>
    <x v="612"/>
    <s v="Online"/>
  </r>
  <r>
    <s v="West Gear"/>
    <n v="1197831"/>
    <d v="2021-12-19T00:00:00"/>
    <x v="1"/>
    <s v="Arkansas"/>
    <s v="Little Rock"/>
    <s v="Men's Apparel"/>
    <n v="64"/>
    <n v="112"/>
    <x v="269"/>
    <x v="56"/>
    <s v="Online"/>
  </r>
  <r>
    <s v="Foot Locker"/>
    <n v="1197831"/>
    <d v="2021-12-12T00:00:00"/>
    <x v="2"/>
    <s v="Kansas"/>
    <s v="Wichita"/>
    <s v="Women's Apparel"/>
    <n v="68"/>
    <n v="112"/>
    <x v="432"/>
    <x v="231"/>
    <s v="Online"/>
  </r>
  <r>
    <s v="Foot Locker"/>
    <n v="1185732"/>
    <d v="2021-10-06T00:00:00"/>
    <x v="2"/>
    <s v="Iowa"/>
    <s v="Des Moines"/>
    <s v="Men's Street Footwear"/>
    <n v="43"/>
    <n v="112"/>
    <x v="650"/>
    <x v="180"/>
    <s v="Online"/>
  </r>
  <r>
    <s v="West Gear"/>
    <n v="1185732"/>
    <d v="2021-11-06T00:00:00"/>
    <x v="2"/>
    <s v="Iowa"/>
    <s v="Des Moines"/>
    <s v="Men's Street Footwear"/>
    <n v="41"/>
    <n v="112"/>
    <x v="1073"/>
    <x v="247"/>
    <s v="Online"/>
  </r>
  <r>
    <s v="West Gear"/>
    <n v="1185732"/>
    <d v="2021-12-16T00:00:00"/>
    <x v="3"/>
    <s v="West Virginia"/>
    <s v="Charleston"/>
    <s v="Women's Street Footwear"/>
    <n v="50"/>
    <n v="112"/>
    <x v="482"/>
    <x v="701"/>
    <s v="Online"/>
  </r>
  <r>
    <s v="Sports Direct"/>
    <n v="1185732"/>
    <d v="2021-07-03T00:00:00"/>
    <x v="3"/>
    <s v="Connecticut"/>
    <s v="Hartford"/>
    <s v="Men's Athletic Footwear"/>
    <n v="48"/>
    <n v="112"/>
    <x v="884"/>
    <x v="243"/>
    <s v="Online"/>
  </r>
  <r>
    <s v="Foot Locker"/>
    <n v="1185732"/>
    <d v="2021-12-03T00:00:00"/>
    <x v="3"/>
    <s v="Connecticut"/>
    <s v="Hartford"/>
    <s v="Women's Apparel"/>
    <n v="67"/>
    <n v="112"/>
    <x v="923"/>
    <x v="422"/>
    <s v="Online"/>
  </r>
  <r>
    <s v="Amazon"/>
    <n v="1185732"/>
    <d v="2021-12-13T00:00:00"/>
    <x v="3"/>
    <s v="Massachusetts"/>
    <s v="Boston"/>
    <s v="Women's Apparel"/>
    <n v="65"/>
    <n v="112"/>
    <x v="1165"/>
    <x v="535"/>
    <s v="Online"/>
  </r>
  <r>
    <s v="Foot Locker"/>
    <n v="1128299"/>
    <d v="2021-03-23T00:00:00"/>
    <x v="0"/>
    <s v="Virginia"/>
    <s v="Richmond"/>
    <s v="Women's Street Footwear"/>
    <n v="43"/>
    <n v="112"/>
    <x v="650"/>
    <x v="180"/>
    <s v="Outlet"/>
  </r>
  <r>
    <s v="West Gear"/>
    <n v="1128299"/>
    <d v="2021-03-23T00:00:00"/>
    <x v="4"/>
    <s v="Oregon"/>
    <s v="Portland"/>
    <s v="Women's Street Footwear"/>
    <n v="41"/>
    <n v="112"/>
    <x v="1073"/>
    <x v="596"/>
    <s v="Outlet"/>
  </r>
  <r>
    <s v="West Gear"/>
    <n v="1128299"/>
    <d v="2021-10-17T00:00:00"/>
    <x v="1"/>
    <s v="Louisiana"/>
    <s v="New Orleans"/>
    <s v="Men's Apparel"/>
    <n v="39"/>
    <n v="112"/>
    <x v="449"/>
    <x v="659"/>
    <s v="Outlet"/>
  </r>
  <r>
    <s v="Foot Locker"/>
    <n v="1197831"/>
    <d v="2021-03-06T00:00:00"/>
    <x v="4"/>
    <s v="Idaho"/>
    <s v="Boise"/>
    <s v="Women's Athletic Footwear"/>
    <n v="26"/>
    <n v="112"/>
    <x v="1166"/>
    <x v="774"/>
    <s v="Outlet"/>
  </r>
  <r>
    <s v="Kohl's"/>
    <n v="1128299"/>
    <d v="2021-10-26T00:00:00"/>
    <x v="4"/>
    <s v="New Mexico"/>
    <s v="Albuquerque"/>
    <s v="Women's Athletic Footwear"/>
    <n v="35"/>
    <n v="112"/>
    <x v="1047"/>
    <x v="705"/>
    <s v="Outlet"/>
  </r>
  <r>
    <s v="Sports Direct"/>
    <n v="1128299"/>
    <d v="2021-03-12T00:00:00"/>
    <x v="0"/>
    <s v="Georgia"/>
    <s v="Atlanta"/>
    <s v="Women's Apparel"/>
    <n v="40"/>
    <n v="112"/>
    <x v="939"/>
    <x v="837"/>
    <s v="Outlet"/>
  </r>
  <r>
    <s v="Sports Direct"/>
    <n v="1128299"/>
    <d v="2021-04-13T00:00:00"/>
    <x v="0"/>
    <s v="Georgia"/>
    <s v="Atlanta"/>
    <s v="Women's Apparel"/>
    <n v="56"/>
    <n v="112"/>
    <x v="484"/>
    <x v="419"/>
    <s v="Outlet"/>
  </r>
  <r>
    <s v="Sports Direct"/>
    <n v="1197831"/>
    <d v="2021-02-21T00:00:00"/>
    <x v="1"/>
    <s v="Mississippi"/>
    <s v="Jackson"/>
    <s v="Men's Athletic Footwear"/>
    <n v="17"/>
    <n v="112"/>
    <x v="1067"/>
    <x v="488"/>
    <s v="Outlet"/>
  </r>
  <r>
    <s v="Walmart"/>
    <n v="1197831"/>
    <d v="2021-03-19T00:00:00"/>
    <x v="1"/>
    <s v="Arkansas"/>
    <s v="Little Rock"/>
    <s v="Women's Street Footwear"/>
    <n v="8"/>
    <n v="112"/>
    <x v="1167"/>
    <x v="838"/>
    <s v="Outlet"/>
  </r>
  <r>
    <s v="Walmart"/>
    <n v="1197831"/>
    <d v="2021-03-19T00:00:00"/>
    <x v="1"/>
    <s v="Arkansas"/>
    <s v="Little Rock"/>
    <s v="Women's Apparel"/>
    <n v="20"/>
    <n v="112"/>
    <x v="1046"/>
    <x v="798"/>
    <s v="Outlet"/>
  </r>
  <r>
    <s v="West Gear"/>
    <n v="1197831"/>
    <d v="2021-02-21T00:00:00"/>
    <x v="1"/>
    <s v="Oklahoma"/>
    <s v="Oklahoma City"/>
    <s v="Women's Apparel"/>
    <n v="14"/>
    <n v="112"/>
    <x v="488"/>
    <x v="835"/>
    <s v="Outlet"/>
  </r>
  <r>
    <s v="West Gear"/>
    <n v="1197831"/>
    <d v="2021-10-21T00:00:00"/>
    <x v="1"/>
    <s v="Oklahoma"/>
    <s v="Oklahoma City"/>
    <s v="Men's Athletic Footwear"/>
    <n v="14"/>
    <n v="112"/>
    <x v="488"/>
    <x v="839"/>
    <s v="Outlet"/>
  </r>
  <r>
    <s v="Sports Direct"/>
    <n v="1185732"/>
    <d v="2021-08-14T00:00:00"/>
    <x v="3"/>
    <s v="Massachusetts"/>
    <s v="Boston"/>
    <s v="Men's Athletic Footwear"/>
    <n v="33"/>
    <n v="112"/>
    <x v="1088"/>
    <x v="758"/>
    <s v="Outlet"/>
  </r>
  <r>
    <s v="Amazon"/>
    <n v="1185732"/>
    <d v="2021-12-13T00:00:00"/>
    <x v="3"/>
    <s v="Massachusetts"/>
    <s v="Boston"/>
    <s v="Women's Street Footwear"/>
    <n v="36"/>
    <n v="112"/>
    <x v="963"/>
    <x v="663"/>
    <s v="Outlet"/>
  </r>
  <r>
    <s v="Sports Direct"/>
    <n v="1197831"/>
    <d v="2021-10-07T00:00:00"/>
    <x v="1"/>
    <s v="Texas"/>
    <s v="Dallas"/>
    <s v="Women's Athletic Footwear"/>
    <n v="41"/>
    <n v="111"/>
    <x v="1053"/>
    <x v="456"/>
    <s v="Online"/>
  </r>
  <r>
    <s v="Foot Locker"/>
    <n v="1185732"/>
    <d v="2021-10-22T00:00:00"/>
    <x v="1"/>
    <s v="Texas"/>
    <s v="Dallas"/>
    <s v="Men's Street Footwear"/>
    <n v="44"/>
    <n v="111"/>
    <x v="1133"/>
    <x v="143"/>
    <s v="Online"/>
  </r>
  <r>
    <s v="West Gear"/>
    <n v="1128299"/>
    <d v="2020-02-04T00:00:00"/>
    <x v="4"/>
    <s v="Nevada"/>
    <s v="Las Vegas"/>
    <s v="Women's Athletic Footwear"/>
    <n v="58"/>
    <n v="111"/>
    <x v="765"/>
    <x v="264"/>
    <s v="Online"/>
  </r>
  <r>
    <s v="West Gear"/>
    <n v="1128299"/>
    <d v="2020-03-22T00:00:00"/>
    <x v="4"/>
    <s v="Colorado"/>
    <s v="Denver"/>
    <s v="Men's Athletic Footwear"/>
    <n v="38"/>
    <n v="111"/>
    <x v="823"/>
    <x v="822"/>
    <s v="Online"/>
  </r>
  <r>
    <s v="West Gear"/>
    <n v="1128299"/>
    <d v="2020-07-17T00:00:00"/>
    <x v="4"/>
    <s v="Washington"/>
    <s v="Seattle"/>
    <s v="Men's Apparel"/>
    <n v="72"/>
    <n v="111"/>
    <x v="867"/>
    <x v="535"/>
    <s v="Online"/>
  </r>
  <r>
    <s v="Kohl's"/>
    <n v="1189833"/>
    <d v="2021-01-23T00:00:00"/>
    <x v="2"/>
    <s v="Montana"/>
    <s v="Billings"/>
    <s v="Women's Street Footwear"/>
    <n v="44"/>
    <n v="111"/>
    <x v="1133"/>
    <x v="661"/>
    <s v="Online"/>
  </r>
  <r>
    <s v="Sports Direct"/>
    <n v="1197831"/>
    <d v="2021-03-27T00:00:00"/>
    <x v="1"/>
    <s v="Tennessee"/>
    <s v="Knoxville"/>
    <s v="Women's Apparel"/>
    <n v="33"/>
    <n v="111"/>
    <x v="554"/>
    <x v="655"/>
    <s v="Online"/>
  </r>
  <r>
    <s v="Sports Direct"/>
    <n v="1197831"/>
    <d v="2021-10-04T00:00:00"/>
    <x v="1"/>
    <s v="Alabama"/>
    <s v="Birmingham"/>
    <s v="Men's Apparel"/>
    <n v="48"/>
    <n v="111"/>
    <x v="1025"/>
    <x v="74"/>
    <s v="Online"/>
  </r>
  <r>
    <s v="Amazon"/>
    <n v="1185732"/>
    <d v="2021-07-20T00:00:00"/>
    <x v="4"/>
    <s v="Alaska"/>
    <s v="Anchorage"/>
    <s v="Men's Athletic Footwear"/>
    <n v="59"/>
    <n v="111"/>
    <x v="957"/>
    <x v="263"/>
    <s v="Online"/>
  </r>
  <r>
    <s v="Sports Direct"/>
    <n v="1128299"/>
    <d v="2021-02-17T00:00:00"/>
    <x v="4"/>
    <s v="Hawaii"/>
    <s v="Honolulu"/>
    <s v="Men's Athletic Footwear"/>
    <n v="49"/>
    <n v="111"/>
    <x v="938"/>
    <x v="506"/>
    <s v="Online"/>
  </r>
  <r>
    <s v="Sports Direct"/>
    <n v="1128299"/>
    <d v="2021-02-17T00:00:00"/>
    <x v="4"/>
    <s v="Hawaii"/>
    <s v="Honolulu"/>
    <s v="Women's Street Footwear"/>
    <n v="49"/>
    <n v="111"/>
    <x v="938"/>
    <x v="285"/>
    <s v="Online"/>
  </r>
  <r>
    <s v="Foot Locker"/>
    <n v="1128299"/>
    <d v="2021-08-24T00:00:00"/>
    <x v="0"/>
    <s v="Virginia"/>
    <s v="Richmond"/>
    <s v="Women's Athletic Footwear"/>
    <n v="66"/>
    <n v="111"/>
    <x v="748"/>
    <x v="266"/>
    <s v="Online"/>
  </r>
  <r>
    <s v="Foot Locker"/>
    <n v="1128299"/>
    <d v="2021-11-24T00:00:00"/>
    <x v="0"/>
    <s v="Virginia"/>
    <s v="Richmond"/>
    <s v="Men's Apparel"/>
    <n v="73"/>
    <n v="111"/>
    <x v="771"/>
    <x v="78"/>
    <s v="Online"/>
  </r>
  <r>
    <s v="Sports Direct"/>
    <n v="1185732"/>
    <d v="2021-04-16T00:00:00"/>
    <x v="2"/>
    <s v="Michigan"/>
    <s v="Detroit"/>
    <s v="Men's Athletic Footwear"/>
    <n v="38"/>
    <n v="111"/>
    <x v="823"/>
    <x v="773"/>
    <s v="Online"/>
  </r>
  <r>
    <s v="West Gear"/>
    <n v="1128299"/>
    <d v="2021-11-24T00:00:00"/>
    <x v="4"/>
    <s v="Oregon"/>
    <s v="Portland"/>
    <s v="Men's Apparel"/>
    <n v="68"/>
    <n v="111"/>
    <x v="616"/>
    <x v="81"/>
    <s v="Online"/>
  </r>
  <r>
    <s v="Foot Locker"/>
    <n v="1128299"/>
    <d v="2021-01-23T00:00:00"/>
    <x v="4"/>
    <s v="Idaho"/>
    <s v="Boise"/>
    <s v="Women's Apparel"/>
    <n v="36"/>
    <n v="111"/>
    <x v="842"/>
    <x v="445"/>
    <s v="Online"/>
  </r>
  <r>
    <s v="Foot Locker"/>
    <n v="1128299"/>
    <d v="2021-11-23T00:00:00"/>
    <x v="4"/>
    <s v="Arizona"/>
    <s v="Phoenix"/>
    <s v="Women's Apparel"/>
    <n v="55"/>
    <n v="111"/>
    <x v="902"/>
    <x v="565"/>
    <s v="Online"/>
  </r>
  <r>
    <s v="Kohl's"/>
    <n v="1128299"/>
    <d v="2021-02-26T00:00:00"/>
    <x v="4"/>
    <s v="Arizona"/>
    <s v="Phoenix"/>
    <s v="Women's Street Footwear"/>
    <n v="41"/>
    <n v="111"/>
    <x v="1053"/>
    <x v="306"/>
    <s v="Online"/>
  </r>
  <r>
    <s v="Kohl's"/>
    <n v="1128299"/>
    <d v="2021-05-27T00:00:00"/>
    <x v="4"/>
    <s v="New Mexico"/>
    <s v="Albuquerque"/>
    <s v="Men's Athletic Footwear"/>
    <n v="58"/>
    <n v="111"/>
    <x v="765"/>
    <x v="264"/>
    <s v="Online"/>
  </r>
  <r>
    <s v="Kohl's"/>
    <n v="1128299"/>
    <d v="2021-09-27T00:00:00"/>
    <x v="4"/>
    <s v="New Mexico"/>
    <s v="Albuquerque"/>
    <s v="Men's Apparel"/>
    <n v="54"/>
    <n v="111"/>
    <x v="861"/>
    <x v="746"/>
    <s v="Online"/>
  </r>
  <r>
    <s v="Amazon"/>
    <n v="1185732"/>
    <d v="2021-04-10T00:00:00"/>
    <x v="2"/>
    <s v="Ohio"/>
    <s v="Columbus"/>
    <s v="Men's Athletic Footwear"/>
    <n v="28"/>
    <n v="111"/>
    <x v="1168"/>
    <x v="563"/>
    <s v="Online"/>
  </r>
  <r>
    <s v="Sports Direct"/>
    <n v="1185732"/>
    <d v="2021-11-17T00:00:00"/>
    <x v="1"/>
    <s v="Mississippi"/>
    <s v="Jackson"/>
    <s v="Women's Street Footwear"/>
    <n v="28"/>
    <n v="111"/>
    <x v="1168"/>
    <x v="544"/>
    <s v="Online"/>
  </r>
  <r>
    <s v="Walmart"/>
    <n v="1197831"/>
    <d v="2021-05-19T00:00:00"/>
    <x v="1"/>
    <s v="Arkansas"/>
    <s v="Little Rock"/>
    <s v="Women's Apparel"/>
    <n v="44"/>
    <n v="111"/>
    <x v="1133"/>
    <x v="661"/>
    <s v="Online"/>
  </r>
  <r>
    <s v="Kohl's"/>
    <n v="1197831"/>
    <d v="2021-08-13T00:00:00"/>
    <x v="2"/>
    <s v="Kansas"/>
    <s v="Wichita"/>
    <s v="Men's Athletic Footwear"/>
    <n v="51"/>
    <n v="111"/>
    <x v="692"/>
    <x v="431"/>
    <s v="Online"/>
  </r>
  <r>
    <s v="Foot Locker"/>
    <n v="1185732"/>
    <d v="2021-11-04T00:00:00"/>
    <x v="3"/>
    <s v="Connecticut"/>
    <s v="Hartford"/>
    <s v="Men's Street Footwear"/>
    <n v="60"/>
    <n v="111"/>
    <x v="271"/>
    <x v="251"/>
    <s v="Online"/>
  </r>
  <r>
    <s v="Foot Locker"/>
    <n v="1185732"/>
    <d v="2021-03-06T00:00:00"/>
    <x v="3"/>
    <s v="Rhode Island"/>
    <s v="Providence"/>
    <s v="Men's Street Footwear"/>
    <n v="34"/>
    <n v="111"/>
    <x v="1169"/>
    <x v="558"/>
    <s v="Online"/>
  </r>
  <r>
    <s v="Foot Locker"/>
    <n v="1185732"/>
    <d v="2021-04-07T00:00:00"/>
    <x v="3"/>
    <s v="Rhode Island"/>
    <s v="Providence"/>
    <s v="Men's Street Footwear"/>
    <n v="32"/>
    <n v="111"/>
    <x v="1170"/>
    <x v="596"/>
    <s v="Online"/>
  </r>
  <r>
    <s v="Foot Locker"/>
    <n v="1185732"/>
    <d v="2021-09-06T00:00:00"/>
    <x v="3"/>
    <s v="Rhode Island"/>
    <s v="Providence"/>
    <s v="Men's Street Footwear"/>
    <n v="45"/>
    <n v="111"/>
    <x v="1008"/>
    <x v="504"/>
    <s v="Online"/>
  </r>
  <r>
    <s v="West Gear"/>
    <n v="1185732"/>
    <d v="2021-04-11T00:00:00"/>
    <x v="4"/>
    <s v="Utah"/>
    <s v="Salt Lake City"/>
    <s v="Men's Athletic Footwear"/>
    <n v="20"/>
    <n v="111"/>
    <x v="1171"/>
    <x v="817"/>
    <s v="Outlet"/>
  </r>
  <r>
    <s v="West Gear"/>
    <n v="1185732"/>
    <d v="2021-09-12T00:00:00"/>
    <x v="4"/>
    <s v="Utah"/>
    <s v="Salt Lake City"/>
    <s v="Women's Athletic Footwear"/>
    <n v="7"/>
    <n v="111"/>
    <x v="1172"/>
    <x v="840"/>
    <s v="Outlet"/>
  </r>
  <r>
    <s v="Foot Locker"/>
    <n v="1197831"/>
    <d v="2021-01-05T00:00:00"/>
    <x v="1"/>
    <s v="Louisiana"/>
    <s v="New Orleans"/>
    <s v="Men's Apparel"/>
    <n v="28"/>
    <n v="111"/>
    <x v="1168"/>
    <x v="762"/>
    <s v="Outlet"/>
  </r>
  <r>
    <s v="Foot Locker"/>
    <n v="1128299"/>
    <d v="2021-04-23T00:00:00"/>
    <x v="4"/>
    <s v="Arizona"/>
    <s v="Phoenix"/>
    <s v="Women's Apparel"/>
    <n v="49"/>
    <n v="111"/>
    <x v="938"/>
    <x v="591"/>
    <s v="Outlet"/>
  </r>
  <r>
    <s v="Foot Locker"/>
    <n v="1128299"/>
    <d v="2021-10-23T00:00:00"/>
    <x v="4"/>
    <s v="Arizona"/>
    <s v="Phoenix"/>
    <s v="Women's Street Footwear"/>
    <n v="31"/>
    <n v="111"/>
    <x v="803"/>
    <x v="822"/>
    <s v="Outlet"/>
  </r>
  <r>
    <s v="Sports Direct"/>
    <n v="1128299"/>
    <d v="2021-04-13T00:00:00"/>
    <x v="0"/>
    <s v="Georgia"/>
    <s v="Atlanta"/>
    <s v="Men's Athletic Footwear"/>
    <n v="40"/>
    <n v="111"/>
    <x v="1173"/>
    <x v="501"/>
    <s v="Outlet"/>
  </r>
  <r>
    <s v="Walmart"/>
    <n v="1197831"/>
    <d v="2021-02-21T00:00:00"/>
    <x v="1"/>
    <s v="Arkansas"/>
    <s v="Little Rock"/>
    <s v="Men's Apparel"/>
    <n v="23"/>
    <n v="111"/>
    <x v="793"/>
    <x v="783"/>
    <s v="Outlet"/>
  </r>
  <r>
    <s v="Walmart"/>
    <n v="1197831"/>
    <d v="2021-05-19T00:00:00"/>
    <x v="1"/>
    <s v="Arkansas"/>
    <s v="Little Rock"/>
    <s v="Men's Apparel"/>
    <n v="32"/>
    <n v="111"/>
    <x v="1170"/>
    <x v="841"/>
    <s v="Outlet"/>
  </r>
  <r>
    <s v="Walmart"/>
    <n v="1197831"/>
    <d v="2021-09-19T00:00:00"/>
    <x v="1"/>
    <s v="Arkansas"/>
    <s v="Little Rock"/>
    <s v="Men's Apparel"/>
    <n v="18"/>
    <n v="111"/>
    <x v="1031"/>
    <x v="818"/>
    <s v="Outlet"/>
  </r>
  <r>
    <s v="West Gear"/>
    <n v="1197831"/>
    <d v="2021-04-20T00:00:00"/>
    <x v="1"/>
    <s v="Oklahoma"/>
    <s v="Oklahoma City"/>
    <s v="Women's Apparel"/>
    <n v="22"/>
    <n v="111"/>
    <x v="1174"/>
    <x v="821"/>
    <s v="Outlet"/>
  </r>
  <r>
    <s v="West Gear"/>
    <n v="1197831"/>
    <d v="2021-08-20T00:00:00"/>
    <x v="1"/>
    <s v="Oklahoma"/>
    <s v="Oklahoma City"/>
    <s v="Women's Athletic Footwear"/>
    <n v="32"/>
    <n v="111"/>
    <x v="1170"/>
    <x v="695"/>
    <s v="Outlet"/>
  </r>
  <r>
    <s v="Sports Direct"/>
    <n v="1185732"/>
    <d v="2021-07-03T00:00:00"/>
    <x v="3"/>
    <s v="Connecticut"/>
    <s v="Hartford"/>
    <s v="Women's Street Footwear"/>
    <n v="29"/>
    <n v="111"/>
    <x v="1044"/>
    <x v="663"/>
    <s v="Outlet"/>
  </r>
  <r>
    <s v="Foot Locker"/>
    <n v="1185732"/>
    <d v="2021-08-07T00:00:00"/>
    <x v="3"/>
    <s v="Rhode Island"/>
    <s v="Providence"/>
    <s v="Men's Athletic Footwear"/>
    <n v="31"/>
    <n v="111"/>
    <x v="803"/>
    <x v="594"/>
    <s v="Outlet"/>
  </r>
  <r>
    <s v="Sports Direct"/>
    <n v="1185732"/>
    <d v="2021-12-06T00:00:00"/>
    <x v="3"/>
    <s v="Rhode Island"/>
    <s v="Providence"/>
    <s v="Women's Apparel"/>
    <n v="51"/>
    <n v="111"/>
    <x v="692"/>
    <x v="526"/>
    <s v="Outlet"/>
  </r>
  <r>
    <s v="Amazon"/>
    <n v="1185732"/>
    <d v="2021-09-10T00:00:00"/>
    <x v="3"/>
    <s v="Vermont"/>
    <s v="Burlington"/>
    <s v="Men's Athletic Footwear"/>
    <n v="42"/>
    <n v="111"/>
    <x v="1057"/>
    <x v="536"/>
    <s v="Outlet"/>
  </r>
  <r>
    <s v="Amazon"/>
    <n v="1185732"/>
    <d v="2021-01-21T00:00:00"/>
    <x v="3"/>
    <s v="Vermont"/>
    <s v="Burlington"/>
    <s v="Men's Athletic Footwear"/>
    <n v="39"/>
    <n v="111"/>
    <x v="1175"/>
    <x v="501"/>
    <s v="Outlet"/>
  </r>
  <r>
    <s v="West Gear"/>
    <n v="1128299"/>
    <d v="2020-02-27T00:00:00"/>
    <x v="4"/>
    <s v="Nevada"/>
    <s v="Las Vegas"/>
    <s v="Women's Street Footwear"/>
    <n v="54"/>
    <n v="109"/>
    <x v="535"/>
    <x v="454"/>
    <s v="Online"/>
  </r>
  <r>
    <s v="West Gear"/>
    <n v="1128299"/>
    <d v="2021-01-10T00:00:00"/>
    <x v="3"/>
    <s v="Maine"/>
    <s v="Portland"/>
    <s v="Men's Athletic Footwear"/>
    <n v="41"/>
    <n v="109"/>
    <x v="1176"/>
    <x v="597"/>
    <s v="Online"/>
  </r>
  <r>
    <s v="Foot Locker"/>
    <n v="1128299"/>
    <d v="2021-01-10T00:00:00"/>
    <x v="4"/>
    <s v="Alaska"/>
    <s v="Anchorage"/>
    <s v="Men's Street Footwear"/>
    <n v="33"/>
    <n v="109"/>
    <x v="663"/>
    <x v="774"/>
    <s v="Online"/>
  </r>
  <r>
    <s v="Foot Locker"/>
    <n v="1128299"/>
    <d v="2021-01-10T00:00:00"/>
    <x v="4"/>
    <s v="Alaska"/>
    <s v="Anchorage"/>
    <s v="Men's Athletic Footwear"/>
    <n v="43"/>
    <n v="109"/>
    <x v="617"/>
    <x v="588"/>
    <s v="Online"/>
  </r>
  <r>
    <s v="Walmart"/>
    <n v="1128299"/>
    <d v="2021-04-17T00:00:00"/>
    <x v="0"/>
    <s v="Florida"/>
    <s v="Orlando"/>
    <s v="Women's Apparel"/>
    <n v="72"/>
    <n v="109"/>
    <x v="889"/>
    <x v="399"/>
    <s v="Online"/>
  </r>
  <r>
    <s v="Sports Direct"/>
    <n v="1185732"/>
    <d v="2021-02-17T00:00:00"/>
    <x v="2"/>
    <s v="Michigan"/>
    <s v="Detroit"/>
    <s v="Women's Athletic Footwear"/>
    <n v="28"/>
    <n v="109"/>
    <x v="1158"/>
    <x v="570"/>
    <s v="Online"/>
  </r>
  <r>
    <s v="Sports Direct"/>
    <n v="1185732"/>
    <d v="2021-04-16T00:00:00"/>
    <x v="2"/>
    <s v="Michigan"/>
    <s v="Detroit"/>
    <s v="Women's Athletic Footwear"/>
    <n v="32"/>
    <n v="109"/>
    <x v="536"/>
    <x v="786"/>
    <s v="Online"/>
  </r>
  <r>
    <s v="Foot Locker"/>
    <n v="1197831"/>
    <d v="2021-02-04T00:00:00"/>
    <x v="4"/>
    <s v="Idaho"/>
    <s v="Boise"/>
    <s v="Women's Athletic Footwear"/>
    <n v="32"/>
    <n v="109"/>
    <x v="536"/>
    <x v="335"/>
    <s v="Online"/>
  </r>
  <r>
    <s v="Foot Locker"/>
    <n v="1185732"/>
    <d v="2021-04-17T00:00:00"/>
    <x v="1"/>
    <s v="Mississippi"/>
    <s v="Jackson"/>
    <s v="Men's Athletic Footwear"/>
    <n v="23"/>
    <n v="109"/>
    <x v="1177"/>
    <x v="793"/>
    <s v="Online"/>
  </r>
  <r>
    <s v="West Gear"/>
    <n v="1197831"/>
    <d v="2021-11-20T00:00:00"/>
    <x v="1"/>
    <s v="Arkansas"/>
    <s v="Little Rock"/>
    <s v="Women's Athletic Footwear"/>
    <n v="51"/>
    <n v="109"/>
    <x v="1178"/>
    <x v="249"/>
    <s v="Online"/>
  </r>
  <r>
    <s v="West Gear"/>
    <n v="1197831"/>
    <d v="2021-01-23T00:00:00"/>
    <x v="1"/>
    <s v="Arkansas"/>
    <s v="Little Rock"/>
    <s v="Men's Athletic Footwear"/>
    <n v="25"/>
    <n v="109"/>
    <x v="1179"/>
    <x v="568"/>
    <s v="Online"/>
  </r>
  <r>
    <s v="Kohl's"/>
    <n v="1185732"/>
    <d v="2021-12-13T00:00:00"/>
    <x v="3"/>
    <s v="Delaware"/>
    <s v="Wilmington"/>
    <s v="Women's Street Footwear"/>
    <n v="50"/>
    <n v="109"/>
    <x v="530"/>
    <x v="592"/>
    <s v="Online"/>
  </r>
  <r>
    <s v="Amazon"/>
    <n v="1185732"/>
    <d v="2021-07-17T00:00:00"/>
    <x v="3"/>
    <s v="New Hampshire"/>
    <s v="Manchester"/>
    <s v="Women's Street Footwear"/>
    <n v="54"/>
    <n v="109"/>
    <x v="535"/>
    <x v="656"/>
    <s v="Online"/>
  </r>
  <r>
    <s v="Sports Direct"/>
    <n v="1197831"/>
    <d v="2021-05-07T00:00:00"/>
    <x v="1"/>
    <s v="Tennessee"/>
    <s v="Knoxville"/>
    <s v="Men's Apparel"/>
    <n v="28"/>
    <n v="109"/>
    <x v="1158"/>
    <x v="836"/>
    <s v="Outlet"/>
  </r>
  <r>
    <s v="Foot Locker"/>
    <n v="1128299"/>
    <d v="2021-05-25T00:00:00"/>
    <x v="0"/>
    <s v="Virginia"/>
    <s v="Richmond"/>
    <s v="Women's Street Footwear"/>
    <n v="37"/>
    <n v="109"/>
    <x v="963"/>
    <x v="695"/>
    <s v="Outlet"/>
  </r>
  <r>
    <s v="Foot Locker"/>
    <n v="1128299"/>
    <d v="2021-10-24T00:00:00"/>
    <x v="0"/>
    <s v="Virginia"/>
    <s v="Richmond"/>
    <s v="Women's Apparel"/>
    <n v="40"/>
    <n v="109"/>
    <x v="1083"/>
    <x v="445"/>
    <s v="Outlet"/>
  </r>
  <r>
    <s v="West Gear"/>
    <n v="1185732"/>
    <d v="2021-05-12T00:00:00"/>
    <x v="4"/>
    <s v="Utah"/>
    <s v="Salt Lake City"/>
    <s v="Women's Street Footwear"/>
    <n v="19"/>
    <n v="109"/>
    <x v="1180"/>
    <x v="764"/>
    <s v="Outlet"/>
  </r>
  <r>
    <s v="West Gear"/>
    <n v="1185732"/>
    <d v="2021-08-11T00:00:00"/>
    <x v="4"/>
    <s v="Utah"/>
    <s v="Salt Lake City"/>
    <s v="Men's Apparel"/>
    <n v="23"/>
    <n v="109"/>
    <x v="1177"/>
    <x v="829"/>
    <s v="Outlet"/>
  </r>
  <r>
    <s v="West Gear"/>
    <n v="1128299"/>
    <d v="2021-01-24T00:00:00"/>
    <x v="4"/>
    <s v="Utah"/>
    <s v="Salt Lake City"/>
    <s v="Men's Street Footwear"/>
    <n v="24"/>
    <n v="109"/>
    <x v="1135"/>
    <x v="780"/>
    <s v="Outlet"/>
  </r>
  <r>
    <s v="West Gear"/>
    <n v="1128299"/>
    <d v="2021-05-25T00:00:00"/>
    <x v="4"/>
    <s v="Oregon"/>
    <s v="Portland"/>
    <s v="Men's Athletic Footwear"/>
    <n v="36"/>
    <n v="109"/>
    <x v="1047"/>
    <x v="731"/>
    <s v="Outlet"/>
  </r>
  <r>
    <s v="West Gear"/>
    <n v="1128299"/>
    <d v="2021-10-24T00:00:00"/>
    <x v="4"/>
    <s v="Oregon"/>
    <s v="Portland"/>
    <s v="Women's Street Footwear"/>
    <n v="37"/>
    <n v="109"/>
    <x v="963"/>
    <x v="695"/>
    <s v="Outlet"/>
  </r>
  <r>
    <s v="West Gear"/>
    <n v="1128299"/>
    <d v="2021-03-16T00:00:00"/>
    <x v="1"/>
    <s v="Louisiana"/>
    <s v="New Orleans"/>
    <s v="Women's Apparel"/>
    <n v="29"/>
    <n v="109"/>
    <x v="1138"/>
    <x v="702"/>
    <s v="Outlet"/>
  </r>
  <r>
    <s v="Kohl's"/>
    <n v="1128299"/>
    <d v="2021-12-22T00:00:00"/>
    <x v="4"/>
    <s v="Arizona"/>
    <s v="Phoenix"/>
    <s v="Men's Apparel"/>
    <n v="42"/>
    <n v="109"/>
    <x v="828"/>
    <x v="347"/>
    <s v="Outlet"/>
  </r>
  <r>
    <s v="Kohl's"/>
    <n v="1128299"/>
    <d v="2021-04-26T00:00:00"/>
    <x v="4"/>
    <s v="New Mexico"/>
    <s v="Albuquerque"/>
    <s v="Men's Athletic Footwear"/>
    <n v="43"/>
    <n v="109"/>
    <x v="617"/>
    <x v="482"/>
    <s v="Outlet"/>
  </r>
  <r>
    <s v="Kohl's"/>
    <n v="1128299"/>
    <d v="2021-05-27T00:00:00"/>
    <x v="4"/>
    <s v="New Mexico"/>
    <s v="Albuquerque"/>
    <s v="Women's Athletic Footwear"/>
    <n v="43"/>
    <n v="109"/>
    <x v="617"/>
    <x v="828"/>
    <s v="Outlet"/>
  </r>
  <r>
    <s v="Sports Direct"/>
    <n v="1128299"/>
    <d v="2021-10-13T00:00:00"/>
    <x v="0"/>
    <s v="Georgia"/>
    <s v="Atlanta"/>
    <s v="Women's Apparel"/>
    <n v="46"/>
    <n v="109"/>
    <x v="529"/>
    <x v="588"/>
    <s v="Outlet"/>
  </r>
  <r>
    <s v="Walmart"/>
    <n v="1185732"/>
    <d v="2021-10-18T00:00:00"/>
    <x v="1"/>
    <s v="Mississippi"/>
    <s v="Jackson"/>
    <s v="Women's Athletic Footwear"/>
    <n v="20"/>
    <n v="109"/>
    <x v="1018"/>
    <x v="829"/>
    <s v="Outlet"/>
  </r>
  <r>
    <s v="Amazon"/>
    <n v="1185732"/>
    <d v="2021-07-10T00:00:00"/>
    <x v="3"/>
    <s v="Vermont"/>
    <s v="Burlington"/>
    <s v="Women's Street Footwear"/>
    <n v="33"/>
    <n v="109"/>
    <x v="663"/>
    <x v="354"/>
    <s v="Outlet"/>
  </r>
  <r>
    <s v="Amazon"/>
    <n v="1185732"/>
    <d v="2021-06-19T00:00:00"/>
    <x v="3"/>
    <s v="New Hampshire"/>
    <s v="Manchester"/>
    <s v="Women's Street Footwear"/>
    <n v="43"/>
    <n v="109"/>
    <x v="617"/>
    <x v="690"/>
    <s v="Outlet"/>
  </r>
  <r>
    <s v="West Gear"/>
    <n v="1128299"/>
    <d v="2020-02-18T00:00:00"/>
    <x v="4"/>
    <s v="Nevada"/>
    <s v="Las Vegas"/>
    <s v="Women's Apparel"/>
    <n v="78"/>
    <n v="108"/>
    <x v="277"/>
    <x v="553"/>
    <s v="Online"/>
  </r>
  <r>
    <s v="West Gear"/>
    <n v="1128299"/>
    <d v="2020-03-06T00:00:00"/>
    <x v="4"/>
    <s v="Nevada"/>
    <s v="Las Vegas"/>
    <s v="Women's Athletic Footwear"/>
    <n v="56"/>
    <n v="108"/>
    <x v="697"/>
    <x v="633"/>
    <s v="Online"/>
  </r>
  <r>
    <s v="West Gear"/>
    <n v="1128299"/>
    <d v="2020-06-20T00:00:00"/>
    <x v="4"/>
    <s v="Washington"/>
    <s v="Seattle"/>
    <s v="Men's Athletic Footwear"/>
    <n v="60"/>
    <n v="108"/>
    <x v="764"/>
    <x v="685"/>
    <s v="Online"/>
  </r>
  <r>
    <s v="West Gear"/>
    <n v="1128299"/>
    <d v="2020-07-12T00:00:00"/>
    <x v="4"/>
    <s v="Washington"/>
    <s v="Seattle"/>
    <s v="Women's Apparel"/>
    <n v="76"/>
    <n v="108"/>
    <x v="456"/>
    <x v="449"/>
    <s v="Online"/>
  </r>
  <r>
    <s v="Kohl's"/>
    <n v="1189833"/>
    <d v="2021-01-26T00:00:00"/>
    <x v="2"/>
    <s v="Montana"/>
    <s v="Billings"/>
    <s v="Women's Apparel"/>
    <n v="59"/>
    <n v="108"/>
    <x v="391"/>
    <x v="655"/>
    <s v="Online"/>
  </r>
  <r>
    <s v="Kohl's"/>
    <n v="1189833"/>
    <d v="2021-02-25T00:00:00"/>
    <x v="2"/>
    <s v="Montana"/>
    <s v="Billings"/>
    <s v="Women's Apparel"/>
    <n v="58"/>
    <n v="108"/>
    <x v="769"/>
    <x v="704"/>
    <s v="Online"/>
  </r>
  <r>
    <s v="Sports Direct"/>
    <n v="1197831"/>
    <d v="2021-03-19T00:00:00"/>
    <x v="1"/>
    <s v="Tennessee"/>
    <s v="Knoxville"/>
    <s v="Women's Athletic Footwear"/>
    <n v="33"/>
    <n v="108"/>
    <x v="1181"/>
    <x v="710"/>
    <s v="Online"/>
  </r>
  <r>
    <s v="Sports Direct"/>
    <n v="1128299"/>
    <d v="2021-02-17T00:00:00"/>
    <x v="0"/>
    <s v="Florida"/>
    <s v="Orlando"/>
    <s v="Women's Apparel"/>
    <n v="47"/>
    <n v="108"/>
    <x v="753"/>
    <x v="592"/>
    <s v="Online"/>
  </r>
  <r>
    <s v="Foot Locker"/>
    <n v="1185732"/>
    <d v="2021-11-18T00:00:00"/>
    <x v="2"/>
    <s v="Missouri"/>
    <s v="St. Louis"/>
    <s v="Women's Apparel"/>
    <n v="48"/>
    <n v="108"/>
    <x v="544"/>
    <x v="622"/>
    <s v="Online"/>
  </r>
  <r>
    <s v="West Gear"/>
    <n v="1185732"/>
    <d v="2021-06-11T00:00:00"/>
    <x v="4"/>
    <s v="Utah"/>
    <s v="Salt Lake City"/>
    <s v="Women's Athletic Footwear"/>
    <n v="19"/>
    <n v="108"/>
    <x v="1103"/>
    <x v="821"/>
    <s v="Online"/>
  </r>
  <r>
    <s v="West Gear"/>
    <n v="1185732"/>
    <d v="2021-06-11T00:00:00"/>
    <x v="4"/>
    <s v="Utah"/>
    <s v="Salt Lake City"/>
    <s v="Men's Apparel"/>
    <n v="34"/>
    <n v="108"/>
    <x v="620"/>
    <x v="705"/>
    <s v="Online"/>
  </r>
  <r>
    <s v="West Gear"/>
    <n v="1185732"/>
    <d v="2021-11-11T00:00:00"/>
    <x v="4"/>
    <s v="Utah"/>
    <s v="Salt Lake City"/>
    <s v="Men's Athletic Footwear"/>
    <n v="20"/>
    <n v="108"/>
    <x v="1182"/>
    <x v="842"/>
    <s v="Online"/>
  </r>
  <r>
    <s v="West Gear"/>
    <n v="1128299"/>
    <d v="2021-01-24T00:00:00"/>
    <x v="4"/>
    <s v="Utah"/>
    <s v="Salt Lake City"/>
    <s v="Women's Apparel"/>
    <n v="39"/>
    <n v="108"/>
    <x v="955"/>
    <x v="736"/>
    <s v="Online"/>
  </r>
  <r>
    <s v="West Gear"/>
    <n v="1128299"/>
    <d v="2021-06-24T00:00:00"/>
    <x v="4"/>
    <s v="Oregon"/>
    <s v="Portland"/>
    <s v="Men's Apparel"/>
    <n v="86"/>
    <n v="108"/>
    <x v="539"/>
    <x v="421"/>
    <s v="Online"/>
  </r>
  <r>
    <s v="West Gear"/>
    <n v="1128299"/>
    <d v="2021-10-17T00:00:00"/>
    <x v="1"/>
    <s v="Louisiana"/>
    <s v="New Orleans"/>
    <s v="Women's Apparel"/>
    <n v="50"/>
    <n v="108"/>
    <x v="211"/>
    <x v="698"/>
    <s v="Online"/>
  </r>
  <r>
    <s v="Sports Direct"/>
    <n v="1128299"/>
    <d v="2021-05-14T00:00:00"/>
    <x v="0"/>
    <s v="Georgia"/>
    <s v="Atlanta"/>
    <s v="Men's Athletic Footwear"/>
    <n v="52"/>
    <n v="108"/>
    <x v="397"/>
    <x v="213"/>
    <s v="Online"/>
  </r>
  <r>
    <s v="Foot Locker"/>
    <n v="1185732"/>
    <d v="2021-02-18T00:00:00"/>
    <x v="1"/>
    <s v="Mississippi"/>
    <s v="Jackson"/>
    <s v="Men's Apparel"/>
    <n v="39"/>
    <n v="108"/>
    <x v="955"/>
    <x v="802"/>
    <s v="Online"/>
  </r>
  <r>
    <s v="Walmart"/>
    <n v="1185732"/>
    <d v="2021-09-16T00:00:00"/>
    <x v="1"/>
    <s v="Mississippi"/>
    <s v="Jackson"/>
    <s v="Men's Apparel"/>
    <n v="29"/>
    <n v="108"/>
    <x v="1070"/>
    <x v="570"/>
    <s v="Online"/>
  </r>
  <r>
    <s v="West Gear"/>
    <n v="1185732"/>
    <d v="2021-12-09T00:00:00"/>
    <x v="2"/>
    <s v="Indiana"/>
    <s v="Indianapolis"/>
    <s v="Men's Athletic Footwear"/>
    <n v="49"/>
    <n v="108"/>
    <x v="1006"/>
    <x v="406"/>
    <s v="Online"/>
  </r>
  <r>
    <s v="Sports Direct"/>
    <n v="1185732"/>
    <d v="2021-11-07T00:00:00"/>
    <x v="3"/>
    <s v="New Jersey"/>
    <s v="Newark"/>
    <s v="Men's Street Footwear"/>
    <n v="59"/>
    <n v="108"/>
    <x v="391"/>
    <x v="505"/>
    <s v="Online"/>
  </r>
  <r>
    <s v="Sports Direct"/>
    <n v="1185732"/>
    <d v="2021-08-04T00:00:00"/>
    <x v="3"/>
    <s v="Connecticut"/>
    <s v="Hartford"/>
    <s v="Men's Athletic Footwear"/>
    <n v="48"/>
    <n v="108"/>
    <x v="544"/>
    <x v="243"/>
    <s v="Online"/>
  </r>
  <r>
    <s v="Foot Locker"/>
    <n v="1185732"/>
    <d v="2021-12-17T00:00:00"/>
    <x v="3"/>
    <s v="New Hampshire"/>
    <s v="Manchester"/>
    <s v="Women's Street Footwear"/>
    <n v="62"/>
    <n v="108"/>
    <x v="325"/>
    <x v="246"/>
    <s v="Online"/>
  </r>
  <r>
    <s v="Sports Direct"/>
    <n v="1197831"/>
    <d v="2021-09-02T00:00:00"/>
    <x v="1"/>
    <s v="Texas"/>
    <s v="Dallas"/>
    <s v="Men's Apparel"/>
    <n v="26"/>
    <n v="107"/>
    <x v="1146"/>
    <x v="790"/>
    <s v="Outlet"/>
  </r>
  <r>
    <s v="West Gear"/>
    <n v="1128299"/>
    <d v="2020-03-01T00:00:00"/>
    <x v="4"/>
    <s v="Nevada"/>
    <s v="Las Vegas"/>
    <s v="Men's Apparel"/>
    <n v="48"/>
    <n v="107"/>
    <x v="1183"/>
    <x v="552"/>
    <s v="Outlet"/>
  </r>
  <r>
    <s v="Walmart"/>
    <n v="1128299"/>
    <d v="2021-05-18T00:00:00"/>
    <x v="0"/>
    <s v="Florida"/>
    <s v="Orlando"/>
    <s v="Women's Athletic Footwear"/>
    <n v="39"/>
    <n v="107"/>
    <x v="1004"/>
    <x v="700"/>
    <s v="Outlet"/>
  </r>
  <r>
    <s v="Foot Locker"/>
    <n v="1128299"/>
    <d v="2021-02-24T00:00:00"/>
    <x v="0"/>
    <s v="Virginia"/>
    <s v="Richmond"/>
    <s v="Women's Apparel"/>
    <n v="30"/>
    <n v="107"/>
    <x v="874"/>
    <x v="755"/>
    <s v="Outlet"/>
  </r>
  <r>
    <s v="West Gear"/>
    <n v="1185732"/>
    <d v="2021-04-11T00:00:00"/>
    <x v="4"/>
    <s v="Utah"/>
    <s v="Salt Lake City"/>
    <s v="Women's Street Footwear"/>
    <n v="10"/>
    <n v="107"/>
    <x v="1184"/>
    <x v="843"/>
    <s v="Outlet"/>
  </r>
  <r>
    <s v="West Gear"/>
    <n v="1185732"/>
    <d v="2021-11-11T00:00:00"/>
    <x v="4"/>
    <s v="Utah"/>
    <s v="Salt Lake City"/>
    <s v="Women's Street Footwear"/>
    <n v="14"/>
    <n v="107"/>
    <x v="1071"/>
    <x v="801"/>
    <s v="Outlet"/>
  </r>
  <r>
    <s v="West Gear"/>
    <n v="1128299"/>
    <d v="2021-04-17T00:00:00"/>
    <x v="1"/>
    <s v="Louisiana"/>
    <s v="New Orleans"/>
    <s v="Men's Athletic Footwear"/>
    <n v="36"/>
    <n v="107"/>
    <x v="1185"/>
    <x v="765"/>
    <s v="Outlet"/>
  </r>
  <r>
    <s v="Foot Locker"/>
    <n v="1128299"/>
    <d v="2021-03-22T00:00:00"/>
    <x v="4"/>
    <s v="Arizona"/>
    <s v="Phoenix"/>
    <s v="Women's Apparel"/>
    <n v="37"/>
    <n v="107"/>
    <x v="1186"/>
    <x v="827"/>
    <s v="Outlet"/>
  </r>
  <r>
    <s v="Foot Locker"/>
    <n v="1128299"/>
    <d v="2021-10-23T00:00:00"/>
    <x v="4"/>
    <s v="Arizona"/>
    <s v="Phoenix"/>
    <s v="Women's Apparel"/>
    <n v="47"/>
    <n v="107"/>
    <x v="1069"/>
    <x v="628"/>
    <s v="Outlet"/>
  </r>
  <r>
    <s v="Walmart"/>
    <n v="1197831"/>
    <d v="2021-03-19T00:00:00"/>
    <x v="1"/>
    <s v="Arkansas"/>
    <s v="Little Rock"/>
    <s v="Men's Athletic Footwear"/>
    <n v="14"/>
    <n v="107"/>
    <x v="1071"/>
    <x v="844"/>
    <s v="Outlet"/>
  </r>
  <r>
    <s v="West Gear"/>
    <n v="1197831"/>
    <d v="2021-06-21T00:00:00"/>
    <x v="1"/>
    <s v="Oklahoma"/>
    <s v="Oklahoma City"/>
    <s v="Women's Street Footwear"/>
    <n v="27"/>
    <n v="107"/>
    <x v="868"/>
    <x v="484"/>
    <s v="Outlet"/>
  </r>
  <r>
    <s v="West Gear"/>
    <n v="1197831"/>
    <d v="2021-07-19T00:00:00"/>
    <x v="1"/>
    <s v="Oklahoma"/>
    <s v="Oklahoma City"/>
    <s v="Women's Athletic Footwear"/>
    <n v="36"/>
    <n v="107"/>
    <x v="1185"/>
    <x v="765"/>
    <s v="Outlet"/>
  </r>
  <r>
    <s v="Sports Direct"/>
    <n v="1185732"/>
    <d v="2021-08-04T00:00:00"/>
    <x v="3"/>
    <s v="Connecticut"/>
    <s v="Hartford"/>
    <s v="Women's Street Footwear"/>
    <n v="36"/>
    <n v="107"/>
    <x v="1185"/>
    <x v="546"/>
    <s v="Outlet"/>
  </r>
  <r>
    <s v="Amazon"/>
    <n v="1185732"/>
    <d v="2021-01-14T00:00:00"/>
    <x v="3"/>
    <s v="Massachusetts"/>
    <s v="Boston"/>
    <s v="Men's Athletic Footwear"/>
    <n v="36"/>
    <n v="107"/>
    <x v="1185"/>
    <x v="558"/>
    <s v="Outlet"/>
  </r>
  <r>
    <s v="Amazon"/>
    <n v="1185732"/>
    <d v="2021-02-12T00:00:00"/>
    <x v="3"/>
    <s v="Vermont"/>
    <s v="Burlington"/>
    <s v="Women's Apparel"/>
    <n v="35"/>
    <n v="107"/>
    <x v="917"/>
    <x v="419"/>
    <s v="Outlet"/>
  </r>
  <r>
    <s v="Amazon"/>
    <n v="1185732"/>
    <d v="2021-07-17T00:00:00"/>
    <x v="3"/>
    <s v="New Hampshire"/>
    <s v="Manchester"/>
    <s v="Women's Athletic Footwear"/>
    <n v="39"/>
    <n v="107"/>
    <x v="1004"/>
    <x v="628"/>
    <s v="Outlet"/>
  </r>
  <r>
    <s v="Kohl's"/>
    <n v="1189833"/>
    <d v="2021-03-23T00:00:00"/>
    <x v="4"/>
    <s v="California"/>
    <s v="Los Angeles"/>
    <s v="Men's Apparel"/>
    <n v="46"/>
    <n v="106"/>
    <x v="1133"/>
    <x v="492"/>
    <s v="Online"/>
  </r>
  <r>
    <s v="West Gear"/>
    <n v="1128299"/>
    <d v="2020-03-05T00:00:00"/>
    <x v="4"/>
    <s v="Nevada"/>
    <s v="Las Vegas"/>
    <s v="Women's Street Footwear"/>
    <n v="55"/>
    <n v="106"/>
    <x v="1113"/>
    <x v="500"/>
    <s v="Online"/>
  </r>
  <r>
    <s v="West Gear"/>
    <n v="1128299"/>
    <d v="2020-05-07T00:00:00"/>
    <x v="4"/>
    <s v="Colorado"/>
    <s v="Denver"/>
    <s v="Women's Apparel"/>
    <n v="65"/>
    <n v="106"/>
    <x v="1123"/>
    <x v="710"/>
    <s v="Online"/>
  </r>
  <r>
    <s v="Foot Locker"/>
    <n v="1185732"/>
    <d v="2020-11-16T00:00:00"/>
    <x v="2"/>
    <s v="Minnesota"/>
    <s v="Minneapolis"/>
    <s v="Men's Street Footwear"/>
    <n v="44"/>
    <n v="106"/>
    <x v="1057"/>
    <x v="338"/>
    <s v="Online"/>
  </r>
  <r>
    <s v="Kohl's"/>
    <n v="1189833"/>
    <d v="2021-01-22T00:00:00"/>
    <x v="2"/>
    <s v="Montana"/>
    <s v="Billings"/>
    <s v="Men's Athletic Footwear"/>
    <n v="41"/>
    <n v="106"/>
    <x v="993"/>
    <x v="686"/>
    <s v="Online"/>
  </r>
  <r>
    <s v="Kohl's"/>
    <n v="1189833"/>
    <d v="2021-01-30T00:00:00"/>
    <x v="2"/>
    <s v="Montana"/>
    <s v="Billings"/>
    <s v="Women's Athletic Footwear"/>
    <n v="38"/>
    <n v="106"/>
    <x v="963"/>
    <x v="796"/>
    <s v="Online"/>
  </r>
  <r>
    <s v="Kohl's"/>
    <n v="1189833"/>
    <d v="2021-02-11T00:00:00"/>
    <x v="2"/>
    <s v="Montana"/>
    <s v="Billings"/>
    <s v="Women's Athletic Footwear"/>
    <n v="41"/>
    <n v="106"/>
    <x v="993"/>
    <x v="486"/>
    <s v="Online"/>
  </r>
  <r>
    <s v="Kohl's"/>
    <n v="1189833"/>
    <d v="2021-02-12T00:00:00"/>
    <x v="2"/>
    <s v="Montana"/>
    <s v="Billings"/>
    <s v="Men's Apparel"/>
    <n v="52"/>
    <n v="106"/>
    <x v="978"/>
    <x v="605"/>
    <s v="Online"/>
  </r>
  <r>
    <s v="Sports Direct"/>
    <n v="1197831"/>
    <d v="2021-04-07T00:00:00"/>
    <x v="1"/>
    <s v="Tennessee"/>
    <s v="Knoxville"/>
    <s v="Men's Apparel"/>
    <n v="41"/>
    <n v="106"/>
    <x v="993"/>
    <x v="796"/>
    <s v="Online"/>
  </r>
  <r>
    <s v="Amazon"/>
    <n v="1185732"/>
    <d v="2021-08-21T00:00:00"/>
    <x v="4"/>
    <s v="Alaska"/>
    <s v="Anchorage"/>
    <s v="Men's Athletic Footwear"/>
    <n v="56"/>
    <n v="106"/>
    <x v="909"/>
    <x v="586"/>
    <s v="Online"/>
  </r>
  <r>
    <s v="West Gear"/>
    <n v="1185732"/>
    <d v="2021-03-08T00:00:00"/>
    <x v="3"/>
    <s v="New York"/>
    <s v="Albany"/>
    <s v="Women's Athletic Footwear"/>
    <n v="39"/>
    <n v="106"/>
    <x v="973"/>
    <x v="690"/>
    <s v="Online"/>
  </r>
  <r>
    <s v="Kohl's"/>
    <n v="1185732"/>
    <d v="2021-04-11T00:00:00"/>
    <x v="4"/>
    <s v="Wyoming"/>
    <s v="Cheyenne"/>
    <s v="Men's Apparel"/>
    <n v="47"/>
    <n v="106"/>
    <x v="1092"/>
    <x v="306"/>
    <s v="Online"/>
  </r>
  <r>
    <s v="Foot Locker"/>
    <n v="1128299"/>
    <d v="2021-08-24T00:00:00"/>
    <x v="0"/>
    <s v="Virginia"/>
    <s v="Richmond"/>
    <s v="Men's Apparel"/>
    <n v="64"/>
    <n v="106"/>
    <x v="1081"/>
    <x v="423"/>
    <s v="Online"/>
  </r>
  <r>
    <s v="Sports Direct"/>
    <n v="1197831"/>
    <d v="2021-11-05T00:00:00"/>
    <x v="4"/>
    <s v="Idaho"/>
    <s v="Boise"/>
    <s v="Men's Apparel"/>
    <n v="54"/>
    <n v="106"/>
    <x v="1035"/>
    <x v="553"/>
    <s v="Online"/>
  </r>
  <r>
    <s v="Foot Locker"/>
    <n v="1128299"/>
    <d v="2021-01-23T00:00:00"/>
    <x v="4"/>
    <s v="Idaho"/>
    <s v="Boise"/>
    <s v="Men's Athletic Footwear"/>
    <n v="37"/>
    <n v="106"/>
    <x v="1047"/>
    <x v="541"/>
    <s v="Online"/>
  </r>
  <r>
    <s v="Foot Locker"/>
    <n v="1128299"/>
    <d v="2021-01-23T00:00:00"/>
    <x v="4"/>
    <s v="Idaho"/>
    <s v="Boise"/>
    <s v="Women's Street Footwear"/>
    <n v="37"/>
    <n v="106"/>
    <x v="1047"/>
    <x v="828"/>
    <s v="Online"/>
  </r>
  <r>
    <s v="Kohl's"/>
    <n v="1128299"/>
    <d v="2021-02-26T00:00:00"/>
    <x v="4"/>
    <s v="Arizona"/>
    <s v="Phoenix"/>
    <s v="Men's Athletic Footwear"/>
    <n v="44"/>
    <n v="106"/>
    <x v="1057"/>
    <x v="111"/>
    <s v="Online"/>
  </r>
  <r>
    <s v="Kohl's"/>
    <n v="1128299"/>
    <d v="2021-06-26T00:00:00"/>
    <x v="4"/>
    <s v="New Mexico"/>
    <s v="Albuquerque"/>
    <s v="Women's Athletic Footwear"/>
    <n v="54"/>
    <n v="106"/>
    <x v="1035"/>
    <x v="529"/>
    <s v="Online"/>
  </r>
  <r>
    <s v="Amazon"/>
    <n v="1185732"/>
    <d v="2021-04-10T00:00:00"/>
    <x v="2"/>
    <s v="Ohio"/>
    <s v="Columbus"/>
    <s v="Women's Street Footwear"/>
    <n v="19"/>
    <n v="106"/>
    <x v="1187"/>
    <x v="827"/>
    <s v="Online"/>
  </r>
  <r>
    <s v="Amazon"/>
    <n v="1185732"/>
    <d v="2021-10-11T00:00:00"/>
    <x v="2"/>
    <s v="Ohio"/>
    <s v="Columbus"/>
    <s v="Women's Street Footwear"/>
    <n v="27"/>
    <n v="106"/>
    <x v="615"/>
    <x v="563"/>
    <s v="Online"/>
  </r>
  <r>
    <s v="Foot Locker"/>
    <n v="1185732"/>
    <d v="2021-02-18T00:00:00"/>
    <x v="0"/>
    <s v="Kentucky"/>
    <s v="Louisville"/>
    <s v="Men's Athletic Footwear"/>
    <n v="27"/>
    <n v="106"/>
    <x v="615"/>
    <x v="774"/>
    <s v="Online"/>
  </r>
  <r>
    <s v="Walmart"/>
    <n v="1197831"/>
    <d v="2021-06-21T00:00:00"/>
    <x v="1"/>
    <s v="Arkansas"/>
    <s v="Little Rock"/>
    <s v="Men's Athletic Footwear"/>
    <n v="32"/>
    <n v="106"/>
    <x v="1139"/>
    <x v="612"/>
    <s v="Online"/>
  </r>
  <r>
    <s v="Walmart"/>
    <n v="1197831"/>
    <d v="2021-10-21T00:00:00"/>
    <x v="1"/>
    <s v="Arkansas"/>
    <s v="Little Rock"/>
    <s v="Men's Athletic Footwear"/>
    <n v="19"/>
    <n v="106"/>
    <x v="1187"/>
    <x v="845"/>
    <s v="Online"/>
  </r>
  <r>
    <s v="Foot Locker"/>
    <n v="1185732"/>
    <d v="2021-01-24T00:00:00"/>
    <x v="3"/>
    <s v="West Virginia"/>
    <s v="Charleston"/>
    <s v="Men's Street Footwear"/>
    <n v="33"/>
    <n v="106"/>
    <x v="1048"/>
    <x v="744"/>
    <s v="Online"/>
  </r>
  <r>
    <s v="Amazon"/>
    <n v="1185732"/>
    <d v="2021-08-11T00:00:00"/>
    <x v="3"/>
    <s v="Vermont"/>
    <s v="Burlington"/>
    <s v="Men's Athletic Footwear"/>
    <n v="53"/>
    <n v="106"/>
    <x v="397"/>
    <x v="154"/>
    <s v="Online"/>
  </r>
  <r>
    <s v="Amazon"/>
    <n v="1185732"/>
    <d v="2021-12-10T00:00:00"/>
    <x v="3"/>
    <s v="Vermont"/>
    <s v="Burlington"/>
    <s v="Women's Apparel"/>
    <n v="68"/>
    <n v="106"/>
    <x v="1068"/>
    <x v="392"/>
    <s v="Online"/>
  </r>
  <r>
    <s v="Amazon"/>
    <n v="1185732"/>
    <d v="2021-08-18T00:00:00"/>
    <x v="3"/>
    <s v="New Hampshire"/>
    <s v="Manchester"/>
    <s v="Women's Apparel"/>
    <n v="64"/>
    <n v="106"/>
    <x v="1081"/>
    <x v="424"/>
    <s v="Online"/>
  </r>
  <r>
    <s v="Foot Locker"/>
    <n v="1185732"/>
    <d v="2021-07-05T00:00:00"/>
    <x v="2"/>
    <s v="Illinois"/>
    <s v="Chicago"/>
    <s v="Women's Apparel"/>
    <n v="51"/>
    <n v="105"/>
    <x v="417"/>
    <x v="290"/>
    <s v="Online"/>
  </r>
  <r>
    <s v="West Gear"/>
    <n v="1128299"/>
    <d v="2020-02-28T00:00:00"/>
    <x v="4"/>
    <s v="Nevada"/>
    <s v="Las Vegas"/>
    <s v="Women's Athletic Footwear"/>
    <n v="54"/>
    <n v="105"/>
    <x v="575"/>
    <x v="536"/>
    <s v="Online"/>
  </r>
  <r>
    <s v="West Gear"/>
    <n v="1128299"/>
    <d v="2020-04-09T00:00:00"/>
    <x v="4"/>
    <s v="Colorado"/>
    <s v="Denver"/>
    <s v="Men's Athletic Footwear"/>
    <n v="60"/>
    <n v="105"/>
    <x v="477"/>
    <x v="498"/>
    <s v="Online"/>
  </r>
  <r>
    <s v="West Gear"/>
    <n v="1128299"/>
    <d v="2020-05-13T00:00:00"/>
    <x v="4"/>
    <s v="Colorado"/>
    <s v="Denver"/>
    <s v="Women's Apparel"/>
    <n v="65"/>
    <n v="105"/>
    <x v="653"/>
    <x v="168"/>
    <s v="Online"/>
  </r>
  <r>
    <s v="West Gear"/>
    <n v="1128299"/>
    <d v="2020-05-18T00:00:00"/>
    <x v="4"/>
    <s v="Colorado"/>
    <s v="Denver"/>
    <s v="Men's Apparel"/>
    <n v="68"/>
    <n v="105"/>
    <x v="578"/>
    <x v="336"/>
    <s v="Online"/>
  </r>
  <r>
    <s v="West Gear"/>
    <n v="1128299"/>
    <d v="2020-06-12T00:00:00"/>
    <x v="4"/>
    <s v="Washington"/>
    <s v="Seattle"/>
    <s v="Women's Apparel"/>
    <n v="62"/>
    <n v="105"/>
    <x v="581"/>
    <x v="666"/>
    <s v="Online"/>
  </r>
  <r>
    <s v="West Gear"/>
    <n v="1128299"/>
    <d v="2020-06-29T00:00:00"/>
    <x v="4"/>
    <s v="Washington"/>
    <s v="Seattle"/>
    <s v="Men's Apparel"/>
    <n v="82"/>
    <n v="105"/>
    <x v="146"/>
    <x v="248"/>
    <s v="Online"/>
  </r>
  <r>
    <s v="Kohl's"/>
    <n v="1189833"/>
    <d v="2021-02-23T00:00:00"/>
    <x v="2"/>
    <s v="Montana"/>
    <s v="Billings"/>
    <s v="Women's Athletic Footwear"/>
    <n v="44"/>
    <n v="105"/>
    <x v="580"/>
    <x v="746"/>
    <s v="Online"/>
  </r>
  <r>
    <s v="Foot Locker"/>
    <n v="1185732"/>
    <d v="2021-06-08T00:00:00"/>
    <x v="2"/>
    <s v="Nebraska"/>
    <s v="Omaha"/>
    <s v="Men's Street Footwear"/>
    <n v="38"/>
    <n v="105"/>
    <x v="1188"/>
    <x v="233"/>
    <s v="Online"/>
  </r>
  <r>
    <s v="Sports Direct"/>
    <n v="1197831"/>
    <d v="2021-08-16T00:00:00"/>
    <x v="1"/>
    <s v="Alabama"/>
    <s v="Birmingham"/>
    <s v="Women's Athletic Footwear"/>
    <n v="33"/>
    <n v="105"/>
    <x v="985"/>
    <x v="455"/>
    <s v="Online"/>
  </r>
  <r>
    <s v="Walmart"/>
    <n v="1128299"/>
    <d v="2021-09-11T00:00:00"/>
    <x v="4"/>
    <s v="Hawaii"/>
    <s v="Honolulu"/>
    <s v="Women's Street Footwear"/>
    <n v="64"/>
    <n v="105"/>
    <x v="366"/>
    <x v="629"/>
    <s v="Online"/>
  </r>
  <r>
    <s v="Walmart"/>
    <n v="1128299"/>
    <d v="2021-09-11T00:00:00"/>
    <x v="4"/>
    <s v="Hawaii"/>
    <s v="Honolulu"/>
    <s v="Women's Apparel"/>
    <n v="56"/>
    <n v="105"/>
    <x v="856"/>
    <x v="732"/>
    <s v="Online"/>
  </r>
  <r>
    <s v="Foot Locker"/>
    <n v="1128299"/>
    <d v="2021-01-24T00:00:00"/>
    <x v="4"/>
    <s v="Wyoming"/>
    <s v="Cheyenne"/>
    <s v="Men's Athletic Footwear"/>
    <n v="36"/>
    <n v="105"/>
    <x v="569"/>
    <x v="596"/>
    <s v="Online"/>
  </r>
  <r>
    <s v="Foot Locker"/>
    <n v="1128299"/>
    <d v="2021-02-24T00:00:00"/>
    <x v="4"/>
    <s v="Wyoming"/>
    <s v="Cheyenne"/>
    <s v="Men's Athletic Footwear"/>
    <n v="36"/>
    <n v="105"/>
    <x v="569"/>
    <x v="708"/>
    <s v="Online"/>
  </r>
  <r>
    <s v="Foot Locker"/>
    <n v="1185732"/>
    <d v="2021-04-18T00:00:00"/>
    <x v="2"/>
    <s v="Missouri"/>
    <s v="St. Louis"/>
    <s v="Women's Apparel"/>
    <n v="28"/>
    <n v="105"/>
    <x v="583"/>
    <x v="706"/>
    <s v="Online"/>
  </r>
  <r>
    <s v="Foot Locker"/>
    <n v="1185732"/>
    <d v="2021-05-19T00:00:00"/>
    <x v="2"/>
    <s v="Missouri"/>
    <s v="St. Louis"/>
    <s v="Women's Apparel"/>
    <n v="45"/>
    <n v="105"/>
    <x v="794"/>
    <x v="287"/>
    <s v="Online"/>
  </r>
  <r>
    <s v="West Gear"/>
    <n v="1185732"/>
    <d v="2021-08-11T00:00:00"/>
    <x v="4"/>
    <s v="Utah"/>
    <s v="Salt Lake City"/>
    <s v="Men's Apparel"/>
    <n v="29"/>
    <n v="105"/>
    <x v="1158"/>
    <x v="445"/>
    <s v="Online"/>
  </r>
  <r>
    <s v="West Gear"/>
    <n v="1128299"/>
    <d v="2021-01-24T00:00:00"/>
    <x v="4"/>
    <s v="Utah"/>
    <s v="Salt Lake City"/>
    <s v="Men's Athletic Footwear"/>
    <n v="39"/>
    <n v="105"/>
    <x v="984"/>
    <x v="365"/>
    <s v="Online"/>
  </r>
  <r>
    <s v="West Gear"/>
    <n v="1128299"/>
    <d v="2021-01-24T00:00:00"/>
    <x v="4"/>
    <s v="Utah"/>
    <s v="Salt Lake City"/>
    <s v="Women's Street Footwear"/>
    <n v="39"/>
    <n v="105"/>
    <x v="984"/>
    <x v="180"/>
    <s v="Online"/>
  </r>
  <r>
    <s v="West Gear"/>
    <n v="1128299"/>
    <d v="2021-05-25T00:00:00"/>
    <x v="4"/>
    <s v="Oregon"/>
    <s v="Portland"/>
    <s v="Men's Athletic Footwear"/>
    <n v="50"/>
    <n v="105"/>
    <x v="647"/>
    <x v="655"/>
    <s v="Online"/>
  </r>
  <r>
    <s v="West Gear"/>
    <n v="1128299"/>
    <d v="2021-10-24T00:00:00"/>
    <x v="4"/>
    <s v="Oregon"/>
    <s v="Portland"/>
    <s v="Women's Apparel"/>
    <n v="58"/>
    <n v="105"/>
    <x v="577"/>
    <x v="629"/>
    <s v="Online"/>
  </r>
  <r>
    <s v="West Gear"/>
    <n v="1128299"/>
    <d v="2021-02-17T00:00:00"/>
    <x v="1"/>
    <s v="Louisiana"/>
    <s v="New Orleans"/>
    <s v="Women's Apparel"/>
    <n v="44"/>
    <n v="105"/>
    <x v="580"/>
    <x v="772"/>
    <s v="Online"/>
  </r>
  <r>
    <s v="West Gear"/>
    <n v="1128299"/>
    <d v="2021-04-17T00:00:00"/>
    <x v="1"/>
    <s v="Louisiana"/>
    <s v="New Orleans"/>
    <s v="Women's Street Footwear"/>
    <n v="52"/>
    <n v="105"/>
    <x v="321"/>
    <x v="249"/>
    <s v="Online"/>
  </r>
  <r>
    <s v="West Gear"/>
    <n v="1128299"/>
    <d v="2021-04-17T00:00:00"/>
    <x v="1"/>
    <s v="Louisiana"/>
    <s v="New Orleans"/>
    <s v="Women's Apparel"/>
    <n v="55"/>
    <n v="105"/>
    <x v="836"/>
    <x v="366"/>
    <s v="Online"/>
  </r>
  <r>
    <s v="West Gear"/>
    <n v="1128299"/>
    <d v="2021-10-17T00:00:00"/>
    <x v="1"/>
    <s v="Louisiana"/>
    <s v="New Orleans"/>
    <s v="Women's Athletic Footwear"/>
    <n v="36"/>
    <n v="105"/>
    <x v="569"/>
    <x v="558"/>
    <s v="Online"/>
  </r>
  <r>
    <s v="Foot Locker"/>
    <n v="1197831"/>
    <d v="2021-03-06T00:00:00"/>
    <x v="4"/>
    <s v="Idaho"/>
    <s v="Boise"/>
    <s v="Women's Athletic Footwear"/>
    <n v="33"/>
    <n v="105"/>
    <x v="985"/>
    <x v="365"/>
    <s v="Online"/>
  </r>
  <r>
    <s v="Foot Locker"/>
    <n v="1128299"/>
    <d v="2021-02-23T00:00:00"/>
    <x v="4"/>
    <s v="Idaho"/>
    <s v="Boise"/>
    <s v="Women's Street Footwear"/>
    <n v="38"/>
    <n v="105"/>
    <x v="1188"/>
    <x v="335"/>
    <s v="Online"/>
  </r>
  <r>
    <s v="Foot Locker"/>
    <n v="1128299"/>
    <d v="2021-09-24T00:00:00"/>
    <x v="4"/>
    <s v="Arizona"/>
    <s v="Phoenix"/>
    <s v="Men's Apparel"/>
    <n v="54"/>
    <n v="105"/>
    <x v="575"/>
    <x v="763"/>
    <s v="Online"/>
  </r>
  <r>
    <s v="Foot Locker"/>
    <n v="1128299"/>
    <d v="2021-11-23T00:00:00"/>
    <x v="4"/>
    <s v="Arizona"/>
    <s v="Phoenix"/>
    <s v="Women's Street Footwear"/>
    <n v="44"/>
    <n v="105"/>
    <x v="580"/>
    <x v="796"/>
    <s v="Online"/>
  </r>
  <r>
    <s v="Kohl's"/>
    <n v="1128299"/>
    <d v="2021-10-26T00:00:00"/>
    <x v="4"/>
    <s v="New Mexico"/>
    <s v="Albuquerque"/>
    <s v="Women's Street Footwear"/>
    <n v="48"/>
    <n v="105"/>
    <x v="522"/>
    <x v="664"/>
    <s v="Online"/>
  </r>
  <r>
    <s v="Kohl's"/>
    <n v="1128299"/>
    <d v="2021-10-26T00:00:00"/>
    <x v="4"/>
    <s v="New Mexico"/>
    <s v="Albuquerque"/>
    <s v="Women's Apparel"/>
    <n v="68"/>
    <n v="105"/>
    <x v="578"/>
    <x v="408"/>
    <s v="Online"/>
  </r>
  <r>
    <s v="Sports Direct"/>
    <n v="1128299"/>
    <d v="2021-04-13T00:00:00"/>
    <x v="0"/>
    <s v="Georgia"/>
    <s v="Atlanta"/>
    <s v="Women's Apparel"/>
    <n v="63"/>
    <n v="105"/>
    <x v="816"/>
    <x v="454"/>
    <s v="Online"/>
  </r>
  <r>
    <s v="Sports Direct"/>
    <n v="1128299"/>
    <d v="2021-10-13T00:00:00"/>
    <x v="0"/>
    <s v="Georgia"/>
    <s v="Atlanta"/>
    <s v="Women's Street Footwear"/>
    <n v="42"/>
    <n v="105"/>
    <x v="579"/>
    <x v="439"/>
    <s v="Online"/>
  </r>
  <r>
    <s v="Walmart"/>
    <n v="1185732"/>
    <d v="2021-10-18T00:00:00"/>
    <x v="1"/>
    <s v="Mississippi"/>
    <s v="Jackson"/>
    <s v="Women's Athletic Footwear"/>
    <n v="23"/>
    <n v="105"/>
    <x v="1189"/>
    <x v="846"/>
    <s v="Online"/>
  </r>
  <r>
    <s v="Sports Direct"/>
    <n v="1197831"/>
    <d v="2021-02-21T00:00:00"/>
    <x v="1"/>
    <s v="Mississippi"/>
    <s v="Jackson"/>
    <s v="Men's Athletic Footwear"/>
    <n v="24"/>
    <n v="105"/>
    <x v="1190"/>
    <x v="760"/>
    <s v="Online"/>
  </r>
  <r>
    <s v="Kohl's"/>
    <n v="1197831"/>
    <d v="2021-11-20T00:00:00"/>
    <x v="1"/>
    <s v="Oklahoma"/>
    <s v="Oklahoma City"/>
    <s v="Women's Apparel"/>
    <n v="72"/>
    <n v="105"/>
    <x v="80"/>
    <x v="532"/>
    <s v="Online"/>
  </r>
  <r>
    <s v="West Gear"/>
    <n v="1185732"/>
    <d v="2021-12-09T00:00:00"/>
    <x v="2"/>
    <s v="Indiana"/>
    <s v="Indianapolis"/>
    <s v="Women's Street Footwear"/>
    <n v="49"/>
    <n v="105"/>
    <x v="483"/>
    <x v="664"/>
    <s v="Online"/>
  </r>
  <r>
    <s v="West Gear"/>
    <n v="1185732"/>
    <d v="2021-02-17T00:00:00"/>
    <x v="3"/>
    <s v="West Virginia"/>
    <s v="Charleston"/>
    <s v="Women's Apparel"/>
    <n v="24"/>
    <n v="105"/>
    <x v="1190"/>
    <x v="833"/>
    <s v="Online"/>
  </r>
  <r>
    <s v="Foot Locker"/>
    <n v="1185732"/>
    <d v="2021-08-14T00:00:00"/>
    <x v="3"/>
    <s v="Delaware"/>
    <s v="Wilmington"/>
    <s v="Women's Street Footwear"/>
    <n v="42"/>
    <n v="105"/>
    <x v="579"/>
    <x v="666"/>
    <s v="Online"/>
  </r>
  <r>
    <s v="Kohl's"/>
    <n v="1185732"/>
    <d v="2021-06-08T00:00:00"/>
    <x v="3"/>
    <s v="New Jersey"/>
    <s v="Newark"/>
    <s v="Men's Athletic Footwear"/>
    <n v="44"/>
    <n v="105"/>
    <x v="580"/>
    <x v="796"/>
    <s v="Online"/>
  </r>
  <r>
    <s v="Kohl's"/>
    <n v="1185732"/>
    <d v="2021-08-07T00:00:00"/>
    <x v="3"/>
    <s v="New Jersey"/>
    <s v="Newark"/>
    <s v="Women's Apparel"/>
    <n v="52"/>
    <n v="105"/>
    <x v="321"/>
    <x v="366"/>
    <s v="Online"/>
  </r>
  <r>
    <s v="Sports Direct"/>
    <n v="1185732"/>
    <d v="2021-12-06T00:00:00"/>
    <x v="3"/>
    <s v="New Jersey"/>
    <s v="Newark"/>
    <s v="Men's Athletic Footwear"/>
    <n v="49"/>
    <n v="105"/>
    <x v="483"/>
    <x v="634"/>
    <s v="Online"/>
  </r>
  <r>
    <s v="Sports Direct"/>
    <n v="1185732"/>
    <d v="2021-08-04T00:00:00"/>
    <x v="3"/>
    <s v="Connecticut"/>
    <s v="Hartford"/>
    <s v="Women's Apparel"/>
    <n v="55"/>
    <n v="105"/>
    <x v="836"/>
    <x v="366"/>
    <s v="Online"/>
  </r>
  <r>
    <s v="Sports Direct"/>
    <n v="1185732"/>
    <d v="2021-07-13T00:00:00"/>
    <x v="3"/>
    <s v="Massachusetts"/>
    <s v="Boston"/>
    <s v="Men's Athletic Footwear"/>
    <n v="49"/>
    <n v="105"/>
    <x v="483"/>
    <x v="666"/>
    <s v="Online"/>
  </r>
  <r>
    <s v="Amazon"/>
    <n v="1185732"/>
    <d v="2021-12-13T00:00:00"/>
    <x v="3"/>
    <s v="Massachusetts"/>
    <s v="Boston"/>
    <s v="Men's Athletic Footwear"/>
    <n v="53"/>
    <n v="105"/>
    <x v="426"/>
    <x v="355"/>
    <s v="Online"/>
  </r>
  <r>
    <s v="Amazon"/>
    <n v="1185732"/>
    <d v="2021-08-11T00:00:00"/>
    <x v="3"/>
    <s v="Vermont"/>
    <s v="Burlington"/>
    <s v="Women's Street Footwear"/>
    <n v="48"/>
    <n v="105"/>
    <x v="522"/>
    <x v="753"/>
    <s v="Online"/>
  </r>
  <r>
    <s v="Amazon"/>
    <n v="1185732"/>
    <d v="2021-08-18T00:00:00"/>
    <x v="3"/>
    <s v="New Hampshire"/>
    <s v="Manchester"/>
    <s v="Women's Street Footwear"/>
    <n v="52"/>
    <n v="105"/>
    <x v="321"/>
    <x v="685"/>
    <s v="Online"/>
  </r>
  <r>
    <s v="Foot Locker"/>
    <n v="1185732"/>
    <d v="2021-12-17T00:00:00"/>
    <x v="3"/>
    <s v="New Hampshire"/>
    <s v="Manchester"/>
    <s v="Men's Apparel"/>
    <n v="74"/>
    <n v="105"/>
    <x v="215"/>
    <x v="699"/>
    <s v="Online"/>
  </r>
  <r>
    <s v="Foot Locker"/>
    <n v="1185732"/>
    <d v="2021-11-26T00:00:00"/>
    <x v="3"/>
    <s v="Pennsylvania"/>
    <s v="Philadelphia"/>
    <s v="Women's Apparel"/>
    <n v="52"/>
    <n v="105"/>
    <x v="321"/>
    <x v="686"/>
    <s v="Outlet"/>
  </r>
  <r>
    <s v="West Gear"/>
    <n v="1128299"/>
    <d v="2020-01-29T00:00:00"/>
    <x v="4"/>
    <s v="Nevada"/>
    <s v="Las Vegas"/>
    <s v="Women's Athletic Footwear"/>
    <n v="47"/>
    <n v="105"/>
    <x v="724"/>
    <x v="621"/>
    <s v="Outlet"/>
  </r>
  <r>
    <s v="West Gear"/>
    <n v="1128299"/>
    <d v="2020-02-05T00:00:00"/>
    <x v="4"/>
    <s v="Nevada"/>
    <s v="Las Vegas"/>
    <s v="Men's Apparel"/>
    <n v="47"/>
    <n v="105"/>
    <x v="724"/>
    <x v="58"/>
    <s v="Outlet"/>
  </r>
  <r>
    <s v="Sports Direct"/>
    <n v="1197831"/>
    <d v="2021-04-01T00:00:00"/>
    <x v="1"/>
    <s v="Tennessee"/>
    <s v="Knoxville"/>
    <s v="Men's Apparel"/>
    <n v="20"/>
    <n v="105"/>
    <x v="1191"/>
    <x v="847"/>
    <s v="Outlet"/>
  </r>
  <r>
    <s v="Sports Direct"/>
    <n v="1197831"/>
    <d v="2021-09-21T00:00:00"/>
    <x v="1"/>
    <s v="Alabama"/>
    <s v="Birmingham"/>
    <s v="Women's Athletic Footwear"/>
    <n v="44"/>
    <n v="105"/>
    <x v="580"/>
    <x v="121"/>
    <s v="Outlet"/>
  </r>
  <r>
    <s v="Sports Direct"/>
    <n v="1197831"/>
    <d v="2021-09-28T00:00:00"/>
    <x v="1"/>
    <s v="Alabama"/>
    <s v="Birmingham"/>
    <s v="Men's Apparel"/>
    <n v="22"/>
    <n v="105"/>
    <x v="904"/>
    <x v="760"/>
    <s v="Outlet"/>
  </r>
  <r>
    <s v="Walmart"/>
    <n v="1128299"/>
    <d v="2021-04-17T00:00:00"/>
    <x v="0"/>
    <s v="Florida"/>
    <s v="Orlando"/>
    <s v="Men's Athletic Footwear"/>
    <n v="51"/>
    <n v="105"/>
    <x v="417"/>
    <x v="590"/>
    <s v="Outlet"/>
  </r>
  <r>
    <s v="Foot Locker"/>
    <n v="1128299"/>
    <d v="2021-05-25T00:00:00"/>
    <x v="0"/>
    <s v="Virginia"/>
    <s v="Richmond"/>
    <s v="Men's Athletic Footwear"/>
    <n v="40"/>
    <n v="105"/>
    <x v="664"/>
    <x v="784"/>
    <s v="Outlet"/>
  </r>
  <r>
    <s v="Foot Locker"/>
    <n v="1128299"/>
    <d v="2021-10-24T00:00:00"/>
    <x v="0"/>
    <s v="Virginia"/>
    <s v="Richmond"/>
    <s v="Men's Apparel"/>
    <n v="42"/>
    <n v="105"/>
    <x v="579"/>
    <x v="439"/>
    <s v="Outlet"/>
  </r>
  <r>
    <s v="West Gear"/>
    <n v="1185732"/>
    <d v="2021-03-10T00:00:00"/>
    <x v="4"/>
    <s v="Utah"/>
    <s v="Salt Lake City"/>
    <s v="Men's Athletic Footwear"/>
    <n v="22"/>
    <n v="105"/>
    <x v="904"/>
    <x v="848"/>
    <s v="Outlet"/>
  </r>
  <r>
    <s v="West Gear"/>
    <n v="1185732"/>
    <d v="2021-09-12T00:00:00"/>
    <x v="4"/>
    <s v="Utah"/>
    <s v="Salt Lake City"/>
    <s v="Women's Street Footwear"/>
    <n v="7"/>
    <n v="105"/>
    <x v="1192"/>
    <x v="849"/>
    <s v="Outlet"/>
  </r>
  <r>
    <s v="West Gear"/>
    <n v="1128299"/>
    <d v="2021-01-24T00:00:00"/>
    <x v="4"/>
    <s v="Utah"/>
    <s v="Salt Lake City"/>
    <s v="Women's Street Footwear"/>
    <n v="31"/>
    <n v="105"/>
    <x v="804"/>
    <x v="822"/>
    <s v="Outlet"/>
  </r>
  <r>
    <s v="Foot Locker"/>
    <n v="1128299"/>
    <d v="2021-06-23T00:00:00"/>
    <x v="4"/>
    <s v="Arizona"/>
    <s v="Phoenix"/>
    <s v="Women's Athletic Footwear"/>
    <n v="38"/>
    <n v="105"/>
    <x v="1188"/>
    <x v="786"/>
    <s v="Outlet"/>
  </r>
  <r>
    <s v="Walmart"/>
    <n v="1185732"/>
    <d v="2021-10-18T00:00:00"/>
    <x v="1"/>
    <s v="Mississippi"/>
    <s v="Jackson"/>
    <s v="Men's Apparel"/>
    <n v="25"/>
    <n v="105"/>
    <x v="752"/>
    <x v="787"/>
    <s v="Outlet"/>
  </r>
  <r>
    <s v="West Gear"/>
    <n v="1197831"/>
    <d v="2021-11-20T00:00:00"/>
    <x v="1"/>
    <s v="Arkansas"/>
    <s v="Little Rock"/>
    <s v="Men's Apparel"/>
    <n v="56"/>
    <n v="105"/>
    <x v="856"/>
    <x v="656"/>
    <s v="Outlet"/>
  </r>
  <r>
    <s v="West Gear"/>
    <n v="1197831"/>
    <d v="2021-06-21T00:00:00"/>
    <x v="1"/>
    <s v="Oklahoma"/>
    <s v="Oklahoma City"/>
    <s v="Men's Apparel"/>
    <n v="41"/>
    <n v="105"/>
    <x v="1193"/>
    <x v="775"/>
    <s v="Outlet"/>
  </r>
  <r>
    <s v="West Gear"/>
    <n v="1197831"/>
    <d v="2021-08-20T00:00:00"/>
    <x v="1"/>
    <s v="Oklahoma"/>
    <s v="Oklahoma City"/>
    <s v="Men's Apparel"/>
    <n v="40"/>
    <n v="105"/>
    <x v="664"/>
    <x v="588"/>
    <s v="Outlet"/>
  </r>
  <r>
    <s v="Kohl's"/>
    <n v="1197831"/>
    <d v="2021-01-16T00:00:00"/>
    <x v="1"/>
    <s v="Oklahoma"/>
    <s v="Oklahoma City"/>
    <s v="Men's Athletic Footwear"/>
    <n v="16"/>
    <n v="105"/>
    <x v="1130"/>
    <x v="823"/>
    <s v="Outlet"/>
  </r>
  <r>
    <s v="Foot Locker"/>
    <n v="1185732"/>
    <d v="2021-11-04T00:00:00"/>
    <x v="3"/>
    <s v="Connecticut"/>
    <s v="Hartford"/>
    <s v="Men's Athletic Footwear"/>
    <n v="37"/>
    <n v="105"/>
    <x v="881"/>
    <x v="706"/>
    <s v="Outlet"/>
  </r>
  <r>
    <s v="Foot Locker"/>
    <n v="1185732"/>
    <d v="2021-06-08T00:00:00"/>
    <x v="3"/>
    <s v="Rhode Island"/>
    <s v="Providence"/>
    <s v="Men's Athletic Footwear"/>
    <n v="35"/>
    <n v="105"/>
    <x v="766"/>
    <x v="737"/>
    <s v="Outlet"/>
  </r>
  <r>
    <s v="Sports Direct"/>
    <n v="1185732"/>
    <d v="2021-11-07T00:00:00"/>
    <x v="3"/>
    <s v="Rhode Island"/>
    <s v="Providence"/>
    <s v="Men's Street Footwear"/>
    <n v="40"/>
    <n v="105"/>
    <x v="664"/>
    <x v="419"/>
    <s v="Outlet"/>
  </r>
  <r>
    <s v="Sports Direct"/>
    <n v="1185732"/>
    <d v="2021-07-13T00:00:00"/>
    <x v="3"/>
    <s v="Massachusetts"/>
    <s v="Boston"/>
    <s v="Men's Athletic Footwear"/>
    <n v="36"/>
    <n v="105"/>
    <x v="569"/>
    <x v="445"/>
    <s v="Outlet"/>
  </r>
  <r>
    <s v="Amazon"/>
    <n v="1185732"/>
    <d v="2021-12-13T00:00:00"/>
    <x v="3"/>
    <s v="Massachusetts"/>
    <s v="Boston"/>
    <s v="Women's Athletic Footwear"/>
    <n v="43"/>
    <n v="105"/>
    <x v="553"/>
    <x v="745"/>
    <s v="Outlet"/>
  </r>
  <r>
    <s v="Amazon"/>
    <n v="1185732"/>
    <d v="2021-06-12T00:00:00"/>
    <x v="3"/>
    <s v="Vermont"/>
    <s v="Burlington"/>
    <s v="Men's Apparel"/>
    <n v="44"/>
    <n v="105"/>
    <x v="580"/>
    <x v="558"/>
    <s v="Outlet"/>
  </r>
  <r>
    <s v="Amazon"/>
    <n v="1185732"/>
    <d v="2021-03-17T00:00:00"/>
    <x v="3"/>
    <s v="New Hampshire"/>
    <s v="Manchester"/>
    <s v="Women's Street Footwear"/>
    <n v="32"/>
    <n v="105"/>
    <x v="1043"/>
    <x v="714"/>
    <s v="Outlet"/>
  </r>
  <r>
    <s v="Foot Locker"/>
    <n v="1185732"/>
    <d v="2021-01-24T00:00:00"/>
    <x v="3"/>
    <s v="New Hampshire"/>
    <s v="Manchester"/>
    <s v="Women's Apparel"/>
    <n v="41"/>
    <n v="105"/>
    <x v="1193"/>
    <x v="761"/>
    <s v="Outlet"/>
  </r>
  <r>
    <s v="Foot Locker"/>
    <n v="1185732"/>
    <d v="2021-12-15T00:00:00"/>
    <x v="3"/>
    <s v="Pennsylvania"/>
    <s v="Philadelphia"/>
    <s v="Men's Street Footwear"/>
    <n v="55"/>
    <n v="104"/>
    <x v="1035"/>
    <x v="595"/>
    <s v="Online"/>
  </r>
  <r>
    <s v="West Gear"/>
    <n v="1128299"/>
    <d v="2020-01-16T00:00:00"/>
    <x v="4"/>
    <s v="Nevada"/>
    <s v="Las Vegas"/>
    <s v="Women's Street Footwear"/>
    <n v="52"/>
    <n v="104"/>
    <x v="878"/>
    <x v="191"/>
    <s v="Online"/>
  </r>
  <r>
    <s v="West Gear"/>
    <n v="1128299"/>
    <d v="2020-01-27T00:00:00"/>
    <x v="4"/>
    <s v="Nevada"/>
    <s v="Las Vegas"/>
    <s v="Men's Athletic Footwear"/>
    <n v="60"/>
    <n v="104"/>
    <x v="436"/>
    <x v="500"/>
    <s v="Online"/>
  </r>
  <r>
    <s v="Sports Direct"/>
    <n v="1197831"/>
    <d v="2021-08-18T00:00:00"/>
    <x v="1"/>
    <s v="Alabama"/>
    <s v="Birmingham"/>
    <s v="Women's Apparel"/>
    <n v="34"/>
    <n v="104"/>
    <x v="1064"/>
    <x v="454"/>
    <s v="Online"/>
  </r>
  <r>
    <s v="Amazon"/>
    <n v="1185732"/>
    <d v="2021-08-21T00:00:00"/>
    <x v="4"/>
    <s v="Alaska"/>
    <s v="Anchorage"/>
    <s v="Women's Apparel"/>
    <n v="67"/>
    <n v="104"/>
    <x v="1194"/>
    <x v="405"/>
    <s v="Online"/>
  </r>
  <r>
    <s v="Walmart"/>
    <n v="1128299"/>
    <d v="2021-11-10T00:00:00"/>
    <x v="4"/>
    <s v="Hawaii"/>
    <s v="Honolulu"/>
    <s v="Women's Athletic Footwear"/>
    <n v="60"/>
    <n v="104"/>
    <x v="436"/>
    <x v="526"/>
    <s v="Online"/>
  </r>
  <r>
    <s v="Walmart"/>
    <n v="1128299"/>
    <d v="2021-10-17T00:00:00"/>
    <x v="0"/>
    <s v="Florida"/>
    <s v="Orlando"/>
    <s v="Women's Apparel"/>
    <n v="65"/>
    <n v="104"/>
    <x v="413"/>
    <x v="387"/>
    <s v="Online"/>
  </r>
  <r>
    <s v="Foot Locker"/>
    <n v="1128299"/>
    <d v="2021-06-24T00:00:00"/>
    <x v="0"/>
    <s v="Virginia"/>
    <s v="Richmond"/>
    <s v="Men's Apparel"/>
    <n v="81"/>
    <n v="104"/>
    <x v="277"/>
    <x v="96"/>
    <s v="Online"/>
  </r>
  <r>
    <s v="West Gear"/>
    <n v="1185732"/>
    <d v="2021-10-11T00:00:00"/>
    <x v="4"/>
    <s v="Utah"/>
    <s v="Salt Lake City"/>
    <s v="Women's Apparel"/>
    <n v="32"/>
    <n v="104"/>
    <x v="1099"/>
    <x v="429"/>
    <s v="Online"/>
  </r>
  <r>
    <s v="Sports Direct"/>
    <n v="1197831"/>
    <d v="2021-09-05T00:00:00"/>
    <x v="4"/>
    <s v="Idaho"/>
    <s v="Boise"/>
    <s v="Men's Apparel"/>
    <n v="50"/>
    <n v="104"/>
    <x v="1155"/>
    <x v="665"/>
    <s v="Online"/>
  </r>
  <r>
    <s v="Kohl's"/>
    <n v="1128299"/>
    <d v="2021-02-26T00:00:00"/>
    <x v="4"/>
    <s v="New Mexico"/>
    <s v="Albuquerque"/>
    <s v="Women's Apparel"/>
    <n v="41"/>
    <n v="104"/>
    <x v="634"/>
    <x v="771"/>
    <s v="Online"/>
  </r>
  <r>
    <s v="Sports Direct"/>
    <n v="1128299"/>
    <d v="2021-02-13T00:00:00"/>
    <x v="4"/>
    <s v="New Mexico"/>
    <s v="Albuquerque"/>
    <s v="Women's Street Footwear"/>
    <n v="37"/>
    <n v="104"/>
    <x v="1185"/>
    <x v="828"/>
    <s v="Online"/>
  </r>
  <r>
    <s v="Walmart"/>
    <n v="1197831"/>
    <d v="2021-06-21T00:00:00"/>
    <x v="1"/>
    <s v="Arkansas"/>
    <s v="Little Rock"/>
    <s v="Women's Street Footwear"/>
    <n v="38"/>
    <n v="104"/>
    <x v="1195"/>
    <x v="796"/>
    <s v="Online"/>
  </r>
  <r>
    <s v="Walmart"/>
    <n v="1197831"/>
    <d v="2021-08-20T00:00:00"/>
    <x v="1"/>
    <s v="Arkansas"/>
    <s v="Little Rock"/>
    <s v="Women's Athletic Footwear"/>
    <n v="39"/>
    <n v="104"/>
    <x v="873"/>
    <x v="256"/>
    <s v="Online"/>
  </r>
  <r>
    <s v="West Gear"/>
    <n v="1197831"/>
    <d v="2021-10-21T00:00:00"/>
    <x v="1"/>
    <s v="Arkansas"/>
    <s v="Little Rock"/>
    <s v="Women's Apparel"/>
    <n v="29"/>
    <n v="104"/>
    <x v="1163"/>
    <x v="786"/>
    <s v="Online"/>
  </r>
  <r>
    <s v="Foot Locker"/>
    <n v="1185732"/>
    <d v="2021-10-12T00:00:00"/>
    <x v="2"/>
    <s v="South Dakota"/>
    <s v="Sioux Falls"/>
    <s v="Men's Street Footwear"/>
    <n v="54"/>
    <n v="104"/>
    <x v="397"/>
    <x v="529"/>
    <s v="Online"/>
  </r>
  <r>
    <s v="Sports Direct"/>
    <n v="1185732"/>
    <d v="2021-11-12T00:00:00"/>
    <x v="2"/>
    <s v="South Dakota"/>
    <s v="Sioux Falls"/>
    <s v="Men's Street Footwear"/>
    <n v="53"/>
    <n v="104"/>
    <x v="978"/>
    <x v="401"/>
    <s v="Online"/>
  </r>
  <r>
    <s v="West Gear"/>
    <n v="1185732"/>
    <d v="2021-11-03T00:00:00"/>
    <x v="2"/>
    <s v="Wisconsin"/>
    <s v="Milwaukee"/>
    <s v="Men's Street Footwear"/>
    <n v="41"/>
    <n v="104"/>
    <x v="634"/>
    <x v="571"/>
    <s v="Online"/>
  </r>
  <r>
    <s v="Foot Locker"/>
    <n v="1185732"/>
    <d v="2021-05-13T00:00:00"/>
    <x v="3"/>
    <s v="Delaware"/>
    <s v="Wilmington"/>
    <s v="Women's Apparel"/>
    <n v="54"/>
    <n v="104"/>
    <x v="397"/>
    <x v="245"/>
    <s v="Online"/>
  </r>
  <r>
    <s v="Amazon"/>
    <n v="1185732"/>
    <d v="2021-08-11T00:00:00"/>
    <x v="3"/>
    <s v="Vermont"/>
    <s v="Burlington"/>
    <s v="Women's Apparel"/>
    <n v="61"/>
    <n v="104"/>
    <x v="228"/>
    <x v="436"/>
    <s v="Online"/>
  </r>
  <r>
    <s v="Foot Locker"/>
    <n v="1185732"/>
    <d v="2021-11-18T00:00:00"/>
    <x v="3"/>
    <s v="New Hampshire"/>
    <s v="Manchester"/>
    <s v="Women's Street Footwear"/>
    <n v="63"/>
    <n v="104"/>
    <x v="957"/>
    <x v="92"/>
    <s v="Online"/>
  </r>
  <r>
    <s v="Foot Locker"/>
    <n v="1185732"/>
    <d v="2021-03-16T00:00:00"/>
    <x v="1"/>
    <s v="Mississippi"/>
    <s v="Jackson"/>
    <s v="Men's Apparel"/>
    <n v="25"/>
    <n v="104"/>
    <x v="845"/>
    <x v="808"/>
    <s v="Outlet"/>
  </r>
  <r>
    <s v="Walmart"/>
    <n v="1197831"/>
    <d v="2021-09-19T00:00:00"/>
    <x v="1"/>
    <s v="Arkansas"/>
    <s v="Little Rock"/>
    <s v="Women's Athletic Footwear"/>
    <n v="12"/>
    <n v="104"/>
    <x v="1196"/>
    <x v="850"/>
    <s v="Outlet"/>
  </r>
  <r>
    <s v="Sports Direct"/>
    <n v="1185732"/>
    <d v="2021-05-13T00:00:00"/>
    <x v="3"/>
    <s v="Massachusetts"/>
    <s v="Boston"/>
    <s v="Women's Apparel"/>
    <n v="43"/>
    <n v="104"/>
    <x v="1176"/>
    <x v="563"/>
    <s v="Outlet"/>
  </r>
  <r>
    <s v="Amazon"/>
    <n v="1185732"/>
    <d v="2021-01-14T00:00:00"/>
    <x v="3"/>
    <s v="Massachusetts"/>
    <s v="Boston"/>
    <s v="Women's Apparel"/>
    <n v="34"/>
    <n v="104"/>
    <x v="1064"/>
    <x v="563"/>
    <s v="Outlet"/>
  </r>
  <r>
    <s v="Amazon"/>
    <n v="1185732"/>
    <d v="2021-06-12T00:00:00"/>
    <x v="3"/>
    <s v="Vermont"/>
    <s v="Burlington"/>
    <s v="Women's Street Footwear"/>
    <n v="35"/>
    <n v="104"/>
    <x v="646"/>
    <x v="700"/>
    <s v="Outlet"/>
  </r>
  <r>
    <s v="Amazon"/>
    <n v="1185732"/>
    <d v="2021-12-10T00:00:00"/>
    <x v="3"/>
    <s v="Vermont"/>
    <s v="Burlington"/>
    <s v="Men's Apparel"/>
    <n v="48"/>
    <n v="104"/>
    <x v="717"/>
    <x v="659"/>
    <s v="Outlet"/>
  </r>
  <r>
    <s v="Amazon"/>
    <n v="1185732"/>
    <d v="2021-06-19T00:00:00"/>
    <x v="3"/>
    <s v="New Hampshire"/>
    <s v="Manchester"/>
    <s v="Women's Athletic Footwear"/>
    <n v="37"/>
    <n v="104"/>
    <x v="1185"/>
    <x v="594"/>
    <s v="Outlet"/>
  </r>
  <r>
    <s v="Amazon"/>
    <n v="1185732"/>
    <d v="2021-09-17T00:00:00"/>
    <x v="3"/>
    <s v="New Hampshire"/>
    <s v="Manchester"/>
    <s v="Women's Apparel"/>
    <n v="53"/>
    <n v="104"/>
    <x v="978"/>
    <x v="381"/>
    <s v="Outlet"/>
  </r>
  <r>
    <s v="Foot Locker"/>
    <n v="1185732"/>
    <d v="2021-11-04T00:00:00"/>
    <x v="3"/>
    <s v="Connecticut"/>
    <s v="Hartford"/>
    <s v="Women's Street Footwear"/>
    <n v="36"/>
    <n v="103"/>
    <x v="613"/>
    <x v="774"/>
    <s v="Outlet"/>
  </r>
  <r>
    <s v="West Gear"/>
    <n v="1128299"/>
    <d v="2020-01-21T00:00:00"/>
    <x v="4"/>
    <s v="Nevada"/>
    <s v="Las Vegas"/>
    <s v="Men's Athletic Footwear"/>
    <n v="62"/>
    <n v="102"/>
    <x v="398"/>
    <x v="746"/>
    <s v="Online"/>
  </r>
  <r>
    <s v="West Gear"/>
    <n v="1128299"/>
    <d v="2020-05-10T00:00:00"/>
    <x v="4"/>
    <s v="Colorado"/>
    <s v="Denver"/>
    <s v="Women's Street Footwear"/>
    <n v="51"/>
    <n v="102"/>
    <x v="1155"/>
    <x v="112"/>
    <s v="Online"/>
  </r>
  <r>
    <s v="Amazon"/>
    <n v="1185732"/>
    <d v="2021-02-22T00:00:00"/>
    <x v="4"/>
    <s v="Alaska"/>
    <s v="Anchorage"/>
    <s v="Women's Apparel"/>
    <n v="52"/>
    <n v="102"/>
    <x v="1197"/>
    <x v="528"/>
    <s v="Online"/>
  </r>
  <r>
    <s v="Amazon"/>
    <n v="1185732"/>
    <d v="2021-07-20T00:00:00"/>
    <x v="4"/>
    <s v="Alaska"/>
    <s v="Anchorage"/>
    <s v="Women's Street Footwear"/>
    <n v="53"/>
    <n v="102"/>
    <x v="878"/>
    <x v="587"/>
    <s v="Online"/>
  </r>
  <r>
    <s v="Amazon"/>
    <n v="1185732"/>
    <d v="2021-08-21T00:00:00"/>
    <x v="4"/>
    <s v="Alaska"/>
    <s v="Anchorage"/>
    <s v="Women's Street Footwear"/>
    <n v="54"/>
    <n v="102"/>
    <x v="978"/>
    <x v="684"/>
    <s v="Online"/>
  </r>
  <r>
    <s v="Foot Locker"/>
    <n v="1128299"/>
    <d v="2021-02-10T00:00:00"/>
    <x v="4"/>
    <s v="Hawaii"/>
    <s v="Honolulu"/>
    <s v="Women's Apparel"/>
    <n v="44"/>
    <n v="102"/>
    <x v="1089"/>
    <x v="634"/>
    <s v="Online"/>
  </r>
  <r>
    <s v="Foot Locker"/>
    <n v="1128299"/>
    <d v="2021-10-24T00:00:00"/>
    <x v="0"/>
    <s v="Virginia"/>
    <s v="Richmond"/>
    <s v="Men's Street Footwear"/>
    <n v="38"/>
    <n v="102"/>
    <x v="619"/>
    <x v="596"/>
    <s v="Online"/>
  </r>
  <r>
    <s v="Foot Locker"/>
    <n v="1128299"/>
    <d v="2021-10-24T00:00:00"/>
    <x v="0"/>
    <s v="Virginia"/>
    <s v="Richmond"/>
    <s v="Women's Apparel"/>
    <n v="59"/>
    <n v="102"/>
    <x v="1045"/>
    <x v="454"/>
    <s v="Online"/>
  </r>
  <r>
    <s v="Foot Locker"/>
    <n v="1185732"/>
    <d v="2021-03-17T00:00:00"/>
    <x v="2"/>
    <s v="Missouri"/>
    <s v="St. Louis"/>
    <s v="Women's Apparel"/>
    <n v="34"/>
    <n v="102"/>
    <x v="985"/>
    <x v="504"/>
    <s v="Online"/>
  </r>
  <r>
    <s v="Foot Locker"/>
    <n v="1185732"/>
    <d v="2021-06-18T00:00:00"/>
    <x v="2"/>
    <s v="Missouri"/>
    <s v="St. Louis"/>
    <s v="Men's Apparel"/>
    <n v="38"/>
    <n v="102"/>
    <x v="619"/>
    <x v="596"/>
    <s v="Online"/>
  </r>
  <r>
    <s v="West Gear"/>
    <n v="1185732"/>
    <d v="2021-03-10T00:00:00"/>
    <x v="4"/>
    <s v="Utah"/>
    <s v="Salt Lake City"/>
    <s v="Men's Athletic Footwear"/>
    <n v="28"/>
    <n v="102"/>
    <x v="615"/>
    <x v="737"/>
    <s v="Online"/>
  </r>
  <r>
    <s v="West Gear"/>
    <n v="1128299"/>
    <d v="2021-10-24T00:00:00"/>
    <x v="4"/>
    <s v="Oregon"/>
    <s v="Portland"/>
    <s v="Men's Street Footwear"/>
    <n v="38"/>
    <n v="102"/>
    <x v="619"/>
    <x v="752"/>
    <s v="Online"/>
  </r>
  <r>
    <s v="Foot Locker"/>
    <n v="1128299"/>
    <d v="2021-04-23T00:00:00"/>
    <x v="4"/>
    <s v="Arizona"/>
    <s v="Phoenix"/>
    <s v="Women's Street Footwear"/>
    <n v="50"/>
    <n v="102"/>
    <x v="285"/>
    <x v="431"/>
    <s v="Online"/>
  </r>
  <r>
    <s v="Sports Direct"/>
    <n v="1128299"/>
    <d v="2021-10-13T00:00:00"/>
    <x v="0"/>
    <s v="Georgia"/>
    <s v="Atlanta"/>
    <s v="Women's Apparel"/>
    <n v="64"/>
    <n v="102"/>
    <x v="618"/>
    <x v="431"/>
    <s v="Online"/>
  </r>
  <r>
    <s v="Sports Direct"/>
    <n v="1128299"/>
    <d v="2021-11-13T00:00:00"/>
    <x v="0"/>
    <s v="Georgia"/>
    <s v="Atlanta"/>
    <s v="Men's Apparel"/>
    <n v="60"/>
    <n v="102"/>
    <x v="94"/>
    <x v="514"/>
    <s v="Online"/>
  </r>
  <r>
    <s v="Amazon"/>
    <n v="1185732"/>
    <d v="2021-04-10T00:00:00"/>
    <x v="2"/>
    <s v="Ohio"/>
    <s v="Columbus"/>
    <s v="Women's Athletic Footwear"/>
    <n v="24"/>
    <n v="102"/>
    <x v="1198"/>
    <x v="754"/>
    <s v="Online"/>
  </r>
  <r>
    <s v="Walmart"/>
    <n v="1197831"/>
    <d v="2021-03-19T00:00:00"/>
    <x v="1"/>
    <s v="Arkansas"/>
    <s v="Little Rock"/>
    <s v="Women's Apparel"/>
    <n v="24"/>
    <n v="102"/>
    <x v="1198"/>
    <x v="793"/>
    <s v="Online"/>
  </r>
  <r>
    <s v="Kohl's"/>
    <n v="1197831"/>
    <d v="2021-01-16T00:00:00"/>
    <x v="1"/>
    <s v="Oklahoma"/>
    <s v="Oklahoma City"/>
    <s v="Women's Apparel"/>
    <n v="23"/>
    <n v="102"/>
    <x v="1199"/>
    <x v="702"/>
    <s v="Online"/>
  </r>
  <r>
    <s v="Kohl's"/>
    <n v="1197831"/>
    <d v="2021-07-12T00:00:00"/>
    <x v="2"/>
    <s v="Kansas"/>
    <s v="Wichita"/>
    <s v="Women's Street Footwear"/>
    <n v="42"/>
    <n v="102"/>
    <x v="1200"/>
    <x v="180"/>
    <s v="Online"/>
  </r>
  <r>
    <s v="Kohl's"/>
    <n v="1197831"/>
    <d v="2021-08-13T00:00:00"/>
    <x v="2"/>
    <s v="Kansas"/>
    <s v="Wichita"/>
    <s v="Women's Street Footwear"/>
    <n v="47"/>
    <n v="102"/>
    <x v="1020"/>
    <x v="746"/>
    <s v="Online"/>
  </r>
  <r>
    <s v="West Gear"/>
    <n v="1185732"/>
    <d v="2021-08-03T00:00:00"/>
    <x v="2"/>
    <s v="Wisconsin"/>
    <s v="Milwaukee"/>
    <s v="Women's Apparel"/>
    <n v="52"/>
    <n v="102"/>
    <x v="1197"/>
    <x v="449"/>
    <s v="Online"/>
  </r>
  <r>
    <s v="West Gear"/>
    <n v="1185732"/>
    <d v="2021-12-02T00:00:00"/>
    <x v="2"/>
    <s v="Wisconsin"/>
    <s v="Milwaukee"/>
    <s v="Men's Athletic Footwear"/>
    <n v="49"/>
    <n v="102"/>
    <x v="1008"/>
    <x v="486"/>
    <s v="Online"/>
  </r>
  <r>
    <s v="Foot Locker"/>
    <n v="1185732"/>
    <d v="2021-12-16T00:00:00"/>
    <x v="3"/>
    <s v="West Virginia"/>
    <s v="Charleston"/>
    <s v="Women's Athletic Footwear"/>
    <n v="53"/>
    <n v="102"/>
    <x v="878"/>
    <x v="512"/>
    <s v="Online"/>
  </r>
  <r>
    <s v="Sports Direct"/>
    <n v="1185732"/>
    <d v="2021-07-20T00:00:00"/>
    <x v="3"/>
    <s v="Maryland"/>
    <s v="Baltimore"/>
    <s v="Women's Apparel"/>
    <n v="54"/>
    <n v="102"/>
    <x v="978"/>
    <x v="618"/>
    <s v="Online"/>
  </r>
  <r>
    <s v="Foot Locker"/>
    <n v="1185732"/>
    <d v="2021-07-13T00:00:00"/>
    <x v="3"/>
    <s v="Delaware"/>
    <s v="Wilmington"/>
    <s v="Women's Street Footwear"/>
    <n v="41"/>
    <n v="102"/>
    <x v="587"/>
    <x v="565"/>
    <s v="Online"/>
  </r>
  <r>
    <s v="Kohl's"/>
    <n v="1185732"/>
    <d v="2021-05-06T00:00:00"/>
    <x v="3"/>
    <s v="New Jersey"/>
    <s v="Newark"/>
    <s v="Women's Apparel"/>
    <n v="51"/>
    <n v="102"/>
    <x v="1155"/>
    <x v="449"/>
    <s v="Online"/>
  </r>
  <r>
    <s v="Amazon"/>
    <n v="1185732"/>
    <d v="2021-07-17T00:00:00"/>
    <x v="3"/>
    <s v="New Hampshire"/>
    <s v="Manchester"/>
    <s v="Men's Apparel"/>
    <n v="60"/>
    <n v="102"/>
    <x v="94"/>
    <x v="398"/>
    <s v="Online"/>
  </r>
  <r>
    <s v="Foot Locker"/>
    <n v="1185732"/>
    <d v="2021-12-04T00:00:00"/>
    <x v="3"/>
    <s v="Pennsylvania"/>
    <s v="Philadelphia"/>
    <s v="Men's Athletic Footwear"/>
    <n v="44"/>
    <n v="102"/>
    <x v="1089"/>
    <x v="335"/>
    <s v="Outlet"/>
  </r>
  <r>
    <s v="Foot Locker"/>
    <n v="1128299"/>
    <d v="2021-03-23T00:00:00"/>
    <x v="0"/>
    <s v="Virginia"/>
    <s v="Richmond"/>
    <s v="Women's Apparel"/>
    <n v="35"/>
    <n v="102"/>
    <x v="584"/>
    <x v="688"/>
    <s v="Outlet"/>
  </r>
  <r>
    <s v="West Gear"/>
    <n v="1128299"/>
    <d v="2021-08-17T00:00:00"/>
    <x v="1"/>
    <s v="Louisiana"/>
    <s v="New Orleans"/>
    <s v="Women's Apparel"/>
    <n v="46"/>
    <n v="102"/>
    <x v="617"/>
    <x v="542"/>
    <s v="Outlet"/>
  </r>
  <r>
    <s v="Foot Locker"/>
    <n v="1128299"/>
    <d v="2021-10-23T00:00:00"/>
    <x v="4"/>
    <s v="Arizona"/>
    <s v="Phoenix"/>
    <s v="Women's Athletic Footwear"/>
    <n v="32"/>
    <n v="102"/>
    <x v="804"/>
    <x v="822"/>
    <s v="Outlet"/>
  </r>
  <r>
    <s v="Sports Direct"/>
    <n v="1128299"/>
    <d v="2021-10-13T00:00:00"/>
    <x v="0"/>
    <s v="Georgia"/>
    <s v="Atlanta"/>
    <s v="Men's Apparel"/>
    <n v="41"/>
    <n v="102"/>
    <x v="587"/>
    <x v="816"/>
    <s v="Outlet"/>
  </r>
  <r>
    <s v="Sports Direct"/>
    <n v="1197831"/>
    <d v="2021-01-23T00:00:00"/>
    <x v="1"/>
    <s v="Mississippi"/>
    <s v="Jackson"/>
    <s v="Women's Athletic Footwear"/>
    <n v="13"/>
    <n v="102"/>
    <x v="1201"/>
    <x v="807"/>
    <s v="Outlet"/>
  </r>
  <r>
    <s v="Walmart"/>
    <n v="1197831"/>
    <d v="2021-04-20T00:00:00"/>
    <x v="1"/>
    <s v="Arkansas"/>
    <s v="Little Rock"/>
    <s v="Men's Athletic Footwear"/>
    <n v="20"/>
    <n v="102"/>
    <x v="1202"/>
    <x v="817"/>
    <s v="Outlet"/>
  </r>
  <r>
    <s v="West Gear"/>
    <n v="1197831"/>
    <d v="2021-11-20T00:00:00"/>
    <x v="1"/>
    <s v="Arkansas"/>
    <s v="Little Rock"/>
    <s v="Women's Street Footwear"/>
    <n v="19"/>
    <n v="102"/>
    <x v="1203"/>
    <x v="851"/>
    <s v="Outlet"/>
  </r>
  <r>
    <s v="West Gear"/>
    <n v="1197831"/>
    <d v="2021-06-21T00:00:00"/>
    <x v="1"/>
    <s v="Oklahoma"/>
    <s v="Oklahoma City"/>
    <s v="Women's Athletic Footwear"/>
    <n v="29"/>
    <n v="102"/>
    <x v="336"/>
    <x v="354"/>
    <s v="Outlet"/>
  </r>
  <r>
    <s v="Sports Direct"/>
    <n v="1185732"/>
    <d v="2021-12-06T00:00:00"/>
    <x v="3"/>
    <s v="Rhode Island"/>
    <s v="Providence"/>
    <s v="Men's Athletic Footwear"/>
    <n v="37"/>
    <n v="102"/>
    <x v="1169"/>
    <x v="445"/>
    <s v="Outlet"/>
  </r>
  <r>
    <s v="Amazon"/>
    <n v="1185732"/>
    <d v="2021-11-14T00:00:00"/>
    <x v="3"/>
    <s v="Massachusetts"/>
    <s v="Boston"/>
    <s v="Men's Athletic Footwear"/>
    <n v="40"/>
    <n v="102"/>
    <x v="866"/>
    <x v="737"/>
    <s v="Outlet"/>
  </r>
  <r>
    <s v="Amazon"/>
    <n v="1185732"/>
    <d v="2021-06-12T00:00:00"/>
    <x v="3"/>
    <s v="Vermont"/>
    <s v="Burlington"/>
    <s v="Women's Athletic Footwear"/>
    <n v="38"/>
    <n v="102"/>
    <x v="619"/>
    <x v="588"/>
    <s v="Outlet"/>
  </r>
  <r>
    <s v="West Gear"/>
    <n v="1185732"/>
    <d v="2021-11-11T00:00:00"/>
    <x v="3"/>
    <s v="Vermont"/>
    <s v="Burlington"/>
    <s v="Women's Street Footwear"/>
    <n v="46"/>
    <n v="102"/>
    <x v="617"/>
    <x v="596"/>
    <s v="Outlet"/>
  </r>
  <r>
    <s v="West Gear"/>
    <n v="1128299"/>
    <d v="2020-07-24T00:00:00"/>
    <x v="4"/>
    <s v="Washington"/>
    <s v="Seattle"/>
    <s v="Women's Apparel"/>
    <n v="71"/>
    <n v="101"/>
    <x v="269"/>
    <x v="398"/>
    <s v="Online"/>
  </r>
  <r>
    <s v="Kohl's"/>
    <n v="1189833"/>
    <d v="2021-01-16T00:00:00"/>
    <x v="2"/>
    <s v="Montana"/>
    <s v="Billings"/>
    <s v="Men's Athletic Footwear"/>
    <n v="43"/>
    <n v="101"/>
    <x v="801"/>
    <x v="587"/>
    <s v="Online"/>
  </r>
  <r>
    <s v="Kohl's"/>
    <n v="1189833"/>
    <d v="2021-01-20T00:00:00"/>
    <x v="2"/>
    <s v="Montana"/>
    <s v="Billings"/>
    <s v="Women's Apparel"/>
    <n v="55"/>
    <n v="101"/>
    <x v="1178"/>
    <x v="742"/>
    <s v="Online"/>
  </r>
  <r>
    <s v="Sports Direct"/>
    <n v="1197831"/>
    <d v="2021-03-25T00:00:00"/>
    <x v="1"/>
    <s v="Tennessee"/>
    <s v="Knoxville"/>
    <s v="Women's Athletic Footwear"/>
    <n v="33"/>
    <n v="101"/>
    <x v="1099"/>
    <x v="796"/>
    <s v="Online"/>
  </r>
  <r>
    <s v="West Gear"/>
    <n v="1128299"/>
    <d v="2021-01-10T00:00:00"/>
    <x v="3"/>
    <s v="Maine"/>
    <s v="Portland"/>
    <s v="Women's Street Footwear"/>
    <n v="43"/>
    <n v="101"/>
    <x v="801"/>
    <x v="596"/>
    <s v="Online"/>
  </r>
  <r>
    <s v="Amazon"/>
    <n v="1185732"/>
    <d v="2021-11-21T00:00:00"/>
    <x v="4"/>
    <s v="Alaska"/>
    <s v="Anchorage"/>
    <s v="Women's Apparel"/>
    <n v="74"/>
    <n v="101"/>
    <x v="648"/>
    <x v="74"/>
    <s v="Online"/>
  </r>
  <r>
    <s v="Foot Locker"/>
    <n v="1128299"/>
    <d v="2021-03-09T00:00:00"/>
    <x v="4"/>
    <s v="Hawaii"/>
    <s v="Honolulu"/>
    <s v="Women's Street Footwear"/>
    <n v="57"/>
    <n v="101"/>
    <x v="1091"/>
    <x v="504"/>
    <s v="Online"/>
  </r>
  <r>
    <s v="Sports Direct"/>
    <n v="1128299"/>
    <d v="2021-03-16T00:00:00"/>
    <x v="0"/>
    <s v="Florida"/>
    <s v="Orlando"/>
    <s v="Women's Apparel"/>
    <n v="54"/>
    <n v="101"/>
    <x v="530"/>
    <x v="622"/>
    <s v="Online"/>
  </r>
  <r>
    <s v="Foot Locker"/>
    <n v="1185732"/>
    <d v="2021-07-17T00:00:00"/>
    <x v="2"/>
    <s v="Missouri"/>
    <s v="St. Louis"/>
    <s v="Women's Athletic Footwear"/>
    <n v="29"/>
    <n v="101"/>
    <x v="969"/>
    <x v="588"/>
    <s v="Online"/>
  </r>
  <r>
    <s v="West Gear"/>
    <n v="1185732"/>
    <d v="2021-02-11T00:00:00"/>
    <x v="2"/>
    <s v="Missouri"/>
    <s v="St. Louis"/>
    <s v="Men's Athletic Footwear"/>
    <n v="24"/>
    <n v="101"/>
    <x v="1189"/>
    <x v="714"/>
    <s v="Online"/>
  </r>
  <r>
    <s v="West Gear"/>
    <n v="1185732"/>
    <d v="2021-02-11T00:00:00"/>
    <x v="4"/>
    <s v="Utah"/>
    <s v="Salt Lake City"/>
    <s v="Men's Apparel"/>
    <n v="32"/>
    <n v="101"/>
    <x v="551"/>
    <x v="590"/>
    <s v="Online"/>
  </r>
  <r>
    <s v="West Gear"/>
    <n v="1185732"/>
    <d v="2021-05-12T00:00:00"/>
    <x v="4"/>
    <s v="Utah"/>
    <s v="Salt Lake City"/>
    <s v="Men's Athletic Footwear"/>
    <n v="29"/>
    <n v="101"/>
    <x v="969"/>
    <x v="776"/>
    <s v="Online"/>
  </r>
  <r>
    <s v="West Gear"/>
    <n v="1185732"/>
    <d v="2021-08-11T00:00:00"/>
    <x v="4"/>
    <s v="Utah"/>
    <s v="Salt Lake City"/>
    <s v="Women's Athletic Footwear"/>
    <n v="19"/>
    <n v="101"/>
    <x v="1131"/>
    <x v="779"/>
    <s v="Online"/>
  </r>
  <r>
    <s v="West Gear"/>
    <n v="1128299"/>
    <d v="2021-03-16T00:00:00"/>
    <x v="1"/>
    <s v="Louisiana"/>
    <s v="New Orleans"/>
    <s v="Men's Athletic Footwear"/>
    <n v="51"/>
    <n v="101"/>
    <x v="483"/>
    <x v="662"/>
    <s v="Online"/>
  </r>
  <r>
    <s v="Sports Direct"/>
    <n v="1197831"/>
    <d v="2021-10-04T00:00:00"/>
    <x v="4"/>
    <s v="Idaho"/>
    <s v="Boise"/>
    <s v="Women's Athletic Footwear"/>
    <n v="44"/>
    <n v="101"/>
    <x v="1173"/>
    <x v="366"/>
    <s v="Online"/>
  </r>
  <r>
    <s v="Foot Locker"/>
    <n v="1128299"/>
    <d v="2021-07-22T00:00:00"/>
    <x v="4"/>
    <s v="Arizona"/>
    <s v="Phoenix"/>
    <s v="Women's Athletic Footwear"/>
    <n v="48"/>
    <n v="101"/>
    <x v="1005"/>
    <x v="285"/>
    <s v="Online"/>
  </r>
  <r>
    <s v="Kohl's"/>
    <n v="1128299"/>
    <d v="2021-04-26T00:00:00"/>
    <x v="4"/>
    <s v="New Mexico"/>
    <s v="Albuquerque"/>
    <s v="Women's Apparel"/>
    <n v="69"/>
    <n v="101"/>
    <x v="1194"/>
    <x v="454"/>
    <s v="Online"/>
  </r>
  <r>
    <s v="Sports Direct"/>
    <n v="1128299"/>
    <d v="2021-03-12T00:00:00"/>
    <x v="0"/>
    <s v="Georgia"/>
    <s v="Atlanta"/>
    <s v="Men's Athletic Footwear"/>
    <n v="46"/>
    <n v="101"/>
    <x v="995"/>
    <x v="685"/>
    <s v="Online"/>
  </r>
  <r>
    <s v="Amazon"/>
    <n v="1185732"/>
    <d v="2021-02-11T00:00:00"/>
    <x v="2"/>
    <s v="Ohio"/>
    <s v="Columbus"/>
    <s v="Women's Athletic Footwear"/>
    <n v="29"/>
    <n v="101"/>
    <x v="969"/>
    <x v="628"/>
    <s v="Online"/>
  </r>
  <r>
    <s v="Amazon"/>
    <n v="1185732"/>
    <d v="2021-04-10T00:00:00"/>
    <x v="2"/>
    <s v="Ohio"/>
    <s v="Columbus"/>
    <s v="Men's Apparel"/>
    <n v="42"/>
    <n v="101"/>
    <x v="503"/>
    <x v="589"/>
    <s v="Online"/>
  </r>
  <r>
    <s v="Amazon"/>
    <n v="1185732"/>
    <d v="2021-06-22T00:00:00"/>
    <x v="0"/>
    <s v="Kentucky"/>
    <s v="Louisville"/>
    <s v="Women's Apparel"/>
    <n v="52"/>
    <n v="101"/>
    <x v="647"/>
    <x v="456"/>
    <s v="Online"/>
  </r>
  <r>
    <s v="Foot Locker"/>
    <n v="1185732"/>
    <d v="2021-01-20T00:00:00"/>
    <x v="0"/>
    <s v="Kentucky"/>
    <s v="Louisville"/>
    <s v="Women's Athletic Footwear"/>
    <n v="23"/>
    <n v="101"/>
    <x v="1019"/>
    <x v="568"/>
    <s v="Online"/>
  </r>
  <r>
    <s v="Foot Locker"/>
    <n v="1185732"/>
    <d v="2021-04-17T00:00:00"/>
    <x v="1"/>
    <s v="Mississippi"/>
    <s v="Jackson"/>
    <s v="Women's Street Footwear"/>
    <n v="14"/>
    <n v="101"/>
    <x v="1204"/>
    <x v="818"/>
    <s v="Online"/>
  </r>
  <r>
    <s v="Foot Locker"/>
    <n v="1185732"/>
    <d v="2021-05-16T00:00:00"/>
    <x v="1"/>
    <s v="Mississippi"/>
    <s v="Jackson"/>
    <s v="Women's Athletic Footwear"/>
    <n v="33"/>
    <n v="101"/>
    <x v="1099"/>
    <x v="708"/>
    <s v="Online"/>
  </r>
  <r>
    <s v="West Gear"/>
    <n v="1197831"/>
    <d v="2021-01-23T00:00:00"/>
    <x v="1"/>
    <s v="Arkansas"/>
    <s v="Little Rock"/>
    <s v="Women's Apparel"/>
    <n v="23"/>
    <n v="101"/>
    <x v="1019"/>
    <x v="846"/>
    <s v="Online"/>
  </r>
  <r>
    <s v="Kohl's"/>
    <n v="1197831"/>
    <d v="2021-12-19T00:00:00"/>
    <x v="1"/>
    <s v="Oklahoma"/>
    <s v="Oklahoma City"/>
    <s v="Women's Street Footwear"/>
    <n v="55"/>
    <n v="101"/>
    <x v="1178"/>
    <x v="249"/>
    <s v="Online"/>
  </r>
  <r>
    <s v="West Gear"/>
    <n v="1185732"/>
    <d v="2021-07-09T00:00:00"/>
    <x v="2"/>
    <s v="Indiana"/>
    <s v="Indianapolis"/>
    <s v="Women's Apparel"/>
    <n v="54"/>
    <n v="101"/>
    <x v="530"/>
    <x v="249"/>
    <s v="Online"/>
  </r>
  <r>
    <s v="Kohl's"/>
    <n v="1185732"/>
    <d v="2021-08-07T00:00:00"/>
    <x v="3"/>
    <s v="New Jersey"/>
    <s v="Newark"/>
    <s v="Men's Athletic Footwear"/>
    <n v="42"/>
    <n v="101"/>
    <x v="503"/>
    <x v="589"/>
    <s v="Online"/>
  </r>
  <r>
    <s v="Sports Direct"/>
    <n v="1185732"/>
    <d v="2021-12-06T00:00:00"/>
    <x v="3"/>
    <s v="New Jersey"/>
    <s v="Newark"/>
    <s v="Women's Apparel"/>
    <n v="59"/>
    <n v="101"/>
    <x v="562"/>
    <x v="630"/>
    <s v="Online"/>
  </r>
  <r>
    <s v="Foot Locker"/>
    <n v="1185732"/>
    <d v="2021-12-03T00:00:00"/>
    <x v="3"/>
    <s v="Connecticut"/>
    <s v="Hartford"/>
    <s v="Men's Athletic Footwear"/>
    <n v="51"/>
    <n v="101"/>
    <x v="483"/>
    <x v="487"/>
    <s v="Online"/>
  </r>
  <r>
    <s v="Sports Direct"/>
    <n v="1185732"/>
    <d v="2021-06-15T00:00:00"/>
    <x v="3"/>
    <s v="Massachusetts"/>
    <s v="Boston"/>
    <s v="Women's Apparel"/>
    <n v="54"/>
    <n v="101"/>
    <x v="530"/>
    <x v="285"/>
    <s v="Online"/>
  </r>
  <r>
    <s v="Foot Locker"/>
    <n v="1128299"/>
    <d v="2021-10-24T00:00:00"/>
    <x v="0"/>
    <s v="Virginia"/>
    <s v="Richmond"/>
    <s v="Women's Athletic Footwear"/>
    <n v="31"/>
    <n v="101"/>
    <x v="1070"/>
    <x v="755"/>
    <s v="Outlet"/>
  </r>
  <r>
    <s v="West Gear"/>
    <n v="1128299"/>
    <d v="2021-05-18T00:00:00"/>
    <x v="1"/>
    <s v="Louisiana"/>
    <s v="New Orleans"/>
    <s v="Women's Athletic Footwear"/>
    <n v="33"/>
    <n v="101"/>
    <x v="1099"/>
    <x v="737"/>
    <s v="Outlet"/>
  </r>
  <r>
    <s v="Kohl's"/>
    <n v="1128299"/>
    <d v="2021-01-26T00:00:00"/>
    <x v="4"/>
    <s v="Arizona"/>
    <s v="Phoenix"/>
    <s v="Women's Athletic Footwear"/>
    <n v="30"/>
    <n v="101"/>
    <x v="412"/>
    <x v="420"/>
    <s v="Outlet"/>
  </r>
  <r>
    <s v="Kohl's"/>
    <n v="1197831"/>
    <d v="2021-10-21T00:00:00"/>
    <x v="1"/>
    <s v="Oklahoma"/>
    <s v="Oklahoma City"/>
    <s v="Women's Apparel"/>
    <n v="22"/>
    <n v="101"/>
    <x v="1171"/>
    <x v="730"/>
    <s v="Outlet"/>
  </r>
  <r>
    <s v="Amazon"/>
    <n v="1185732"/>
    <d v="2021-01-14T00:00:00"/>
    <x v="3"/>
    <s v="Massachusetts"/>
    <s v="Boston"/>
    <s v="Women's Street Footwear"/>
    <n v="27"/>
    <n v="101"/>
    <x v="1179"/>
    <x v="663"/>
    <s v="Outlet"/>
  </r>
  <r>
    <s v="Amazon"/>
    <n v="1185732"/>
    <d v="2021-12-10T00:00:00"/>
    <x v="3"/>
    <s v="Vermont"/>
    <s v="Burlington"/>
    <s v="Women's Athletic Footwear"/>
    <n v="44"/>
    <n v="101"/>
    <x v="1173"/>
    <x v="647"/>
    <s v="Outlet"/>
  </r>
  <r>
    <s v="Amazon"/>
    <n v="1185732"/>
    <d v="2021-01-21T00:00:00"/>
    <x v="3"/>
    <s v="Vermont"/>
    <s v="Burlington"/>
    <s v="Women's Street Footwear"/>
    <n v="28"/>
    <n v="101"/>
    <x v="1205"/>
    <x v="779"/>
    <s v="Outlet"/>
  </r>
  <r>
    <s v="Amazon"/>
    <n v="1185732"/>
    <d v="2021-01-21T00:00:00"/>
    <x v="3"/>
    <s v="Vermont"/>
    <s v="Burlington"/>
    <s v="Women's Apparel"/>
    <n v="35"/>
    <n v="101"/>
    <x v="1064"/>
    <x v="799"/>
    <s v="Outlet"/>
  </r>
  <r>
    <s v="Amazon"/>
    <n v="1185732"/>
    <d v="2021-04-18T00:00:00"/>
    <x v="3"/>
    <s v="New Hampshire"/>
    <s v="Manchester"/>
    <s v="Women's Apparel"/>
    <n v="33"/>
    <n v="101"/>
    <x v="1099"/>
    <x v="568"/>
    <s v="Outlet"/>
  </r>
  <r>
    <s v="Amazon"/>
    <n v="1185732"/>
    <d v="2021-05-17T00:00:00"/>
    <x v="3"/>
    <s v="New Hampshire"/>
    <s v="Manchester"/>
    <s v="Women's Street Footwear"/>
    <n v="42"/>
    <n v="101"/>
    <x v="503"/>
    <x v="776"/>
    <s v="Outlet"/>
  </r>
  <r>
    <s v="Foot Locker"/>
    <n v="1185732"/>
    <d v="2021-06-22T00:00:00"/>
    <x v="2"/>
    <s v="Illinois"/>
    <s v="Chicago"/>
    <s v="Men's Apparel"/>
    <n v="60"/>
    <n v="100"/>
    <x v="14"/>
    <x v="41"/>
    <s v="Outlet"/>
  </r>
  <r>
    <s v="Foot Locker"/>
    <n v="1185732"/>
    <d v="2021-06-27T00:00:00"/>
    <x v="2"/>
    <s v="Illinois"/>
    <s v="Chicago"/>
    <s v="Women's Athletic Footwear"/>
    <n v="50"/>
    <n v="100"/>
    <x v="303"/>
    <x v="322"/>
    <s v="Outlet"/>
  </r>
  <r>
    <s v="Foot Locker"/>
    <n v="1185732"/>
    <d v="2021-11-18T00:00:00"/>
    <x v="3"/>
    <s v="Pennsylvania"/>
    <s v="Philadelphia"/>
    <s v="Women's Athletic Footwear"/>
    <n v="55"/>
    <n v="100"/>
    <x v="181"/>
    <x v="196"/>
    <s v="Outlet"/>
  </r>
  <r>
    <s v="Foot Locker"/>
    <n v="1185732"/>
    <d v="2021-12-18T00:00:00"/>
    <x v="3"/>
    <s v="Pennsylvania"/>
    <s v="Philadelphia"/>
    <s v="Women's Athletic Footwear"/>
    <n v="50"/>
    <n v="100"/>
    <x v="303"/>
    <x v="323"/>
    <s v="Outlet"/>
  </r>
  <r>
    <s v="Foot Locker"/>
    <n v="1185732"/>
    <d v="2021-12-19T00:00:00"/>
    <x v="3"/>
    <s v="Pennsylvania"/>
    <s v="Philadelphia"/>
    <s v="Men's Apparel"/>
    <n v="60"/>
    <n v="100"/>
    <x v="14"/>
    <x v="128"/>
    <s v="Outlet"/>
  </r>
  <r>
    <s v="Foot Locker"/>
    <n v="1185732"/>
    <d v="2020-10-20T00:00:00"/>
    <x v="0"/>
    <s v="Florida"/>
    <s v="Miami"/>
    <s v="Women's Athletic Footwear"/>
    <n v="30"/>
    <n v="100"/>
    <x v="655"/>
    <x v="99"/>
    <s v="In-store"/>
  </r>
  <r>
    <s v="Foot Locker"/>
    <n v="1185732"/>
    <d v="2020-11-05T00:00:00"/>
    <x v="2"/>
    <s v="Minnesota"/>
    <s v="Minneapolis"/>
    <s v="Men's Athletic Footwear"/>
    <n v="40"/>
    <n v="100"/>
    <x v="654"/>
    <x v="626"/>
    <s v="In-store"/>
  </r>
  <r>
    <s v="Foot Locker"/>
    <n v="1185732"/>
    <d v="2020-11-06T00:00:00"/>
    <x v="2"/>
    <s v="Minnesota"/>
    <s v="Minneapolis"/>
    <s v="Women's Street Footwear"/>
    <n v="30"/>
    <n v="100"/>
    <x v="655"/>
    <x v="768"/>
    <s v="In-store"/>
  </r>
  <r>
    <s v="Foot Locker"/>
    <n v="1185732"/>
    <d v="2020-12-12T00:00:00"/>
    <x v="2"/>
    <s v="Minnesota"/>
    <s v="Minneapolis"/>
    <s v="Women's Street Footwear"/>
    <n v="35"/>
    <n v="100"/>
    <x v="31"/>
    <x v="99"/>
    <s v="Outlet"/>
  </r>
  <r>
    <s v="Foot Locker"/>
    <n v="1185732"/>
    <d v="2021-06-03T00:00:00"/>
    <x v="2"/>
    <s v="Nebraska"/>
    <s v="Omaha"/>
    <s v="Men's Athletic Footwear"/>
    <n v="40"/>
    <n v="100"/>
    <x v="654"/>
    <x v="40"/>
    <s v="Outlet"/>
  </r>
  <r>
    <s v="Foot Locker"/>
    <n v="1185732"/>
    <d v="2021-06-16T00:00:00"/>
    <x v="2"/>
    <s v="Nebraska"/>
    <s v="Omaha"/>
    <s v="Women's Street Footwear"/>
    <n v="35"/>
    <n v="100"/>
    <x v="31"/>
    <x v="39"/>
    <s v="Outlet"/>
  </r>
  <r>
    <s v="Foot Locker"/>
    <n v="1185732"/>
    <d v="2021-07-06T00:00:00"/>
    <x v="2"/>
    <s v="Nebraska"/>
    <s v="Omaha"/>
    <s v="Men's Apparel"/>
    <n v="40"/>
    <n v="100"/>
    <x v="654"/>
    <x v="40"/>
    <s v="Outlet"/>
  </r>
  <r>
    <s v="Foot Locker"/>
    <n v="1185732"/>
    <d v="2021-07-10T00:00:00"/>
    <x v="2"/>
    <s v="Nebraska"/>
    <s v="Omaha"/>
    <s v="Women's Street Footwear"/>
    <n v="20"/>
    <n v="100"/>
    <x v="1206"/>
    <x v="101"/>
    <s v="Outlet"/>
  </r>
  <r>
    <s v="Foot Locker"/>
    <n v="1185732"/>
    <d v="2021-07-24T00:00:00"/>
    <x v="2"/>
    <s v="Nebraska"/>
    <s v="Omaha"/>
    <s v="Men's Apparel"/>
    <n v="50"/>
    <n v="100"/>
    <x v="303"/>
    <x v="323"/>
    <s v="Outlet"/>
  </r>
  <r>
    <s v="Amazon"/>
    <n v="1185732"/>
    <d v="2021-10-15T00:00:00"/>
    <x v="1"/>
    <s v="Alabama"/>
    <s v="Birmingham"/>
    <s v="Women's Athletic Footwear"/>
    <n v="35"/>
    <n v="100"/>
    <x v="31"/>
    <x v="99"/>
    <s v="Outlet"/>
  </r>
  <r>
    <s v="Amazon"/>
    <n v="1185732"/>
    <d v="2021-10-28T00:00:00"/>
    <x v="3"/>
    <s v="Maine"/>
    <s v="Portland"/>
    <s v="Men's Apparel"/>
    <n v="50"/>
    <n v="100"/>
    <x v="303"/>
    <x v="32"/>
    <s v="Outlet"/>
  </r>
  <r>
    <s v="Amazon"/>
    <n v="1185732"/>
    <d v="2021-10-19T00:00:00"/>
    <x v="3"/>
    <s v="Maine"/>
    <s v="Portland"/>
    <s v="Women's Athletic Footwear"/>
    <n v="55"/>
    <n v="100"/>
    <x v="181"/>
    <x v="197"/>
    <s v="Outlet"/>
  </r>
  <r>
    <s v="Amazon"/>
    <n v="1185732"/>
    <d v="2021-10-19T00:00:00"/>
    <x v="3"/>
    <s v="Maine"/>
    <s v="Portland"/>
    <s v="Men's Apparel"/>
    <n v="65"/>
    <n v="100"/>
    <x v="56"/>
    <x v="852"/>
    <s v="Outlet"/>
  </r>
  <r>
    <s v="Foot Locker"/>
    <n v="1128299"/>
    <d v="2021-03-23T00:00:00"/>
    <x v="0"/>
    <s v="Virginia"/>
    <s v="Richmond"/>
    <s v="Men's Apparel"/>
    <n v="55"/>
    <n v="100"/>
    <x v="181"/>
    <x v="199"/>
    <s v="In-store"/>
  </r>
  <r>
    <s v="West Gear"/>
    <n v="1128299"/>
    <d v="2021-03-23T00:00:00"/>
    <x v="4"/>
    <s v="Oregon"/>
    <s v="Portland"/>
    <s v="Men's Apparel"/>
    <n v="55"/>
    <n v="100"/>
    <x v="181"/>
    <x v="199"/>
    <s v="In-store"/>
  </r>
  <r>
    <s v="Amazon"/>
    <n v="1185732"/>
    <d v="2021-03-21T00:00:00"/>
    <x v="0"/>
    <s v="Kentucky"/>
    <s v="Louisville"/>
    <s v="Women's Athletic Footwear"/>
    <n v="40"/>
    <n v="100"/>
    <x v="654"/>
    <x v="625"/>
    <s v="Online"/>
  </r>
  <r>
    <s v="Amazon"/>
    <n v="1185732"/>
    <d v="2021-04-22T00:00:00"/>
    <x v="0"/>
    <s v="Kentucky"/>
    <s v="Louisville"/>
    <s v="Women's Athletic Footwear"/>
    <n v="45"/>
    <n v="100"/>
    <x v="108"/>
    <x v="128"/>
    <s v="Online"/>
  </r>
  <r>
    <s v="Kohl's"/>
    <n v="1197831"/>
    <d v="2021-03-12T00:00:00"/>
    <x v="2"/>
    <s v="Kansas"/>
    <s v="Wichita"/>
    <s v="Women's Athletic Footwear"/>
    <n v="20"/>
    <n v="100"/>
    <x v="1206"/>
    <x v="101"/>
    <s v="Online"/>
  </r>
  <r>
    <s v="Foot Locker"/>
    <n v="1185732"/>
    <d v="2021-02-12T00:00:00"/>
    <x v="2"/>
    <s v="South Dakota"/>
    <s v="Sioux Falls"/>
    <s v="Women's Athletic Footwear"/>
    <n v="35"/>
    <n v="100"/>
    <x v="31"/>
    <x v="99"/>
    <s v="Online"/>
  </r>
  <r>
    <s v="Foot Locker"/>
    <n v="1185732"/>
    <d v="2021-04-12T00:00:00"/>
    <x v="2"/>
    <s v="South Dakota"/>
    <s v="Sioux Falls"/>
    <s v="Men's Apparel"/>
    <n v="60"/>
    <n v="100"/>
    <x v="14"/>
    <x v="41"/>
    <s v="Online"/>
  </r>
  <r>
    <s v="Foot Locker"/>
    <n v="1185732"/>
    <d v="2021-05-13T00:00:00"/>
    <x v="2"/>
    <s v="South Dakota"/>
    <s v="Sioux Falls"/>
    <s v="Women's Athletic Footwear"/>
    <n v="45"/>
    <n v="100"/>
    <x v="108"/>
    <x v="459"/>
    <s v="Online"/>
  </r>
  <r>
    <s v="Sports Direct"/>
    <n v="1185732"/>
    <d v="2021-02-09T00:00:00"/>
    <x v="2"/>
    <s v="North Dakota"/>
    <s v="Fargo"/>
    <s v="Women's Athletic Footwear"/>
    <n v="30"/>
    <n v="100"/>
    <x v="655"/>
    <x v="768"/>
    <s v="Online"/>
  </r>
  <r>
    <s v="Sports Direct"/>
    <n v="1185732"/>
    <d v="2021-04-09T00:00:00"/>
    <x v="2"/>
    <s v="North Dakota"/>
    <s v="Fargo"/>
    <s v="Men's Apparel"/>
    <n v="60"/>
    <n v="100"/>
    <x v="14"/>
    <x v="41"/>
    <s v="In-store"/>
  </r>
  <r>
    <s v="Sports Direct"/>
    <n v="1185732"/>
    <d v="2021-05-10T00:00:00"/>
    <x v="2"/>
    <s v="North Dakota"/>
    <s v="Fargo"/>
    <s v="Women's Athletic Footwear"/>
    <n v="40"/>
    <n v="100"/>
    <x v="654"/>
    <x v="626"/>
    <s v="In-store"/>
  </r>
  <r>
    <s v="Foot Locker"/>
    <n v="1185732"/>
    <d v="2021-01-06T00:00:00"/>
    <x v="2"/>
    <s v="North Dakota"/>
    <s v="Fargo"/>
    <s v="Women's Athletic Footwear"/>
    <n v="25"/>
    <n v="100"/>
    <x v="305"/>
    <x v="853"/>
    <s v="In-store"/>
  </r>
  <r>
    <s v="Foot Locker"/>
    <n v="1185732"/>
    <d v="2021-03-05T00:00:00"/>
    <x v="2"/>
    <s v="Iowa"/>
    <s v="Des Moines"/>
    <s v="Women's Athletic Footwear"/>
    <n v="15"/>
    <n v="100"/>
    <x v="986"/>
    <x v="393"/>
    <s v="In-store"/>
  </r>
  <r>
    <s v="Foot Locker"/>
    <n v="1185732"/>
    <d v="2021-04-06T00:00:00"/>
    <x v="2"/>
    <s v="Iowa"/>
    <s v="Des Moines"/>
    <s v="Women's Athletic Footwear"/>
    <n v="15"/>
    <n v="100"/>
    <x v="986"/>
    <x v="393"/>
    <s v="In-store"/>
  </r>
  <r>
    <s v="West Gear"/>
    <n v="1185732"/>
    <d v="2021-01-03T00:00:00"/>
    <x v="2"/>
    <s v="Iowa"/>
    <s v="Des Moines"/>
    <s v="Women's Athletic Footwear"/>
    <n v="25"/>
    <n v="100"/>
    <x v="305"/>
    <x v="853"/>
    <s v="In-store"/>
  </r>
  <r>
    <s v="West Gear"/>
    <n v="1185732"/>
    <d v="2021-04-03T00:00:00"/>
    <x v="2"/>
    <s v="Wisconsin"/>
    <s v="Milwaukee"/>
    <s v="Men's Apparel"/>
    <n v="60"/>
    <n v="100"/>
    <x v="14"/>
    <x v="25"/>
    <s v="In-store"/>
  </r>
  <r>
    <s v="West Gear"/>
    <n v="1185732"/>
    <d v="2021-05-20T00:00:00"/>
    <x v="3"/>
    <s v="Maryland"/>
    <s v="Baltimore"/>
    <s v="Women's Athletic Footwear"/>
    <n v="40"/>
    <n v="100"/>
    <x v="654"/>
    <x v="40"/>
    <s v="In-store"/>
  </r>
  <r>
    <s v="Sports Direct"/>
    <n v="1185732"/>
    <d v="2021-09-20T00:00:00"/>
    <x v="3"/>
    <s v="Maryland"/>
    <s v="Baltimore"/>
    <s v="Women's Athletic Footwear"/>
    <n v="40"/>
    <n v="100"/>
    <x v="654"/>
    <x v="40"/>
    <s v="In-store"/>
  </r>
  <r>
    <s v="Sports Direct"/>
    <n v="1185732"/>
    <d v="2021-09-20T00:00:00"/>
    <x v="3"/>
    <s v="Maryland"/>
    <s v="Baltimore"/>
    <s v="Men's Apparel"/>
    <n v="50"/>
    <n v="100"/>
    <x v="303"/>
    <x v="324"/>
    <s v="In-store"/>
  </r>
  <r>
    <s v="Sports Direct"/>
    <n v="1185732"/>
    <d v="2021-10-22T00:00:00"/>
    <x v="3"/>
    <s v="Maryland"/>
    <s v="Baltimore"/>
    <s v="Women's Street Footwear"/>
    <n v="50"/>
    <n v="100"/>
    <x v="303"/>
    <x v="323"/>
    <s v="In-store"/>
  </r>
  <r>
    <s v="Kohl's"/>
    <n v="1185732"/>
    <d v="2021-02-08T00:00:00"/>
    <x v="3"/>
    <s v="New Jersey"/>
    <s v="Newark"/>
    <s v="Women's Athletic Footwear"/>
    <n v="30"/>
    <n v="100"/>
    <x v="655"/>
    <x v="626"/>
    <s v="In-store"/>
  </r>
  <r>
    <s v="Kohl's"/>
    <n v="1185732"/>
    <d v="2021-04-07T00:00:00"/>
    <x v="3"/>
    <s v="New Jersey"/>
    <s v="Newark"/>
    <s v="Women's Athletic Footwear"/>
    <n v="30"/>
    <n v="100"/>
    <x v="655"/>
    <x v="626"/>
    <s v="In-store"/>
  </r>
  <r>
    <s v="Kohl's"/>
    <n v="1185732"/>
    <d v="2021-04-07T00:00:00"/>
    <x v="3"/>
    <s v="New Jersey"/>
    <s v="Newark"/>
    <s v="Men's Apparel"/>
    <n v="45"/>
    <n v="100"/>
    <x v="108"/>
    <x v="459"/>
    <s v="In-store"/>
  </r>
  <r>
    <s v="Sports Direct"/>
    <n v="1185732"/>
    <d v="2021-03-03T00:00:00"/>
    <x v="3"/>
    <s v="Connecticut"/>
    <s v="Hartford"/>
    <s v="Women's Athletic Footwear"/>
    <n v="35"/>
    <n v="100"/>
    <x v="31"/>
    <x v="99"/>
    <s v="In-store"/>
  </r>
  <r>
    <s v="Foot Locker"/>
    <n v="1185732"/>
    <d v="2021-09-06T00:00:00"/>
    <x v="3"/>
    <s v="Rhode Island"/>
    <s v="Providence"/>
    <s v="Women's Athletic Footwear"/>
    <n v="40"/>
    <n v="100"/>
    <x v="654"/>
    <x v="625"/>
    <s v="In-store"/>
  </r>
  <r>
    <s v="Foot Locker"/>
    <n v="1185732"/>
    <d v="2021-09-06T00:00:00"/>
    <x v="3"/>
    <s v="Rhode Island"/>
    <s v="Providence"/>
    <s v="Men's Apparel"/>
    <n v="50"/>
    <n v="100"/>
    <x v="303"/>
    <x v="324"/>
    <s v="In-store"/>
  </r>
  <r>
    <s v="Foot Locker"/>
    <n v="1185732"/>
    <d v="2021-10-08T00:00:00"/>
    <x v="3"/>
    <s v="Rhode Island"/>
    <s v="Providence"/>
    <s v="Women's Street Footwear"/>
    <n v="50"/>
    <n v="100"/>
    <x v="303"/>
    <x v="322"/>
    <s v="In-store"/>
  </r>
  <r>
    <s v="Sports Direct"/>
    <n v="1185732"/>
    <d v="2021-01-17T00:00:00"/>
    <x v="3"/>
    <s v="Rhode Island"/>
    <s v="Providence"/>
    <s v="Women's Athletic Footwear"/>
    <n v="35"/>
    <n v="100"/>
    <x v="31"/>
    <x v="13"/>
    <s v="In-store"/>
  </r>
  <r>
    <s v="Sports Direct"/>
    <n v="1185732"/>
    <d v="2021-03-13T00:00:00"/>
    <x v="3"/>
    <s v="Massachusetts"/>
    <s v="Boston"/>
    <s v="Men's Apparel"/>
    <n v="50"/>
    <n v="100"/>
    <x v="303"/>
    <x v="32"/>
    <s v="In-store"/>
  </r>
  <r>
    <s v="Sports Direct"/>
    <n v="1185732"/>
    <d v="2021-10-15T00:00:00"/>
    <x v="3"/>
    <s v="Massachusetts"/>
    <s v="Boston"/>
    <s v="Women's Athletic Footwear"/>
    <n v="55"/>
    <n v="100"/>
    <x v="181"/>
    <x v="854"/>
    <s v="In-store"/>
  </r>
  <r>
    <s v="Sports Direct"/>
    <n v="1185732"/>
    <d v="2021-10-15T00:00:00"/>
    <x v="3"/>
    <s v="Massachusetts"/>
    <s v="Boston"/>
    <s v="Men's Apparel"/>
    <n v="65"/>
    <n v="100"/>
    <x v="56"/>
    <x v="852"/>
    <s v="In-store"/>
  </r>
  <r>
    <s v="Sports Direct"/>
    <n v="1197831"/>
    <d v="2021-10-08T00:00:00"/>
    <x v="1"/>
    <s v="Texas"/>
    <s v="Dallas"/>
    <s v="Men's Apparel"/>
    <n v="36"/>
    <n v="100"/>
    <x v="663"/>
    <x v="771"/>
    <s v="Online"/>
  </r>
  <r>
    <s v="West Gear"/>
    <n v="1128299"/>
    <d v="2020-05-01T00:00:00"/>
    <x v="4"/>
    <s v="Colorado"/>
    <s v="Denver"/>
    <s v="Women's Apparel"/>
    <n v="74"/>
    <n v="100"/>
    <x v="660"/>
    <x v="638"/>
    <s v="Online"/>
  </r>
  <r>
    <s v="West Gear"/>
    <n v="1128299"/>
    <d v="2020-05-05T00:00:00"/>
    <x v="4"/>
    <s v="Colorado"/>
    <s v="Denver"/>
    <s v="Women's Athletic Footwear"/>
    <n v="59"/>
    <n v="100"/>
    <x v="1021"/>
    <x v="662"/>
    <s v="Online"/>
  </r>
  <r>
    <s v="Kohl's"/>
    <n v="1189833"/>
    <d v="2021-02-18T00:00:00"/>
    <x v="2"/>
    <s v="Montana"/>
    <s v="Billings"/>
    <s v="Men's Apparel"/>
    <n v="50"/>
    <n v="100"/>
    <x v="1008"/>
    <x v="45"/>
    <s v="Online"/>
  </r>
  <r>
    <s v="Sports Direct"/>
    <n v="1197831"/>
    <d v="2021-04-30T00:00:00"/>
    <x v="1"/>
    <s v="Tennessee"/>
    <s v="Knoxville"/>
    <s v="Women's Athletic Footwear"/>
    <n v="53"/>
    <n v="100"/>
    <x v="1197"/>
    <x v="525"/>
    <s v="Online"/>
  </r>
  <r>
    <s v="Amazon"/>
    <n v="1185732"/>
    <d v="2021-05-20T00:00:00"/>
    <x v="4"/>
    <s v="Alaska"/>
    <s v="Anchorage"/>
    <s v="Women's Apparel"/>
    <n v="67"/>
    <n v="100"/>
    <x v="325"/>
    <x v="534"/>
    <s v="Online"/>
  </r>
  <r>
    <s v="Sports Direct"/>
    <n v="1128299"/>
    <d v="2021-03-16T00:00:00"/>
    <x v="0"/>
    <s v="Florida"/>
    <s v="Orlando"/>
    <s v="Men's Athletic Footwear"/>
    <n v="58"/>
    <n v="100"/>
    <x v="1017"/>
    <x v="580"/>
    <s v="Online"/>
  </r>
  <r>
    <s v="Walmart"/>
    <n v="1128299"/>
    <d v="2021-10-17T00:00:00"/>
    <x v="0"/>
    <s v="Florida"/>
    <s v="Orlando"/>
    <s v="Men's Street Footwear"/>
    <n v="47"/>
    <n v="100"/>
    <x v="1012"/>
    <x v="439"/>
    <s v="Online"/>
  </r>
  <r>
    <s v="Foot Locker"/>
    <n v="1185732"/>
    <d v="2021-09-19T00:00:00"/>
    <x v="2"/>
    <s v="Missouri"/>
    <s v="St. Louis"/>
    <s v="Men's Athletic Footwear"/>
    <n v="28"/>
    <n v="100"/>
    <x v="662"/>
    <x v="672"/>
    <s v="Online"/>
  </r>
  <r>
    <s v="West Gear"/>
    <n v="1185732"/>
    <d v="2021-03-10T00:00:00"/>
    <x v="4"/>
    <s v="Utah"/>
    <s v="Salt Lake City"/>
    <s v="Women's Apparel"/>
    <n v="29"/>
    <n v="100"/>
    <x v="1090"/>
    <x v="501"/>
    <s v="Online"/>
  </r>
  <r>
    <s v="West Gear"/>
    <n v="1185732"/>
    <d v="2021-10-11T00:00:00"/>
    <x v="4"/>
    <s v="Utah"/>
    <s v="Salt Lake City"/>
    <s v="Men's Athletic Footwear"/>
    <n v="19"/>
    <n v="100"/>
    <x v="1067"/>
    <x v="804"/>
    <s v="Online"/>
  </r>
  <r>
    <s v="West Gear"/>
    <n v="1128299"/>
    <d v="2021-01-17T00:00:00"/>
    <x v="4"/>
    <s v="Oregon"/>
    <s v="Portland"/>
    <s v="Men's Street Footwear"/>
    <n v="33"/>
    <n v="100"/>
    <x v="610"/>
    <x v="544"/>
    <s v="Online"/>
  </r>
  <r>
    <s v="West Gear"/>
    <n v="1128299"/>
    <d v="2021-01-17T00:00:00"/>
    <x v="4"/>
    <s v="Oregon"/>
    <s v="Portland"/>
    <s v="Men's Athletic Footwear"/>
    <n v="42"/>
    <n v="100"/>
    <x v="664"/>
    <x v="621"/>
    <s v="Online"/>
  </r>
  <r>
    <s v="West Gear"/>
    <n v="1128299"/>
    <d v="2021-05-18T00:00:00"/>
    <x v="1"/>
    <s v="Louisiana"/>
    <s v="New Orleans"/>
    <s v="Men's Athletic Footwear"/>
    <n v="47"/>
    <n v="100"/>
    <x v="1012"/>
    <x v="704"/>
    <s v="Online"/>
  </r>
  <r>
    <s v="West Gear"/>
    <n v="1128299"/>
    <d v="2021-10-17T00:00:00"/>
    <x v="1"/>
    <s v="Louisiana"/>
    <s v="New Orleans"/>
    <s v="Women's Street Footwear"/>
    <n v="42"/>
    <n v="100"/>
    <x v="664"/>
    <x v="659"/>
    <s v="Online"/>
  </r>
  <r>
    <s v="Sports Direct"/>
    <n v="1128299"/>
    <d v="2021-09-14T00:00:00"/>
    <x v="0"/>
    <s v="Georgia"/>
    <s v="Atlanta"/>
    <s v="Men's Apparel"/>
    <n v="54"/>
    <n v="100"/>
    <x v="211"/>
    <x v="638"/>
    <s v="Online"/>
  </r>
  <r>
    <s v="Foot Locker"/>
    <n v="1185732"/>
    <d v="2021-03-16T00:00:00"/>
    <x v="1"/>
    <s v="Mississippi"/>
    <s v="Jackson"/>
    <s v="Men's Athletic Footwear"/>
    <n v="24"/>
    <n v="100"/>
    <x v="1207"/>
    <x v="760"/>
    <s v="Online"/>
  </r>
  <r>
    <s v="Walmart"/>
    <n v="1185732"/>
    <d v="2021-09-16T00:00:00"/>
    <x v="1"/>
    <s v="Mississippi"/>
    <s v="Jackson"/>
    <s v="Women's Athletic Footwear"/>
    <n v="19"/>
    <n v="100"/>
    <x v="1067"/>
    <x v="821"/>
    <s v="Online"/>
  </r>
  <r>
    <s v="Foot Locker"/>
    <n v="1185732"/>
    <d v="2021-11-17T00:00:00"/>
    <x v="3"/>
    <s v="West Virginia"/>
    <s v="Charleston"/>
    <s v="Women's Apparel"/>
    <n v="64"/>
    <n v="100"/>
    <x v="705"/>
    <x v="483"/>
    <s v="Online"/>
  </r>
  <r>
    <s v="Kohl's"/>
    <n v="1185732"/>
    <d v="2021-12-13T00:00:00"/>
    <x v="3"/>
    <s v="Delaware"/>
    <s v="Wilmington"/>
    <s v="Men's Athletic Footwear"/>
    <n v="50"/>
    <n v="100"/>
    <x v="1008"/>
    <x v="746"/>
    <s v="Online"/>
  </r>
  <r>
    <s v="Amazon"/>
    <n v="1185732"/>
    <d v="2021-12-10T00:00:00"/>
    <x v="3"/>
    <s v="Vermont"/>
    <s v="Burlington"/>
    <s v="Men's Athletic Footwear"/>
    <n v="55"/>
    <n v="100"/>
    <x v="1094"/>
    <x v="409"/>
    <s v="Online"/>
  </r>
  <r>
    <s v="Foot Locker"/>
    <n v="1185732"/>
    <d v="2021-11-28T00:00:00"/>
    <x v="3"/>
    <s v="Pennsylvania"/>
    <s v="Philadelphia"/>
    <s v="Men's Athletic Footwear"/>
    <n v="45"/>
    <n v="99"/>
    <x v="502"/>
    <x v="596"/>
    <s v="Outlet"/>
  </r>
  <r>
    <s v="Walmart"/>
    <n v="1128299"/>
    <d v="2021-09-18T00:00:00"/>
    <x v="0"/>
    <s v="Florida"/>
    <s v="Orlando"/>
    <s v="Women's Apparel"/>
    <n v="42"/>
    <n v="99"/>
    <x v="941"/>
    <x v="381"/>
    <s v="Outlet"/>
  </r>
  <r>
    <s v="Foot Locker"/>
    <n v="1128299"/>
    <d v="2021-11-23T00:00:00"/>
    <x v="4"/>
    <s v="Arizona"/>
    <s v="Phoenix"/>
    <s v="Men's Apparel"/>
    <n v="44"/>
    <n v="99"/>
    <x v="1083"/>
    <x v="731"/>
    <s v="Outlet"/>
  </r>
  <r>
    <s v="Sports Direct"/>
    <n v="1128299"/>
    <d v="2021-01-13T00:00:00"/>
    <x v="4"/>
    <s v="New Mexico"/>
    <s v="Albuquerque"/>
    <s v="Women's Athletic Footwear"/>
    <n v="28"/>
    <n v="99"/>
    <x v="1208"/>
    <x v="755"/>
    <s v="Outlet"/>
  </r>
  <r>
    <s v="Walmart"/>
    <n v="1197831"/>
    <d v="2021-10-21T00:00:00"/>
    <x v="1"/>
    <s v="Arkansas"/>
    <s v="Little Rock"/>
    <s v="Women's Street Footwear"/>
    <n v="16"/>
    <n v="99"/>
    <x v="1209"/>
    <x v="855"/>
    <s v="Outlet"/>
  </r>
  <r>
    <s v="Foot Locker"/>
    <n v="1185732"/>
    <d v="2021-12-03T00:00:00"/>
    <x v="3"/>
    <s v="Connecticut"/>
    <s v="Hartford"/>
    <s v="Men's Apparel"/>
    <n v="42"/>
    <n v="99"/>
    <x v="941"/>
    <x v="628"/>
    <s v="Outlet"/>
  </r>
  <r>
    <s v="Amazon"/>
    <n v="1185732"/>
    <d v="2021-10-12T00:00:00"/>
    <x v="3"/>
    <s v="Vermont"/>
    <s v="Burlington"/>
    <s v="Men's Athletic Footwear"/>
    <n v="44"/>
    <n v="99"/>
    <x v="1083"/>
    <x v="796"/>
    <s v="Outlet"/>
  </r>
  <r>
    <s v="Amazon"/>
    <n v="1185732"/>
    <d v="2021-03-17T00:00:00"/>
    <x v="3"/>
    <s v="New Hampshire"/>
    <s v="Manchester"/>
    <s v="Women's Apparel"/>
    <n v="36"/>
    <n v="99"/>
    <x v="1181"/>
    <x v="546"/>
    <s v="Outlet"/>
  </r>
  <r>
    <s v="Foot Locker"/>
    <n v="1185732"/>
    <d v="2021-10-19T00:00:00"/>
    <x v="3"/>
    <s v="New Hampshire"/>
    <s v="Manchester"/>
    <s v="Men's Athletic Footwear"/>
    <n v="44"/>
    <n v="99"/>
    <x v="1083"/>
    <x v="828"/>
    <s v="Outlet"/>
  </r>
  <r>
    <s v="Foot Locker"/>
    <n v="1185732"/>
    <d v="2021-01-24T00:00:00"/>
    <x v="3"/>
    <s v="New Hampshire"/>
    <s v="Manchester"/>
    <s v="Women's Street Footwear"/>
    <n v="35"/>
    <n v="99"/>
    <x v="985"/>
    <x v="783"/>
    <s v="Outlet"/>
  </r>
  <r>
    <s v="Foot Locker"/>
    <n v="1185732"/>
    <d v="2021-12-02T00:00:00"/>
    <x v="3"/>
    <s v="Pennsylvania"/>
    <s v="Philadelphia"/>
    <s v="Women's Apparel"/>
    <n v="64"/>
    <n v="98"/>
    <x v="484"/>
    <x v="487"/>
    <s v="Online"/>
  </r>
  <r>
    <s v="West Gear"/>
    <n v="1128299"/>
    <d v="2020-04-07T00:00:00"/>
    <x v="4"/>
    <s v="Colorado"/>
    <s v="Denver"/>
    <s v="Women's Apparel"/>
    <n v="72"/>
    <n v="98"/>
    <x v="681"/>
    <x v="419"/>
    <s v="Online"/>
  </r>
  <r>
    <s v="West Gear"/>
    <n v="1128299"/>
    <d v="2020-04-10T00:00:00"/>
    <x v="4"/>
    <s v="Colorado"/>
    <s v="Denver"/>
    <s v="Women's Street Footwear"/>
    <n v="59"/>
    <n v="98"/>
    <x v="836"/>
    <x v="430"/>
    <s v="Online"/>
  </r>
  <r>
    <s v="West Gear"/>
    <n v="1128299"/>
    <d v="2020-07-22T00:00:00"/>
    <x v="4"/>
    <s v="Washington"/>
    <s v="Seattle"/>
    <s v="Women's Athletic Footwear"/>
    <n v="58"/>
    <n v="98"/>
    <x v="673"/>
    <x v="485"/>
    <s v="Online"/>
  </r>
  <r>
    <s v="Foot Locker"/>
    <n v="1185732"/>
    <d v="2020-11-27T00:00:00"/>
    <x v="2"/>
    <s v="Minnesota"/>
    <s v="Minneapolis"/>
    <s v="Women's Apparel"/>
    <n v="54"/>
    <n v="98"/>
    <x v="1006"/>
    <x v="406"/>
    <s v="Online"/>
  </r>
  <r>
    <s v="Foot Locker"/>
    <n v="1185732"/>
    <d v="2020-12-10T00:00:00"/>
    <x v="2"/>
    <s v="Minnesota"/>
    <s v="Minneapolis"/>
    <s v="Men's Street Footwear"/>
    <n v="41"/>
    <n v="98"/>
    <x v="997"/>
    <x v="558"/>
    <s v="Online"/>
  </r>
  <r>
    <s v="Kohl's"/>
    <n v="1189833"/>
    <d v="2020-12-31T00:00:00"/>
    <x v="2"/>
    <s v="Minnesota"/>
    <s v="Minneapolis"/>
    <s v="Women's Athletic Footwear"/>
    <n v="44"/>
    <n v="98"/>
    <x v="1193"/>
    <x v="773"/>
    <s v="Online"/>
  </r>
  <r>
    <s v="Kohl's"/>
    <n v="1189833"/>
    <d v="2021-02-24T00:00:00"/>
    <x v="2"/>
    <s v="Montana"/>
    <s v="Billings"/>
    <s v="Men's Apparel"/>
    <n v="54"/>
    <n v="98"/>
    <x v="1006"/>
    <x v="87"/>
    <s v="Online"/>
  </r>
  <r>
    <s v="Sports Direct"/>
    <n v="1197831"/>
    <d v="2021-05-06T00:00:00"/>
    <x v="1"/>
    <s v="Tennessee"/>
    <s v="Knoxville"/>
    <s v="Women's Athletic Footwear"/>
    <n v="38"/>
    <n v="98"/>
    <x v="967"/>
    <x v="404"/>
    <s v="Online"/>
  </r>
  <r>
    <s v="Sports Direct"/>
    <n v="1197831"/>
    <d v="2021-08-10T00:00:00"/>
    <x v="1"/>
    <s v="Alabama"/>
    <s v="Birmingham"/>
    <s v="Women's Athletic Footwear"/>
    <n v="32"/>
    <n v="98"/>
    <x v="1093"/>
    <x v="802"/>
    <s v="Online"/>
  </r>
  <r>
    <s v="Amazon"/>
    <n v="1185732"/>
    <d v="2021-11-18T00:00:00"/>
    <x v="3"/>
    <s v="Maine"/>
    <s v="Portland"/>
    <s v="Men's Street Footwear"/>
    <n v="62"/>
    <n v="98"/>
    <x v="722"/>
    <x v="380"/>
    <s v="Online"/>
  </r>
  <r>
    <s v="West Gear"/>
    <n v="1128299"/>
    <d v="2021-01-10T00:00:00"/>
    <x v="3"/>
    <s v="Maine"/>
    <s v="Portland"/>
    <s v="Men's Street Footwear"/>
    <n v="33"/>
    <n v="98"/>
    <x v="551"/>
    <x v="760"/>
    <s v="Online"/>
  </r>
  <r>
    <s v="Foot Locker"/>
    <n v="1128299"/>
    <d v="2021-02-10T00:00:00"/>
    <x v="4"/>
    <s v="Alaska"/>
    <s v="Anchorage"/>
    <s v="Men's Athletic Footwear"/>
    <n v="42"/>
    <n v="98"/>
    <x v="1039"/>
    <x v="672"/>
    <s v="Online"/>
  </r>
  <r>
    <s v="Foot Locker"/>
    <n v="1128299"/>
    <d v="2021-05-11T00:00:00"/>
    <x v="4"/>
    <s v="Hawaii"/>
    <s v="Honolulu"/>
    <s v="Men's Athletic Footwear"/>
    <n v="58"/>
    <n v="98"/>
    <x v="673"/>
    <x v="335"/>
    <s v="Online"/>
  </r>
  <r>
    <s v="Foot Locker"/>
    <n v="1128299"/>
    <d v="2021-05-11T00:00:00"/>
    <x v="4"/>
    <s v="Hawaii"/>
    <s v="Honolulu"/>
    <s v="Women's Street Footwear"/>
    <n v="56"/>
    <n v="98"/>
    <x v="672"/>
    <x v="580"/>
    <s v="Online"/>
  </r>
  <r>
    <s v="Walmart"/>
    <n v="1128299"/>
    <d v="2021-04-17T00:00:00"/>
    <x v="0"/>
    <s v="Florida"/>
    <s v="Orlando"/>
    <s v="Men's Athletic Footwear"/>
    <n v="66"/>
    <n v="98"/>
    <x v="678"/>
    <x v="565"/>
    <s v="Online"/>
  </r>
  <r>
    <s v="Walmart"/>
    <n v="1128299"/>
    <d v="2021-10-17T00:00:00"/>
    <x v="0"/>
    <s v="Florida"/>
    <s v="Orlando"/>
    <s v="Men's Apparel"/>
    <n v="59"/>
    <n v="98"/>
    <x v="836"/>
    <x v="706"/>
    <s v="Online"/>
  </r>
  <r>
    <s v="Foot Locker"/>
    <n v="1128299"/>
    <d v="2021-05-25T00:00:00"/>
    <x v="0"/>
    <s v="Virginia"/>
    <s v="Richmond"/>
    <s v="Men's Athletic Footwear"/>
    <n v="51"/>
    <n v="98"/>
    <x v="1008"/>
    <x v="504"/>
    <s v="Online"/>
  </r>
  <r>
    <s v="Foot Locker"/>
    <n v="1128299"/>
    <d v="2021-10-24T00:00:00"/>
    <x v="0"/>
    <s v="Virginia"/>
    <s v="Richmond"/>
    <s v="Women's Athletic Footwear"/>
    <n v="41"/>
    <n v="98"/>
    <x v="997"/>
    <x v="180"/>
    <s v="Online"/>
  </r>
  <r>
    <s v="Foot Locker"/>
    <n v="1185732"/>
    <d v="2021-01-18T00:00:00"/>
    <x v="2"/>
    <s v="Michigan"/>
    <s v="Detroit"/>
    <s v="Men's Apparel"/>
    <n v="39"/>
    <n v="98"/>
    <x v="1009"/>
    <x v="647"/>
    <s v="Online"/>
  </r>
  <r>
    <s v="West Gear"/>
    <n v="1185732"/>
    <d v="2021-01-11T00:00:00"/>
    <x v="2"/>
    <s v="Missouri"/>
    <s v="St. Louis"/>
    <s v="Men's Apparel"/>
    <n v="33"/>
    <n v="98"/>
    <x v="551"/>
    <x v="563"/>
    <s v="Online"/>
  </r>
  <r>
    <s v="West Gear"/>
    <n v="1185732"/>
    <d v="2021-04-11T00:00:00"/>
    <x v="4"/>
    <s v="Utah"/>
    <s v="Salt Lake City"/>
    <s v="Women's Street Footwear"/>
    <n v="14"/>
    <n v="98"/>
    <x v="1210"/>
    <x v="801"/>
    <s v="Online"/>
  </r>
  <r>
    <s v="West Gear"/>
    <n v="1185732"/>
    <d v="2021-05-12T00:00:00"/>
    <x v="4"/>
    <s v="Utah"/>
    <s v="Salt Lake City"/>
    <s v="Women's Street Footwear"/>
    <n v="25"/>
    <n v="98"/>
    <x v="1198"/>
    <x v="568"/>
    <s v="Online"/>
  </r>
  <r>
    <s v="West Gear"/>
    <n v="1128299"/>
    <d v="2021-01-24T00:00:00"/>
    <x v="4"/>
    <s v="Utah"/>
    <s v="Salt Lake City"/>
    <s v="Men's Street Footwear"/>
    <n v="27"/>
    <n v="98"/>
    <x v="734"/>
    <x v="822"/>
    <s v="Online"/>
  </r>
  <r>
    <s v="Foot Locker"/>
    <n v="1128299"/>
    <d v="2021-05-24T00:00:00"/>
    <x v="4"/>
    <s v="Arizona"/>
    <s v="Phoenix"/>
    <s v="Women's Apparel"/>
    <n v="64"/>
    <n v="98"/>
    <x v="484"/>
    <x v="565"/>
    <s v="Online"/>
  </r>
  <r>
    <s v="Foot Locker"/>
    <n v="1128299"/>
    <d v="2021-11-23T00:00:00"/>
    <x v="4"/>
    <s v="Arizona"/>
    <s v="Phoenix"/>
    <s v="Women's Athletic Footwear"/>
    <n v="42"/>
    <n v="98"/>
    <x v="1039"/>
    <x v="709"/>
    <s v="Online"/>
  </r>
  <r>
    <s v="Kohl's"/>
    <n v="1128299"/>
    <d v="2021-03-25T00:00:00"/>
    <x v="4"/>
    <s v="New Mexico"/>
    <s v="Albuquerque"/>
    <s v="Women's Apparel"/>
    <n v="50"/>
    <n v="98"/>
    <x v="556"/>
    <x v="501"/>
    <s v="Online"/>
  </r>
  <r>
    <s v="Kohl's"/>
    <n v="1128299"/>
    <d v="2021-04-26T00:00:00"/>
    <x v="4"/>
    <s v="New Mexico"/>
    <s v="Albuquerque"/>
    <s v="Men's Athletic Footwear"/>
    <n v="59"/>
    <n v="98"/>
    <x v="836"/>
    <x v="366"/>
    <s v="Online"/>
  </r>
  <r>
    <s v="Sports Direct"/>
    <n v="1128299"/>
    <d v="2021-02-13T00:00:00"/>
    <x v="0"/>
    <s v="Georgia"/>
    <s v="Atlanta"/>
    <s v="Women's Apparel"/>
    <n v="37"/>
    <n v="98"/>
    <x v="907"/>
    <x v="594"/>
    <s v="Online"/>
  </r>
  <r>
    <s v="Amazon"/>
    <n v="1185732"/>
    <d v="2021-03-09T00:00:00"/>
    <x v="2"/>
    <s v="Ohio"/>
    <s v="Columbus"/>
    <s v="Women's Athletic Footwear"/>
    <n v="24"/>
    <n v="98"/>
    <x v="1199"/>
    <x v="754"/>
    <s v="Online"/>
  </r>
  <r>
    <s v="Foot Locker"/>
    <n v="1185732"/>
    <d v="2021-12-21T00:00:00"/>
    <x v="0"/>
    <s v="Kentucky"/>
    <s v="Louisville"/>
    <s v="Men's Athletic Footwear"/>
    <n v="52"/>
    <n v="98"/>
    <x v="285"/>
    <x v="548"/>
    <s v="Online"/>
  </r>
  <r>
    <s v="Foot Locker"/>
    <n v="1185732"/>
    <d v="2021-12-21T00:00:00"/>
    <x v="0"/>
    <s v="Kentucky"/>
    <s v="Louisville"/>
    <s v="Women's Apparel"/>
    <n v="64"/>
    <n v="98"/>
    <x v="484"/>
    <x v="492"/>
    <s v="Online"/>
  </r>
  <r>
    <s v="Walmart"/>
    <n v="1185732"/>
    <d v="2021-10-18T00:00:00"/>
    <x v="1"/>
    <s v="Mississippi"/>
    <s v="Jackson"/>
    <s v="Women's Street Footwear"/>
    <n v="24"/>
    <n v="98"/>
    <x v="1199"/>
    <x v="822"/>
    <s v="Online"/>
  </r>
  <r>
    <s v="Walmart"/>
    <n v="1185732"/>
    <d v="2021-10-18T00:00:00"/>
    <x v="1"/>
    <s v="Mississippi"/>
    <s v="Jackson"/>
    <s v="Men's Apparel"/>
    <n v="32"/>
    <n v="98"/>
    <x v="1093"/>
    <x v="731"/>
    <s v="Online"/>
  </r>
  <r>
    <s v="Walmart"/>
    <n v="1197831"/>
    <d v="2021-02-21T00:00:00"/>
    <x v="1"/>
    <s v="Arkansas"/>
    <s v="Little Rock"/>
    <s v="Men's Apparel"/>
    <n v="34"/>
    <n v="98"/>
    <x v="1099"/>
    <x v="570"/>
    <s v="Online"/>
  </r>
  <r>
    <s v="Walmart"/>
    <n v="1197831"/>
    <d v="2021-03-19T00:00:00"/>
    <x v="1"/>
    <s v="Arkansas"/>
    <s v="Little Rock"/>
    <s v="Men's Athletic Footwear"/>
    <n v="20"/>
    <n v="98"/>
    <x v="1211"/>
    <x v="856"/>
    <s v="Online"/>
  </r>
  <r>
    <s v="Walmart"/>
    <n v="1197831"/>
    <d v="2021-06-21T00:00:00"/>
    <x v="1"/>
    <s v="Arkansas"/>
    <s v="Little Rock"/>
    <s v="Women's Athletic Footwear"/>
    <n v="37"/>
    <n v="98"/>
    <x v="907"/>
    <x v="558"/>
    <s v="Online"/>
  </r>
  <r>
    <s v="Walmart"/>
    <n v="1197831"/>
    <d v="2021-06-21T00:00:00"/>
    <x v="1"/>
    <s v="Arkansas"/>
    <s v="Little Rock"/>
    <s v="Men's Apparel"/>
    <n v="54"/>
    <n v="98"/>
    <x v="1006"/>
    <x v="698"/>
    <s v="Online"/>
  </r>
  <r>
    <s v="West Gear"/>
    <n v="1197831"/>
    <d v="2021-01-23T00:00:00"/>
    <x v="1"/>
    <s v="Arkansas"/>
    <s v="Little Rock"/>
    <s v="Women's Street Footwear"/>
    <n v="15"/>
    <n v="98"/>
    <x v="1212"/>
    <x v="857"/>
    <s v="Online"/>
  </r>
  <r>
    <s v="West Gear"/>
    <n v="1197831"/>
    <d v="2021-02-21T00:00:00"/>
    <x v="1"/>
    <s v="Oklahoma"/>
    <s v="Oklahoma City"/>
    <s v="Women's Apparel"/>
    <n v="18"/>
    <n v="98"/>
    <x v="1213"/>
    <x v="824"/>
    <s v="Online"/>
  </r>
  <r>
    <s v="West Gear"/>
    <n v="1197831"/>
    <d v="2021-05-19T00:00:00"/>
    <x v="1"/>
    <s v="Oklahoma"/>
    <s v="Oklahoma City"/>
    <s v="Women's Apparel"/>
    <n v="42"/>
    <n v="98"/>
    <x v="1039"/>
    <x v="710"/>
    <s v="Online"/>
  </r>
  <r>
    <s v="West Gear"/>
    <n v="1197831"/>
    <d v="2021-07-19T00:00:00"/>
    <x v="1"/>
    <s v="Oklahoma"/>
    <s v="Oklahoma City"/>
    <s v="Men's Apparel"/>
    <n v="59"/>
    <n v="98"/>
    <x v="836"/>
    <x v="689"/>
    <s v="Online"/>
  </r>
  <r>
    <s v="West Gear"/>
    <n v="1197831"/>
    <d v="2021-09-19T00:00:00"/>
    <x v="1"/>
    <s v="Oklahoma"/>
    <s v="Oklahoma City"/>
    <s v="Men's Athletic Footwear"/>
    <n v="38"/>
    <n v="98"/>
    <x v="967"/>
    <x v="544"/>
    <s v="Online"/>
  </r>
  <r>
    <s v="Kohl's"/>
    <n v="1197831"/>
    <d v="2021-02-14T00:00:00"/>
    <x v="2"/>
    <s v="Kansas"/>
    <s v="Wichita"/>
    <s v="Women's Apparel"/>
    <n v="18"/>
    <n v="98"/>
    <x v="1213"/>
    <x v="826"/>
    <s v="Online"/>
  </r>
  <r>
    <s v="Sports Direct"/>
    <n v="1185732"/>
    <d v="2021-07-08T00:00:00"/>
    <x v="2"/>
    <s v="North Dakota"/>
    <s v="Fargo"/>
    <s v="Women's Apparel"/>
    <n v="54"/>
    <n v="98"/>
    <x v="1006"/>
    <x v="553"/>
    <s v="Online"/>
  </r>
  <r>
    <s v="Foot Locker"/>
    <n v="1185732"/>
    <d v="2021-08-06T00:00:00"/>
    <x v="2"/>
    <s v="Iowa"/>
    <s v="Des Moines"/>
    <s v="Women's Apparel"/>
    <n v="53"/>
    <n v="98"/>
    <x v="814"/>
    <x v="553"/>
    <s v="Online"/>
  </r>
  <r>
    <s v="West Gear"/>
    <n v="1185732"/>
    <d v="2021-06-03T00:00:00"/>
    <x v="2"/>
    <s v="Wisconsin"/>
    <s v="Milwaukee"/>
    <s v="Women's Apparel"/>
    <n v="51"/>
    <n v="98"/>
    <x v="1008"/>
    <x v="534"/>
    <s v="Online"/>
  </r>
  <r>
    <s v="West Gear"/>
    <n v="1185732"/>
    <d v="2021-11-10T00:00:00"/>
    <x v="2"/>
    <s v="Indiana"/>
    <s v="Indianapolis"/>
    <s v="Men's Athletic Footwear"/>
    <n v="33"/>
    <n v="98"/>
    <x v="551"/>
    <x v="542"/>
    <s v="Online"/>
  </r>
  <r>
    <s v="West Gear"/>
    <n v="1185732"/>
    <d v="2021-07-16T00:00:00"/>
    <x v="3"/>
    <s v="West Virginia"/>
    <s v="Charleston"/>
    <s v="Women's Street Footwear"/>
    <n v="49"/>
    <n v="98"/>
    <x v="367"/>
    <x v="431"/>
    <s v="Online"/>
  </r>
  <r>
    <s v="Foot Locker"/>
    <n v="1185732"/>
    <d v="2021-02-15T00:00:00"/>
    <x v="3"/>
    <s v="Delaware"/>
    <s v="Wilmington"/>
    <s v="Women's Apparel"/>
    <n v="39"/>
    <n v="98"/>
    <x v="1009"/>
    <x v="256"/>
    <s v="Online"/>
  </r>
  <r>
    <s v="Kohl's"/>
    <n v="1185732"/>
    <d v="2021-11-14T00:00:00"/>
    <x v="3"/>
    <s v="Delaware"/>
    <s v="Wilmington"/>
    <s v="Women's Apparel"/>
    <n v="64"/>
    <n v="98"/>
    <x v="484"/>
    <x v="422"/>
    <s v="Online"/>
  </r>
  <r>
    <s v="Kohl's"/>
    <n v="1185732"/>
    <d v="2021-12-13T00:00:00"/>
    <x v="3"/>
    <s v="Delaware"/>
    <s v="Wilmington"/>
    <s v="Women's Athletic Footwear"/>
    <n v="53"/>
    <n v="98"/>
    <x v="814"/>
    <x v="333"/>
    <s v="Online"/>
  </r>
  <r>
    <s v="Kohl's"/>
    <n v="1185732"/>
    <d v="2021-07-06T00:00:00"/>
    <x v="3"/>
    <s v="New Jersey"/>
    <s v="Newark"/>
    <s v="Men's Athletic Footwear"/>
    <n v="42"/>
    <n v="98"/>
    <x v="1039"/>
    <x v="429"/>
    <s v="Online"/>
  </r>
  <r>
    <s v="Amazon"/>
    <n v="1185732"/>
    <d v="2021-11-14T00:00:00"/>
    <x v="3"/>
    <s v="Massachusetts"/>
    <s v="Boston"/>
    <s v="Women's Apparel"/>
    <n v="64"/>
    <n v="98"/>
    <x v="484"/>
    <x v="116"/>
    <s v="Online"/>
  </r>
  <r>
    <s v="Amazon"/>
    <n v="1185732"/>
    <d v="2021-12-13T00:00:00"/>
    <x v="3"/>
    <s v="Massachusetts"/>
    <s v="Boston"/>
    <s v="Women's Street Footwear"/>
    <n v="51"/>
    <n v="98"/>
    <x v="1008"/>
    <x v="587"/>
    <s v="Online"/>
  </r>
  <r>
    <s v="Amazon"/>
    <n v="1185732"/>
    <d v="2021-01-14T00:00:00"/>
    <x v="3"/>
    <s v="Massachusetts"/>
    <s v="Boston"/>
    <s v="Women's Apparel"/>
    <n v="44"/>
    <n v="98"/>
    <x v="1193"/>
    <x v="580"/>
    <s v="Online"/>
  </r>
  <r>
    <s v="Amazon"/>
    <n v="1185732"/>
    <d v="2021-07-10T00:00:00"/>
    <x v="3"/>
    <s v="Vermont"/>
    <s v="Burlington"/>
    <s v="Women's Street Footwear"/>
    <n v="46"/>
    <n v="98"/>
    <x v="674"/>
    <x v="482"/>
    <s v="Online"/>
  </r>
  <r>
    <s v="Amazon"/>
    <n v="1185732"/>
    <d v="2021-02-19T00:00:00"/>
    <x v="3"/>
    <s v="New Hampshire"/>
    <s v="Manchester"/>
    <s v="Women's Apparel"/>
    <n v="46"/>
    <n v="98"/>
    <x v="674"/>
    <x v="482"/>
    <s v="Online"/>
  </r>
  <r>
    <s v="Amazon"/>
    <n v="1185732"/>
    <d v="2021-04-18T00:00:00"/>
    <x v="3"/>
    <s v="New Hampshire"/>
    <s v="Manchester"/>
    <s v="Women's Apparel"/>
    <n v="46"/>
    <n v="98"/>
    <x v="674"/>
    <x v="439"/>
    <s v="Online"/>
  </r>
  <r>
    <s v="Amazon"/>
    <n v="1185732"/>
    <d v="2021-05-17T00:00:00"/>
    <x v="3"/>
    <s v="New Hampshire"/>
    <s v="Manchester"/>
    <s v="Women's Street Footwear"/>
    <n v="51"/>
    <n v="98"/>
    <x v="1008"/>
    <x v="659"/>
    <s v="Online"/>
  </r>
  <r>
    <s v="Amazon"/>
    <n v="1185732"/>
    <d v="2021-09-17T00:00:00"/>
    <x v="3"/>
    <s v="New Hampshire"/>
    <s v="Manchester"/>
    <s v="Women's Apparel"/>
    <n v="68"/>
    <n v="98"/>
    <x v="271"/>
    <x v="296"/>
    <s v="Online"/>
  </r>
  <r>
    <s v="Foot Locker"/>
    <n v="1185732"/>
    <d v="2021-11-18T00:00:00"/>
    <x v="3"/>
    <s v="New Hampshire"/>
    <s v="Manchester"/>
    <s v="Men's Athletic Footwear"/>
    <n v="62"/>
    <n v="98"/>
    <x v="722"/>
    <x v="637"/>
    <s v="Online"/>
  </r>
  <r>
    <s v="Sports Direct"/>
    <n v="1197831"/>
    <d v="2021-09-27T00:00:00"/>
    <x v="1"/>
    <s v="Alabama"/>
    <s v="Birmingham"/>
    <s v="Women's Athletic Footwear"/>
    <n v="26"/>
    <n v="98"/>
    <x v="793"/>
    <x v="524"/>
    <s v="Outlet"/>
  </r>
  <r>
    <s v="Foot Locker"/>
    <n v="1128299"/>
    <d v="2021-03-23T00:00:00"/>
    <x v="0"/>
    <s v="Virginia"/>
    <s v="Richmond"/>
    <s v="Men's Athletic Footwear"/>
    <n v="35"/>
    <n v="98"/>
    <x v="998"/>
    <x v="799"/>
    <s v="Outlet"/>
  </r>
  <r>
    <s v="West Gear"/>
    <n v="1128299"/>
    <d v="2021-02-24T00:00:00"/>
    <x v="4"/>
    <s v="Oregon"/>
    <s v="Portland"/>
    <s v="Women's Apparel"/>
    <n v="28"/>
    <n v="98"/>
    <x v="1136"/>
    <x v="808"/>
    <s v="Outlet"/>
  </r>
  <r>
    <s v="West Gear"/>
    <n v="1128299"/>
    <d v="2021-03-23T00:00:00"/>
    <x v="4"/>
    <s v="Oregon"/>
    <s v="Portland"/>
    <s v="Men's Athletic Footwear"/>
    <n v="40"/>
    <n v="98"/>
    <x v="1047"/>
    <x v="547"/>
    <s v="Outlet"/>
  </r>
  <r>
    <s v="Foot Locker"/>
    <n v="1185732"/>
    <d v="2021-02-18T00:00:00"/>
    <x v="1"/>
    <s v="Mississippi"/>
    <s v="Jackson"/>
    <s v="Women's Athletic Footwear"/>
    <n v="19"/>
    <n v="98"/>
    <x v="1115"/>
    <x v="826"/>
    <s v="Outlet"/>
  </r>
  <r>
    <s v="Foot Locker"/>
    <n v="1185732"/>
    <d v="2021-04-17T00:00:00"/>
    <x v="1"/>
    <s v="Mississippi"/>
    <s v="Jackson"/>
    <s v="Men's Apparel"/>
    <n v="30"/>
    <n v="98"/>
    <x v="583"/>
    <x v="758"/>
    <s v="Outlet"/>
  </r>
  <r>
    <s v="West Gear"/>
    <n v="1197831"/>
    <d v="2021-02-21T00:00:00"/>
    <x v="1"/>
    <s v="Arkansas"/>
    <s v="Little Rock"/>
    <s v="Women's Street Footwear"/>
    <n v="12"/>
    <n v="98"/>
    <x v="1214"/>
    <x v="844"/>
    <s v="Outlet"/>
  </r>
  <r>
    <s v="Kohl's"/>
    <n v="1197831"/>
    <d v="2021-12-19T00:00:00"/>
    <x v="1"/>
    <s v="Oklahoma"/>
    <s v="Oklahoma City"/>
    <s v="Men's Apparel"/>
    <n v="55"/>
    <n v="98"/>
    <x v="1215"/>
    <x v="482"/>
    <s v="Outlet"/>
  </r>
  <r>
    <s v="Sports Direct"/>
    <n v="1185732"/>
    <d v="2021-08-14T00:00:00"/>
    <x v="3"/>
    <s v="Massachusetts"/>
    <s v="Boston"/>
    <s v="Women's Apparel"/>
    <n v="46"/>
    <n v="98"/>
    <x v="674"/>
    <x v="781"/>
    <s v="Outlet"/>
  </r>
  <r>
    <s v="West Gear"/>
    <n v="1185732"/>
    <d v="2021-11-11T00:00:00"/>
    <x v="3"/>
    <s v="Vermont"/>
    <s v="Burlington"/>
    <s v="Men's Athletic Footwear"/>
    <n v="47"/>
    <n v="98"/>
    <x v="1026"/>
    <x v="565"/>
    <s v="Outlet"/>
  </r>
  <r>
    <s v="West Gear"/>
    <n v="1185732"/>
    <d v="2021-11-11T00:00:00"/>
    <x v="3"/>
    <s v="Vermont"/>
    <s v="Burlington"/>
    <s v="Women's Street Footwear"/>
    <n v="57"/>
    <n v="96"/>
    <x v="1134"/>
    <x v="487"/>
    <s v="Online"/>
  </r>
  <r>
    <s v="Sports Direct"/>
    <n v="1197831"/>
    <d v="2021-08-27T00:00:00"/>
    <x v="1"/>
    <s v="Texas"/>
    <s v="Dallas"/>
    <s v="Men's Apparel"/>
    <n v="29"/>
    <n v="96"/>
    <x v="1146"/>
    <x v="798"/>
    <s v="Outlet"/>
  </r>
  <r>
    <s v="West Gear"/>
    <n v="1128299"/>
    <d v="2020-03-18T00:00:00"/>
    <x v="4"/>
    <s v="Nevada"/>
    <s v="Las Vegas"/>
    <s v="Women's Athletic Footwear"/>
    <n v="26"/>
    <n v="96"/>
    <x v="1216"/>
    <x v="820"/>
    <s v="Outlet"/>
  </r>
  <r>
    <s v="Walmart"/>
    <n v="1128299"/>
    <d v="2021-08-17T00:00:00"/>
    <x v="0"/>
    <s v="Florida"/>
    <s v="Orlando"/>
    <s v="Women's Apparel"/>
    <n v="60"/>
    <n v="96"/>
    <x v="1091"/>
    <x v="116"/>
    <s v="Outlet"/>
  </r>
  <r>
    <s v="Walmart"/>
    <n v="1128299"/>
    <d v="2021-09-18T00:00:00"/>
    <x v="0"/>
    <s v="Florida"/>
    <s v="Orlando"/>
    <s v="Women's Street Footwear"/>
    <n v="39"/>
    <n v="96"/>
    <x v="869"/>
    <x v="484"/>
    <s v="Outlet"/>
  </r>
  <r>
    <s v="West Gear"/>
    <n v="1128299"/>
    <d v="2021-03-16T00:00:00"/>
    <x v="1"/>
    <s v="Louisiana"/>
    <s v="New Orleans"/>
    <s v="Women's Athletic Footwear"/>
    <n v="43"/>
    <n v="96"/>
    <x v="973"/>
    <x v="542"/>
    <s v="Outlet"/>
  </r>
  <r>
    <s v="West Gear"/>
    <n v="1128299"/>
    <d v="2021-09-18T00:00:00"/>
    <x v="1"/>
    <s v="Louisiana"/>
    <s v="New Orleans"/>
    <s v="Women's Street Footwear"/>
    <n v="30"/>
    <n v="96"/>
    <x v="1023"/>
    <x v="672"/>
    <s v="Outlet"/>
  </r>
  <r>
    <s v="Kohl's"/>
    <n v="1128299"/>
    <d v="2021-04-26T00:00:00"/>
    <x v="4"/>
    <s v="New Mexico"/>
    <s v="Albuquerque"/>
    <s v="Women's Athletic Footwear"/>
    <n v="37"/>
    <n v="96"/>
    <x v="1170"/>
    <x v="841"/>
    <s v="Outlet"/>
  </r>
  <r>
    <s v="Sports Direct"/>
    <n v="1128299"/>
    <d v="2021-04-13T00:00:00"/>
    <x v="0"/>
    <s v="Georgia"/>
    <s v="Atlanta"/>
    <s v="Women's Athletic Footwear"/>
    <n v="40"/>
    <n v="96"/>
    <x v="892"/>
    <x v="579"/>
    <s v="Outlet"/>
  </r>
  <r>
    <s v="Foot Locker"/>
    <n v="1185732"/>
    <d v="2021-04-17T00:00:00"/>
    <x v="1"/>
    <s v="Mississippi"/>
    <s v="Jackson"/>
    <s v="Women's Athletic Footwear"/>
    <n v="16"/>
    <n v="96"/>
    <x v="1050"/>
    <x v="839"/>
    <s v="Outlet"/>
  </r>
  <r>
    <s v="Walmart"/>
    <n v="1197831"/>
    <d v="2021-04-20T00:00:00"/>
    <x v="1"/>
    <s v="Arkansas"/>
    <s v="Little Rock"/>
    <s v="Women's Street Footwear"/>
    <n v="11"/>
    <n v="96"/>
    <x v="1217"/>
    <x v="858"/>
    <s v="Outlet"/>
  </r>
  <r>
    <s v="Kohl's"/>
    <n v="1197831"/>
    <d v="2021-11-20T00:00:00"/>
    <x v="1"/>
    <s v="Oklahoma"/>
    <s v="Oklahoma City"/>
    <s v="Men's Athletic Footwear"/>
    <n v="11"/>
    <n v="96"/>
    <x v="1217"/>
    <x v="838"/>
    <s v="Outlet"/>
  </r>
  <r>
    <s v="Sports Direct"/>
    <n v="1185732"/>
    <d v="2021-02-05T00:00:00"/>
    <x v="3"/>
    <s v="Connecticut"/>
    <s v="Hartford"/>
    <s v="Women's Apparel"/>
    <n v="32"/>
    <n v="96"/>
    <x v="1218"/>
    <x v="440"/>
    <s v="Outlet"/>
  </r>
  <r>
    <s v="Sports Direct"/>
    <n v="1185732"/>
    <d v="2021-06-05T00:00:00"/>
    <x v="3"/>
    <s v="Connecticut"/>
    <s v="Hartford"/>
    <s v="Women's Street Footwear"/>
    <n v="35"/>
    <n v="96"/>
    <x v="1043"/>
    <x v="859"/>
    <s v="Outlet"/>
  </r>
  <r>
    <s v="Foot Locker"/>
    <n v="1185732"/>
    <d v="2021-12-03T00:00:00"/>
    <x v="3"/>
    <s v="Connecticut"/>
    <s v="Hartford"/>
    <s v="Women's Athletic Footwear"/>
    <n v="38"/>
    <n v="96"/>
    <x v="632"/>
    <x v="832"/>
    <s v="Outlet"/>
  </r>
  <r>
    <s v="Foot Locker"/>
    <n v="1185732"/>
    <d v="2021-08-07T00:00:00"/>
    <x v="3"/>
    <s v="Rhode Island"/>
    <s v="Providence"/>
    <s v="Women's Apparel"/>
    <n v="38"/>
    <n v="96"/>
    <x v="632"/>
    <x v="524"/>
    <s v="Outlet"/>
  </r>
  <r>
    <s v="Amazon"/>
    <n v="1185732"/>
    <d v="2021-03-10T00:00:00"/>
    <x v="3"/>
    <s v="Vermont"/>
    <s v="Burlington"/>
    <s v="Women's Apparel"/>
    <n v="29"/>
    <n v="96"/>
    <x v="1146"/>
    <x v="832"/>
    <s v="Outlet"/>
  </r>
  <r>
    <s v="Amazon"/>
    <n v="1185732"/>
    <d v="2021-05-10T00:00:00"/>
    <x v="3"/>
    <s v="Vermont"/>
    <s v="Burlington"/>
    <s v="Women's Street Footwear"/>
    <n v="37"/>
    <n v="96"/>
    <x v="1170"/>
    <x v="594"/>
    <s v="Outlet"/>
  </r>
  <r>
    <s v="Amazon"/>
    <n v="1185732"/>
    <d v="2021-07-10T00:00:00"/>
    <x v="3"/>
    <s v="Vermont"/>
    <s v="Burlington"/>
    <s v="Women's Athletic Footwear"/>
    <n v="36"/>
    <n v="96"/>
    <x v="787"/>
    <x v="590"/>
    <s v="Outlet"/>
  </r>
  <r>
    <s v="Amazon"/>
    <n v="1185732"/>
    <d v="2021-11-11T00:00:00"/>
    <x v="3"/>
    <s v="Vermont"/>
    <s v="Burlington"/>
    <s v="Women's Athletic Footwear"/>
    <n v="42"/>
    <n v="96"/>
    <x v="963"/>
    <x v="731"/>
    <s v="Outlet"/>
  </r>
  <r>
    <s v="Amazon"/>
    <n v="1185732"/>
    <d v="2021-02-19T00:00:00"/>
    <x v="3"/>
    <s v="Vermont"/>
    <s v="Burlington"/>
    <s v="Women's Street Footwear"/>
    <n v="31"/>
    <n v="96"/>
    <x v="952"/>
    <x v="713"/>
    <s v="Outlet"/>
  </r>
  <r>
    <s v="Amazon"/>
    <n v="1185732"/>
    <d v="2021-02-19T00:00:00"/>
    <x v="3"/>
    <s v="New Hampshire"/>
    <s v="Manchester"/>
    <s v="Men's Apparel"/>
    <n v="41"/>
    <n v="96"/>
    <x v="1120"/>
    <x v="837"/>
    <s v="Outlet"/>
  </r>
  <r>
    <s v="Foot Locker"/>
    <n v="1185732"/>
    <d v="2021-11-18T00:00:00"/>
    <x v="3"/>
    <s v="New Hampshire"/>
    <s v="Manchester"/>
    <s v="Men's Apparel"/>
    <n v="59"/>
    <n v="96"/>
    <x v="692"/>
    <x v="709"/>
    <s v="Outlet"/>
  </r>
  <r>
    <s v="Foot Locker"/>
    <n v="1185732"/>
    <d v="2021-07-22T00:00:00"/>
    <x v="2"/>
    <s v="Nebraska"/>
    <s v="Omaha"/>
    <s v="Women's Street Footwear"/>
    <n v="30"/>
    <n v="95"/>
    <x v="1219"/>
    <x v="860"/>
    <s v="Outlet"/>
  </r>
  <r>
    <s v="Foot Locker"/>
    <n v="1185732"/>
    <d v="2021-12-08T00:00:00"/>
    <x v="3"/>
    <s v="Pennsylvania"/>
    <s v="Philadelphia"/>
    <s v="Women's Apparel"/>
    <n v="64"/>
    <n v="95"/>
    <x v="722"/>
    <x v="404"/>
    <s v="Online"/>
  </r>
  <r>
    <s v="West Gear"/>
    <n v="1128299"/>
    <d v="2020-01-25T00:00:00"/>
    <x v="4"/>
    <s v="Nevada"/>
    <s v="Las Vegas"/>
    <s v="Women's Apparel"/>
    <n v="78"/>
    <n v="95"/>
    <x v="721"/>
    <x v="543"/>
    <s v="Online"/>
  </r>
  <r>
    <s v="West Gear"/>
    <n v="1128299"/>
    <d v="2020-04-01T00:00:00"/>
    <x v="4"/>
    <s v="Colorado"/>
    <s v="Denver"/>
    <s v="Women's Apparel"/>
    <n v="52"/>
    <n v="95"/>
    <x v="724"/>
    <x v="737"/>
    <s v="Online"/>
  </r>
  <r>
    <s v="Sports Direct"/>
    <n v="1197831"/>
    <d v="2021-03-14T00:00:00"/>
    <x v="1"/>
    <s v="Tennessee"/>
    <s v="Knoxville"/>
    <s v="Men's Apparel"/>
    <n v="39"/>
    <n v="95"/>
    <x v="613"/>
    <x v="751"/>
    <s v="Online"/>
  </r>
  <r>
    <s v="Sports Direct"/>
    <n v="1197831"/>
    <d v="2021-09-21T00:00:00"/>
    <x v="1"/>
    <s v="Alabama"/>
    <s v="Birmingham"/>
    <s v="Women's Athletic Footwear"/>
    <n v="58"/>
    <n v="95"/>
    <x v="978"/>
    <x v="522"/>
    <s v="Online"/>
  </r>
  <r>
    <s v="Foot Locker"/>
    <n v="1128299"/>
    <d v="2021-10-24T00:00:00"/>
    <x v="0"/>
    <s v="Virginia"/>
    <s v="Richmond"/>
    <s v="Women's Street Footwear"/>
    <n v="46"/>
    <n v="95"/>
    <x v="449"/>
    <x v="365"/>
    <s v="Online"/>
  </r>
  <r>
    <s v="Foot Locker"/>
    <n v="1185732"/>
    <d v="2021-03-17T00:00:00"/>
    <x v="2"/>
    <s v="Missouri"/>
    <s v="St. Louis"/>
    <s v="Women's Street Footwear"/>
    <n v="23"/>
    <n v="95"/>
    <x v="1151"/>
    <x v="713"/>
    <s v="Online"/>
  </r>
  <r>
    <s v="Foot Locker"/>
    <n v="1185732"/>
    <d v="2021-09-19T00:00:00"/>
    <x v="2"/>
    <s v="Missouri"/>
    <s v="St. Louis"/>
    <s v="Women's Apparel"/>
    <n v="28"/>
    <n v="95"/>
    <x v="901"/>
    <x v="708"/>
    <s v="Online"/>
  </r>
  <r>
    <s v="West Gear"/>
    <n v="1128299"/>
    <d v="2021-05-25T00:00:00"/>
    <x v="4"/>
    <s v="Oregon"/>
    <s v="Portland"/>
    <s v="Women's Street Footwear"/>
    <n v="50"/>
    <n v="95"/>
    <x v="1022"/>
    <x v="536"/>
    <s v="Online"/>
  </r>
  <r>
    <s v="West Gear"/>
    <n v="1128299"/>
    <d v="2021-03-16T00:00:00"/>
    <x v="1"/>
    <s v="Louisiana"/>
    <s v="New Orleans"/>
    <s v="Women's Apparel"/>
    <n v="41"/>
    <n v="95"/>
    <x v="1126"/>
    <x v="744"/>
    <s v="Online"/>
  </r>
  <r>
    <s v="West Gear"/>
    <n v="1128299"/>
    <d v="2021-10-17T00:00:00"/>
    <x v="1"/>
    <s v="Louisiana"/>
    <s v="New Orleans"/>
    <s v="Men's Apparel"/>
    <n v="47"/>
    <n v="95"/>
    <x v="1176"/>
    <x v="487"/>
    <s v="Online"/>
  </r>
  <r>
    <s v="Foot Locker"/>
    <n v="1128299"/>
    <d v="2021-03-22T00:00:00"/>
    <x v="4"/>
    <s v="Arizona"/>
    <s v="Phoenix"/>
    <s v="Men's Athletic Footwear"/>
    <n v="48"/>
    <n v="95"/>
    <x v="457"/>
    <x v="398"/>
    <s v="Online"/>
  </r>
  <r>
    <s v="Foot Locker"/>
    <n v="1128299"/>
    <d v="2021-06-23T00:00:00"/>
    <x v="4"/>
    <s v="Arizona"/>
    <s v="Phoenix"/>
    <s v="Women's Athletic Footwear"/>
    <n v="46"/>
    <n v="95"/>
    <x v="449"/>
    <x v="652"/>
    <s v="Online"/>
  </r>
  <r>
    <s v="Kohl's"/>
    <n v="1128299"/>
    <d v="2021-10-26T00:00:00"/>
    <x v="4"/>
    <s v="New Mexico"/>
    <s v="Albuquerque"/>
    <s v="Women's Athletic Footwear"/>
    <n v="46"/>
    <n v="95"/>
    <x v="449"/>
    <x v="710"/>
    <s v="Online"/>
  </r>
  <r>
    <s v="Sports Direct"/>
    <n v="1128299"/>
    <d v="2021-03-12T00:00:00"/>
    <x v="0"/>
    <s v="Georgia"/>
    <s v="Atlanta"/>
    <s v="Women's Apparel"/>
    <n v="48"/>
    <n v="95"/>
    <x v="457"/>
    <x v="775"/>
    <s v="Online"/>
  </r>
  <r>
    <s v="Amazon"/>
    <n v="1185732"/>
    <d v="2021-07-21T00:00:00"/>
    <x v="0"/>
    <s v="Kentucky"/>
    <s v="Louisville"/>
    <s v="Men's Athletic Footwear"/>
    <n v="44"/>
    <n v="95"/>
    <x v="587"/>
    <x v="168"/>
    <s v="Online"/>
  </r>
  <r>
    <s v="Sports Direct"/>
    <n v="1197831"/>
    <d v="2021-01-23T00:00:00"/>
    <x v="1"/>
    <s v="Mississippi"/>
    <s v="Jackson"/>
    <s v="Men's Apparel"/>
    <n v="34"/>
    <n v="95"/>
    <x v="551"/>
    <x v="588"/>
    <s v="Online"/>
  </r>
  <r>
    <s v="Foot Locker"/>
    <n v="1197831"/>
    <d v="2021-12-12T00:00:00"/>
    <x v="2"/>
    <s v="Kansas"/>
    <s v="Wichita"/>
    <s v="Women's Street Footwear"/>
    <n v="58"/>
    <n v="95"/>
    <x v="978"/>
    <x v="356"/>
    <s v="Online"/>
  </r>
  <r>
    <s v="Sports Direct"/>
    <n v="1185732"/>
    <d v="2021-08-09T00:00:00"/>
    <x v="2"/>
    <s v="North Dakota"/>
    <s v="Fargo"/>
    <s v="Women's Apparel"/>
    <n v="54"/>
    <n v="95"/>
    <x v="727"/>
    <x v="654"/>
    <s v="Online"/>
  </r>
  <r>
    <s v="West Gear"/>
    <n v="1185732"/>
    <d v="2021-05-18T00:00:00"/>
    <x v="3"/>
    <s v="West Virginia"/>
    <s v="Charleston"/>
    <s v="Women's Apparel"/>
    <n v="52"/>
    <n v="95"/>
    <x v="724"/>
    <x v="654"/>
    <s v="Online"/>
  </r>
  <r>
    <s v="Foot Locker"/>
    <n v="1185732"/>
    <d v="2021-11-17T00:00:00"/>
    <x v="3"/>
    <s v="West Virginia"/>
    <s v="Charleston"/>
    <s v="Men's Athletic Footwear"/>
    <n v="33"/>
    <n v="95"/>
    <x v="1093"/>
    <x v="612"/>
    <s v="Online"/>
  </r>
  <r>
    <s v="Foot Locker"/>
    <n v="1185732"/>
    <d v="2021-12-16T00:00:00"/>
    <x v="3"/>
    <s v="West Virginia"/>
    <s v="Charleston"/>
    <s v="Men's Apparel"/>
    <n v="61"/>
    <n v="95"/>
    <x v="1017"/>
    <x v="498"/>
    <s v="Online"/>
  </r>
  <r>
    <s v="Foot Locker"/>
    <n v="1185732"/>
    <d v="2021-11-04T00:00:00"/>
    <x v="3"/>
    <s v="Connecticut"/>
    <s v="Hartford"/>
    <s v="Women's Apparel"/>
    <n v="67"/>
    <n v="95"/>
    <x v="391"/>
    <x v="343"/>
    <s v="Online"/>
  </r>
  <r>
    <s v="Sports Direct"/>
    <n v="1185732"/>
    <d v="2021-11-07T00:00:00"/>
    <x v="3"/>
    <s v="Rhode Island"/>
    <s v="Providence"/>
    <s v="Men's Street Footwear"/>
    <n v="55"/>
    <n v="95"/>
    <x v="589"/>
    <x v="727"/>
    <s v="Online"/>
  </r>
  <r>
    <s v="Amazon"/>
    <n v="1185732"/>
    <d v="2021-09-17T00:00:00"/>
    <x v="3"/>
    <s v="New Hampshire"/>
    <s v="Manchester"/>
    <s v="Men's Athletic Footwear"/>
    <n v="54"/>
    <n v="95"/>
    <x v="727"/>
    <x v="586"/>
    <s v="Online"/>
  </r>
  <r>
    <s v="Foot Locker"/>
    <n v="1185732"/>
    <d v="2021-07-13T00:00:00"/>
    <x v="2"/>
    <s v="Illinois"/>
    <s v="Chicago"/>
    <s v="Men's Athletic Footwear"/>
    <n v="41"/>
    <n v="94"/>
    <x v="1185"/>
    <x v="765"/>
    <s v="Online"/>
  </r>
  <r>
    <s v="Foot Locker"/>
    <n v="1185732"/>
    <d v="2021-07-17T00:00:00"/>
    <x v="2"/>
    <s v="Illinois"/>
    <s v="Chicago"/>
    <s v="Women's Apparel"/>
    <n v="50"/>
    <n v="94"/>
    <x v="1012"/>
    <x v="505"/>
    <s v="Online"/>
  </r>
  <r>
    <s v="Sports Direct"/>
    <n v="1197831"/>
    <d v="2021-08-15T00:00:00"/>
    <x v="1"/>
    <s v="Texas"/>
    <s v="Dallas"/>
    <s v="Men's Apparel"/>
    <n v="37"/>
    <n v="94"/>
    <x v="1220"/>
    <x v="754"/>
    <s v="Online"/>
  </r>
  <r>
    <s v="West Gear"/>
    <n v="1128299"/>
    <d v="2020-01-19T00:00:00"/>
    <x v="4"/>
    <s v="Nevada"/>
    <s v="Las Vegas"/>
    <s v="Women's Apparel"/>
    <n v="54"/>
    <n v="94"/>
    <x v="753"/>
    <x v="579"/>
    <s v="Online"/>
  </r>
  <r>
    <s v="West Gear"/>
    <n v="1128299"/>
    <d v="2020-03-02T00:00:00"/>
    <x v="4"/>
    <s v="Nevada"/>
    <s v="Las Vegas"/>
    <s v="Women's Apparel"/>
    <n v="68"/>
    <n v="94"/>
    <x v="564"/>
    <x v="786"/>
    <s v="Online"/>
  </r>
  <r>
    <s v="West Gear"/>
    <n v="1128299"/>
    <d v="2020-04-03T00:00:00"/>
    <x v="4"/>
    <s v="Colorado"/>
    <s v="Denver"/>
    <s v="Men's Athletic Footwear"/>
    <n v="59"/>
    <n v="94"/>
    <x v="817"/>
    <x v="802"/>
    <s v="Online"/>
  </r>
  <r>
    <s v="West Gear"/>
    <n v="1128299"/>
    <d v="2020-07-23T00:00:00"/>
    <x v="4"/>
    <s v="Washington"/>
    <s v="Seattle"/>
    <s v="Men's Apparel"/>
    <n v="69"/>
    <n v="94"/>
    <x v="1054"/>
    <x v="621"/>
    <s v="Online"/>
  </r>
  <r>
    <s v="Foot Locker"/>
    <n v="1185732"/>
    <d v="2021-07-14T00:00:00"/>
    <x v="2"/>
    <s v="Nebraska"/>
    <s v="Omaha"/>
    <s v="Men's Street Footwear"/>
    <n v="36"/>
    <n v="94"/>
    <x v="1010"/>
    <x v="571"/>
    <s v="Online"/>
  </r>
  <r>
    <s v="Foot Locker"/>
    <n v="1128299"/>
    <d v="2021-02-10T00:00:00"/>
    <x v="4"/>
    <s v="Alaska"/>
    <s v="Anchorage"/>
    <s v="Women's Street Footwear"/>
    <n v="44"/>
    <n v="94"/>
    <x v="1164"/>
    <x v="695"/>
    <s v="Online"/>
  </r>
  <r>
    <s v="Foot Locker"/>
    <n v="1128299"/>
    <d v="2021-04-10T00:00:00"/>
    <x v="4"/>
    <s v="Hawaii"/>
    <s v="Honolulu"/>
    <s v="Women's Apparel"/>
    <n v="66"/>
    <n v="94"/>
    <x v="965"/>
    <x v="540"/>
    <s v="Online"/>
  </r>
  <r>
    <s v="Sports Direct"/>
    <n v="1185732"/>
    <d v="2021-03-15T00:00:00"/>
    <x v="2"/>
    <s v="Michigan"/>
    <s v="Detroit"/>
    <s v="Men's Apparel"/>
    <n v="43"/>
    <n v="94"/>
    <x v="1221"/>
    <x v="659"/>
    <s v="Online"/>
  </r>
  <r>
    <s v="Foot Locker"/>
    <n v="1185732"/>
    <d v="2021-02-18T00:00:00"/>
    <x v="2"/>
    <s v="Michigan"/>
    <s v="Detroit"/>
    <s v="Men's Athletic Footwear"/>
    <n v="28"/>
    <n v="94"/>
    <x v="752"/>
    <x v="688"/>
    <s v="Online"/>
  </r>
  <r>
    <s v="Foot Locker"/>
    <n v="1185732"/>
    <d v="2021-07-17T00:00:00"/>
    <x v="2"/>
    <s v="Missouri"/>
    <s v="St. Louis"/>
    <s v="Men's Apparel"/>
    <n v="37"/>
    <n v="94"/>
    <x v="1220"/>
    <x v="708"/>
    <s v="Online"/>
  </r>
  <r>
    <s v="West Gear"/>
    <n v="1185732"/>
    <d v="2021-04-11T00:00:00"/>
    <x v="4"/>
    <s v="Utah"/>
    <s v="Salt Lake City"/>
    <s v="Men's Athletic Footwear"/>
    <n v="25"/>
    <n v="94"/>
    <x v="1199"/>
    <x v="499"/>
    <s v="Online"/>
  </r>
  <r>
    <s v="Foot Locker"/>
    <n v="1128299"/>
    <d v="2021-04-23T00:00:00"/>
    <x v="4"/>
    <s v="Arizona"/>
    <s v="Phoenix"/>
    <s v="Women's Apparel"/>
    <n v="67"/>
    <n v="94"/>
    <x v="477"/>
    <x v="621"/>
    <s v="Online"/>
  </r>
  <r>
    <s v="Foot Locker"/>
    <n v="1128299"/>
    <d v="2021-08-23T00:00:00"/>
    <x v="4"/>
    <s v="Arizona"/>
    <s v="Phoenix"/>
    <s v="Women's Apparel"/>
    <n v="65"/>
    <n v="94"/>
    <x v="902"/>
    <x v="704"/>
    <s v="Online"/>
  </r>
  <r>
    <s v="Sports Direct"/>
    <n v="1128299"/>
    <d v="2021-04-13T00:00:00"/>
    <x v="0"/>
    <s v="Georgia"/>
    <s v="Atlanta"/>
    <s v="Women's Street Footwear"/>
    <n v="50"/>
    <n v="94"/>
    <x v="1012"/>
    <x v="486"/>
    <s v="Online"/>
  </r>
  <r>
    <s v="Amazon"/>
    <n v="1185732"/>
    <d v="2021-09-23T00:00:00"/>
    <x v="0"/>
    <s v="Kentucky"/>
    <s v="Louisville"/>
    <s v="Men's Athletic Footwear"/>
    <n v="44"/>
    <n v="94"/>
    <x v="1164"/>
    <x v="256"/>
    <s v="Online"/>
  </r>
  <r>
    <s v="Walmart"/>
    <n v="1197831"/>
    <d v="2021-09-19T00:00:00"/>
    <x v="1"/>
    <s v="Arkansas"/>
    <s v="Little Rock"/>
    <s v="Men's Apparel"/>
    <n v="23"/>
    <n v="94"/>
    <x v="1182"/>
    <x v="603"/>
    <s v="Online"/>
  </r>
  <r>
    <s v="West Gear"/>
    <n v="1197831"/>
    <d v="2021-11-20T00:00:00"/>
    <x v="1"/>
    <s v="Arkansas"/>
    <s v="Little Rock"/>
    <s v="Men's Athletic Footwear"/>
    <n v="14"/>
    <n v="94"/>
    <x v="1222"/>
    <x v="839"/>
    <s v="Online"/>
  </r>
  <r>
    <s v="West Gear"/>
    <n v="1197831"/>
    <d v="2021-04-20T00:00:00"/>
    <x v="1"/>
    <s v="Oklahoma"/>
    <s v="Oklahoma City"/>
    <s v="Women's Apparel"/>
    <n v="28"/>
    <n v="94"/>
    <x v="752"/>
    <x v="590"/>
    <s v="Online"/>
  </r>
  <r>
    <s v="West Gear"/>
    <n v="1197831"/>
    <d v="2021-07-19T00:00:00"/>
    <x v="1"/>
    <s v="Oklahoma"/>
    <s v="Oklahoma City"/>
    <s v="Women's Street Footwear"/>
    <n v="44"/>
    <n v="94"/>
    <x v="1164"/>
    <x v="355"/>
    <s v="Online"/>
  </r>
  <r>
    <s v="Kohl's"/>
    <n v="1197831"/>
    <d v="2021-12-19T00:00:00"/>
    <x v="1"/>
    <s v="Oklahoma"/>
    <s v="Oklahoma City"/>
    <s v="Women's Athletic Footwear"/>
    <n v="54"/>
    <n v="94"/>
    <x v="753"/>
    <x v="661"/>
    <s v="Online"/>
  </r>
  <r>
    <s v="Kohl's"/>
    <n v="1197831"/>
    <d v="2021-05-12T00:00:00"/>
    <x v="2"/>
    <s v="Kansas"/>
    <s v="Wichita"/>
    <s v="Women's Apparel"/>
    <n v="42"/>
    <n v="94"/>
    <x v="1195"/>
    <x v="542"/>
    <s v="Online"/>
  </r>
  <r>
    <s v="Kohl's"/>
    <n v="1197831"/>
    <d v="2021-06-14T00:00:00"/>
    <x v="2"/>
    <s v="Kansas"/>
    <s v="Wichita"/>
    <s v="Men's Athletic Footwear"/>
    <n v="32"/>
    <n v="94"/>
    <x v="1223"/>
    <x v="776"/>
    <s v="Online"/>
  </r>
  <r>
    <s v="Kohl's"/>
    <n v="1197831"/>
    <d v="2021-09-12T00:00:00"/>
    <x v="2"/>
    <s v="Kansas"/>
    <s v="Wichita"/>
    <s v="Women's Apparel"/>
    <n v="29"/>
    <n v="94"/>
    <x v="1179"/>
    <x v="836"/>
    <s v="Online"/>
  </r>
  <r>
    <s v="Foot Locker"/>
    <n v="1185732"/>
    <d v="2021-06-12T00:00:00"/>
    <x v="2"/>
    <s v="South Dakota"/>
    <s v="Sioux Falls"/>
    <s v="Women's Apparel"/>
    <n v="50"/>
    <n v="94"/>
    <x v="1012"/>
    <x v="763"/>
    <s v="Online"/>
  </r>
  <r>
    <s v="Foot Locker"/>
    <n v="1185732"/>
    <d v="2021-07-11T00:00:00"/>
    <x v="2"/>
    <s v="South Dakota"/>
    <s v="Sioux Falls"/>
    <s v="Women's Apparel"/>
    <n v="53"/>
    <n v="94"/>
    <x v="1092"/>
    <x v="408"/>
    <s v="Online"/>
  </r>
  <r>
    <s v="Foot Locker"/>
    <n v="1185732"/>
    <d v="2021-07-05T00:00:00"/>
    <x v="2"/>
    <s v="Iowa"/>
    <s v="Des Moines"/>
    <s v="Women's Apparel"/>
    <n v="51"/>
    <n v="94"/>
    <x v="1020"/>
    <x v="746"/>
    <s v="Online"/>
  </r>
  <r>
    <s v="West Gear"/>
    <n v="1185732"/>
    <d v="2021-07-02T00:00:00"/>
    <x v="2"/>
    <s v="Wisconsin"/>
    <s v="Milwaukee"/>
    <s v="Women's Apparel"/>
    <n v="52"/>
    <n v="94"/>
    <x v="800"/>
    <x v="408"/>
    <s v="Online"/>
  </r>
  <r>
    <s v="West Gear"/>
    <n v="1185732"/>
    <d v="2021-06-10T00:00:00"/>
    <x v="2"/>
    <s v="Indiana"/>
    <s v="Indianapolis"/>
    <s v="Men's Athletic Footwear"/>
    <n v="32"/>
    <n v="94"/>
    <x v="1223"/>
    <x v="791"/>
    <s v="Online"/>
  </r>
  <r>
    <s v="West Gear"/>
    <n v="1185732"/>
    <d v="2021-04-17T00:00:00"/>
    <x v="3"/>
    <s v="West Virginia"/>
    <s v="Charleston"/>
    <s v="Women's Apparel"/>
    <n v="47"/>
    <n v="94"/>
    <x v="510"/>
    <x v="504"/>
    <s v="Online"/>
  </r>
  <r>
    <s v="Foot Locker"/>
    <n v="1185732"/>
    <d v="2021-07-13T00:00:00"/>
    <x v="3"/>
    <s v="Delaware"/>
    <s v="Wilmington"/>
    <s v="Men's Apparel"/>
    <n v="51"/>
    <n v="94"/>
    <x v="1020"/>
    <x v="180"/>
    <s v="Online"/>
  </r>
  <r>
    <s v="Sports Direct"/>
    <n v="1185732"/>
    <d v="2021-06-05T00:00:00"/>
    <x v="3"/>
    <s v="Connecticut"/>
    <s v="Hartford"/>
    <s v="Men's Athletic Footwear"/>
    <n v="48"/>
    <n v="94"/>
    <x v="674"/>
    <x v="565"/>
    <s v="Online"/>
  </r>
  <r>
    <s v="Foot Locker"/>
    <n v="1185732"/>
    <d v="2021-10-08T00:00:00"/>
    <x v="3"/>
    <s v="Rhode Island"/>
    <s v="Providence"/>
    <s v="Men's Street Footwear"/>
    <n v="53"/>
    <n v="94"/>
    <x v="1092"/>
    <x v="763"/>
    <s v="Online"/>
  </r>
  <r>
    <s v="Sports Direct"/>
    <n v="1185732"/>
    <d v="2021-06-15T00:00:00"/>
    <x v="3"/>
    <s v="Massachusetts"/>
    <s v="Boston"/>
    <s v="Men's Athletic Footwear"/>
    <n v="47"/>
    <n v="94"/>
    <x v="510"/>
    <x v="501"/>
    <s v="Online"/>
  </r>
  <r>
    <s v="Amazon"/>
    <n v="1185732"/>
    <d v="2021-01-14T00:00:00"/>
    <x v="3"/>
    <s v="Massachusetts"/>
    <s v="Boston"/>
    <s v="Men's Athletic Footwear"/>
    <n v="42"/>
    <n v="94"/>
    <x v="1195"/>
    <x v="664"/>
    <s v="Online"/>
  </r>
  <r>
    <s v="Amazon"/>
    <n v="1185732"/>
    <d v="2021-07-10T00:00:00"/>
    <x v="3"/>
    <s v="Vermont"/>
    <s v="Burlington"/>
    <s v="Men's Apparel"/>
    <n v="54"/>
    <n v="94"/>
    <x v="753"/>
    <x v="665"/>
    <s v="Online"/>
  </r>
  <r>
    <s v="Amazon"/>
    <n v="1185732"/>
    <d v="2021-11-11T00:00:00"/>
    <x v="3"/>
    <s v="Vermont"/>
    <s v="Burlington"/>
    <s v="Women's Apparel"/>
    <n v="70"/>
    <n v="94"/>
    <x v="975"/>
    <x v="235"/>
    <s v="Online"/>
  </r>
  <r>
    <s v="Amazon"/>
    <n v="1185732"/>
    <d v="2021-06-19T00:00:00"/>
    <x v="3"/>
    <s v="New Hampshire"/>
    <s v="Manchester"/>
    <s v="Men's Apparel"/>
    <n v="60"/>
    <n v="94"/>
    <x v="792"/>
    <x v="526"/>
    <s v="Online"/>
  </r>
  <r>
    <s v="Foot Locker"/>
    <n v="1185732"/>
    <d v="2021-06-02T00:00:00"/>
    <x v="4"/>
    <s v="California"/>
    <s v="Los Angeles"/>
    <s v="Women's Street Footwear"/>
    <n v="24"/>
    <n v="94"/>
    <x v="1224"/>
    <x v="856"/>
    <s v="Outlet"/>
  </r>
  <r>
    <s v="Sports Direct"/>
    <n v="1197831"/>
    <d v="2021-03-20T00:00:00"/>
    <x v="1"/>
    <s v="Tennessee"/>
    <s v="Knoxville"/>
    <s v="Men's Apparel"/>
    <n v="29"/>
    <n v="94"/>
    <x v="1179"/>
    <x v="762"/>
    <s v="Outlet"/>
  </r>
  <r>
    <s v="Sports Direct"/>
    <n v="1128299"/>
    <d v="2021-02-17T00:00:00"/>
    <x v="0"/>
    <s v="Florida"/>
    <s v="Orlando"/>
    <s v="Women's Athletic Footwear"/>
    <n v="36"/>
    <n v="94"/>
    <x v="1010"/>
    <x v="793"/>
    <s v="Outlet"/>
  </r>
  <r>
    <s v="Walmart"/>
    <n v="1128299"/>
    <d v="2021-09-18T00:00:00"/>
    <x v="0"/>
    <s v="Florida"/>
    <s v="Orlando"/>
    <s v="Men's Apparel"/>
    <n v="54"/>
    <n v="94"/>
    <x v="753"/>
    <x v="702"/>
    <s v="Outlet"/>
  </r>
  <r>
    <s v="West Gear"/>
    <n v="1185732"/>
    <d v="2021-05-12T00:00:00"/>
    <x v="4"/>
    <s v="Utah"/>
    <s v="Salt Lake City"/>
    <s v="Women's Athletic Footwear"/>
    <n v="19"/>
    <n v="94"/>
    <x v="1098"/>
    <x v="861"/>
    <s v="Outlet"/>
  </r>
  <r>
    <s v="West Gear"/>
    <n v="1185732"/>
    <d v="2021-10-11T00:00:00"/>
    <x v="4"/>
    <s v="Utah"/>
    <s v="Salt Lake City"/>
    <s v="Women's Athletic Footwear"/>
    <n v="13"/>
    <n v="94"/>
    <x v="1225"/>
    <x v="805"/>
    <s v="Outlet"/>
  </r>
  <r>
    <s v="West Gear"/>
    <n v="1128299"/>
    <d v="2021-05-25T00:00:00"/>
    <x v="4"/>
    <s v="Oregon"/>
    <s v="Portland"/>
    <s v="Women's Athletic Footwear"/>
    <n v="33"/>
    <n v="94"/>
    <x v="964"/>
    <x v="846"/>
    <s v="Outlet"/>
  </r>
  <r>
    <s v="Kohl's"/>
    <n v="1128299"/>
    <d v="2021-01-26T00:00:00"/>
    <x v="4"/>
    <s v="Arizona"/>
    <s v="Phoenix"/>
    <s v="Men's Apparel"/>
    <n v="33"/>
    <n v="94"/>
    <x v="964"/>
    <x v="420"/>
    <s v="Outlet"/>
  </r>
  <r>
    <s v="Sports Direct"/>
    <n v="1128299"/>
    <d v="2021-06-13T00:00:00"/>
    <x v="0"/>
    <s v="Georgia"/>
    <s v="Atlanta"/>
    <s v="Men's Apparel"/>
    <n v="42"/>
    <n v="94"/>
    <x v="1195"/>
    <x v="806"/>
    <s v="Outlet"/>
  </r>
  <r>
    <s v="Walmart"/>
    <n v="1197831"/>
    <d v="2021-10-21T00:00:00"/>
    <x v="1"/>
    <s v="Arkansas"/>
    <s v="Little Rock"/>
    <s v="Women's Athletic Footwear"/>
    <n v="15"/>
    <n v="94"/>
    <x v="1204"/>
    <x v="801"/>
    <s v="Outlet"/>
  </r>
  <r>
    <s v="Sports Direct"/>
    <n v="1185732"/>
    <d v="2021-04-04T00:00:00"/>
    <x v="3"/>
    <s v="Connecticut"/>
    <s v="Hartford"/>
    <s v="Women's Apparel"/>
    <n v="26"/>
    <n v="94"/>
    <x v="1174"/>
    <x v="798"/>
    <s v="Outlet"/>
  </r>
  <r>
    <s v="Sports Direct"/>
    <n v="1185732"/>
    <d v="2021-07-03T00:00:00"/>
    <x v="3"/>
    <s v="Connecticut"/>
    <s v="Hartford"/>
    <s v="Women's Athletic Footwear"/>
    <n v="34"/>
    <n v="94"/>
    <x v="940"/>
    <x v="420"/>
    <s v="Outlet"/>
  </r>
  <r>
    <s v="Sports Direct"/>
    <n v="1185732"/>
    <d v="2021-10-05T00:00:00"/>
    <x v="3"/>
    <s v="Connecticut"/>
    <s v="Hartford"/>
    <s v="Men's Athletic Footwear"/>
    <n v="39"/>
    <n v="94"/>
    <x v="620"/>
    <x v="547"/>
    <s v="Outlet"/>
  </r>
  <r>
    <s v="Foot Locker"/>
    <n v="1185732"/>
    <d v="2021-10-05T00:00:00"/>
    <x v="3"/>
    <s v="Connecticut"/>
    <s v="Hartford"/>
    <s v="Women's Apparel"/>
    <n v="46"/>
    <n v="94"/>
    <x v="900"/>
    <x v="752"/>
    <s v="Outlet"/>
  </r>
  <r>
    <s v="Sports Direct"/>
    <n v="1185732"/>
    <d v="2021-04-14T00:00:00"/>
    <x v="3"/>
    <s v="Massachusetts"/>
    <s v="Boston"/>
    <s v="Women's Apparel"/>
    <n v="30"/>
    <n v="94"/>
    <x v="1101"/>
    <x v="779"/>
    <s v="Outlet"/>
  </r>
  <r>
    <s v="Amazon"/>
    <n v="1185732"/>
    <d v="2021-05-10T00:00:00"/>
    <x v="3"/>
    <s v="Vermont"/>
    <s v="Burlington"/>
    <s v="Men's Athletic Footwear"/>
    <n v="41"/>
    <n v="94"/>
    <x v="1185"/>
    <x v="180"/>
    <s v="Outlet"/>
  </r>
  <r>
    <s v="Amazon"/>
    <n v="1185732"/>
    <d v="2021-11-21T00:00:00"/>
    <x v="4"/>
    <s v="Alaska"/>
    <s v="Anchorage"/>
    <s v="Women's Street Footwear"/>
    <n v="59"/>
    <n v="93"/>
    <x v="672"/>
    <x v="710"/>
    <s v="Online"/>
  </r>
  <r>
    <s v="West Gear"/>
    <n v="1185732"/>
    <d v="2021-11-11T00:00:00"/>
    <x v="4"/>
    <s v="Utah"/>
    <s v="Salt Lake City"/>
    <s v="Women's Street Footwear"/>
    <n v="19"/>
    <n v="93"/>
    <x v="1226"/>
    <x v="820"/>
    <s v="Online"/>
  </r>
  <r>
    <s v="Sports Direct"/>
    <n v="1197831"/>
    <d v="2021-08-21T00:00:00"/>
    <x v="1"/>
    <s v="Texas"/>
    <s v="Dallas"/>
    <s v="Men's Apparel"/>
    <n v="26"/>
    <n v="93"/>
    <x v="1189"/>
    <x v="861"/>
    <s v="Outlet"/>
  </r>
  <r>
    <s v="West Gear"/>
    <n v="1128299"/>
    <d v="2020-01-17T00:00:00"/>
    <x v="4"/>
    <s v="Nevada"/>
    <s v="Las Vegas"/>
    <s v="Women's Athletic Footwear"/>
    <n v="41"/>
    <n v="93"/>
    <x v="1063"/>
    <x v="347"/>
    <s v="Outlet"/>
  </r>
  <r>
    <s v="West Gear"/>
    <n v="1185732"/>
    <d v="2021-02-11T00:00:00"/>
    <x v="4"/>
    <s v="Utah"/>
    <s v="Salt Lake City"/>
    <s v="Women's Athletic Footwear"/>
    <n v="16"/>
    <n v="93"/>
    <x v="1227"/>
    <x v="807"/>
    <s v="Outlet"/>
  </r>
  <r>
    <s v="West Gear"/>
    <n v="1128299"/>
    <d v="2021-10-24T00:00:00"/>
    <x v="4"/>
    <s v="Oregon"/>
    <s v="Portland"/>
    <s v="Men's Apparel"/>
    <n v="40"/>
    <n v="93"/>
    <x v="967"/>
    <x v="816"/>
    <s v="Outlet"/>
  </r>
  <r>
    <s v="Foot Locker"/>
    <n v="1128299"/>
    <d v="2021-05-24T00:00:00"/>
    <x v="4"/>
    <s v="Arizona"/>
    <s v="Phoenix"/>
    <s v="Women's Athletic Footwear"/>
    <n v="39"/>
    <n v="93"/>
    <x v="907"/>
    <x v="836"/>
    <s v="Outlet"/>
  </r>
  <r>
    <s v="Kohl's"/>
    <n v="1128299"/>
    <d v="2021-06-26T00:00:00"/>
    <x v="4"/>
    <s v="New Mexico"/>
    <s v="Albuquerque"/>
    <s v="Men's Apparel"/>
    <n v="44"/>
    <n v="93"/>
    <x v="1112"/>
    <x v="737"/>
    <s v="Outlet"/>
  </r>
  <r>
    <s v="West Gear"/>
    <n v="1197831"/>
    <d v="2021-05-19T00:00:00"/>
    <x v="1"/>
    <s v="Oklahoma"/>
    <s v="Oklahoma City"/>
    <s v="Men's Athletic Footwear"/>
    <n v="29"/>
    <n v="93"/>
    <x v="1078"/>
    <x v="779"/>
    <s v="Outlet"/>
  </r>
  <r>
    <s v="Sports Direct"/>
    <n v="1185732"/>
    <d v="2021-07-03T00:00:00"/>
    <x v="3"/>
    <s v="Connecticut"/>
    <s v="Hartford"/>
    <s v="Men's Apparel"/>
    <n v="43"/>
    <n v="93"/>
    <x v="842"/>
    <x v="672"/>
    <s v="Outlet"/>
  </r>
  <r>
    <s v="Sports Direct"/>
    <n v="1185732"/>
    <d v="2021-09-03T00:00:00"/>
    <x v="3"/>
    <s v="Connecticut"/>
    <s v="Hartford"/>
    <s v="Men's Athletic Footwear"/>
    <n v="40"/>
    <n v="93"/>
    <x v="967"/>
    <x v="744"/>
    <s v="Outlet"/>
  </r>
  <r>
    <s v="Foot Locker"/>
    <n v="1185732"/>
    <d v="2021-05-06T00:00:00"/>
    <x v="3"/>
    <s v="Rhode Island"/>
    <s v="Providence"/>
    <s v="Women's Apparel"/>
    <n v="36"/>
    <n v="93"/>
    <x v="1116"/>
    <x v="597"/>
    <s v="Outlet"/>
  </r>
  <r>
    <s v="Sports Direct"/>
    <n v="1185732"/>
    <d v="2021-03-13T00:00:00"/>
    <x v="3"/>
    <s v="Massachusetts"/>
    <s v="Boston"/>
    <s v="Women's Athletic Footwear"/>
    <n v="25"/>
    <n v="93"/>
    <x v="1228"/>
    <x v="862"/>
    <s v="Outlet"/>
  </r>
  <r>
    <s v="Amazon"/>
    <n v="1185732"/>
    <d v="2021-09-10T00:00:00"/>
    <x v="3"/>
    <s v="Vermont"/>
    <s v="Burlington"/>
    <s v="Women's Apparel"/>
    <n v="45"/>
    <n v="93"/>
    <x v="1096"/>
    <x v="709"/>
    <s v="Outlet"/>
  </r>
  <r>
    <s v="Amazon"/>
    <n v="1185732"/>
    <d v="2021-05-17T00:00:00"/>
    <x v="3"/>
    <s v="New Hampshire"/>
    <s v="Manchester"/>
    <s v="Men's Athletic Footwear"/>
    <n v="40"/>
    <n v="93"/>
    <x v="967"/>
    <x v="786"/>
    <s v="Outlet"/>
  </r>
  <r>
    <s v="Foot Locker"/>
    <n v="1185732"/>
    <d v="2021-01-24T00:00:00"/>
    <x v="3"/>
    <s v="New Hampshire"/>
    <s v="Manchester"/>
    <s v="Men's Athletic Footwear"/>
    <n v="36"/>
    <n v="93"/>
    <x v="1116"/>
    <x v="836"/>
    <s v="Outlet"/>
  </r>
  <r>
    <s v="West Gear"/>
    <n v="1128299"/>
    <d v="2020-04-18T00:00:00"/>
    <x v="4"/>
    <s v="Colorado"/>
    <s v="Denver"/>
    <s v="Men's Apparel"/>
    <n v="66"/>
    <n v="91"/>
    <x v="438"/>
    <x v="61"/>
    <s v="Online"/>
  </r>
  <r>
    <s v="Foot Locker"/>
    <n v="1185732"/>
    <d v="2020-12-16T00:00:00"/>
    <x v="2"/>
    <s v="Minnesota"/>
    <s v="Minneapolis"/>
    <s v="Men's Street Footwear"/>
    <n v="46"/>
    <n v="91"/>
    <x v="1096"/>
    <x v="180"/>
    <s v="Online"/>
  </r>
  <r>
    <s v="Kohl's"/>
    <n v="1189833"/>
    <d v="2021-01-12T00:00:00"/>
    <x v="2"/>
    <s v="Montana"/>
    <s v="Billings"/>
    <s v="Women's Athletic Footwear"/>
    <n v="44"/>
    <n v="91"/>
    <x v="842"/>
    <x v="674"/>
    <s v="Online"/>
  </r>
  <r>
    <s v="Foot Locker"/>
    <n v="1185732"/>
    <d v="2021-07-01T00:00:00"/>
    <x v="2"/>
    <s v="Nebraska"/>
    <s v="Omaha"/>
    <s v="Women's Apparel"/>
    <n v="49"/>
    <n v="91"/>
    <x v="502"/>
    <x v="246"/>
    <s v="Online"/>
  </r>
  <r>
    <s v="Sports Direct"/>
    <n v="1197831"/>
    <d v="2021-09-27T00:00:00"/>
    <x v="1"/>
    <s v="Alabama"/>
    <s v="Birmingham"/>
    <s v="Women's Athletic Footwear"/>
    <n v="32"/>
    <n v="91"/>
    <x v="1166"/>
    <x v="796"/>
    <s v="Online"/>
  </r>
  <r>
    <s v="Amazon"/>
    <n v="1185732"/>
    <d v="2021-12-26T00:00:00"/>
    <x v="3"/>
    <s v="Maine"/>
    <s v="Portland"/>
    <s v="Women's Apparel"/>
    <n v="54"/>
    <n v="91"/>
    <x v="791"/>
    <x v="454"/>
    <s v="Online"/>
  </r>
  <r>
    <s v="Amazon"/>
    <n v="1185732"/>
    <d v="2021-07-20T00:00:00"/>
    <x v="4"/>
    <s v="Alaska"/>
    <s v="Anchorage"/>
    <s v="Men's Apparel"/>
    <n v="61"/>
    <n v="91"/>
    <x v="817"/>
    <x v="482"/>
    <s v="Online"/>
  </r>
  <r>
    <s v="Amazon"/>
    <n v="1185732"/>
    <d v="2021-09-20T00:00:00"/>
    <x v="4"/>
    <s v="Alaska"/>
    <s v="Anchorage"/>
    <s v="Men's Athletic Footwear"/>
    <n v="55"/>
    <n v="91"/>
    <x v="529"/>
    <x v="746"/>
    <s v="Online"/>
  </r>
  <r>
    <s v="Foot Locker"/>
    <n v="1128299"/>
    <d v="2021-03-09T00:00:00"/>
    <x v="4"/>
    <s v="Hawaii"/>
    <s v="Honolulu"/>
    <s v="Men's Athletic Footwear"/>
    <n v="54"/>
    <n v="91"/>
    <x v="791"/>
    <x v="563"/>
    <s v="Online"/>
  </r>
  <r>
    <s v="Foot Locker"/>
    <n v="1128299"/>
    <d v="2021-04-10T00:00:00"/>
    <x v="4"/>
    <s v="Hawaii"/>
    <s v="Honolulu"/>
    <s v="Women's Street Footwear"/>
    <n v="60"/>
    <n v="91"/>
    <x v="321"/>
    <x v="439"/>
    <s v="Online"/>
  </r>
  <r>
    <s v="Walmart"/>
    <n v="1128299"/>
    <d v="2021-09-11T00:00:00"/>
    <x v="4"/>
    <s v="Hawaii"/>
    <s v="Honolulu"/>
    <s v="Men's Apparel"/>
    <n v="71"/>
    <n v="91"/>
    <x v="726"/>
    <x v="802"/>
    <s v="Online"/>
  </r>
  <r>
    <s v="Sports Direct"/>
    <n v="1128299"/>
    <d v="2021-03-16T00:00:00"/>
    <x v="0"/>
    <s v="Florida"/>
    <s v="Orlando"/>
    <s v="Women's Athletic Footwear"/>
    <n v="58"/>
    <n v="91"/>
    <x v="779"/>
    <x v="772"/>
    <s v="Online"/>
  </r>
  <r>
    <s v="Foot Locker"/>
    <n v="1128299"/>
    <d v="2021-01-24T00:00:00"/>
    <x v="4"/>
    <s v="Wyoming"/>
    <s v="Cheyenne"/>
    <s v="Men's Street Footwear"/>
    <n v="29"/>
    <n v="91"/>
    <x v="635"/>
    <x v="846"/>
    <s v="Online"/>
  </r>
  <r>
    <s v="Foot Locker"/>
    <n v="1128299"/>
    <d v="2021-01-24T00:00:00"/>
    <x v="4"/>
    <s v="Wyoming"/>
    <s v="Cheyenne"/>
    <s v="Women's Street Footwear"/>
    <n v="39"/>
    <n v="91"/>
    <x v="1170"/>
    <x v="786"/>
    <s v="Online"/>
  </r>
  <r>
    <s v="Foot Locker"/>
    <n v="1128299"/>
    <d v="2021-03-23T00:00:00"/>
    <x v="0"/>
    <s v="Virginia"/>
    <s v="Richmond"/>
    <s v="Women's Street Footwear"/>
    <n v="52"/>
    <n v="91"/>
    <x v="794"/>
    <x v="621"/>
    <s v="Online"/>
  </r>
  <r>
    <s v="Sports Direct"/>
    <n v="1185732"/>
    <d v="2021-03-15T00:00:00"/>
    <x v="2"/>
    <s v="Michigan"/>
    <s v="Detroit"/>
    <s v="Women's Athletic Footwear"/>
    <n v="29"/>
    <n v="91"/>
    <x v="635"/>
    <x v="822"/>
    <s v="Online"/>
  </r>
  <r>
    <s v="Foot Locker"/>
    <n v="1185732"/>
    <d v="2021-06-18T00:00:00"/>
    <x v="2"/>
    <s v="Missouri"/>
    <s v="St. Louis"/>
    <s v="Men's Athletic Footwear"/>
    <n v="27"/>
    <n v="91"/>
    <x v="1229"/>
    <x v="760"/>
    <s v="Online"/>
  </r>
  <r>
    <s v="Foot Locker"/>
    <n v="1185732"/>
    <d v="2021-06-18T00:00:00"/>
    <x v="2"/>
    <s v="Missouri"/>
    <s v="St. Louis"/>
    <s v="Women's Athletic Footwear"/>
    <n v="23"/>
    <n v="91"/>
    <x v="723"/>
    <x v="821"/>
    <s v="Online"/>
  </r>
  <r>
    <s v="Foot Locker"/>
    <n v="1185732"/>
    <d v="2021-08-18T00:00:00"/>
    <x v="2"/>
    <s v="Missouri"/>
    <s v="St. Louis"/>
    <s v="Women's Athletic Footwear"/>
    <n v="24"/>
    <n v="91"/>
    <x v="1018"/>
    <x v="440"/>
    <s v="Online"/>
  </r>
  <r>
    <s v="Foot Locker"/>
    <n v="1185732"/>
    <d v="2021-10-18T00:00:00"/>
    <x v="2"/>
    <s v="Missouri"/>
    <s v="St. Louis"/>
    <s v="Men's Athletic Footwear"/>
    <n v="24"/>
    <n v="91"/>
    <x v="1018"/>
    <x v="663"/>
    <s v="Online"/>
  </r>
  <r>
    <s v="West Gear"/>
    <n v="1185732"/>
    <d v="2021-09-12T00:00:00"/>
    <x v="4"/>
    <s v="Utah"/>
    <s v="Salt Lake City"/>
    <s v="Women's Street Footwear"/>
    <n v="9"/>
    <n v="91"/>
    <x v="1230"/>
    <x v="863"/>
    <s v="Online"/>
  </r>
  <r>
    <s v="West Gear"/>
    <n v="1185732"/>
    <d v="2021-11-11T00:00:00"/>
    <x v="4"/>
    <s v="Utah"/>
    <s v="Salt Lake City"/>
    <s v="Men's Apparel"/>
    <n v="39"/>
    <n v="91"/>
    <x v="1170"/>
    <x v="596"/>
    <s v="Online"/>
  </r>
  <r>
    <s v="West Gear"/>
    <n v="1128299"/>
    <d v="2021-02-24T00:00:00"/>
    <x v="4"/>
    <s v="Utah"/>
    <s v="Salt Lake City"/>
    <s v="Men's Athletic Footwear"/>
    <n v="39"/>
    <n v="91"/>
    <x v="1170"/>
    <x v="708"/>
    <s v="Online"/>
  </r>
  <r>
    <s v="West Gear"/>
    <n v="1128299"/>
    <d v="2021-10-24T00:00:00"/>
    <x v="4"/>
    <s v="Oregon"/>
    <s v="Portland"/>
    <s v="Women's Street Footwear"/>
    <n v="46"/>
    <n v="91"/>
    <x v="1096"/>
    <x v="168"/>
    <s v="Online"/>
  </r>
  <r>
    <s v="Sports Direct"/>
    <n v="1197831"/>
    <d v="2021-10-04T00:00:00"/>
    <x v="4"/>
    <s v="Idaho"/>
    <s v="Boise"/>
    <s v="Men's Apparel"/>
    <n v="32"/>
    <n v="91"/>
    <x v="1166"/>
    <x v="445"/>
    <s v="Online"/>
  </r>
  <r>
    <s v="Foot Locker"/>
    <n v="1128299"/>
    <d v="2021-03-22T00:00:00"/>
    <x v="4"/>
    <s v="Arizona"/>
    <s v="Phoenix"/>
    <s v="Women's Street Footwear"/>
    <n v="49"/>
    <n v="91"/>
    <x v="502"/>
    <x v="355"/>
    <s v="Online"/>
  </r>
  <r>
    <s v="Foot Locker"/>
    <n v="1128299"/>
    <d v="2021-10-23T00:00:00"/>
    <x v="4"/>
    <s v="Arizona"/>
    <s v="Phoenix"/>
    <s v="Women's Street Footwear"/>
    <n v="44"/>
    <n v="91"/>
    <x v="842"/>
    <x v="828"/>
    <s v="Online"/>
  </r>
  <r>
    <s v="Kohl's"/>
    <n v="1128299"/>
    <d v="2021-05-27T00:00:00"/>
    <x v="4"/>
    <s v="New Mexico"/>
    <s v="Albuquerque"/>
    <s v="Women's Athletic Footwear"/>
    <n v="51"/>
    <n v="91"/>
    <x v="937"/>
    <x v="796"/>
    <s v="Online"/>
  </r>
  <r>
    <s v="Kohl's"/>
    <n v="1128299"/>
    <d v="2021-10-26T00:00:00"/>
    <x v="4"/>
    <s v="New Mexico"/>
    <s v="Albuquerque"/>
    <s v="Men's Apparel"/>
    <n v="56"/>
    <n v="91"/>
    <x v="285"/>
    <x v="773"/>
    <s v="Online"/>
  </r>
  <r>
    <s v="Sports Direct"/>
    <n v="1128299"/>
    <d v="2021-05-14T00:00:00"/>
    <x v="0"/>
    <s v="Georgia"/>
    <s v="Atlanta"/>
    <s v="Women's Athletic Footwear"/>
    <n v="47"/>
    <n v="91"/>
    <x v="1200"/>
    <x v="618"/>
    <s v="Online"/>
  </r>
  <r>
    <s v="Amazon"/>
    <n v="1185732"/>
    <d v="2021-08-22T00:00:00"/>
    <x v="0"/>
    <s v="Kentucky"/>
    <s v="Louisville"/>
    <s v="Men's Athletic Footwear"/>
    <n v="41"/>
    <n v="91"/>
    <x v="926"/>
    <x v="744"/>
    <s v="Online"/>
  </r>
  <r>
    <s v="Foot Locker"/>
    <n v="1185732"/>
    <d v="2021-02-18T00:00:00"/>
    <x v="1"/>
    <s v="Mississippi"/>
    <s v="Jackson"/>
    <s v="Women's Athletic Footwear"/>
    <n v="25"/>
    <n v="91"/>
    <x v="1132"/>
    <x v="714"/>
    <s v="Online"/>
  </r>
  <r>
    <s v="Walmart"/>
    <n v="1197831"/>
    <d v="2021-05-19T00:00:00"/>
    <x v="1"/>
    <s v="Arkansas"/>
    <s v="Little Rock"/>
    <s v="Women's Street Footwear"/>
    <n v="34"/>
    <n v="91"/>
    <x v="612"/>
    <x v="708"/>
    <s v="Online"/>
  </r>
  <r>
    <s v="West Gear"/>
    <n v="1197831"/>
    <d v="2021-11-20T00:00:00"/>
    <x v="1"/>
    <s v="Arkansas"/>
    <s v="Little Rock"/>
    <s v="Men's Apparel"/>
    <n v="69"/>
    <n v="91"/>
    <x v="1231"/>
    <x v="92"/>
    <s v="Online"/>
  </r>
  <r>
    <s v="West Gear"/>
    <n v="1197831"/>
    <d v="2021-02-21T00:00:00"/>
    <x v="1"/>
    <s v="Arkansas"/>
    <s v="Little Rock"/>
    <s v="Women's Street Footwear"/>
    <n v="15"/>
    <n v="91"/>
    <x v="1210"/>
    <x v="794"/>
    <s v="Online"/>
  </r>
  <r>
    <s v="West Gear"/>
    <n v="1197831"/>
    <d v="2021-09-19T00:00:00"/>
    <x v="1"/>
    <s v="Oklahoma"/>
    <s v="Oklahoma City"/>
    <s v="Women's Apparel"/>
    <n v="28"/>
    <n v="91"/>
    <x v="793"/>
    <x v="672"/>
    <s v="Online"/>
  </r>
  <r>
    <s v="Kohl's"/>
    <n v="1197831"/>
    <d v="2021-10-21T00:00:00"/>
    <x v="1"/>
    <s v="Oklahoma"/>
    <s v="Oklahoma City"/>
    <s v="Women's Apparel"/>
    <n v="29"/>
    <n v="91"/>
    <x v="635"/>
    <x v="590"/>
    <s v="Online"/>
  </r>
  <r>
    <s v="Kohl's"/>
    <n v="1197831"/>
    <d v="2021-01-16T00:00:00"/>
    <x v="1"/>
    <s v="Oklahoma"/>
    <s v="Oklahoma City"/>
    <s v="Men's Athletic Footwear"/>
    <n v="23"/>
    <n v="91"/>
    <x v="723"/>
    <x v="798"/>
    <s v="Online"/>
  </r>
  <r>
    <s v="Kohl's"/>
    <n v="1197831"/>
    <d v="2021-07-12T00:00:00"/>
    <x v="2"/>
    <s v="Kansas"/>
    <s v="Wichita"/>
    <s v="Men's Apparel"/>
    <n v="56"/>
    <n v="91"/>
    <x v="285"/>
    <x v="614"/>
    <s v="Online"/>
  </r>
  <r>
    <s v="Kohl's"/>
    <n v="1197831"/>
    <d v="2021-09-12T00:00:00"/>
    <x v="2"/>
    <s v="Kansas"/>
    <s v="Wichita"/>
    <s v="Men's Athletic Footwear"/>
    <n v="38"/>
    <n v="91"/>
    <x v="787"/>
    <x v="347"/>
    <s v="Online"/>
  </r>
  <r>
    <s v="Sports Direct"/>
    <n v="1185732"/>
    <d v="2021-06-09T00:00:00"/>
    <x v="2"/>
    <s v="North Dakota"/>
    <s v="Fargo"/>
    <s v="Women's Apparel"/>
    <n v="51"/>
    <n v="91"/>
    <x v="937"/>
    <x v="398"/>
    <s v="Online"/>
  </r>
  <r>
    <s v="West Gear"/>
    <n v="1185732"/>
    <d v="2021-12-05T00:00:00"/>
    <x v="2"/>
    <s v="Iowa"/>
    <s v="Des Moines"/>
    <s v="Men's Athletic Footwear"/>
    <n v="47"/>
    <n v="91"/>
    <x v="1200"/>
    <x v="365"/>
    <s v="Online"/>
  </r>
  <r>
    <s v="West Gear"/>
    <n v="1185732"/>
    <d v="2021-05-11T00:00:00"/>
    <x v="2"/>
    <s v="Indiana"/>
    <s v="Indianapolis"/>
    <s v="Women's Apparel"/>
    <n v="53"/>
    <n v="91"/>
    <x v="650"/>
    <x v="398"/>
    <s v="Online"/>
  </r>
  <r>
    <s v="West Gear"/>
    <n v="1185732"/>
    <d v="2021-06-10T00:00:00"/>
    <x v="2"/>
    <s v="Indiana"/>
    <s v="Indianapolis"/>
    <s v="Women's Apparel"/>
    <n v="56"/>
    <n v="91"/>
    <x v="285"/>
    <x v="112"/>
    <s v="Online"/>
  </r>
  <r>
    <s v="West Gear"/>
    <n v="1185732"/>
    <d v="2021-08-10T00:00:00"/>
    <x v="2"/>
    <s v="Indiana"/>
    <s v="Indianapolis"/>
    <s v="Women's Apparel"/>
    <n v="54"/>
    <n v="91"/>
    <x v="791"/>
    <x v="112"/>
    <s v="Online"/>
  </r>
  <r>
    <s v="West Gear"/>
    <n v="1185732"/>
    <d v="2021-11-10T00:00:00"/>
    <x v="2"/>
    <s v="Indiana"/>
    <s v="Indianapolis"/>
    <s v="Women's Apparel"/>
    <n v="61"/>
    <n v="91"/>
    <x v="817"/>
    <x v="477"/>
    <s v="Online"/>
  </r>
  <r>
    <s v="West Gear"/>
    <n v="1185732"/>
    <d v="2021-03-16T00:00:00"/>
    <x v="3"/>
    <s v="West Virginia"/>
    <s v="Charleston"/>
    <s v="Women's Street Footwear"/>
    <n v="19"/>
    <n v="91"/>
    <x v="1232"/>
    <x v="831"/>
    <s v="Online"/>
  </r>
  <r>
    <s v="West Gear"/>
    <n v="1185732"/>
    <d v="2021-09-18T00:00:00"/>
    <x v="3"/>
    <s v="West Virginia"/>
    <s v="Charleston"/>
    <s v="Men's Athletic Footwear"/>
    <n v="29"/>
    <n v="91"/>
    <x v="635"/>
    <x v="445"/>
    <s v="Online"/>
  </r>
  <r>
    <s v="Foot Locker"/>
    <n v="1185732"/>
    <d v="2021-11-17T00:00:00"/>
    <x v="3"/>
    <s v="West Virginia"/>
    <s v="Charleston"/>
    <s v="Women's Athletic Footwear"/>
    <n v="38"/>
    <n v="91"/>
    <x v="787"/>
    <x v="506"/>
    <s v="Online"/>
  </r>
  <r>
    <s v="Foot Locker"/>
    <n v="1185732"/>
    <d v="2021-01-17T00:00:00"/>
    <x v="3"/>
    <s v="Maryland"/>
    <s v="Baltimore"/>
    <s v="Women's Street Footwear"/>
    <n v="29"/>
    <n v="91"/>
    <x v="635"/>
    <x v="445"/>
    <s v="Online"/>
  </r>
  <r>
    <s v="Kohl's"/>
    <n v="1185732"/>
    <d v="2021-12-13T00:00:00"/>
    <x v="3"/>
    <s v="Delaware"/>
    <s v="Wilmington"/>
    <s v="Men's Apparel"/>
    <n v="61"/>
    <n v="91"/>
    <x v="817"/>
    <x v="772"/>
    <s v="Online"/>
  </r>
  <r>
    <s v="Sports Direct"/>
    <n v="1185732"/>
    <d v="2021-11-07T00:00:00"/>
    <x v="3"/>
    <s v="New Jersey"/>
    <s v="Newark"/>
    <s v="Women's Apparel"/>
    <n v="59"/>
    <n v="91"/>
    <x v="944"/>
    <x v="243"/>
    <s v="Online"/>
  </r>
  <r>
    <s v="Sports Direct"/>
    <n v="1185732"/>
    <d v="2021-12-06T00:00:00"/>
    <x v="3"/>
    <s v="New Jersey"/>
    <s v="Newark"/>
    <s v="Women's Street Footwear"/>
    <n v="49"/>
    <n v="91"/>
    <x v="502"/>
    <x v="355"/>
    <s v="Online"/>
  </r>
  <r>
    <s v="Foot Locker"/>
    <n v="1185732"/>
    <d v="2021-08-07T00:00:00"/>
    <x v="3"/>
    <s v="Rhode Island"/>
    <s v="Providence"/>
    <s v="Men's Athletic Footwear"/>
    <n v="42"/>
    <n v="91"/>
    <x v="1009"/>
    <x v="803"/>
    <s v="Online"/>
  </r>
  <r>
    <s v="Sports Direct"/>
    <n v="1185732"/>
    <d v="2021-08-14T00:00:00"/>
    <x v="3"/>
    <s v="Massachusetts"/>
    <s v="Boston"/>
    <s v="Women's Apparel"/>
    <n v="58"/>
    <n v="91"/>
    <x v="779"/>
    <x v="536"/>
    <s v="Online"/>
  </r>
  <r>
    <s v="Amazon"/>
    <n v="1185732"/>
    <d v="2021-01-14T00:00:00"/>
    <x v="3"/>
    <s v="Massachusetts"/>
    <s v="Boston"/>
    <s v="Women's Street Footwear"/>
    <n v="32"/>
    <n v="91"/>
    <x v="1166"/>
    <x v="594"/>
    <s v="Online"/>
  </r>
  <r>
    <s v="Amazon"/>
    <n v="1185732"/>
    <d v="2021-01-21T00:00:00"/>
    <x v="3"/>
    <s v="Vermont"/>
    <s v="Burlington"/>
    <s v="Men's Athletic Footwear"/>
    <n v="45"/>
    <n v="91"/>
    <x v="984"/>
    <x v="742"/>
    <s v="Online"/>
  </r>
  <r>
    <s v="Amazon"/>
    <n v="1185732"/>
    <d v="2021-06-19T00:00:00"/>
    <x v="3"/>
    <s v="New Hampshire"/>
    <s v="Manchester"/>
    <s v="Women's Athletic Footwear"/>
    <n v="52"/>
    <n v="91"/>
    <x v="794"/>
    <x v="589"/>
    <s v="Online"/>
  </r>
  <r>
    <s v="Foot Locker"/>
    <n v="1185732"/>
    <d v="2021-06-01T00:00:00"/>
    <x v="4"/>
    <s v="California"/>
    <s v="Los Angeles"/>
    <s v="Men's Athletic Footwear"/>
    <n v="31"/>
    <n v="91"/>
    <x v="1101"/>
    <x v="755"/>
    <s v="Outlet"/>
  </r>
  <r>
    <s v="Foot Locker"/>
    <n v="1185732"/>
    <d v="2021-12-10T00:00:00"/>
    <x v="3"/>
    <s v="Pennsylvania"/>
    <s v="Philadelphia"/>
    <s v="Men's Athletic Footwear"/>
    <n v="40"/>
    <n v="91"/>
    <x v="646"/>
    <x v="484"/>
    <s v="Outlet"/>
  </r>
  <r>
    <s v="West Gear"/>
    <n v="1128299"/>
    <d v="2021-04-17T00:00:00"/>
    <x v="1"/>
    <s v="Louisiana"/>
    <s v="New Orleans"/>
    <s v="Women's Athletic Footwear"/>
    <n v="27"/>
    <n v="91"/>
    <x v="1229"/>
    <x v="859"/>
    <s v="Outlet"/>
  </r>
  <r>
    <s v="West Gear"/>
    <n v="1197831"/>
    <d v="2021-04-05T00:00:00"/>
    <x v="4"/>
    <s v="Idaho"/>
    <s v="Boise"/>
    <s v="Men's Apparel"/>
    <n v="27"/>
    <n v="91"/>
    <x v="1229"/>
    <x v="764"/>
    <s v="Outlet"/>
  </r>
  <r>
    <s v="Kohl's"/>
    <n v="1128299"/>
    <d v="2021-02-26T00:00:00"/>
    <x v="4"/>
    <s v="New Mexico"/>
    <s v="Albuquerque"/>
    <s v="Women's Athletic Footwear"/>
    <n v="29"/>
    <n v="91"/>
    <x v="635"/>
    <x v="829"/>
    <s v="Outlet"/>
  </r>
  <r>
    <s v="Walmart"/>
    <n v="1197831"/>
    <d v="2021-10-21T00:00:00"/>
    <x v="1"/>
    <s v="Arkansas"/>
    <s v="Little Rock"/>
    <s v="Men's Apparel"/>
    <n v="21"/>
    <n v="91"/>
    <x v="1233"/>
    <x v="864"/>
    <s v="Outlet"/>
  </r>
  <r>
    <s v="West Gear"/>
    <n v="1197831"/>
    <d v="2021-01-23T00:00:00"/>
    <x v="1"/>
    <s v="Arkansas"/>
    <s v="Little Rock"/>
    <s v="Men's Apparel"/>
    <n v="23"/>
    <n v="91"/>
    <x v="723"/>
    <x v="826"/>
    <s v="Outlet"/>
  </r>
  <r>
    <s v="West Gear"/>
    <n v="1197831"/>
    <d v="2021-09-19T00:00:00"/>
    <x v="1"/>
    <s v="Oklahoma"/>
    <s v="Oklahoma City"/>
    <s v="Women's Street Footwear"/>
    <n v="12"/>
    <n v="91"/>
    <x v="1234"/>
    <x v="865"/>
    <s v="Outlet"/>
  </r>
  <r>
    <s v="Sports Direct"/>
    <n v="1185732"/>
    <d v="2021-06-05T00:00:00"/>
    <x v="3"/>
    <s v="Connecticut"/>
    <s v="Hartford"/>
    <s v="Men's Apparel"/>
    <n v="36"/>
    <n v="91"/>
    <x v="780"/>
    <x v="821"/>
    <s v="Outlet"/>
  </r>
  <r>
    <s v="Amazon"/>
    <n v="1185732"/>
    <d v="2021-11-14T00:00:00"/>
    <x v="3"/>
    <s v="Massachusetts"/>
    <s v="Boston"/>
    <s v="Women's Street Footwear"/>
    <n v="44"/>
    <n v="91"/>
    <x v="842"/>
    <x v="440"/>
    <s v="Outlet"/>
  </r>
  <r>
    <s v="Amazon"/>
    <n v="1185732"/>
    <d v="2021-05-10T00:00:00"/>
    <x v="3"/>
    <s v="Vermont"/>
    <s v="Burlington"/>
    <s v="Men's Apparel"/>
    <n v="46"/>
    <n v="91"/>
    <x v="1096"/>
    <x v="784"/>
    <s v="Outlet"/>
  </r>
  <r>
    <s v="Amazon"/>
    <n v="1185732"/>
    <d v="2021-11-11T00:00:00"/>
    <x v="3"/>
    <s v="Vermont"/>
    <s v="Burlington"/>
    <s v="Men's Apparel"/>
    <n v="50"/>
    <n v="91"/>
    <x v="1053"/>
    <x v="765"/>
    <s v="Outlet"/>
  </r>
  <r>
    <s v="Amazon"/>
    <n v="1185732"/>
    <d v="2021-05-17T00:00:00"/>
    <x v="3"/>
    <s v="New Hampshire"/>
    <s v="Manchester"/>
    <s v="Women's Athletic Footwear"/>
    <n v="41"/>
    <n v="91"/>
    <x v="926"/>
    <x v="822"/>
    <s v="Outlet"/>
  </r>
  <r>
    <s v="Foot Locker"/>
    <n v="1185732"/>
    <d v="2021-11-28T00:00:00"/>
    <x v="3"/>
    <s v="Pennsylvania"/>
    <s v="Philadelphia"/>
    <s v="Men's Athletic Footwear"/>
    <n v="55"/>
    <n v="90"/>
    <x v="550"/>
    <x v="633"/>
    <s v="Online"/>
  </r>
  <r>
    <s v="West Gear"/>
    <n v="1128299"/>
    <d v="2020-01-29T00:00:00"/>
    <x v="4"/>
    <s v="Nevada"/>
    <s v="Las Vegas"/>
    <s v="Women's Athletic Footwear"/>
    <n v="57"/>
    <n v="90"/>
    <x v="727"/>
    <x v="111"/>
    <s v="Online"/>
  </r>
  <r>
    <s v="West Gear"/>
    <n v="1128299"/>
    <d v="2020-03-30T00:00:00"/>
    <x v="4"/>
    <s v="Colorado"/>
    <s v="Denver"/>
    <s v="Women's Athletic Footwear"/>
    <n v="51"/>
    <n v="90"/>
    <x v="1073"/>
    <x v="180"/>
    <s v="Online"/>
  </r>
  <r>
    <s v="West Gear"/>
    <n v="1128299"/>
    <d v="2020-06-16T00:00:00"/>
    <x v="4"/>
    <s v="Washington"/>
    <s v="Seattle"/>
    <s v="Women's Athletic Footwear"/>
    <n v="55"/>
    <n v="90"/>
    <x v="550"/>
    <x v="673"/>
    <s v="Online"/>
  </r>
  <r>
    <s v="West Gear"/>
    <n v="1128299"/>
    <d v="2020-06-22T00:00:00"/>
    <x v="4"/>
    <s v="Washington"/>
    <s v="Seattle"/>
    <s v="Women's Athletic Footwear"/>
    <n v="59"/>
    <n v="90"/>
    <x v="895"/>
    <x v="614"/>
    <s v="Online"/>
  </r>
  <r>
    <s v="Amazon"/>
    <n v="1185732"/>
    <d v="2021-12-22T00:00:00"/>
    <x v="3"/>
    <s v="Maine"/>
    <s v="Portland"/>
    <s v="Men's Athletic Footwear"/>
    <n v="49"/>
    <n v="90"/>
    <x v="579"/>
    <x v="439"/>
    <s v="Online"/>
  </r>
  <r>
    <s v="Amazon"/>
    <n v="1185732"/>
    <d v="2021-06-22T00:00:00"/>
    <x v="4"/>
    <s v="Alaska"/>
    <s v="Anchorage"/>
    <s v="Women's Athletic Footwear"/>
    <n v="53"/>
    <n v="90"/>
    <x v="1235"/>
    <x v="784"/>
    <s v="Online"/>
  </r>
  <r>
    <s v="Amazon"/>
    <n v="1185732"/>
    <d v="2021-11-21T00:00:00"/>
    <x v="4"/>
    <s v="Alaska"/>
    <s v="Anchorage"/>
    <s v="Women's Athletic Footwear"/>
    <n v="62"/>
    <n v="90"/>
    <x v="880"/>
    <x v="674"/>
    <s v="Online"/>
  </r>
  <r>
    <s v="West Gear"/>
    <n v="1128299"/>
    <d v="2021-08-17T00:00:00"/>
    <x v="1"/>
    <s v="Louisiana"/>
    <s v="New Orleans"/>
    <s v="Women's Apparel"/>
    <n v="63"/>
    <n v="90"/>
    <x v="575"/>
    <x v="249"/>
    <s v="Online"/>
  </r>
  <r>
    <s v="Foot Locker"/>
    <n v="1128299"/>
    <d v="2021-04-23T00:00:00"/>
    <x v="4"/>
    <s v="Arizona"/>
    <s v="Phoenix"/>
    <s v="Men's Athletic Footwear"/>
    <n v="53"/>
    <n v="90"/>
    <x v="1235"/>
    <x v="665"/>
    <s v="Online"/>
  </r>
  <r>
    <s v="Foot Locker"/>
    <n v="1128299"/>
    <d v="2021-05-24T00:00:00"/>
    <x v="4"/>
    <s v="Arizona"/>
    <s v="Phoenix"/>
    <s v="Women's Athletic Footwear"/>
    <n v="49"/>
    <n v="90"/>
    <x v="579"/>
    <x v="666"/>
    <s v="Online"/>
  </r>
  <r>
    <s v="Foot Locker"/>
    <n v="1128299"/>
    <d v="2021-10-23T00:00:00"/>
    <x v="4"/>
    <s v="Arizona"/>
    <s v="Phoenix"/>
    <s v="Women's Athletic Footwear"/>
    <n v="43"/>
    <n v="90"/>
    <x v="1236"/>
    <x v="506"/>
    <s v="Online"/>
  </r>
  <r>
    <s v="Sports Direct"/>
    <n v="1128299"/>
    <d v="2021-10-13T00:00:00"/>
    <x v="0"/>
    <s v="Georgia"/>
    <s v="Atlanta"/>
    <s v="Men's Apparel"/>
    <n v="50"/>
    <n v="90"/>
    <x v="994"/>
    <x v="439"/>
    <s v="Online"/>
  </r>
  <r>
    <s v="West Gear"/>
    <n v="1197831"/>
    <d v="2021-11-20T00:00:00"/>
    <x v="1"/>
    <s v="Arkansas"/>
    <s v="Little Rock"/>
    <s v="Women's Street Footwear"/>
    <n v="23"/>
    <n v="90"/>
    <x v="1180"/>
    <x v="499"/>
    <s v="Online"/>
  </r>
  <r>
    <s v="Kohl's"/>
    <n v="1197831"/>
    <d v="2021-08-13T00:00:00"/>
    <x v="2"/>
    <s v="Kansas"/>
    <s v="Wichita"/>
    <s v="Women's Athletic Footwear"/>
    <n v="37"/>
    <n v="90"/>
    <x v="1099"/>
    <x v="591"/>
    <s v="Online"/>
  </r>
  <r>
    <s v="Foot Locker"/>
    <n v="1197831"/>
    <d v="2021-10-14T00:00:00"/>
    <x v="2"/>
    <s v="Kansas"/>
    <s v="Wichita"/>
    <s v="Women's Apparel"/>
    <n v="28"/>
    <n v="90"/>
    <x v="1190"/>
    <x v="846"/>
    <s v="Online"/>
  </r>
  <r>
    <s v="Foot Locker"/>
    <n v="1197831"/>
    <d v="2021-12-12T00:00:00"/>
    <x v="2"/>
    <s v="Kansas"/>
    <s v="Wichita"/>
    <s v="Women's Athletic Footwear"/>
    <n v="59"/>
    <n v="90"/>
    <x v="895"/>
    <x v="665"/>
    <s v="Online"/>
  </r>
  <r>
    <s v="Sports Direct"/>
    <n v="1185732"/>
    <d v="2021-08-09T00:00:00"/>
    <x v="2"/>
    <s v="North Dakota"/>
    <s v="Fargo"/>
    <s v="Men's Athletic Footwear"/>
    <n v="42"/>
    <n v="90"/>
    <x v="569"/>
    <x v="670"/>
    <s v="Online"/>
  </r>
  <r>
    <s v="West Gear"/>
    <n v="1185732"/>
    <d v="2021-05-04T00:00:00"/>
    <x v="2"/>
    <s v="Wisconsin"/>
    <s v="Milwaukee"/>
    <s v="Women's Apparel"/>
    <n v="47"/>
    <n v="90"/>
    <x v="1237"/>
    <x v="482"/>
    <s v="Online"/>
  </r>
  <r>
    <s v="West Gear"/>
    <n v="1185732"/>
    <d v="2021-06-03T00:00:00"/>
    <x v="2"/>
    <s v="Wisconsin"/>
    <s v="Milwaukee"/>
    <s v="Men's Athletic Footwear"/>
    <n v="27"/>
    <n v="90"/>
    <x v="1079"/>
    <x v="613"/>
    <s v="Online"/>
  </r>
  <r>
    <s v="West Gear"/>
    <n v="1185732"/>
    <d v="2021-08-17T00:00:00"/>
    <x v="3"/>
    <s v="West Virginia"/>
    <s v="Charleston"/>
    <s v="Men's Athletic Footwear"/>
    <n v="42"/>
    <n v="90"/>
    <x v="569"/>
    <x v="673"/>
    <s v="Online"/>
  </r>
  <r>
    <s v="Foot Locker"/>
    <n v="1185732"/>
    <d v="2021-07-13T00:00:00"/>
    <x v="3"/>
    <s v="Delaware"/>
    <s v="Wilmington"/>
    <s v="Women's Athletic Footwear"/>
    <n v="43"/>
    <n v="90"/>
    <x v="1236"/>
    <x v="168"/>
    <s v="Online"/>
  </r>
  <r>
    <s v="Foot Locker"/>
    <n v="1185732"/>
    <d v="2021-10-15T00:00:00"/>
    <x v="3"/>
    <s v="Delaware"/>
    <s v="Wilmington"/>
    <s v="Men's Athletic Footwear"/>
    <n v="51"/>
    <n v="90"/>
    <x v="1073"/>
    <x v="233"/>
    <s v="Online"/>
  </r>
  <r>
    <s v="Sports Direct"/>
    <n v="1185732"/>
    <d v="2021-01-07T00:00:00"/>
    <x v="3"/>
    <s v="New Jersey"/>
    <s v="Newark"/>
    <s v="Women's Street Footwear"/>
    <n v="28"/>
    <n v="90"/>
    <x v="1190"/>
    <x v="713"/>
    <s v="Online"/>
  </r>
  <r>
    <s v="Foot Locker"/>
    <n v="1185732"/>
    <d v="2021-06-08T00:00:00"/>
    <x v="3"/>
    <s v="Rhode Island"/>
    <s v="Providence"/>
    <s v="Men's Athletic Footwear"/>
    <n v="41"/>
    <n v="90"/>
    <x v="1124"/>
    <x v="736"/>
    <s v="Online"/>
  </r>
  <r>
    <s v="Amazon"/>
    <n v="1185732"/>
    <d v="2021-11-14T00:00:00"/>
    <x v="3"/>
    <s v="Massachusetts"/>
    <s v="Boston"/>
    <s v="Men's Athletic Footwear"/>
    <n v="52"/>
    <n v="90"/>
    <x v="499"/>
    <x v="429"/>
    <s v="Online"/>
  </r>
  <r>
    <s v="Amazon"/>
    <n v="1185732"/>
    <d v="2021-04-11T00:00:00"/>
    <x v="3"/>
    <s v="Vermont"/>
    <s v="Burlington"/>
    <s v="Women's Apparel"/>
    <n v="44"/>
    <n v="90"/>
    <x v="1186"/>
    <x v="247"/>
    <s v="Online"/>
  </r>
  <r>
    <s v="Amazon"/>
    <n v="1185732"/>
    <d v="2021-06-12T00:00:00"/>
    <x v="3"/>
    <s v="Vermont"/>
    <s v="Burlington"/>
    <s v="Women's Athletic Footwear"/>
    <n v="47"/>
    <n v="90"/>
    <x v="1237"/>
    <x v="506"/>
    <s v="Online"/>
  </r>
  <r>
    <s v="Amazon"/>
    <n v="1185732"/>
    <d v="2021-07-10T00:00:00"/>
    <x v="3"/>
    <s v="Vermont"/>
    <s v="Burlington"/>
    <s v="Women's Athletic Footwear"/>
    <n v="46"/>
    <n v="90"/>
    <x v="1164"/>
    <x v="256"/>
    <s v="Online"/>
  </r>
  <r>
    <s v="Amazon"/>
    <n v="1185732"/>
    <d v="2021-02-19T00:00:00"/>
    <x v="3"/>
    <s v="Vermont"/>
    <s v="Burlington"/>
    <s v="Women's Street Footwear"/>
    <n v="39"/>
    <n v="90"/>
    <x v="1077"/>
    <x v="806"/>
    <s v="Online"/>
  </r>
  <r>
    <s v="Foot Locker"/>
    <n v="1185732"/>
    <d v="2021-01-24T00:00:00"/>
    <x v="3"/>
    <s v="New Hampshire"/>
    <s v="Manchester"/>
    <s v="Women's Street Footwear"/>
    <n v="44"/>
    <n v="90"/>
    <x v="1186"/>
    <x v="841"/>
    <s v="Online"/>
  </r>
  <r>
    <s v="West Gear"/>
    <n v="1128299"/>
    <d v="2020-01-05T00:00:00"/>
    <x v="3"/>
    <s v="Pennsylvania"/>
    <s v="Philadelphia"/>
    <s v="Women's Athletic Footwear"/>
    <n v="34"/>
    <n v="90"/>
    <x v="972"/>
    <x v="793"/>
    <s v="Outlet"/>
  </r>
  <r>
    <s v="West Gear"/>
    <n v="1128299"/>
    <d v="2020-01-23T00:00:00"/>
    <x v="4"/>
    <s v="Nevada"/>
    <s v="Las Vegas"/>
    <s v="Women's Athletic Footwear"/>
    <n v="40"/>
    <n v="90"/>
    <x v="663"/>
    <x v="751"/>
    <s v="Outlet"/>
  </r>
  <r>
    <s v="Walmart"/>
    <n v="1128299"/>
    <d v="2021-04-17T00:00:00"/>
    <x v="0"/>
    <s v="Florida"/>
    <s v="Orlando"/>
    <s v="Women's Athletic Footwear"/>
    <n v="41"/>
    <n v="90"/>
    <x v="1124"/>
    <x v="688"/>
    <s v="Outlet"/>
  </r>
  <r>
    <s v="Foot Locker"/>
    <n v="1128299"/>
    <d v="2021-04-24T00:00:00"/>
    <x v="0"/>
    <s v="Virginia"/>
    <s v="Richmond"/>
    <s v="Women's Apparel"/>
    <n v="47"/>
    <n v="90"/>
    <x v="1237"/>
    <x v="563"/>
    <s v="Outlet"/>
  </r>
  <r>
    <s v="West Gear"/>
    <n v="1185732"/>
    <d v="2021-03-10T00:00:00"/>
    <x v="4"/>
    <s v="Utah"/>
    <s v="Salt Lake City"/>
    <s v="Men's Apparel"/>
    <n v="28"/>
    <n v="90"/>
    <x v="1190"/>
    <x v="713"/>
    <s v="Outlet"/>
  </r>
  <r>
    <s v="West Gear"/>
    <n v="1185732"/>
    <d v="2021-05-12T00:00:00"/>
    <x v="4"/>
    <s v="Utah"/>
    <s v="Salt Lake City"/>
    <s v="Men's Apparel"/>
    <n v="29"/>
    <n v="90"/>
    <x v="1238"/>
    <x v="787"/>
    <s v="Outlet"/>
  </r>
  <r>
    <s v="West Gear"/>
    <n v="1185732"/>
    <d v="2021-10-11T00:00:00"/>
    <x v="4"/>
    <s v="Utah"/>
    <s v="Salt Lake City"/>
    <s v="Women's Street Footwear"/>
    <n v="13"/>
    <n v="90"/>
    <x v="1239"/>
    <x v="866"/>
    <s v="Outlet"/>
  </r>
  <r>
    <s v="West Gear"/>
    <n v="1128299"/>
    <d v="2021-03-23T00:00:00"/>
    <x v="4"/>
    <s v="Oregon"/>
    <s v="Portland"/>
    <s v="Women's Apparel"/>
    <n v="40"/>
    <n v="90"/>
    <x v="663"/>
    <x v="745"/>
    <s v="Outlet"/>
  </r>
  <r>
    <s v="West Gear"/>
    <n v="1128299"/>
    <d v="2021-04-24T00:00:00"/>
    <x v="4"/>
    <s v="Oregon"/>
    <s v="Portland"/>
    <s v="Women's Apparel"/>
    <n v="49"/>
    <n v="90"/>
    <x v="579"/>
    <x v="570"/>
    <s v="Outlet"/>
  </r>
  <r>
    <s v="West Gear"/>
    <n v="1128299"/>
    <d v="2021-09-18T00:00:00"/>
    <x v="1"/>
    <s v="Louisiana"/>
    <s v="New Orleans"/>
    <s v="Women's Apparel"/>
    <n v="30"/>
    <n v="90"/>
    <x v="1078"/>
    <x v="603"/>
    <s v="Outlet"/>
  </r>
  <r>
    <s v="Foot Locker"/>
    <n v="1128299"/>
    <d v="2021-04-23T00:00:00"/>
    <x v="4"/>
    <s v="Arizona"/>
    <s v="Phoenix"/>
    <s v="Men's Athletic Footwear"/>
    <n v="37"/>
    <n v="90"/>
    <x v="1099"/>
    <x v="597"/>
    <s v="Outlet"/>
  </r>
  <r>
    <s v="Walmart"/>
    <n v="1197831"/>
    <d v="2021-05-19T00:00:00"/>
    <x v="1"/>
    <s v="Arkansas"/>
    <s v="Little Rock"/>
    <s v="Women's Athletic Footwear"/>
    <n v="24"/>
    <n v="90"/>
    <x v="1182"/>
    <x v="779"/>
    <s v="Outlet"/>
  </r>
  <r>
    <s v="Kohl's"/>
    <n v="1197831"/>
    <d v="2021-11-20T00:00:00"/>
    <x v="1"/>
    <s v="Oklahoma"/>
    <s v="Oklahoma City"/>
    <s v="Women's Athletic Footwear"/>
    <n v="37"/>
    <n v="90"/>
    <x v="1099"/>
    <x v="731"/>
    <s v="Outlet"/>
  </r>
  <r>
    <s v="Kohl's"/>
    <n v="1197831"/>
    <d v="2021-02-14T00:00:00"/>
    <x v="1"/>
    <s v="Oklahoma"/>
    <s v="Oklahoma City"/>
    <s v="Women's Street Footwear"/>
    <n v="11"/>
    <n v="90"/>
    <x v="1240"/>
    <x v="867"/>
    <s v="Outlet"/>
  </r>
  <r>
    <s v="Amazon"/>
    <n v="1185732"/>
    <d v="2021-12-13T00:00:00"/>
    <x v="3"/>
    <s v="Massachusetts"/>
    <s v="Boston"/>
    <s v="Men's Apparel"/>
    <n v="52"/>
    <n v="90"/>
    <x v="499"/>
    <x v="833"/>
    <s v="Outlet"/>
  </r>
  <r>
    <s v="Amazon"/>
    <n v="1185732"/>
    <d v="2021-04-11T00:00:00"/>
    <x v="3"/>
    <s v="Vermont"/>
    <s v="Burlington"/>
    <s v="Women's Apparel"/>
    <n v="36"/>
    <n v="90"/>
    <x v="1241"/>
    <x v="737"/>
    <s v="Outlet"/>
  </r>
  <r>
    <s v="West Gear"/>
    <n v="1185732"/>
    <d v="2021-10-12T00:00:00"/>
    <x v="3"/>
    <s v="Vermont"/>
    <s v="Burlington"/>
    <s v="Women's Apparel"/>
    <n v="54"/>
    <n v="90"/>
    <x v="810"/>
    <x v="773"/>
    <s v="Outlet"/>
  </r>
  <r>
    <s v="Amazon"/>
    <n v="1185732"/>
    <d v="2021-05-17T00:00:00"/>
    <x v="3"/>
    <s v="New Hampshire"/>
    <s v="Manchester"/>
    <s v="Men's Apparel"/>
    <n v="52"/>
    <n v="90"/>
    <x v="499"/>
    <x v="570"/>
    <s v="Outlet"/>
  </r>
  <r>
    <s v="Foot Locker"/>
    <n v="1185732"/>
    <d v="2021-10-19T00:00:00"/>
    <x v="3"/>
    <s v="New Hampshire"/>
    <s v="Manchester"/>
    <s v="Women's Apparel"/>
    <n v="64"/>
    <n v="90"/>
    <x v="1091"/>
    <x v="504"/>
    <s v="Outlet"/>
  </r>
  <r>
    <s v="West Gear"/>
    <n v="1128299"/>
    <d v="2020-03-07T00:00:00"/>
    <x v="4"/>
    <s v="Nevada"/>
    <s v="Las Vegas"/>
    <s v="Men's Apparel"/>
    <n v="64"/>
    <n v="88"/>
    <x v="649"/>
    <x v="632"/>
    <s v="Online"/>
  </r>
  <r>
    <s v="West Gear"/>
    <n v="1128299"/>
    <d v="2020-06-14T00:00:00"/>
    <x v="4"/>
    <s v="Washington"/>
    <s v="Seattle"/>
    <s v="Men's Athletic Footwear"/>
    <n v="71"/>
    <n v="88"/>
    <x v="882"/>
    <x v="704"/>
    <s v="Online"/>
  </r>
  <r>
    <s v="West Gear"/>
    <n v="1128299"/>
    <d v="2020-06-18T00:00:00"/>
    <x v="4"/>
    <s v="Washington"/>
    <s v="Seattle"/>
    <s v="Women's Apparel"/>
    <n v="78"/>
    <n v="88"/>
    <x v="600"/>
    <x v="580"/>
    <s v="Online"/>
  </r>
  <r>
    <s v="Foot Locker"/>
    <n v="1185732"/>
    <d v="2020-12-03T00:00:00"/>
    <x v="2"/>
    <s v="Minnesota"/>
    <s v="Minneapolis"/>
    <s v="Women's Apparel"/>
    <n v="46"/>
    <n v="88"/>
    <x v="821"/>
    <x v="618"/>
    <s v="Online"/>
  </r>
  <r>
    <s v="Kohl's"/>
    <n v="1189833"/>
    <d v="2021-01-24T00:00:00"/>
    <x v="2"/>
    <s v="Montana"/>
    <s v="Billings"/>
    <s v="Women's Athletic Footwear"/>
    <n v="38"/>
    <n v="88"/>
    <x v="1242"/>
    <x v="765"/>
    <s v="Online"/>
  </r>
  <r>
    <s v="Sports Direct"/>
    <n v="1197831"/>
    <d v="2021-05-07T00:00:00"/>
    <x v="1"/>
    <s v="Tennessee"/>
    <s v="Knoxville"/>
    <s v="Men's Apparel"/>
    <n v="32"/>
    <n v="88"/>
    <x v="1101"/>
    <x v="776"/>
    <s v="Online"/>
  </r>
  <r>
    <s v="Sports Direct"/>
    <n v="1197831"/>
    <d v="2021-08-05T00:00:00"/>
    <x v="1"/>
    <s v="Alabama"/>
    <s v="Birmingham"/>
    <s v="Men's Apparel"/>
    <n v="37"/>
    <n v="88"/>
    <x v="804"/>
    <x v="347"/>
    <s v="Online"/>
  </r>
  <r>
    <s v="Sports Direct"/>
    <n v="1197831"/>
    <d v="2021-09-22T00:00:00"/>
    <x v="1"/>
    <s v="Alabama"/>
    <s v="Birmingham"/>
    <s v="Men's Apparel"/>
    <n v="41"/>
    <n v="88"/>
    <x v="1243"/>
    <x v="429"/>
    <s v="Online"/>
  </r>
  <r>
    <s v="Foot Locker"/>
    <n v="1128299"/>
    <d v="2021-06-10T00:00:00"/>
    <x v="4"/>
    <s v="Hawaii"/>
    <s v="Honolulu"/>
    <s v="Men's Apparel"/>
    <n v="83"/>
    <n v="88"/>
    <x v="899"/>
    <x v="652"/>
    <s v="Online"/>
  </r>
  <r>
    <s v="Walmart"/>
    <n v="1128299"/>
    <d v="2021-08-10T00:00:00"/>
    <x v="4"/>
    <s v="Hawaii"/>
    <s v="Honolulu"/>
    <s v="Women's Apparel"/>
    <n v="72"/>
    <n v="88"/>
    <x v="228"/>
    <x v="248"/>
    <s v="Online"/>
  </r>
  <r>
    <s v="Walmart"/>
    <n v="1128299"/>
    <d v="2021-05-18T00:00:00"/>
    <x v="0"/>
    <s v="Florida"/>
    <s v="Orlando"/>
    <s v="Women's Athletic Footwear"/>
    <n v="59"/>
    <n v="88"/>
    <x v="814"/>
    <x v="355"/>
    <s v="Online"/>
  </r>
  <r>
    <s v="Foot Locker"/>
    <n v="1128299"/>
    <d v="2021-02-24T00:00:00"/>
    <x v="4"/>
    <s v="Wyoming"/>
    <s v="Cheyenne"/>
    <s v="Women's Street Footwear"/>
    <n v="39"/>
    <n v="88"/>
    <x v="998"/>
    <x v="806"/>
    <s v="Online"/>
  </r>
  <r>
    <s v="Foot Locker"/>
    <n v="1128299"/>
    <d v="2021-05-25T00:00:00"/>
    <x v="0"/>
    <s v="Virginia"/>
    <s v="Richmond"/>
    <s v="Women's Street Footwear"/>
    <n v="50"/>
    <n v="88"/>
    <x v="921"/>
    <x v="580"/>
    <s v="Online"/>
  </r>
  <r>
    <s v="Foot Locker"/>
    <n v="1185732"/>
    <d v="2021-02-18T00:00:00"/>
    <x v="2"/>
    <s v="Missouri"/>
    <s v="St. Louis"/>
    <s v="Men's Apparel"/>
    <n v="38"/>
    <n v="88"/>
    <x v="1242"/>
    <x v="570"/>
    <s v="Online"/>
  </r>
  <r>
    <s v="Foot Locker"/>
    <n v="1185732"/>
    <d v="2021-05-19T00:00:00"/>
    <x v="2"/>
    <s v="Missouri"/>
    <s v="St. Louis"/>
    <s v="Men's Athletic Footwear"/>
    <n v="34"/>
    <n v="88"/>
    <x v="830"/>
    <x v="799"/>
    <s v="Online"/>
  </r>
  <r>
    <s v="Foot Locker"/>
    <n v="1185732"/>
    <d v="2021-10-18T00:00:00"/>
    <x v="2"/>
    <s v="Missouri"/>
    <s v="St. Louis"/>
    <s v="Women's Apparel"/>
    <n v="38"/>
    <n v="88"/>
    <x v="1242"/>
    <x v="710"/>
    <s v="Online"/>
  </r>
  <r>
    <s v="Foot Locker"/>
    <n v="1185732"/>
    <d v="2021-11-18T00:00:00"/>
    <x v="2"/>
    <s v="Missouri"/>
    <s v="St. Louis"/>
    <s v="Men's Athletic Footwear"/>
    <n v="23"/>
    <n v="88"/>
    <x v="1137"/>
    <x v="845"/>
    <s v="Online"/>
  </r>
  <r>
    <s v="Foot Locker"/>
    <n v="1185732"/>
    <d v="2021-11-18T00:00:00"/>
    <x v="2"/>
    <s v="Missouri"/>
    <s v="St. Louis"/>
    <s v="Women's Athletic Footwear"/>
    <n v="23"/>
    <n v="88"/>
    <x v="1137"/>
    <x v="821"/>
    <s v="Online"/>
  </r>
  <r>
    <s v="West Gear"/>
    <n v="1185732"/>
    <d v="2021-12-17T00:00:00"/>
    <x v="2"/>
    <s v="Missouri"/>
    <s v="St. Louis"/>
    <s v="Women's Athletic Footwear"/>
    <n v="34"/>
    <n v="88"/>
    <x v="830"/>
    <x v="347"/>
    <s v="Online"/>
  </r>
  <r>
    <s v="West Gear"/>
    <n v="1185732"/>
    <d v="2021-12-17T00:00:00"/>
    <x v="2"/>
    <s v="Missouri"/>
    <s v="St. Louis"/>
    <s v="Men's Apparel"/>
    <n v="42"/>
    <n v="88"/>
    <x v="1088"/>
    <x v="642"/>
    <s v="Online"/>
  </r>
  <r>
    <s v="West Gear"/>
    <n v="1185732"/>
    <d v="2021-01-11T00:00:00"/>
    <x v="2"/>
    <s v="Missouri"/>
    <s v="St. Louis"/>
    <s v="Women's Athletic Footwear"/>
    <n v="18"/>
    <n v="88"/>
    <x v="1209"/>
    <x v="817"/>
    <s v="Online"/>
  </r>
  <r>
    <s v="West Gear"/>
    <n v="1185732"/>
    <d v="2021-09-12T00:00:00"/>
    <x v="4"/>
    <s v="Utah"/>
    <s v="Salt Lake City"/>
    <s v="Women's Athletic Footwear"/>
    <n v="10"/>
    <n v="88"/>
    <x v="1244"/>
    <x v="868"/>
    <s v="Online"/>
  </r>
  <r>
    <s v="West Gear"/>
    <n v="1185732"/>
    <d v="2021-09-12T00:00:00"/>
    <x v="4"/>
    <s v="Utah"/>
    <s v="Salt Lake City"/>
    <s v="Men's Apparel"/>
    <n v="19"/>
    <n v="88"/>
    <x v="983"/>
    <x v="825"/>
    <s v="Online"/>
  </r>
  <r>
    <s v="West Gear"/>
    <n v="1128299"/>
    <d v="2021-02-24T00:00:00"/>
    <x v="4"/>
    <s v="Utah"/>
    <s v="Salt Lake City"/>
    <s v="Women's Street Footwear"/>
    <n v="36"/>
    <n v="88"/>
    <x v="829"/>
    <x v="737"/>
    <s v="Online"/>
  </r>
  <r>
    <s v="West Gear"/>
    <n v="1128299"/>
    <d v="2021-03-23T00:00:00"/>
    <x v="4"/>
    <s v="Oregon"/>
    <s v="Portland"/>
    <s v="Women's Street Footwear"/>
    <n v="54"/>
    <n v="88"/>
    <x v="1022"/>
    <x v="710"/>
    <s v="Online"/>
  </r>
  <r>
    <s v="West Gear"/>
    <n v="1128299"/>
    <d v="2021-04-17T00:00:00"/>
    <x v="1"/>
    <s v="Louisiana"/>
    <s v="New Orleans"/>
    <s v="Men's Athletic Footwear"/>
    <n v="52"/>
    <n v="88"/>
    <x v="828"/>
    <x v="338"/>
    <s v="Online"/>
  </r>
  <r>
    <s v="Foot Locker"/>
    <n v="1128299"/>
    <d v="2021-02-23T00:00:00"/>
    <x v="4"/>
    <s v="Arizona"/>
    <s v="Phoenix"/>
    <s v="Women's Apparel"/>
    <n v="38"/>
    <n v="88"/>
    <x v="1242"/>
    <x v="440"/>
    <s v="Online"/>
  </r>
  <r>
    <s v="Foot Locker"/>
    <n v="1128299"/>
    <d v="2021-03-22T00:00:00"/>
    <x v="4"/>
    <s v="Arizona"/>
    <s v="Phoenix"/>
    <s v="Women's Apparel"/>
    <n v="47"/>
    <n v="88"/>
    <x v="1164"/>
    <x v="705"/>
    <s v="Online"/>
  </r>
  <r>
    <s v="Kohl's"/>
    <n v="1128299"/>
    <d v="2021-12-22T00:00:00"/>
    <x v="4"/>
    <s v="Arizona"/>
    <s v="Phoenix"/>
    <s v="Men's Apparel"/>
    <n v="52"/>
    <n v="88"/>
    <x v="828"/>
    <x v="180"/>
    <s v="Online"/>
  </r>
  <r>
    <s v="Sports Direct"/>
    <n v="1128299"/>
    <d v="2021-04-13T00:00:00"/>
    <x v="0"/>
    <s v="Georgia"/>
    <s v="Atlanta"/>
    <s v="Men's Athletic Footwear"/>
    <n v="51"/>
    <n v="88"/>
    <x v="1089"/>
    <x v="773"/>
    <s v="Online"/>
  </r>
  <r>
    <s v="Sports Direct"/>
    <n v="1128299"/>
    <d v="2021-10-13T00:00:00"/>
    <x v="0"/>
    <s v="Georgia"/>
    <s v="Atlanta"/>
    <s v="Women's Athletic Footwear"/>
    <n v="44"/>
    <n v="88"/>
    <x v="1236"/>
    <x v="802"/>
    <s v="Online"/>
  </r>
  <r>
    <s v="Walmart"/>
    <n v="1197831"/>
    <d v="2021-03-19T00:00:00"/>
    <x v="1"/>
    <s v="Arkansas"/>
    <s v="Little Rock"/>
    <s v="Women's Street Footwear"/>
    <n v="10"/>
    <n v="88"/>
    <x v="1244"/>
    <x v="866"/>
    <s v="Online"/>
  </r>
  <r>
    <s v="Walmart"/>
    <n v="1197831"/>
    <d v="2021-09-19T00:00:00"/>
    <x v="1"/>
    <s v="Arkansas"/>
    <s v="Little Rock"/>
    <s v="Women's Street Footwear"/>
    <n v="14"/>
    <n v="88"/>
    <x v="1245"/>
    <x v="823"/>
    <s v="Online"/>
  </r>
  <r>
    <s v="Walmart"/>
    <n v="1197831"/>
    <d v="2021-09-19T00:00:00"/>
    <x v="1"/>
    <s v="Arkansas"/>
    <s v="Little Rock"/>
    <s v="Women's Athletic Footwear"/>
    <n v="14"/>
    <n v="88"/>
    <x v="1245"/>
    <x v="823"/>
    <s v="Online"/>
  </r>
  <r>
    <s v="West Gear"/>
    <n v="1197831"/>
    <d v="2021-06-21T00:00:00"/>
    <x v="1"/>
    <s v="Oklahoma"/>
    <s v="Oklahoma City"/>
    <s v="Men's Athletic Footwear"/>
    <n v="33"/>
    <n v="88"/>
    <x v="1090"/>
    <x v="594"/>
    <s v="Online"/>
  </r>
  <r>
    <s v="West Gear"/>
    <n v="1197831"/>
    <d v="2021-06-21T00:00:00"/>
    <x v="1"/>
    <s v="Oklahoma"/>
    <s v="Oklahoma City"/>
    <s v="Women's Street Footwear"/>
    <n v="36"/>
    <n v="88"/>
    <x v="829"/>
    <x v="705"/>
    <s v="Online"/>
  </r>
  <r>
    <s v="West Gear"/>
    <n v="1197831"/>
    <d v="2021-08-20T00:00:00"/>
    <x v="1"/>
    <s v="Oklahoma"/>
    <s v="Oklahoma City"/>
    <s v="Women's Athletic Footwear"/>
    <n v="37"/>
    <n v="88"/>
    <x v="804"/>
    <x v="690"/>
    <s v="Online"/>
  </r>
  <r>
    <s v="West Gear"/>
    <n v="1197831"/>
    <d v="2021-10-21T00:00:00"/>
    <x v="1"/>
    <s v="Oklahoma"/>
    <s v="Oklahoma City"/>
    <s v="Men's Athletic Footwear"/>
    <n v="19"/>
    <n v="88"/>
    <x v="983"/>
    <x v="861"/>
    <s v="Online"/>
  </r>
  <r>
    <s v="Kohl's"/>
    <n v="1197831"/>
    <d v="2021-01-16T00:00:00"/>
    <x v="1"/>
    <s v="Oklahoma"/>
    <s v="Oklahoma City"/>
    <s v="Women's Street Footwear"/>
    <n v="14"/>
    <n v="88"/>
    <x v="1245"/>
    <x v="869"/>
    <s v="Online"/>
  </r>
  <r>
    <s v="Foot Locker"/>
    <n v="1197831"/>
    <d v="2021-11-13T00:00:00"/>
    <x v="2"/>
    <s v="Kansas"/>
    <s v="Wichita"/>
    <s v="Women's Apparel"/>
    <n v="73"/>
    <n v="88"/>
    <x v="872"/>
    <x v="680"/>
    <s v="Online"/>
  </r>
  <r>
    <s v="Foot Locker"/>
    <n v="1185732"/>
    <d v="2021-08-12T00:00:00"/>
    <x v="2"/>
    <s v="South Dakota"/>
    <s v="Sioux Falls"/>
    <s v="Women's Apparel"/>
    <n v="53"/>
    <n v="88"/>
    <x v="1057"/>
    <x v="528"/>
    <s v="Online"/>
  </r>
  <r>
    <s v="West Gear"/>
    <n v="1185732"/>
    <d v="2021-12-05T00:00:00"/>
    <x v="2"/>
    <s v="Iowa"/>
    <s v="Des Moines"/>
    <s v="Women's Apparel"/>
    <n v="59"/>
    <n v="88"/>
    <x v="814"/>
    <x v="553"/>
    <s v="Online"/>
  </r>
  <r>
    <s v="West Gear"/>
    <n v="1185732"/>
    <d v="2021-12-02T00:00:00"/>
    <x v="2"/>
    <s v="Wisconsin"/>
    <s v="Milwaukee"/>
    <s v="Women's Apparel"/>
    <n v="59"/>
    <n v="88"/>
    <x v="814"/>
    <x v="401"/>
    <s v="Online"/>
  </r>
  <r>
    <s v="Foot Locker"/>
    <n v="1185732"/>
    <d v="2021-11-21T00:00:00"/>
    <x v="3"/>
    <s v="Maryland"/>
    <s v="Baltimore"/>
    <s v="Men's Street Footwear"/>
    <n v="58"/>
    <n v="88"/>
    <x v="285"/>
    <x v="246"/>
    <s v="Online"/>
  </r>
  <r>
    <s v="Foot Locker"/>
    <n v="1185732"/>
    <d v="2021-12-03T00:00:00"/>
    <x v="3"/>
    <s v="Connecticut"/>
    <s v="Hartford"/>
    <s v="Women's Street Footwear"/>
    <n v="50"/>
    <n v="88"/>
    <x v="921"/>
    <x v="684"/>
    <s v="Online"/>
  </r>
  <r>
    <s v="Foot Locker"/>
    <n v="1185732"/>
    <d v="2021-06-08T00:00:00"/>
    <x v="3"/>
    <s v="Rhode Island"/>
    <s v="Providence"/>
    <s v="Women's Apparel"/>
    <n v="51"/>
    <n v="88"/>
    <x v="1089"/>
    <x v="338"/>
    <s v="Online"/>
  </r>
  <r>
    <s v="Sports Direct"/>
    <n v="1185732"/>
    <d v="2021-05-13T00:00:00"/>
    <x v="3"/>
    <s v="Massachusetts"/>
    <s v="Boston"/>
    <s v="Women's Apparel"/>
    <n v="55"/>
    <n v="88"/>
    <x v="848"/>
    <x v="684"/>
    <s v="Online"/>
  </r>
  <r>
    <s v="Sports Direct"/>
    <n v="1185732"/>
    <d v="2021-08-14T00:00:00"/>
    <x v="3"/>
    <s v="Massachusetts"/>
    <s v="Boston"/>
    <s v="Men's Athletic Footwear"/>
    <n v="47"/>
    <n v="88"/>
    <x v="1164"/>
    <x v="708"/>
    <s v="Online"/>
  </r>
  <r>
    <s v="Amazon"/>
    <n v="1185732"/>
    <d v="2021-01-21T00:00:00"/>
    <x v="3"/>
    <s v="Vermont"/>
    <s v="Burlington"/>
    <s v="Women's Apparel"/>
    <n v="49"/>
    <n v="88"/>
    <x v="1193"/>
    <x v="802"/>
    <s v="Online"/>
  </r>
  <r>
    <s v="Amazon"/>
    <n v="1185732"/>
    <d v="2021-06-19T00:00:00"/>
    <x v="3"/>
    <s v="New Hampshire"/>
    <s v="Manchester"/>
    <s v="Women's Street Footwear"/>
    <n v="53"/>
    <n v="88"/>
    <x v="1057"/>
    <x v="168"/>
    <s v="Online"/>
  </r>
  <r>
    <s v="Foot Locker"/>
    <n v="1185732"/>
    <d v="2021-12-17T00:00:00"/>
    <x v="3"/>
    <s v="New Hampshire"/>
    <s v="Manchester"/>
    <s v="Women's Athletic Footwear"/>
    <n v="62"/>
    <n v="88"/>
    <x v="321"/>
    <x v="746"/>
    <s v="Online"/>
  </r>
  <r>
    <s v="Sports Direct"/>
    <n v="1197831"/>
    <d v="2021-03-26T00:00:00"/>
    <x v="1"/>
    <s v="Tennessee"/>
    <s v="Knoxville"/>
    <s v="Men's Apparel"/>
    <n v="27"/>
    <n v="88"/>
    <x v="1085"/>
    <x v="780"/>
    <s v="Outlet"/>
  </r>
  <r>
    <s v="Sports Direct"/>
    <n v="1197831"/>
    <d v="2021-08-17T00:00:00"/>
    <x v="1"/>
    <s v="Alabama"/>
    <s v="Birmingham"/>
    <s v="Men's Apparel"/>
    <n v="28"/>
    <n v="88"/>
    <x v="1229"/>
    <x v="760"/>
    <s v="Outlet"/>
  </r>
  <r>
    <s v="Sports Direct"/>
    <n v="1197831"/>
    <d v="2021-08-23T00:00:00"/>
    <x v="1"/>
    <s v="Alabama"/>
    <s v="Birmingham"/>
    <s v="Men's Apparel"/>
    <n v="19"/>
    <n v="88"/>
    <x v="983"/>
    <x v="800"/>
    <s v="Outlet"/>
  </r>
  <r>
    <s v="Amazon"/>
    <n v="1185732"/>
    <d v="2021-10-13T00:00:00"/>
    <x v="1"/>
    <s v="Alabama"/>
    <s v="Birmingham"/>
    <s v="Men's Athletic Footwear"/>
    <n v="30"/>
    <n v="88"/>
    <x v="635"/>
    <x v="603"/>
    <s v="Outlet"/>
  </r>
  <r>
    <s v="West Gear"/>
    <n v="1185732"/>
    <d v="2021-04-11T00:00:00"/>
    <x v="4"/>
    <s v="Utah"/>
    <s v="Salt Lake City"/>
    <s v="Men's Apparel"/>
    <n v="24"/>
    <n v="88"/>
    <x v="1140"/>
    <x v="817"/>
    <s v="Outlet"/>
  </r>
  <r>
    <s v="West Gear"/>
    <n v="1128299"/>
    <d v="2021-04-24T00:00:00"/>
    <x v="4"/>
    <s v="Oregon"/>
    <s v="Portland"/>
    <s v="Men's Athletic Footwear"/>
    <n v="39"/>
    <n v="88"/>
    <x v="998"/>
    <x v="799"/>
    <s v="Outlet"/>
  </r>
  <r>
    <s v="West Gear"/>
    <n v="1128299"/>
    <d v="2021-08-24T00:00:00"/>
    <x v="4"/>
    <s v="Oregon"/>
    <s v="Portland"/>
    <s v="Women's Apparel"/>
    <n v="53"/>
    <n v="88"/>
    <x v="1057"/>
    <x v="579"/>
    <s v="Outlet"/>
  </r>
  <r>
    <s v="Foot Locker"/>
    <n v="1197831"/>
    <d v="2021-02-04T00:00:00"/>
    <x v="4"/>
    <s v="Idaho"/>
    <s v="Boise"/>
    <s v="Men's Apparel"/>
    <n v="31"/>
    <n v="88"/>
    <x v="1179"/>
    <x v="817"/>
    <s v="Outlet"/>
  </r>
  <r>
    <s v="West Gear"/>
    <n v="1197831"/>
    <d v="2021-03-06T00:00:00"/>
    <x v="4"/>
    <s v="Idaho"/>
    <s v="Boise"/>
    <s v="Men's Apparel"/>
    <n v="32"/>
    <n v="88"/>
    <x v="1101"/>
    <x v="842"/>
    <s v="Outlet"/>
  </r>
  <r>
    <s v="Foot Locker"/>
    <n v="1128299"/>
    <d v="2021-01-23T00:00:00"/>
    <x v="4"/>
    <s v="Idaho"/>
    <s v="Boise"/>
    <s v="Women's Athletic Footwear"/>
    <n v="30"/>
    <n v="88"/>
    <x v="635"/>
    <x v="829"/>
    <s v="Outlet"/>
  </r>
  <r>
    <s v="Foot Locker"/>
    <n v="1128299"/>
    <d v="2021-10-23T00:00:00"/>
    <x v="4"/>
    <s v="Arizona"/>
    <s v="Phoenix"/>
    <s v="Men's Apparel"/>
    <n v="44"/>
    <n v="88"/>
    <x v="1236"/>
    <x v="737"/>
    <s v="Outlet"/>
  </r>
  <r>
    <s v="Kohl's"/>
    <n v="1128299"/>
    <d v="2021-03-25T00:00:00"/>
    <x v="4"/>
    <s v="New Mexico"/>
    <s v="Albuquerque"/>
    <s v="Women's Athletic Footwear"/>
    <n v="37"/>
    <n v="88"/>
    <x v="804"/>
    <x v="822"/>
    <s v="Outlet"/>
  </r>
  <r>
    <s v="Walmart"/>
    <n v="1197831"/>
    <d v="2021-03-19T00:00:00"/>
    <x v="1"/>
    <s v="Arkansas"/>
    <s v="Little Rock"/>
    <s v="Men's Apparel"/>
    <n v="24"/>
    <n v="88"/>
    <x v="1140"/>
    <x v="825"/>
    <s v="Outlet"/>
  </r>
  <r>
    <s v="West Gear"/>
    <n v="1197831"/>
    <d v="2021-03-19T00:00:00"/>
    <x v="1"/>
    <s v="Oklahoma"/>
    <s v="Oklahoma City"/>
    <s v="Women's Apparel"/>
    <n v="18"/>
    <n v="88"/>
    <x v="1209"/>
    <x v="855"/>
    <s v="Outlet"/>
  </r>
  <r>
    <s v="West Gear"/>
    <n v="1197831"/>
    <d v="2021-05-19T00:00:00"/>
    <x v="1"/>
    <s v="Oklahoma"/>
    <s v="Oklahoma City"/>
    <s v="Women's Street Footwear"/>
    <n v="27"/>
    <n v="88"/>
    <x v="1085"/>
    <x v="790"/>
    <s v="Outlet"/>
  </r>
  <r>
    <s v="Kohl's"/>
    <n v="1197831"/>
    <d v="2021-01-16T00:00:00"/>
    <x v="1"/>
    <s v="Oklahoma"/>
    <s v="Oklahoma City"/>
    <s v="Men's Apparel"/>
    <n v="28"/>
    <n v="88"/>
    <x v="1229"/>
    <x v="713"/>
    <s v="Outlet"/>
  </r>
  <r>
    <s v="Foot Locker"/>
    <n v="1185732"/>
    <d v="2021-11-04T00:00:00"/>
    <x v="3"/>
    <s v="Connecticut"/>
    <s v="Hartford"/>
    <s v="Men's Apparel"/>
    <n v="44"/>
    <n v="88"/>
    <x v="1236"/>
    <x v="841"/>
    <s v="Outlet"/>
  </r>
  <r>
    <s v="Sports Direct"/>
    <n v="1185732"/>
    <d v="2021-12-06T00:00:00"/>
    <x v="3"/>
    <s v="Rhode Island"/>
    <s v="Providence"/>
    <s v="Women's Street Footwear"/>
    <n v="40"/>
    <n v="88"/>
    <x v="1246"/>
    <x v="705"/>
    <s v="Outlet"/>
  </r>
  <r>
    <s v="Sports Direct"/>
    <n v="1185732"/>
    <d v="2021-01-17T00:00:00"/>
    <x v="3"/>
    <s v="Rhode Island"/>
    <s v="Providence"/>
    <s v="Men's Athletic Footwear"/>
    <n v="28"/>
    <n v="88"/>
    <x v="1229"/>
    <x v="825"/>
    <s v="Outlet"/>
  </r>
  <r>
    <s v="Sports Direct"/>
    <n v="1185732"/>
    <d v="2021-07-13T00:00:00"/>
    <x v="3"/>
    <s v="Massachusetts"/>
    <s v="Boston"/>
    <s v="Women's Street Footwear"/>
    <n v="32"/>
    <n v="88"/>
    <x v="1101"/>
    <x v="825"/>
    <s v="Outlet"/>
  </r>
  <r>
    <s v="Sports Direct"/>
    <n v="1185732"/>
    <d v="2021-09-13T00:00:00"/>
    <x v="3"/>
    <s v="Massachusetts"/>
    <s v="Boston"/>
    <s v="Men's Athletic Footwear"/>
    <n v="35"/>
    <n v="88"/>
    <x v="928"/>
    <x v="714"/>
    <s v="Outlet"/>
  </r>
  <r>
    <s v="Amazon"/>
    <n v="1185732"/>
    <d v="2021-03-17T00:00:00"/>
    <x v="3"/>
    <s v="New Hampshire"/>
    <s v="Manchester"/>
    <s v="Men's Athletic Footwear"/>
    <n v="36"/>
    <n v="88"/>
    <x v="829"/>
    <x v="628"/>
    <s v="Outlet"/>
  </r>
  <r>
    <s v="Amazon"/>
    <n v="1185732"/>
    <d v="2021-08-18T00:00:00"/>
    <x v="3"/>
    <s v="New Hampshire"/>
    <s v="Manchester"/>
    <s v="Women's Athletic Footwear"/>
    <n v="42"/>
    <n v="88"/>
    <x v="1088"/>
    <x v="758"/>
    <s v="Outlet"/>
  </r>
  <r>
    <s v="West Gear"/>
    <n v="1128299"/>
    <d v="2020-01-05T00:00:00"/>
    <x v="3"/>
    <s v="Pennsylvania"/>
    <s v="Philadelphia"/>
    <s v="Women's Athletic Footwear"/>
    <n v="43"/>
    <n v="87"/>
    <x v="869"/>
    <x v="647"/>
    <s v="Online"/>
  </r>
  <r>
    <s v="West Gear"/>
    <n v="1128299"/>
    <d v="2020-06-04T00:00:00"/>
    <x v="4"/>
    <s v="Washington"/>
    <s v="Seattle"/>
    <s v="Women's Athletic Footwear"/>
    <n v="48"/>
    <n v="87"/>
    <x v="587"/>
    <x v="744"/>
    <s v="Online"/>
  </r>
  <r>
    <s v="Foot Locker"/>
    <n v="1185732"/>
    <d v="2020-11-29T00:00:00"/>
    <x v="2"/>
    <s v="Minnesota"/>
    <s v="Minneapolis"/>
    <s v="Men's Athletic Footwear"/>
    <n v="43"/>
    <n v="87"/>
    <x v="869"/>
    <x v="792"/>
    <s v="Online"/>
  </r>
  <r>
    <s v="Walmart"/>
    <n v="1128299"/>
    <d v="2021-10-10T00:00:00"/>
    <x v="4"/>
    <s v="Hawaii"/>
    <s v="Honolulu"/>
    <s v="Women's Street Footwear"/>
    <n v="56"/>
    <n v="87"/>
    <x v="638"/>
    <x v="524"/>
    <s v="Online"/>
  </r>
  <r>
    <s v="Walmart"/>
    <n v="1128299"/>
    <d v="2021-08-17T00:00:00"/>
    <x v="0"/>
    <s v="Florida"/>
    <s v="Orlando"/>
    <s v="Women's Apparel"/>
    <n v="81"/>
    <n v="87"/>
    <x v="987"/>
    <x v="353"/>
    <s v="Online"/>
  </r>
  <r>
    <s v="Foot Locker"/>
    <n v="1128299"/>
    <d v="2021-10-24T00:00:00"/>
    <x v="0"/>
    <s v="Virginia"/>
    <s v="Richmond"/>
    <s v="Men's Apparel"/>
    <n v="53"/>
    <n v="87"/>
    <x v="1026"/>
    <x v="763"/>
    <s v="Online"/>
  </r>
  <r>
    <s v="Foot Locker"/>
    <n v="1185732"/>
    <d v="2021-03-17T00:00:00"/>
    <x v="2"/>
    <s v="Missouri"/>
    <s v="St. Louis"/>
    <s v="Men's Athletic Footwear"/>
    <n v="34"/>
    <n v="87"/>
    <x v="336"/>
    <x v="354"/>
    <s v="Online"/>
  </r>
  <r>
    <s v="Foot Locker"/>
    <n v="1185732"/>
    <d v="2021-05-19T00:00:00"/>
    <x v="2"/>
    <s v="Missouri"/>
    <s v="St. Louis"/>
    <s v="Women's Street Footwear"/>
    <n v="29"/>
    <n v="87"/>
    <x v="1190"/>
    <x v="755"/>
    <s v="Online"/>
  </r>
  <r>
    <s v="West Gear"/>
    <n v="1185732"/>
    <d v="2021-02-11T00:00:00"/>
    <x v="4"/>
    <s v="Utah"/>
    <s v="Salt Lake City"/>
    <s v="Women's Athletic Footwear"/>
    <n v="19"/>
    <n v="87"/>
    <x v="1247"/>
    <x v="851"/>
    <s v="Online"/>
  </r>
  <r>
    <s v="West Gear"/>
    <n v="1185732"/>
    <d v="2021-10-11T00:00:00"/>
    <x v="4"/>
    <s v="Utah"/>
    <s v="Salt Lake City"/>
    <s v="Women's Street Footwear"/>
    <n v="19"/>
    <n v="87"/>
    <x v="1247"/>
    <x v="857"/>
    <s v="Online"/>
  </r>
  <r>
    <s v="West Gear"/>
    <n v="1128299"/>
    <d v="2021-03-23T00:00:00"/>
    <x v="4"/>
    <s v="Oregon"/>
    <s v="Portland"/>
    <s v="Women's Apparel"/>
    <n v="49"/>
    <n v="87"/>
    <x v="634"/>
    <x v="706"/>
    <s v="Online"/>
  </r>
  <r>
    <s v="Foot Locker"/>
    <n v="1128299"/>
    <d v="2021-11-23T00:00:00"/>
    <x v="4"/>
    <s v="Arizona"/>
    <s v="Phoenix"/>
    <s v="Men's Apparel"/>
    <n v="53"/>
    <n v="87"/>
    <x v="1026"/>
    <x v="558"/>
    <s v="Online"/>
  </r>
  <r>
    <s v="Kohl's"/>
    <n v="1128299"/>
    <d v="2021-04-26T00:00:00"/>
    <x v="4"/>
    <s v="New Mexico"/>
    <s v="Albuquerque"/>
    <s v="Women's Athletic Footwear"/>
    <n v="54"/>
    <n v="87"/>
    <x v="1012"/>
    <x v="482"/>
    <s v="Online"/>
  </r>
  <r>
    <s v="Kohl's"/>
    <n v="1128299"/>
    <d v="2021-06-26T00:00:00"/>
    <x v="4"/>
    <s v="New Mexico"/>
    <s v="Albuquerque"/>
    <s v="Men's Apparel"/>
    <n v="56"/>
    <n v="87"/>
    <x v="638"/>
    <x v="306"/>
    <s v="Online"/>
  </r>
  <r>
    <s v="West Gear"/>
    <n v="1197831"/>
    <d v="2021-05-19T00:00:00"/>
    <x v="1"/>
    <s v="Oklahoma"/>
    <s v="Oklahoma City"/>
    <s v="Men's Athletic Footwear"/>
    <n v="39"/>
    <n v="87"/>
    <x v="1139"/>
    <x v="792"/>
    <s v="Online"/>
  </r>
  <r>
    <s v="West Gear"/>
    <n v="1197831"/>
    <d v="2021-06-21T00:00:00"/>
    <x v="1"/>
    <s v="Oklahoma"/>
    <s v="Oklahoma City"/>
    <s v="Women's Athletic Footwear"/>
    <n v="38"/>
    <n v="87"/>
    <x v="770"/>
    <x v="705"/>
    <s v="Online"/>
  </r>
  <r>
    <s v="West Gear"/>
    <n v="1197831"/>
    <d v="2021-06-21T00:00:00"/>
    <x v="1"/>
    <s v="Oklahoma"/>
    <s v="Oklahoma City"/>
    <s v="Men's Apparel"/>
    <n v="51"/>
    <n v="87"/>
    <x v="1173"/>
    <x v="306"/>
    <s v="Online"/>
  </r>
  <r>
    <s v="Foot Locker"/>
    <n v="1185732"/>
    <d v="2021-07-05T00:00:00"/>
    <x v="2"/>
    <s v="Iowa"/>
    <s v="Des Moines"/>
    <s v="Men's Athletic Footwear"/>
    <n v="44"/>
    <n v="87"/>
    <x v="1037"/>
    <x v="335"/>
    <s v="Online"/>
  </r>
  <r>
    <s v="West Gear"/>
    <n v="1185732"/>
    <d v="2021-07-02T00:00:00"/>
    <x v="2"/>
    <s v="Wisconsin"/>
    <s v="Milwaukee"/>
    <s v="Men's Athletic Footwear"/>
    <n v="42"/>
    <n v="87"/>
    <x v="632"/>
    <x v="706"/>
    <s v="Online"/>
  </r>
  <r>
    <s v="West Gear"/>
    <n v="1185732"/>
    <d v="2021-12-02T00:00:00"/>
    <x v="2"/>
    <s v="Wisconsin"/>
    <s v="Milwaukee"/>
    <s v="Women's Street Footwear"/>
    <n v="45"/>
    <n v="87"/>
    <x v="1047"/>
    <x v="784"/>
    <s v="Online"/>
  </r>
  <r>
    <s v="West Gear"/>
    <n v="1185732"/>
    <d v="2021-01-10T00:00:00"/>
    <x v="2"/>
    <s v="Wisconsin"/>
    <s v="Milwaukee"/>
    <s v="Women's Street Footwear"/>
    <n v="24"/>
    <n v="87"/>
    <x v="723"/>
    <x v="783"/>
    <s v="Online"/>
  </r>
  <r>
    <s v="West Gear"/>
    <n v="1185732"/>
    <d v="2021-08-10T00:00:00"/>
    <x v="2"/>
    <s v="Indiana"/>
    <s v="Indianapolis"/>
    <s v="Men's Athletic Footwear"/>
    <n v="41"/>
    <n v="87"/>
    <x v="584"/>
    <x v="709"/>
    <s v="Online"/>
  </r>
  <r>
    <s v="West Gear"/>
    <n v="1185732"/>
    <d v="2021-12-09T00:00:00"/>
    <x v="2"/>
    <s v="Indiana"/>
    <s v="Indianapolis"/>
    <s v="Women's Athletic Footwear"/>
    <n v="45"/>
    <n v="87"/>
    <x v="1047"/>
    <x v="453"/>
    <s v="Online"/>
  </r>
  <r>
    <s v="West Gear"/>
    <n v="1185732"/>
    <d v="2021-01-17T00:00:00"/>
    <x v="2"/>
    <s v="Indiana"/>
    <s v="Indianapolis"/>
    <s v="Women's Street Footwear"/>
    <n v="25"/>
    <n v="87"/>
    <x v="1018"/>
    <x v="440"/>
    <s v="Online"/>
  </r>
  <r>
    <s v="West Gear"/>
    <n v="1185732"/>
    <d v="2021-05-18T00:00:00"/>
    <x v="3"/>
    <s v="West Virginia"/>
    <s v="Charleston"/>
    <s v="Men's Athletic Footwear"/>
    <n v="37"/>
    <n v="87"/>
    <x v="1044"/>
    <x v="775"/>
    <s v="Online"/>
  </r>
  <r>
    <s v="West Gear"/>
    <n v="1185732"/>
    <d v="2021-07-16T00:00:00"/>
    <x v="3"/>
    <s v="West Virginia"/>
    <s v="Charleston"/>
    <s v="Men's Apparel"/>
    <n v="54"/>
    <n v="87"/>
    <x v="1012"/>
    <x v="698"/>
    <s v="Online"/>
  </r>
  <r>
    <s v="West Gear"/>
    <n v="1185732"/>
    <d v="2021-08-17T00:00:00"/>
    <x v="3"/>
    <s v="West Virginia"/>
    <s v="Charleston"/>
    <s v="Women's Street Footwear"/>
    <n v="38"/>
    <n v="87"/>
    <x v="770"/>
    <x v="784"/>
    <s v="Online"/>
  </r>
  <r>
    <s v="Sports Direct"/>
    <n v="1185732"/>
    <d v="2021-01-07T00:00:00"/>
    <x v="3"/>
    <s v="New Jersey"/>
    <s v="Newark"/>
    <s v="Men's Athletic Footwear"/>
    <n v="37"/>
    <n v="87"/>
    <x v="1044"/>
    <x v="816"/>
    <s v="Online"/>
  </r>
  <r>
    <s v="Sports Direct"/>
    <n v="1185732"/>
    <d v="2021-06-05T00:00:00"/>
    <x v="3"/>
    <s v="Connecticut"/>
    <s v="Hartford"/>
    <s v="Women's Street Footwear"/>
    <n v="42"/>
    <n v="87"/>
    <x v="632"/>
    <x v="775"/>
    <s v="Online"/>
  </r>
  <r>
    <s v="Foot Locker"/>
    <n v="1185732"/>
    <d v="2021-12-03T00:00:00"/>
    <x v="3"/>
    <s v="Connecticut"/>
    <s v="Hartford"/>
    <s v="Women's Athletic Footwear"/>
    <n v="53"/>
    <n v="87"/>
    <x v="1026"/>
    <x v="802"/>
    <s v="Online"/>
  </r>
  <r>
    <s v="Foot Locker"/>
    <n v="1185732"/>
    <d v="2021-08-07T00:00:00"/>
    <x v="3"/>
    <s v="Rhode Island"/>
    <s v="Providence"/>
    <s v="Women's Apparel"/>
    <n v="52"/>
    <n v="87"/>
    <x v="553"/>
    <x v="704"/>
    <s v="Online"/>
  </r>
  <r>
    <s v="Sports Direct"/>
    <n v="1185732"/>
    <d v="2021-03-13T00:00:00"/>
    <x v="3"/>
    <s v="Massachusetts"/>
    <s v="Boston"/>
    <s v="Women's Athletic Footwear"/>
    <n v="34"/>
    <n v="87"/>
    <x v="336"/>
    <x v="499"/>
    <s v="Online"/>
  </r>
  <r>
    <s v="Amazon"/>
    <n v="1185732"/>
    <d v="2021-05-17T00:00:00"/>
    <x v="3"/>
    <s v="New Hampshire"/>
    <s v="Manchester"/>
    <s v="Men's Athletic Footwear"/>
    <n v="54"/>
    <n v="87"/>
    <x v="1012"/>
    <x v="698"/>
    <s v="Online"/>
  </r>
  <r>
    <s v="Kohl's"/>
    <n v="1185732"/>
    <d v="2021-11-14T00:00:00"/>
    <x v="3"/>
    <s v="Delaware"/>
    <s v="Wilmington"/>
    <s v="Women's Street Footwear"/>
    <n v="52"/>
    <n v="86"/>
    <x v="1176"/>
    <x v="697"/>
    <s v="Online"/>
  </r>
  <r>
    <s v="Sports Direct"/>
    <n v="1197831"/>
    <d v="2021-09-02T00:00:00"/>
    <x v="1"/>
    <s v="Texas"/>
    <s v="Dallas"/>
    <s v="Men's Apparel"/>
    <n v="34"/>
    <n v="85"/>
    <x v="868"/>
    <x v="755"/>
    <s v="Online"/>
  </r>
  <r>
    <s v="West Gear"/>
    <n v="1128299"/>
    <d v="2020-05-11T00:00:00"/>
    <x v="4"/>
    <s v="Colorado"/>
    <s v="Denver"/>
    <s v="Women's Athletic Footwear"/>
    <n v="53"/>
    <n v="85"/>
    <x v="674"/>
    <x v="439"/>
    <s v="Online"/>
  </r>
  <r>
    <s v="West Gear"/>
    <n v="1128299"/>
    <d v="2020-06-10T00:00:00"/>
    <x v="4"/>
    <s v="Washington"/>
    <s v="Seattle"/>
    <s v="Women's Athletic Footwear"/>
    <n v="64"/>
    <n v="85"/>
    <x v="938"/>
    <x v="697"/>
    <s v="Online"/>
  </r>
  <r>
    <s v="Foot Locker"/>
    <n v="1185732"/>
    <d v="2021-06-25T00:00:00"/>
    <x v="2"/>
    <s v="Nebraska"/>
    <s v="Omaha"/>
    <s v="Women's Apparel"/>
    <n v="49"/>
    <n v="85"/>
    <x v="1004"/>
    <x v="529"/>
    <s v="Online"/>
  </r>
  <r>
    <s v="Amazon"/>
    <n v="1185732"/>
    <d v="2021-11-16T00:00:00"/>
    <x v="3"/>
    <s v="Maine"/>
    <s v="Portland"/>
    <s v="Women's Apparel"/>
    <n v="56"/>
    <n v="85"/>
    <x v="1049"/>
    <x v="526"/>
    <s v="Online"/>
  </r>
  <r>
    <s v="Foot Locker"/>
    <n v="1128299"/>
    <d v="2021-03-09T00:00:00"/>
    <x v="4"/>
    <s v="Hawaii"/>
    <s v="Honolulu"/>
    <s v="Women's Apparel"/>
    <n v="50"/>
    <n v="85"/>
    <x v="1248"/>
    <x v="614"/>
    <s v="Online"/>
  </r>
  <r>
    <s v="Walmart"/>
    <n v="1128299"/>
    <d v="2021-09-11T00:00:00"/>
    <x v="4"/>
    <s v="Hawaii"/>
    <s v="Honolulu"/>
    <s v="Women's Athletic Footwear"/>
    <n v="62"/>
    <n v="85"/>
    <x v="1075"/>
    <x v="233"/>
    <s v="Online"/>
  </r>
  <r>
    <s v="Foot Locker"/>
    <n v="1128299"/>
    <d v="2021-03-23T00:00:00"/>
    <x v="0"/>
    <s v="Virginia"/>
    <s v="Richmond"/>
    <s v="Men's Athletic Footwear"/>
    <n v="45"/>
    <n v="85"/>
    <x v="1037"/>
    <x v="803"/>
    <s v="Online"/>
  </r>
  <r>
    <s v="Foot Locker"/>
    <n v="1128299"/>
    <d v="2021-04-24T00:00:00"/>
    <x v="0"/>
    <s v="Virginia"/>
    <s v="Richmond"/>
    <s v="Women's Street Footwear"/>
    <n v="57"/>
    <n v="85"/>
    <x v="1005"/>
    <x v="664"/>
    <s v="Online"/>
  </r>
  <r>
    <s v="West Gear"/>
    <n v="1128299"/>
    <d v="2021-02-24T00:00:00"/>
    <x v="4"/>
    <s v="Oregon"/>
    <s v="Portland"/>
    <s v="Women's Apparel"/>
    <n v="37"/>
    <n v="85"/>
    <x v="1249"/>
    <x v="745"/>
    <s v="Online"/>
  </r>
  <r>
    <s v="West Gear"/>
    <n v="1128299"/>
    <d v="2021-03-23T00:00:00"/>
    <x v="4"/>
    <s v="Oregon"/>
    <s v="Portland"/>
    <s v="Men's Athletic Footwear"/>
    <n v="45"/>
    <n v="85"/>
    <x v="1037"/>
    <x v="785"/>
    <s v="Online"/>
  </r>
  <r>
    <s v="West Gear"/>
    <n v="1128299"/>
    <d v="2021-04-24T00:00:00"/>
    <x v="4"/>
    <s v="Oregon"/>
    <s v="Portland"/>
    <s v="Women's Street Footwear"/>
    <n v="55"/>
    <n v="85"/>
    <x v="499"/>
    <x v="773"/>
    <s v="Online"/>
  </r>
  <r>
    <s v="West Gear"/>
    <n v="1128299"/>
    <d v="2021-05-18T00:00:00"/>
    <x v="1"/>
    <s v="Louisiana"/>
    <s v="New Orleans"/>
    <s v="Women's Athletic Footwear"/>
    <n v="44"/>
    <n v="85"/>
    <x v="869"/>
    <x v="686"/>
    <s v="Online"/>
  </r>
  <r>
    <s v="Foot Locker"/>
    <n v="1197831"/>
    <d v="2021-01-05T00:00:00"/>
    <x v="1"/>
    <s v="Louisiana"/>
    <s v="New Orleans"/>
    <s v="Men's Apparel"/>
    <n v="36"/>
    <n v="85"/>
    <x v="972"/>
    <x v="760"/>
    <s v="Online"/>
  </r>
  <r>
    <s v="Foot Locker"/>
    <n v="1128299"/>
    <d v="2021-10-23T00:00:00"/>
    <x v="4"/>
    <s v="Arizona"/>
    <s v="Phoenix"/>
    <s v="Women's Apparel"/>
    <n v="56"/>
    <n v="85"/>
    <x v="1049"/>
    <x v="736"/>
    <s v="Online"/>
  </r>
  <r>
    <s v="Kohl's"/>
    <n v="1128299"/>
    <d v="2021-01-26T00:00:00"/>
    <x v="4"/>
    <s v="Arizona"/>
    <s v="Phoenix"/>
    <s v="Women's Athletic Footwear"/>
    <n v="43"/>
    <n v="85"/>
    <x v="554"/>
    <x v="706"/>
    <s v="Online"/>
  </r>
  <r>
    <s v="Walmart"/>
    <n v="1197831"/>
    <d v="2021-05-19T00:00:00"/>
    <x v="1"/>
    <s v="Arkansas"/>
    <s v="Little Rock"/>
    <s v="Men's Apparel"/>
    <n v="42"/>
    <n v="85"/>
    <x v="584"/>
    <x v="544"/>
    <s v="Online"/>
  </r>
  <r>
    <s v="West Gear"/>
    <n v="1197831"/>
    <d v="2021-07-19T00:00:00"/>
    <x v="1"/>
    <s v="Oklahoma"/>
    <s v="Oklahoma City"/>
    <s v="Women's Athletic Footwear"/>
    <n v="41"/>
    <n v="85"/>
    <x v="536"/>
    <x v="642"/>
    <s v="Online"/>
  </r>
  <r>
    <s v="Kohl's"/>
    <n v="1197831"/>
    <d v="2021-10-14T00:00:00"/>
    <x v="2"/>
    <s v="Kansas"/>
    <s v="Wichita"/>
    <s v="Men's Athletic Footwear"/>
    <n v="19"/>
    <n v="85"/>
    <x v="1250"/>
    <x v="488"/>
    <s v="Online"/>
  </r>
  <r>
    <s v="Foot Locker"/>
    <n v="1185732"/>
    <d v="2021-06-06T00:00:00"/>
    <x v="2"/>
    <s v="Iowa"/>
    <s v="Des Moines"/>
    <s v="Women's Apparel"/>
    <n v="51"/>
    <n v="85"/>
    <x v="801"/>
    <x v="451"/>
    <s v="Online"/>
  </r>
  <r>
    <s v="Foot Locker"/>
    <n v="1185732"/>
    <d v="2021-06-15T00:00:00"/>
    <x v="3"/>
    <s v="Delaware"/>
    <s v="Wilmington"/>
    <s v="Women's Street Footwear"/>
    <n v="43"/>
    <n v="85"/>
    <x v="554"/>
    <x v="802"/>
    <s v="Online"/>
  </r>
  <r>
    <s v="Foot Locker"/>
    <n v="1185732"/>
    <d v="2021-09-13T00:00:00"/>
    <x v="3"/>
    <s v="Delaware"/>
    <s v="Wilmington"/>
    <s v="Men's Athletic Footwear"/>
    <n v="47"/>
    <n v="85"/>
    <x v="842"/>
    <x v="803"/>
    <s v="Online"/>
  </r>
  <r>
    <s v="Kohl's"/>
    <n v="1185732"/>
    <d v="2021-11-14T00:00:00"/>
    <x v="3"/>
    <s v="Delaware"/>
    <s v="Wilmington"/>
    <s v="Men's Athletic Footwear"/>
    <n v="53"/>
    <n v="85"/>
    <x v="674"/>
    <x v="439"/>
    <s v="Online"/>
  </r>
  <r>
    <s v="Sports Direct"/>
    <n v="1185732"/>
    <d v="2021-08-04T00:00:00"/>
    <x v="3"/>
    <s v="Connecticut"/>
    <s v="Hartford"/>
    <s v="Women's Street Footwear"/>
    <n v="41"/>
    <n v="85"/>
    <x v="536"/>
    <x v="628"/>
    <s v="Online"/>
  </r>
  <r>
    <s v="Sports Direct"/>
    <n v="1185732"/>
    <d v="2021-12-06T00:00:00"/>
    <x v="3"/>
    <s v="Rhode Island"/>
    <s v="Providence"/>
    <s v="Women's Apparel"/>
    <n v="60"/>
    <n v="85"/>
    <x v="285"/>
    <x v="246"/>
    <s v="Online"/>
  </r>
  <r>
    <s v="Amazon"/>
    <n v="1185732"/>
    <d v="2021-02-12T00:00:00"/>
    <x v="3"/>
    <s v="Vermont"/>
    <s v="Burlington"/>
    <s v="Women's Apparel"/>
    <n v="43"/>
    <n v="85"/>
    <x v="554"/>
    <x v="180"/>
    <s v="Online"/>
  </r>
  <r>
    <s v="Amazon"/>
    <n v="1185732"/>
    <d v="2021-09-10T00:00:00"/>
    <x v="3"/>
    <s v="Vermont"/>
    <s v="Burlington"/>
    <s v="Men's Athletic Footwear"/>
    <n v="50"/>
    <n v="85"/>
    <x v="1248"/>
    <x v="431"/>
    <s v="Online"/>
  </r>
  <r>
    <s v="Amazon"/>
    <n v="1185732"/>
    <d v="2021-07-17T00:00:00"/>
    <x v="3"/>
    <s v="New Hampshire"/>
    <s v="Manchester"/>
    <s v="Women's Athletic Footwear"/>
    <n v="53"/>
    <n v="85"/>
    <x v="674"/>
    <x v="684"/>
    <s v="Online"/>
  </r>
  <r>
    <s v="Foot Locker"/>
    <n v="1185732"/>
    <d v="2021-11-18T00:00:00"/>
    <x v="3"/>
    <s v="New Hampshire"/>
    <s v="Manchester"/>
    <s v="Women's Athletic Footwear"/>
    <n v="64"/>
    <n v="85"/>
    <x v="938"/>
    <x v="285"/>
    <s v="Online"/>
  </r>
  <r>
    <s v="Foot Locker"/>
    <n v="1185732"/>
    <d v="2021-11-22T00:00:00"/>
    <x v="3"/>
    <s v="Pennsylvania"/>
    <s v="Philadelphia"/>
    <s v="Men's Athletic Footwear"/>
    <n v="41"/>
    <n v="85"/>
    <x v="536"/>
    <x v="833"/>
    <s v="Outlet"/>
  </r>
  <r>
    <s v="Foot Locker"/>
    <n v="1185732"/>
    <d v="2021-12-28T00:00:00"/>
    <x v="3"/>
    <s v="Pennsylvania"/>
    <s v="Philadelphia"/>
    <s v="Men's Athletic Footwear"/>
    <n v="47"/>
    <n v="85"/>
    <x v="842"/>
    <x v="775"/>
    <s v="Outlet"/>
  </r>
  <r>
    <s v="West Gear"/>
    <n v="1128299"/>
    <d v="2020-01-11T00:00:00"/>
    <x v="4"/>
    <s v="Nevada"/>
    <s v="Las Vegas"/>
    <s v="Women's Athletic Footwear"/>
    <n v="30"/>
    <n v="85"/>
    <x v="793"/>
    <x v="821"/>
    <s v="Outlet"/>
  </r>
  <r>
    <s v="Sports Direct"/>
    <n v="1197831"/>
    <d v="2021-08-11T00:00:00"/>
    <x v="1"/>
    <s v="Alabama"/>
    <s v="Birmingham"/>
    <s v="Men's Apparel"/>
    <n v="29"/>
    <n v="85"/>
    <x v="1251"/>
    <x v="808"/>
    <s v="Outlet"/>
  </r>
  <r>
    <s v="Foot Locker"/>
    <n v="1128299"/>
    <d v="2021-04-24T00:00:00"/>
    <x v="0"/>
    <s v="Virginia"/>
    <s v="Richmond"/>
    <s v="Men's Athletic Footwear"/>
    <n v="44"/>
    <n v="85"/>
    <x v="869"/>
    <x v="792"/>
    <s v="Outlet"/>
  </r>
  <r>
    <s v="Foot Locker"/>
    <n v="1128299"/>
    <d v="2021-05-25T00:00:00"/>
    <x v="0"/>
    <s v="Virginia"/>
    <s v="Richmond"/>
    <s v="Women's Athletic Footwear"/>
    <n v="33"/>
    <n v="85"/>
    <x v="908"/>
    <x v="827"/>
    <s v="Outlet"/>
  </r>
  <r>
    <s v="West Gear"/>
    <n v="1185732"/>
    <d v="2021-10-11T00:00:00"/>
    <x v="4"/>
    <s v="Utah"/>
    <s v="Salt Lake City"/>
    <s v="Men's Apparel"/>
    <n v="20"/>
    <n v="85"/>
    <x v="1252"/>
    <x v="839"/>
    <s v="Outlet"/>
  </r>
  <r>
    <s v="West Gear"/>
    <n v="1128299"/>
    <d v="2021-09-25T00:00:00"/>
    <x v="4"/>
    <s v="Oregon"/>
    <s v="Portland"/>
    <s v="Women's Apparel"/>
    <n v="36"/>
    <n v="85"/>
    <x v="972"/>
    <x v="829"/>
    <s v="Outlet"/>
  </r>
  <r>
    <s v="Foot Locker"/>
    <n v="1185732"/>
    <d v="2021-03-16T00:00:00"/>
    <x v="1"/>
    <s v="Mississippi"/>
    <s v="Jackson"/>
    <s v="Women's Athletic Footwear"/>
    <n v="15"/>
    <n v="85"/>
    <x v="1147"/>
    <x v="870"/>
    <s v="Outlet"/>
  </r>
  <r>
    <s v="West Gear"/>
    <n v="1197831"/>
    <d v="2021-02-21T00:00:00"/>
    <x v="1"/>
    <s v="Oklahoma"/>
    <s v="Oklahoma City"/>
    <s v="Men's Apparel"/>
    <n v="24"/>
    <n v="85"/>
    <x v="1202"/>
    <x v="817"/>
    <s v="Outlet"/>
  </r>
  <r>
    <s v="Kohl's"/>
    <n v="1197831"/>
    <d v="2021-11-20T00:00:00"/>
    <x v="1"/>
    <s v="Oklahoma"/>
    <s v="Oklahoma City"/>
    <s v="Men's Apparel"/>
    <n v="60"/>
    <n v="85"/>
    <x v="285"/>
    <x v="381"/>
    <s v="Outlet"/>
  </r>
  <r>
    <s v="Sports Direct"/>
    <n v="1185732"/>
    <d v="2021-03-03T00:00:00"/>
    <x v="3"/>
    <s v="Connecticut"/>
    <s v="Hartford"/>
    <s v="Women's Apparel"/>
    <n v="29"/>
    <n v="85"/>
    <x v="1251"/>
    <x v="808"/>
    <s v="Outlet"/>
  </r>
  <r>
    <s v="Sports Direct"/>
    <n v="1185732"/>
    <d v="2021-06-05T00:00:00"/>
    <x v="3"/>
    <s v="Connecticut"/>
    <s v="Hartford"/>
    <s v="Women's Athletic Footwear"/>
    <n v="35"/>
    <n v="85"/>
    <x v="952"/>
    <x v="730"/>
    <s v="Outlet"/>
  </r>
  <r>
    <s v="Foot Locker"/>
    <n v="1185732"/>
    <d v="2021-08-07T00:00:00"/>
    <x v="3"/>
    <s v="Rhode Island"/>
    <s v="Providence"/>
    <s v="Women's Street Footwear"/>
    <n v="30"/>
    <n v="85"/>
    <x v="793"/>
    <x v="787"/>
    <s v="Outlet"/>
  </r>
  <r>
    <s v="Sports Direct"/>
    <n v="1185732"/>
    <d v="2021-08-14T00:00:00"/>
    <x v="3"/>
    <s v="Massachusetts"/>
    <s v="Boston"/>
    <s v="Women's Street Footwear"/>
    <n v="29"/>
    <n v="85"/>
    <x v="1251"/>
    <x v="871"/>
    <s v="Outlet"/>
  </r>
  <r>
    <s v="Amazon"/>
    <n v="1185732"/>
    <d v="2021-02-12T00:00:00"/>
    <x v="3"/>
    <s v="Massachusetts"/>
    <s v="Boston"/>
    <s v="Women's Street Footwear"/>
    <n v="25"/>
    <n v="85"/>
    <x v="1253"/>
    <x v="820"/>
    <s v="Outlet"/>
  </r>
  <r>
    <s v="Amazon"/>
    <n v="1185732"/>
    <d v="2021-03-10T00:00:00"/>
    <x v="3"/>
    <s v="Vermont"/>
    <s v="Burlington"/>
    <s v="Women's Street Footwear"/>
    <n v="23"/>
    <n v="85"/>
    <x v="1211"/>
    <x v="488"/>
    <s v="Outlet"/>
  </r>
  <r>
    <s v="Amazon"/>
    <n v="1185732"/>
    <d v="2021-08-11T00:00:00"/>
    <x v="3"/>
    <s v="Vermont"/>
    <s v="Burlington"/>
    <s v="Women's Athletic Footwear"/>
    <n v="40"/>
    <n v="85"/>
    <x v="927"/>
    <x v="737"/>
    <s v="Outlet"/>
  </r>
  <r>
    <s v="Amazon"/>
    <n v="1185732"/>
    <d v="2021-02-19T00:00:00"/>
    <x v="3"/>
    <s v="Vermont"/>
    <s v="Burlington"/>
    <s v="Men's Athletic Footwear"/>
    <n v="37"/>
    <n v="85"/>
    <x v="1249"/>
    <x v="546"/>
    <s v="Outlet"/>
  </r>
  <r>
    <s v="Amazon"/>
    <n v="1185732"/>
    <d v="2021-04-18T00:00:00"/>
    <x v="3"/>
    <s v="New Hampshire"/>
    <s v="Manchester"/>
    <s v="Men's Athletic Footwear"/>
    <n v="38"/>
    <n v="85"/>
    <x v="551"/>
    <x v="833"/>
    <s v="Outlet"/>
  </r>
  <r>
    <s v="Foot Locker"/>
    <n v="1185732"/>
    <d v="2021-07-19T00:00:00"/>
    <x v="2"/>
    <s v="Illinois"/>
    <s v="Chicago"/>
    <s v="Men's Athletic Footwear"/>
    <n v="41"/>
    <n v="84"/>
    <x v="803"/>
    <x v="690"/>
    <s v="Online"/>
  </r>
  <r>
    <s v="West Gear"/>
    <n v="1128299"/>
    <d v="2020-01-17T00:00:00"/>
    <x v="4"/>
    <s v="Nevada"/>
    <s v="Las Vegas"/>
    <s v="Women's Athletic Footwear"/>
    <n v="50"/>
    <n v="84"/>
    <x v="664"/>
    <x v="180"/>
    <s v="Online"/>
  </r>
  <r>
    <s v="Sports Direct"/>
    <n v="1197831"/>
    <d v="2021-04-01T00:00:00"/>
    <x v="1"/>
    <s v="Tennessee"/>
    <s v="Knoxville"/>
    <s v="Men's Apparel"/>
    <n v="28"/>
    <n v="84"/>
    <x v="1199"/>
    <x v="499"/>
    <s v="Online"/>
  </r>
  <r>
    <s v="Foot Locker"/>
    <n v="1185732"/>
    <d v="2021-07-20T00:00:00"/>
    <x v="2"/>
    <s v="Nebraska"/>
    <s v="Omaha"/>
    <s v="Men's Street Footwear"/>
    <n v="37"/>
    <n v="84"/>
    <x v="1168"/>
    <x v="544"/>
    <s v="Online"/>
  </r>
  <r>
    <s v="Amazon"/>
    <n v="1185732"/>
    <d v="2021-11-18T00:00:00"/>
    <x v="3"/>
    <s v="Maine"/>
    <s v="Portland"/>
    <s v="Men's Athletic Footwear"/>
    <n v="46"/>
    <n v="84"/>
    <x v="626"/>
    <x v="642"/>
    <s v="Online"/>
  </r>
  <r>
    <s v="Amazon"/>
    <n v="1185732"/>
    <d v="2021-01-24T00:00:00"/>
    <x v="4"/>
    <s v="Alaska"/>
    <s v="Anchorage"/>
    <s v="Women's Apparel"/>
    <n v="52"/>
    <n v="84"/>
    <x v="449"/>
    <x v="706"/>
    <s v="Online"/>
  </r>
  <r>
    <s v="Amazon"/>
    <n v="1185732"/>
    <d v="2021-04-21T00:00:00"/>
    <x v="4"/>
    <s v="Alaska"/>
    <s v="Anchorage"/>
    <s v="Women's Apparel"/>
    <n v="49"/>
    <n v="84"/>
    <x v="1039"/>
    <x v="736"/>
    <s v="Online"/>
  </r>
  <r>
    <s v="Amazon"/>
    <n v="1185732"/>
    <d v="2021-05-20T00:00:00"/>
    <x v="4"/>
    <s v="Alaska"/>
    <s v="Anchorage"/>
    <s v="Women's Street Footwear"/>
    <n v="53"/>
    <n v="84"/>
    <x v="818"/>
    <x v="542"/>
    <s v="Online"/>
  </r>
  <r>
    <s v="Amazon"/>
    <n v="1185732"/>
    <d v="2021-06-22T00:00:00"/>
    <x v="4"/>
    <s v="Alaska"/>
    <s v="Anchorage"/>
    <s v="Men's Apparel"/>
    <n v="60"/>
    <n v="84"/>
    <x v="522"/>
    <x v="736"/>
    <s v="Online"/>
  </r>
  <r>
    <s v="Amazon"/>
    <n v="1185732"/>
    <d v="2021-09-20T00:00:00"/>
    <x v="4"/>
    <s v="Alaska"/>
    <s v="Anchorage"/>
    <s v="Women's Apparel"/>
    <n v="64"/>
    <n v="84"/>
    <x v="884"/>
    <x v="580"/>
    <s v="Online"/>
  </r>
  <r>
    <s v="Walmart"/>
    <n v="1128299"/>
    <d v="2021-04-17T00:00:00"/>
    <x v="0"/>
    <s v="Florida"/>
    <s v="Orlando"/>
    <s v="Women's Athletic Footwear"/>
    <n v="52"/>
    <n v="84"/>
    <x v="449"/>
    <x v="180"/>
    <s v="Online"/>
  </r>
  <r>
    <s v="West Gear"/>
    <n v="1128299"/>
    <d v="2021-04-24T00:00:00"/>
    <x v="4"/>
    <s v="Oregon"/>
    <s v="Portland"/>
    <s v="Women's Apparel"/>
    <n v="59"/>
    <n v="84"/>
    <x v="1118"/>
    <x v="355"/>
    <s v="Online"/>
  </r>
  <r>
    <s v="West Gear"/>
    <n v="1128299"/>
    <d v="2021-03-16T00:00:00"/>
    <x v="1"/>
    <s v="Louisiana"/>
    <s v="New Orleans"/>
    <s v="Women's Athletic Footwear"/>
    <n v="50"/>
    <n v="84"/>
    <x v="664"/>
    <x v="618"/>
    <s v="Online"/>
  </r>
  <r>
    <s v="Sports Direct"/>
    <n v="1185732"/>
    <d v="2021-07-08T00:00:00"/>
    <x v="2"/>
    <s v="North Dakota"/>
    <s v="Fargo"/>
    <s v="Men's Athletic Footwear"/>
    <n v="44"/>
    <n v="84"/>
    <x v="1088"/>
    <x v="791"/>
    <s v="Online"/>
  </r>
  <r>
    <s v="West Gear"/>
    <n v="1185732"/>
    <d v="2021-08-03T00:00:00"/>
    <x v="2"/>
    <s v="Wisconsin"/>
    <s v="Milwaukee"/>
    <s v="Men's Athletic Footwear"/>
    <n v="43"/>
    <n v="84"/>
    <x v="1243"/>
    <x v="708"/>
    <s v="Online"/>
  </r>
  <r>
    <s v="West Gear"/>
    <n v="1185732"/>
    <d v="2021-01-10T00:00:00"/>
    <x v="2"/>
    <s v="Wisconsin"/>
    <s v="Milwaukee"/>
    <s v="Women's Apparel"/>
    <n v="32"/>
    <n v="84"/>
    <x v="1162"/>
    <x v="836"/>
    <s v="Online"/>
  </r>
  <r>
    <s v="West Gear"/>
    <n v="1185732"/>
    <d v="2021-07-09T00:00:00"/>
    <x v="2"/>
    <s v="Indiana"/>
    <s v="Indianapolis"/>
    <s v="Men's Athletic Footwear"/>
    <n v="49"/>
    <n v="84"/>
    <x v="1039"/>
    <x v="429"/>
    <s v="Online"/>
  </r>
  <r>
    <s v="West Gear"/>
    <n v="1185732"/>
    <d v="2021-12-09T00:00:00"/>
    <x v="2"/>
    <s v="Indiana"/>
    <s v="Indianapolis"/>
    <s v="Men's Apparel"/>
    <n v="54"/>
    <n v="84"/>
    <x v="740"/>
    <x v="587"/>
    <s v="Online"/>
  </r>
  <r>
    <s v="Foot Locker"/>
    <n v="1185732"/>
    <d v="2021-10-17T00:00:00"/>
    <x v="3"/>
    <s v="West Virginia"/>
    <s v="Charleston"/>
    <s v="Women's Apparel"/>
    <n v="47"/>
    <n v="84"/>
    <x v="1195"/>
    <x v="180"/>
    <s v="Online"/>
  </r>
  <r>
    <s v="Foot Locker"/>
    <n v="1185732"/>
    <d v="2021-06-22T00:00:00"/>
    <x v="3"/>
    <s v="Maryland"/>
    <s v="Baltimore"/>
    <s v="Women's Apparel"/>
    <n v="53"/>
    <n v="84"/>
    <x v="818"/>
    <x v="541"/>
    <s v="Online"/>
  </r>
  <r>
    <s v="Foot Locker"/>
    <n v="1185732"/>
    <d v="2021-09-13T00:00:00"/>
    <x v="3"/>
    <s v="Delaware"/>
    <s v="Wilmington"/>
    <s v="Women's Apparel"/>
    <n v="58"/>
    <n v="84"/>
    <x v="638"/>
    <x v="487"/>
    <s v="Online"/>
  </r>
  <r>
    <s v="Kohl's"/>
    <n v="1185732"/>
    <d v="2021-11-14T00:00:00"/>
    <x v="3"/>
    <s v="Delaware"/>
    <s v="Wilmington"/>
    <s v="Women's Athletic Footwear"/>
    <n v="51"/>
    <n v="84"/>
    <x v="1200"/>
    <x v="621"/>
    <s v="Online"/>
  </r>
  <r>
    <s v="Sports Direct"/>
    <n v="1185732"/>
    <d v="2021-02-05T00:00:00"/>
    <x v="3"/>
    <s v="Connecticut"/>
    <s v="Hartford"/>
    <s v="Women's Apparel"/>
    <n v="39"/>
    <n v="84"/>
    <x v="780"/>
    <x v="597"/>
    <s v="Online"/>
  </r>
  <r>
    <s v="Foot Locker"/>
    <n v="1185732"/>
    <d v="2021-11-04T00:00:00"/>
    <x v="3"/>
    <s v="Connecticut"/>
    <s v="Hartford"/>
    <s v="Men's Athletic Footwear"/>
    <n v="51"/>
    <n v="84"/>
    <x v="1200"/>
    <x v="355"/>
    <s v="Online"/>
  </r>
  <r>
    <s v="Amazon"/>
    <n v="1185732"/>
    <d v="2021-12-13T00:00:00"/>
    <x v="3"/>
    <s v="Massachusetts"/>
    <s v="Boston"/>
    <s v="Men's Apparel"/>
    <n v="62"/>
    <n v="84"/>
    <x v="329"/>
    <x v="256"/>
    <s v="Online"/>
  </r>
  <r>
    <s v="Foot Locker"/>
    <n v="1185732"/>
    <d v="2021-10-19T00:00:00"/>
    <x v="3"/>
    <s v="New Hampshire"/>
    <s v="Manchester"/>
    <s v="Men's Athletic Footwear"/>
    <n v="62"/>
    <n v="84"/>
    <x v="329"/>
    <x v="512"/>
    <s v="Online"/>
  </r>
  <r>
    <s v="Foot Locker"/>
    <n v="1185732"/>
    <d v="2021-01-24T00:00:00"/>
    <x v="3"/>
    <s v="New Hampshire"/>
    <s v="Manchester"/>
    <s v="Men's Athletic Footwear"/>
    <n v="50"/>
    <n v="84"/>
    <x v="664"/>
    <x v="180"/>
    <s v="Online"/>
  </r>
  <r>
    <s v="Foot Locker"/>
    <n v="1185732"/>
    <d v="2021-06-02T00:00:00"/>
    <x v="4"/>
    <s v="California"/>
    <s v="Los Angeles"/>
    <s v="Women's Street Footwear"/>
    <n v="32"/>
    <n v="83"/>
    <x v="901"/>
    <x v="793"/>
    <s v="Online"/>
  </r>
  <r>
    <s v="Foot Locker"/>
    <n v="1185732"/>
    <d v="2020-01-01T00:00:00"/>
    <x v="3"/>
    <s v="Pennsylvania"/>
    <s v="Philadelphia"/>
    <s v="Women's Apparel"/>
    <n v="68"/>
    <n v="83"/>
    <x v="792"/>
    <x v="526"/>
    <s v="Online"/>
  </r>
  <r>
    <s v="Sports Direct"/>
    <n v="1197831"/>
    <d v="2021-03-20T00:00:00"/>
    <x v="1"/>
    <s v="Tennessee"/>
    <s v="Knoxville"/>
    <s v="Men's Apparel"/>
    <n v="37"/>
    <n v="83"/>
    <x v="1218"/>
    <x v="745"/>
    <s v="Online"/>
  </r>
  <r>
    <s v="Amazon"/>
    <n v="1185732"/>
    <d v="2021-10-22T00:00:00"/>
    <x v="4"/>
    <s v="Alaska"/>
    <s v="Anchorage"/>
    <s v="Women's Apparel"/>
    <n v="73"/>
    <n v="83"/>
    <x v="1254"/>
    <x v="655"/>
    <s v="Online"/>
  </r>
  <r>
    <s v="Amazon"/>
    <n v="1185732"/>
    <d v="2021-11-21T00:00:00"/>
    <x v="4"/>
    <s v="Alaska"/>
    <s v="Anchorage"/>
    <s v="Men's Apparel"/>
    <n v="69"/>
    <n v="83"/>
    <x v="1011"/>
    <x v="541"/>
    <s v="Online"/>
  </r>
  <r>
    <s v="Walmart"/>
    <n v="1128299"/>
    <d v="2021-10-10T00:00:00"/>
    <x v="4"/>
    <s v="Hawaii"/>
    <s v="Honolulu"/>
    <s v="Women's Athletic Footwear"/>
    <n v="50"/>
    <n v="83"/>
    <x v="1029"/>
    <x v="806"/>
    <s v="Online"/>
  </r>
  <r>
    <s v="Foot Locker"/>
    <n v="1185732"/>
    <d v="2021-04-18T00:00:00"/>
    <x v="2"/>
    <s v="Missouri"/>
    <s v="St. Louis"/>
    <s v="Women's Street Footwear"/>
    <n v="18"/>
    <n v="83"/>
    <x v="1227"/>
    <x v="855"/>
    <s v="Online"/>
  </r>
  <r>
    <s v="Foot Locker"/>
    <n v="1185732"/>
    <d v="2021-09-19T00:00:00"/>
    <x v="2"/>
    <s v="Missouri"/>
    <s v="St. Louis"/>
    <s v="Women's Athletic Footwear"/>
    <n v="14"/>
    <n v="83"/>
    <x v="1255"/>
    <x v="807"/>
    <s v="Online"/>
  </r>
  <r>
    <s v="West Gear"/>
    <n v="1185732"/>
    <d v="2021-10-11T00:00:00"/>
    <x v="4"/>
    <s v="Utah"/>
    <s v="Salt Lake City"/>
    <s v="Men's Apparel"/>
    <n v="29"/>
    <n v="83"/>
    <x v="1256"/>
    <x v="440"/>
    <s v="Online"/>
  </r>
  <r>
    <s v="West Gear"/>
    <n v="1128299"/>
    <d v="2021-04-24T00:00:00"/>
    <x v="4"/>
    <s v="Oregon"/>
    <s v="Portland"/>
    <s v="Men's Athletic Footwear"/>
    <n v="54"/>
    <n v="83"/>
    <x v="939"/>
    <x v="580"/>
    <s v="Online"/>
  </r>
  <r>
    <s v="West Gear"/>
    <n v="1128299"/>
    <d v="2021-05-25T00:00:00"/>
    <x v="4"/>
    <s v="Oregon"/>
    <s v="Portland"/>
    <s v="Women's Athletic Footwear"/>
    <n v="49"/>
    <n v="83"/>
    <x v="1156"/>
    <x v="587"/>
    <s v="Online"/>
  </r>
  <r>
    <s v="Kohl's"/>
    <n v="1128299"/>
    <d v="2021-03-25T00:00:00"/>
    <x v="4"/>
    <s v="New Mexico"/>
    <s v="Albuquerque"/>
    <s v="Women's Athletic Footwear"/>
    <n v="50"/>
    <n v="83"/>
    <x v="1029"/>
    <x v="686"/>
    <s v="Online"/>
  </r>
  <r>
    <s v="Amazon"/>
    <n v="1185732"/>
    <d v="2021-05-23T00:00:00"/>
    <x v="0"/>
    <s v="Kentucky"/>
    <s v="Louisville"/>
    <s v="Women's Apparel"/>
    <n v="51"/>
    <n v="83"/>
    <x v="1237"/>
    <x v="482"/>
    <s v="Online"/>
  </r>
  <r>
    <s v="Amazon"/>
    <n v="1185732"/>
    <d v="2021-10-22T00:00:00"/>
    <x v="0"/>
    <s v="Kentucky"/>
    <s v="Louisville"/>
    <s v="Men's Athletic Footwear"/>
    <n v="41"/>
    <n v="83"/>
    <x v="927"/>
    <x v="708"/>
    <s v="Online"/>
  </r>
  <r>
    <s v="Amazon"/>
    <n v="1185732"/>
    <d v="2021-10-22T00:00:00"/>
    <x v="0"/>
    <s v="Kentucky"/>
    <s v="Louisville"/>
    <s v="Women's Apparel"/>
    <n v="53"/>
    <n v="83"/>
    <x v="921"/>
    <x v="580"/>
    <s v="Online"/>
  </r>
  <r>
    <s v="Walmart"/>
    <n v="1197831"/>
    <d v="2021-10-21T00:00:00"/>
    <x v="1"/>
    <s v="Arkansas"/>
    <s v="Little Rock"/>
    <s v="Men's Apparel"/>
    <n v="27"/>
    <n v="83"/>
    <x v="1046"/>
    <x v="821"/>
    <s v="Online"/>
  </r>
  <r>
    <s v="Kohl's"/>
    <n v="1197831"/>
    <d v="2021-06-14T00:00:00"/>
    <x v="2"/>
    <s v="Kansas"/>
    <s v="Wichita"/>
    <s v="Men's Apparel"/>
    <n v="54"/>
    <n v="83"/>
    <x v="939"/>
    <x v="283"/>
    <s v="Online"/>
  </r>
  <r>
    <s v="Foot Locker"/>
    <n v="1197831"/>
    <d v="2021-11-13T00:00:00"/>
    <x v="2"/>
    <s v="Kansas"/>
    <s v="Wichita"/>
    <s v="Women's Athletic Footwear"/>
    <n v="54"/>
    <n v="83"/>
    <x v="939"/>
    <x v="283"/>
    <s v="Online"/>
  </r>
  <r>
    <s v="Foot Locker"/>
    <n v="1185732"/>
    <d v="2021-01-12T00:00:00"/>
    <x v="2"/>
    <s v="Kansas"/>
    <s v="Wichita"/>
    <s v="Women's Street Footwear"/>
    <n v="27"/>
    <n v="83"/>
    <x v="1046"/>
    <x v="842"/>
    <s v="Online"/>
  </r>
  <r>
    <s v="West Gear"/>
    <n v="1185732"/>
    <d v="2021-12-05T00:00:00"/>
    <x v="2"/>
    <s v="Iowa"/>
    <s v="Des Moines"/>
    <s v="Women's Street Footwear"/>
    <n v="47"/>
    <n v="83"/>
    <x v="1126"/>
    <x v="775"/>
    <s v="Online"/>
  </r>
  <r>
    <s v="West Gear"/>
    <n v="1185732"/>
    <d v="2021-10-10T00:00:00"/>
    <x v="2"/>
    <s v="Indiana"/>
    <s v="Indianapolis"/>
    <s v="Women's Apparel"/>
    <n v="48"/>
    <n v="83"/>
    <x v="855"/>
    <x v="233"/>
    <s v="Online"/>
  </r>
  <r>
    <s v="West Gear"/>
    <n v="1185732"/>
    <d v="2021-11-10T00:00:00"/>
    <x v="2"/>
    <s v="Indiana"/>
    <s v="Indianapolis"/>
    <s v="Women's Athletic Footwear"/>
    <n v="34"/>
    <n v="83"/>
    <x v="1101"/>
    <x v="799"/>
    <s v="Online"/>
  </r>
  <r>
    <s v="Sports Direct"/>
    <n v="1185732"/>
    <d v="2021-08-21T00:00:00"/>
    <x v="3"/>
    <s v="Maryland"/>
    <s v="Baltimore"/>
    <s v="Men's Athletic Footwear"/>
    <n v="41"/>
    <n v="83"/>
    <x v="927"/>
    <x v="708"/>
    <s v="Online"/>
  </r>
  <r>
    <s v="Sports Direct"/>
    <n v="1185732"/>
    <d v="2021-12-06T00:00:00"/>
    <x v="3"/>
    <s v="New Jersey"/>
    <s v="Newark"/>
    <s v="Women's Athletic Footwear"/>
    <n v="47"/>
    <n v="83"/>
    <x v="1126"/>
    <x v="589"/>
    <s v="Online"/>
  </r>
  <r>
    <s v="Sports Direct"/>
    <n v="1185732"/>
    <d v="2021-12-06T00:00:00"/>
    <x v="3"/>
    <s v="New Jersey"/>
    <s v="Newark"/>
    <s v="Men's Apparel"/>
    <n v="55"/>
    <n v="83"/>
    <x v="1257"/>
    <x v="168"/>
    <s v="Online"/>
  </r>
  <r>
    <s v="Sports Direct"/>
    <n v="1185732"/>
    <d v="2021-09-03T00:00:00"/>
    <x v="3"/>
    <s v="Connecticut"/>
    <s v="Hartford"/>
    <s v="Women's Apparel"/>
    <n v="54"/>
    <n v="83"/>
    <x v="939"/>
    <x v="580"/>
    <s v="Online"/>
  </r>
  <r>
    <s v="Sports Direct"/>
    <n v="1185732"/>
    <d v="2021-04-14T00:00:00"/>
    <x v="3"/>
    <s v="Massachusetts"/>
    <s v="Boston"/>
    <s v="Women's Apparel"/>
    <n v="39"/>
    <n v="83"/>
    <x v="1241"/>
    <x v="700"/>
    <s v="Online"/>
  </r>
  <r>
    <s v="Amazon"/>
    <n v="1185732"/>
    <d v="2021-11-14T00:00:00"/>
    <x v="3"/>
    <s v="Massachusetts"/>
    <s v="Boston"/>
    <s v="Women's Street Footwear"/>
    <n v="50"/>
    <n v="83"/>
    <x v="1029"/>
    <x v="695"/>
    <s v="Online"/>
  </r>
  <r>
    <s v="Amazon"/>
    <n v="1185732"/>
    <d v="2021-02-19T00:00:00"/>
    <x v="3"/>
    <s v="New Hampshire"/>
    <s v="Manchester"/>
    <s v="Men's Apparel"/>
    <n v="56"/>
    <n v="83"/>
    <x v="995"/>
    <x v="541"/>
    <s v="Online"/>
  </r>
  <r>
    <s v="Foot Locker"/>
    <n v="1185732"/>
    <d v="2021-02-22T00:00:00"/>
    <x v="3"/>
    <s v="New Hampshire"/>
    <s v="Manchester"/>
    <s v="Women's Street Footwear"/>
    <n v="43"/>
    <n v="83"/>
    <x v="584"/>
    <x v="737"/>
    <s v="Online"/>
  </r>
  <r>
    <s v="Foot Locker"/>
    <n v="1185732"/>
    <d v="2020-01-01T00:00:00"/>
    <x v="3"/>
    <s v="Pennsylvania"/>
    <s v="Philadelphia"/>
    <s v="Women's Apparel"/>
    <n v="53"/>
    <n v="83"/>
    <x v="921"/>
    <x v="799"/>
    <s v="Outlet"/>
  </r>
  <r>
    <s v="Amazon"/>
    <n v="1185732"/>
    <d v="2021-10-14T00:00:00"/>
    <x v="1"/>
    <s v="Alabama"/>
    <s v="Birmingham"/>
    <s v="Women's Street Footwear"/>
    <n v="23"/>
    <n v="83"/>
    <x v="1233"/>
    <x v="847"/>
    <s v="Outlet"/>
  </r>
  <r>
    <s v="Foot Locker"/>
    <n v="1128299"/>
    <d v="2021-09-25T00:00:00"/>
    <x v="0"/>
    <s v="Virginia"/>
    <s v="Richmond"/>
    <s v="Women's Apparel"/>
    <n v="33"/>
    <n v="83"/>
    <x v="1136"/>
    <x v="842"/>
    <s v="Outlet"/>
  </r>
  <r>
    <s v="West Gear"/>
    <n v="1128299"/>
    <d v="2021-09-25T00:00:00"/>
    <x v="4"/>
    <s v="Oregon"/>
    <s v="Portland"/>
    <s v="Women's Street Footwear"/>
    <n v="39"/>
    <n v="83"/>
    <x v="1241"/>
    <x v="833"/>
    <s v="Outlet"/>
  </r>
  <r>
    <s v="West Gear"/>
    <n v="1128299"/>
    <d v="2021-09-18T00:00:00"/>
    <x v="1"/>
    <s v="Louisiana"/>
    <s v="New Orleans"/>
    <s v="Men's Apparel"/>
    <n v="41"/>
    <n v="83"/>
    <x v="927"/>
    <x v="591"/>
    <s v="Outlet"/>
  </r>
  <r>
    <s v="West Gear"/>
    <n v="1197831"/>
    <d v="2021-02-21T00:00:00"/>
    <x v="1"/>
    <s v="Arkansas"/>
    <s v="Little Rock"/>
    <s v="Men's Athletic Footwear"/>
    <n v="17"/>
    <n v="83"/>
    <x v="1204"/>
    <x v="844"/>
    <s v="Outlet"/>
  </r>
  <r>
    <s v="West Gear"/>
    <n v="1197831"/>
    <d v="2021-03-19T00:00:00"/>
    <x v="1"/>
    <s v="Oklahoma"/>
    <s v="Oklahoma City"/>
    <s v="Women's Street Footwear"/>
    <n v="7"/>
    <n v="83"/>
    <x v="1258"/>
    <x v="872"/>
    <s v="Outlet"/>
  </r>
  <r>
    <s v="West Gear"/>
    <n v="1197831"/>
    <d v="2021-09-19T00:00:00"/>
    <x v="1"/>
    <s v="Oklahoma"/>
    <s v="Oklahoma City"/>
    <s v="Women's Athletic Footwear"/>
    <n v="12"/>
    <n v="83"/>
    <x v="1259"/>
    <x v="873"/>
    <s v="Outlet"/>
  </r>
  <r>
    <s v="Sports Direct"/>
    <n v="1185732"/>
    <d v="2021-05-03T00:00:00"/>
    <x v="3"/>
    <s v="Connecticut"/>
    <s v="Hartford"/>
    <s v="Men's Athletic Footwear"/>
    <n v="35"/>
    <n v="83"/>
    <x v="1166"/>
    <x v="832"/>
    <s v="Outlet"/>
  </r>
  <r>
    <s v="Sports Direct"/>
    <n v="1185732"/>
    <d v="2021-05-03T00:00:00"/>
    <x v="3"/>
    <s v="Connecticut"/>
    <s v="Hartford"/>
    <s v="Women's Street Footwear"/>
    <n v="32"/>
    <n v="83"/>
    <x v="901"/>
    <x v="824"/>
    <s v="Outlet"/>
  </r>
  <r>
    <s v="Sports Direct"/>
    <n v="1185732"/>
    <d v="2021-05-03T00:00:00"/>
    <x v="3"/>
    <s v="Connecticut"/>
    <s v="Hartford"/>
    <s v="Men's Apparel"/>
    <n v="37"/>
    <n v="83"/>
    <x v="1218"/>
    <x v="827"/>
    <s v="Outlet"/>
  </r>
  <r>
    <s v="Sports Direct"/>
    <n v="1185732"/>
    <d v="2021-09-03T00:00:00"/>
    <x v="3"/>
    <s v="Connecticut"/>
    <s v="Hartford"/>
    <s v="Women's Apparel"/>
    <n v="45"/>
    <n v="83"/>
    <x v="869"/>
    <x v="731"/>
    <s v="Outlet"/>
  </r>
  <r>
    <s v="Foot Locker"/>
    <n v="1185732"/>
    <d v="2021-11-04T00:00:00"/>
    <x v="3"/>
    <s v="Connecticut"/>
    <s v="Hartford"/>
    <s v="Women's Athletic Footwear"/>
    <n v="39"/>
    <n v="83"/>
    <x v="1241"/>
    <x v="440"/>
    <s v="Outlet"/>
  </r>
  <r>
    <s v="Sports Direct"/>
    <n v="1185732"/>
    <d v="2021-11-07T00:00:00"/>
    <x v="3"/>
    <s v="Rhode Island"/>
    <s v="Providence"/>
    <s v="Women's Apparel"/>
    <n v="46"/>
    <n v="83"/>
    <x v="1009"/>
    <x v="544"/>
    <s v="Outlet"/>
  </r>
  <r>
    <s v="Sports Direct"/>
    <n v="1185732"/>
    <d v="2021-01-17T00:00:00"/>
    <x v="3"/>
    <s v="Rhode Island"/>
    <s v="Providence"/>
    <s v="Women's Apparel"/>
    <n v="26"/>
    <n v="83"/>
    <x v="1182"/>
    <x v="855"/>
    <s v="Outlet"/>
  </r>
  <r>
    <s v="Amazon"/>
    <n v="1185732"/>
    <d v="2021-11-14T00:00:00"/>
    <x v="3"/>
    <s v="Massachusetts"/>
    <s v="Boston"/>
    <s v="Women's Athletic Footwear"/>
    <n v="42"/>
    <n v="83"/>
    <x v="536"/>
    <x v="713"/>
    <s v="Outlet"/>
  </r>
  <r>
    <s v="Amazon"/>
    <n v="1185732"/>
    <d v="2021-05-10T00:00:00"/>
    <x v="3"/>
    <s v="Vermont"/>
    <s v="Burlington"/>
    <s v="Women's Athletic Footwear"/>
    <n v="40"/>
    <n v="83"/>
    <x v="1260"/>
    <x v="354"/>
    <s v="Outlet"/>
  </r>
  <r>
    <s v="Foot Locker"/>
    <n v="1185732"/>
    <d v="2021-02-22T00:00:00"/>
    <x v="3"/>
    <s v="New Hampshire"/>
    <s v="Manchester"/>
    <s v="Women's Street Footwear"/>
    <n v="29"/>
    <n v="83"/>
    <x v="1256"/>
    <x v="862"/>
    <s v="Outlet"/>
  </r>
  <r>
    <s v="Foot Locker"/>
    <n v="1185732"/>
    <d v="2021-07-07T00:00:00"/>
    <x v="2"/>
    <s v="Illinois"/>
    <s v="Chicago"/>
    <s v="Men's Athletic Footwear"/>
    <n v="43"/>
    <n v="81"/>
    <x v="1220"/>
    <x v="731"/>
    <s v="Online"/>
  </r>
  <r>
    <s v="Foot Locker"/>
    <n v="1185732"/>
    <d v="2021-08-10T00:00:00"/>
    <x v="2"/>
    <s v="Illinois"/>
    <s v="Chicago"/>
    <s v="Women's Apparel"/>
    <n v="64"/>
    <n v="81"/>
    <x v="544"/>
    <x v="622"/>
    <s v="Online"/>
  </r>
  <r>
    <s v="Sports Direct"/>
    <n v="1197831"/>
    <d v="2021-08-27T00:00:00"/>
    <x v="1"/>
    <s v="Texas"/>
    <s v="Dallas"/>
    <s v="Men's Apparel"/>
    <n v="38"/>
    <n v="81"/>
    <x v="928"/>
    <x v="841"/>
    <s v="Online"/>
  </r>
  <r>
    <s v="Foot Locker"/>
    <n v="1185732"/>
    <d v="2021-11-26T00:00:00"/>
    <x v="3"/>
    <s v="Pennsylvania"/>
    <s v="Philadelphia"/>
    <s v="Women's Apparel"/>
    <n v="65"/>
    <n v="81"/>
    <x v="1075"/>
    <x v="666"/>
    <s v="Online"/>
  </r>
  <r>
    <s v="West Gear"/>
    <n v="1128299"/>
    <d v="2020-02-05T00:00:00"/>
    <x v="4"/>
    <s v="Nevada"/>
    <s v="Las Vegas"/>
    <s v="Men's Apparel"/>
    <n v="59"/>
    <n v="81"/>
    <x v="1261"/>
    <x v="337"/>
    <s v="Online"/>
  </r>
  <r>
    <s v="West Gear"/>
    <n v="1128299"/>
    <d v="2020-03-01T00:00:00"/>
    <x v="4"/>
    <s v="Nevada"/>
    <s v="Las Vegas"/>
    <s v="Men's Apparel"/>
    <n v="63"/>
    <n v="81"/>
    <x v="285"/>
    <x v="582"/>
    <s v="Online"/>
  </r>
  <r>
    <s v="Foot Locker"/>
    <n v="1185732"/>
    <d v="2020-11-21T00:00:00"/>
    <x v="2"/>
    <s v="Minnesota"/>
    <s v="Minneapolis"/>
    <s v="Women's Apparel"/>
    <n v="53"/>
    <n v="81"/>
    <x v="905"/>
    <x v="746"/>
    <s v="Online"/>
  </r>
  <r>
    <s v="Kohl's"/>
    <n v="1189833"/>
    <d v="2021-01-06T00:00:00"/>
    <x v="2"/>
    <s v="Montana"/>
    <s v="Billings"/>
    <s v="Women's Athletic Footwear"/>
    <n v="44"/>
    <n v="81"/>
    <x v="1181"/>
    <x v="453"/>
    <s v="Online"/>
  </r>
  <r>
    <s v="Foot Locker"/>
    <n v="1185732"/>
    <d v="2021-06-27T00:00:00"/>
    <x v="2"/>
    <s v="Nebraska"/>
    <s v="Omaha"/>
    <s v="Men's Athletic Footwear"/>
    <n v="37"/>
    <n v="81"/>
    <x v="440"/>
    <x v="546"/>
    <s v="Online"/>
  </r>
  <r>
    <s v="Amazon"/>
    <n v="1185732"/>
    <d v="2021-06-22T00:00:00"/>
    <x v="4"/>
    <s v="Alaska"/>
    <s v="Anchorage"/>
    <s v="Women's Street Footwear"/>
    <n v="53"/>
    <n v="81"/>
    <x v="905"/>
    <x v="588"/>
    <s v="Online"/>
  </r>
  <r>
    <s v="Amazon"/>
    <n v="1185732"/>
    <d v="2021-11-21T00:00:00"/>
    <x v="4"/>
    <s v="Alaska"/>
    <s v="Anchorage"/>
    <s v="Men's Athletic Footwear"/>
    <n v="59"/>
    <n v="81"/>
    <x v="1261"/>
    <x v="580"/>
    <s v="Online"/>
  </r>
  <r>
    <s v="Foot Locker"/>
    <n v="1128299"/>
    <d v="2021-04-10T00:00:00"/>
    <x v="4"/>
    <s v="Hawaii"/>
    <s v="Honolulu"/>
    <s v="Men's Athletic Footwear"/>
    <n v="61"/>
    <n v="81"/>
    <x v="724"/>
    <x v="579"/>
    <s v="Online"/>
  </r>
  <r>
    <s v="Foot Locker"/>
    <n v="1128299"/>
    <d v="2021-02-24T00:00:00"/>
    <x v="0"/>
    <s v="Virginia"/>
    <s v="Richmond"/>
    <s v="Women's Apparel"/>
    <n v="38"/>
    <n v="81"/>
    <x v="928"/>
    <x v="672"/>
    <s v="Online"/>
  </r>
  <r>
    <s v="Foot Locker"/>
    <n v="1185732"/>
    <d v="2021-08-18T00:00:00"/>
    <x v="2"/>
    <s v="Missouri"/>
    <s v="St. Louis"/>
    <s v="Men's Apparel"/>
    <n v="34"/>
    <n v="81"/>
    <x v="1262"/>
    <x v="688"/>
    <s v="Online"/>
  </r>
  <r>
    <s v="Foot Locker"/>
    <n v="1185732"/>
    <d v="2021-11-18T00:00:00"/>
    <x v="2"/>
    <s v="Missouri"/>
    <s v="St. Louis"/>
    <s v="Men's Apparel"/>
    <n v="43"/>
    <n v="81"/>
    <x v="1220"/>
    <x v="816"/>
    <s v="Online"/>
  </r>
  <r>
    <s v="West Gear"/>
    <n v="1128299"/>
    <d v="2021-10-24T00:00:00"/>
    <x v="4"/>
    <s v="Oregon"/>
    <s v="Portland"/>
    <s v="Women's Athletic Footwear"/>
    <n v="44"/>
    <n v="81"/>
    <x v="1181"/>
    <x v="524"/>
    <s v="Online"/>
  </r>
  <r>
    <s v="Amazon"/>
    <n v="1185732"/>
    <d v="2021-01-22T00:00:00"/>
    <x v="2"/>
    <s v="Ohio"/>
    <s v="Columbus"/>
    <s v="Women's Apparel"/>
    <n v="37"/>
    <n v="81"/>
    <x v="440"/>
    <x v="771"/>
    <s v="Online"/>
  </r>
  <r>
    <s v="Foot Locker"/>
    <n v="1185732"/>
    <d v="2021-03-16T00:00:00"/>
    <x v="1"/>
    <s v="Mississippi"/>
    <s v="Jackson"/>
    <s v="Men's Apparel"/>
    <n v="32"/>
    <n v="81"/>
    <x v="1263"/>
    <x v="613"/>
    <s v="Online"/>
  </r>
  <r>
    <s v="Foot Locker"/>
    <n v="1185732"/>
    <d v="2021-04-17T00:00:00"/>
    <x v="1"/>
    <s v="Mississippi"/>
    <s v="Jackson"/>
    <s v="Men's Apparel"/>
    <n v="38"/>
    <n v="81"/>
    <x v="928"/>
    <x v="751"/>
    <s v="Online"/>
  </r>
  <r>
    <s v="Walmart"/>
    <n v="1197831"/>
    <d v="2021-04-20T00:00:00"/>
    <x v="1"/>
    <s v="Arkansas"/>
    <s v="Little Rock"/>
    <s v="Men's Athletic Footwear"/>
    <n v="24"/>
    <n v="81"/>
    <x v="1203"/>
    <x v="804"/>
    <s v="Online"/>
  </r>
  <r>
    <s v="West Gear"/>
    <n v="1197831"/>
    <d v="2021-08-20T00:00:00"/>
    <x v="1"/>
    <s v="Oklahoma"/>
    <s v="Oklahoma City"/>
    <s v="Men's Apparel"/>
    <n v="47"/>
    <n v="81"/>
    <x v="1063"/>
    <x v="524"/>
    <s v="Online"/>
  </r>
  <r>
    <s v="Kohl's"/>
    <n v="1197831"/>
    <d v="2021-12-19T00:00:00"/>
    <x v="1"/>
    <s v="Oklahoma"/>
    <s v="Oklahoma City"/>
    <s v="Men's Apparel"/>
    <n v="69"/>
    <n v="81"/>
    <x v="1007"/>
    <x v="500"/>
    <s v="Online"/>
  </r>
  <r>
    <s v="Kohl's"/>
    <n v="1197831"/>
    <d v="2021-04-13T00:00:00"/>
    <x v="2"/>
    <s v="Kansas"/>
    <s v="Wichita"/>
    <s v="Women's Apparel"/>
    <n v="29"/>
    <n v="81"/>
    <x v="1199"/>
    <x v="420"/>
    <s v="Online"/>
  </r>
  <r>
    <s v="Kohl's"/>
    <n v="1197831"/>
    <d v="2021-06-14T00:00:00"/>
    <x v="2"/>
    <s v="Kansas"/>
    <s v="Wichita"/>
    <s v="Women's Street Footwear"/>
    <n v="37"/>
    <n v="81"/>
    <x v="440"/>
    <x v="761"/>
    <s v="Online"/>
  </r>
  <r>
    <s v="Foot Locker"/>
    <n v="1197831"/>
    <d v="2021-12-12T00:00:00"/>
    <x v="2"/>
    <s v="Kansas"/>
    <s v="Wichita"/>
    <s v="Men's Apparel"/>
    <n v="64"/>
    <n v="81"/>
    <x v="544"/>
    <x v="638"/>
    <s v="Online"/>
  </r>
  <r>
    <s v="Foot Locker"/>
    <n v="1185732"/>
    <d v="2021-07-11T00:00:00"/>
    <x v="2"/>
    <s v="South Dakota"/>
    <s v="Sioux Falls"/>
    <s v="Men's Athletic Footwear"/>
    <n v="44"/>
    <n v="81"/>
    <x v="1181"/>
    <x v="786"/>
    <s v="Online"/>
  </r>
  <r>
    <s v="West Gear"/>
    <n v="1185732"/>
    <d v="2021-11-10T00:00:00"/>
    <x v="2"/>
    <s v="Indiana"/>
    <s v="Indianapolis"/>
    <s v="Women's Street Footwear"/>
    <n v="32"/>
    <n v="81"/>
    <x v="1263"/>
    <x v="484"/>
    <s v="Online"/>
  </r>
  <r>
    <s v="West Gear"/>
    <n v="1185732"/>
    <d v="2021-03-16T00:00:00"/>
    <x v="3"/>
    <s v="West Virginia"/>
    <s v="Charleston"/>
    <s v="Women's Apparel"/>
    <n v="29"/>
    <n v="81"/>
    <x v="1199"/>
    <x v="822"/>
    <s v="Online"/>
  </r>
  <r>
    <s v="West Gear"/>
    <n v="1185732"/>
    <d v="2021-06-17T00:00:00"/>
    <x v="3"/>
    <s v="West Virginia"/>
    <s v="Charleston"/>
    <s v="Women's Street Footwear"/>
    <n v="33"/>
    <n v="81"/>
    <x v="1145"/>
    <x v="776"/>
    <s v="Online"/>
  </r>
  <r>
    <s v="Sports Direct"/>
    <n v="1185732"/>
    <d v="2021-08-21T00:00:00"/>
    <x v="3"/>
    <s v="Maryland"/>
    <s v="Baltimore"/>
    <s v="Women's Apparel"/>
    <n v="53"/>
    <n v="81"/>
    <x v="905"/>
    <x v="642"/>
    <s v="Online"/>
  </r>
  <r>
    <s v="Foot Locker"/>
    <n v="1185732"/>
    <d v="2021-01-17T00:00:00"/>
    <x v="3"/>
    <s v="Maryland"/>
    <s v="Baltimore"/>
    <s v="Men's Athletic Footwear"/>
    <n v="38"/>
    <n v="81"/>
    <x v="928"/>
    <x v="806"/>
    <s v="Online"/>
  </r>
  <r>
    <s v="Foot Locker"/>
    <n v="1185732"/>
    <d v="2021-01-17T00:00:00"/>
    <x v="3"/>
    <s v="Maryland"/>
    <s v="Baltimore"/>
    <s v="Women's Apparel"/>
    <n v="36"/>
    <n v="81"/>
    <x v="1264"/>
    <x v="695"/>
    <s v="Online"/>
  </r>
  <r>
    <s v="Foot Locker"/>
    <n v="1185732"/>
    <d v="2021-05-13T00:00:00"/>
    <x v="3"/>
    <s v="Delaware"/>
    <s v="Wilmington"/>
    <s v="Women's Street Footwear"/>
    <n v="41"/>
    <n v="81"/>
    <x v="1260"/>
    <x v="579"/>
    <s v="Online"/>
  </r>
  <r>
    <s v="Kohl's"/>
    <n v="1185732"/>
    <d v="2021-07-06T00:00:00"/>
    <x v="3"/>
    <s v="New Jersey"/>
    <s v="Newark"/>
    <s v="Women's Street Footwear"/>
    <n v="37"/>
    <n v="81"/>
    <x v="440"/>
    <x v="347"/>
    <s v="Online"/>
  </r>
  <r>
    <s v="Sports Direct"/>
    <n v="1185732"/>
    <d v="2021-01-07T00:00:00"/>
    <x v="3"/>
    <s v="New Jersey"/>
    <s v="Newark"/>
    <s v="Women's Apparel"/>
    <n v="37"/>
    <n v="81"/>
    <x v="440"/>
    <x v="570"/>
    <s v="Online"/>
  </r>
  <r>
    <s v="Sports Direct"/>
    <n v="1185732"/>
    <d v="2021-07-03T00:00:00"/>
    <x v="3"/>
    <s v="Connecticut"/>
    <s v="Hartford"/>
    <s v="Women's Street Footwear"/>
    <n v="44"/>
    <n v="81"/>
    <x v="1181"/>
    <x v="731"/>
    <s v="Online"/>
  </r>
  <r>
    <s v="Sports Direct"/>
    <n v="1185732"/>
    <d v="2021-07-03T00:00:00"/>
    <x v="3"/>
    <s v="Connecticut"/>
    <s v="Hartford"/>
    <s v="Men's Apparel"/>
    <n v="53"/>
    <n v="81"/>
    <x v="905"/>
    <x v="558"/>
    <s v="Online"/>
  </r>
  <r>
    <s v="Foot Locker"/>
    <n v="1185732"/>
    <d v="2021-05-06T00:00:00"/>
    <x v="3"/>
    <s v="Rhode Island"/>
    <s v="Providence"/>
    <s v="Women's Apparel"/>
    <n v="52"/>
    <n v="81"/>
    <x v="955"/>
    <x v="355"/>
    <s v="Online"/>
  </r>
  <r>
    <s v="Foot Locker"/>
    <n v="1185732"/>
    <d v="2021-07-06T00:00:00"/>
    <x v="3"/>
    <s v="Rhode Island"/>
    <s v="Providence"/>
    <s v="Men's Athletic Footwear"/>
    <n v="41"/>
    <n v="81"/>
    <x v="1260"/>
    <x v="612"/>
    <s v="Online"/>
  </r>
  <r>
    <s v="Amazon"/>
    <n v="1185732"/>
    <d v="2021-06-12T00:00:00"/>
    <x v="3"/>
    <s v="Vermont"/>
    <s v="Burlington"/>
    <s v="Women's Street Footwear"/>
    <n v="45"/>
    <n v="81"/>
    <x v="632"/>
    <x v="524"/>
    <s v="Online"/>
  </r>
  <r>
    <s v="Amazon"/>
    <n v="1185732"/>
    <d v="2021-06-12T00:00:00"/>
    <x v="3"/>
    <s v="Vermont"/>
    <s v="Burlington"/>
    <s v="Men's Apparel"/>
    <n v="58"/>
    <n v="81"/>
    <x v="1012"/>
    <x v="486"/>
    <s v="Online"/>
  </r>
  <r>
    <s v="West Gear"/>
    <n v="1185732"/>
    <d v="2021-10-12T00:00:00"/>
    <x v="3"/>
    <s v="Vermont"/>
    <s v="Burlington"/>
    <s v="Women's Apparel"/>
    <n v="71"/>
    <n v="81"/>
    <x v="883"/>
    <x v="121"/>
    <s v="Online"/>
  </r>
  <r>
    <s v="West Gear"/>
    <n v="1185732"/>
    <d v="2021-11-11T00:00:00"/>
    <x v="3"/>
    <s v="Vermont"/>
    <s v="Burlington"/>
    <s v="Men's Athletic Footwear"/>
    <n v="55"/>
    <n v="81"/>
    <x v="502"/>
    <x v="529"/>
    <s v="Online"/>
  </r>
  <r>
    <s v="Amazon"/>
    <n v="1185732"/>
    <d v="2021-12-10T00:00:00"/>
    <x v="3"/>
    <s v="Vermont"/>
    <s v="Burlington"/>
    <s v="Women's Athletic Footwear"/>
    <n v="56"/>
    <n v="81"/>
    <x v="740"/>
    <x v="381"/>
    <s v="Onli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74C80E-B0AE-430E-8868-9FD3F7A5B1F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G9" firstHeaderRow="1" firstDataRow="2" firstDataCol="1"/>
  <pivotFields count="12">
    <pivotField compact="0" outline="0" showAll="0"/>
    <pivotField compact="0" outline="0" showAll="0"/>
    <pivotField compact="0" numFmtId="14" outline="0" showAll="0"/>
    <pivotField axis="axisRow" compact="0" outline="0" showAll="0">
      <items count="6">
        <item x="2"/>
        <item x="3"/>
        <item x="1"/>
        <item x="0"/>
        <item x="4"/>
        <item t="default"/>
      </items>
    </pivotField>
    <pivotField compact="0" outline="0" showAll="0"/>
    <pivotField compact="0" outline="0" showAll="0"/>
    <pivotField compact="0" outline="0" showAll="0"/>
    <pivotField compact="0" numFmtId="8" outline="0" showAll="0"/>
    <pivotField compact="0" outline="0" showAll="0"/>
    <pivotField axis="axisCol" compact="0" outline="0" showAll="0">
      <items count="8">
        <item x="0"/>
        <item x="1"/>
        <item x="2"/>
        <item x="3"/>
        <item x="4"/>
        <item x="5"/>
        <item x="6"/>
        <item t="default"/>
      </items>
    </pivotField>
    <pivotField dataField="1" compact="0" numFmtId="6" outline="0" showAll="0">
      <items count="875">
        <item x="872"/>
        <item x="849"/>
        <item x="840"/>
        <item x="867"/>
        <item x="838"/>
        <item x="863"/>
        <item x="873"/>
        <item x="843"/>
        <item x="868"/>
        <item x="865"/>
        <item x="866"/>
        <item x="858"/>
        <item x="850"/>
        <item x="834"/>
        <item x="844"/>
        <item x="805"/>
        <item x="870"/>
        <item x="869"/>
        <item x="819"/>
        <item x="807"/>
        <item x="801"/>
        <item x="823"/>
        <item x="862"/>
        <item x="839"/>
        <item x="794"/>
        <item x="800"/>
        <item x="864"/>
        <item x="835"/>
        <item x="855"/>
        <item x="488"/>
        <item x="830"/>
        <item x="871"/>
        <item x="861"/>
        <item x="818"/>
        <item x="764"/>
        <item x="847"/>
        <item x="857"/>
        <item x="817"/>
        <item x="851"/>
        <item x="825"/>
        <item x="820"/>
        <item x="826"/>
        <item x="762"/>
        <item x="856"/>
        <item x="824"/>
        <item x="845"/>
        <item x="848"/>
        <item x="831"/>
        <item x="783"/>
        <item x="804"/>
        <item x="808"/>
        <item x="780"/>
        <item x="829"/>
        <item x="842"/>
        <item x="790"/>
        <item x="713"/>
        <item x="779"/>
        <item x="798"/>
        <item x="730"/>
        <item x="821"/>
        <item x="499"/>
        <item x="827"/>
        <item x="603"/>
        <item x="663"/>
        <item x="787"/>
        <item x="859"/>
        <item x="729"/>
        <item x="760"/>
        <item x="714"/>
        <item x="420"/>
        <item x="755"/>
        <item x="702"/>
        <item x="758"/>
        <item x="613"/>
        <item x="440"/>
        <item x="846"/>
        <item x="754"/>
        <item x="568"/>
        <item x="484"/>
        <item x="793"/>
        <item x="745"/>
        <item x="822"/>
        <item x="832"/>
        <item x="688"/>
        <item x="837"/>
        <item x="594"/>
        <item x="672"/>
        <item x="354"/>
        <item x="836"/>
        <item x="546"/>
        <item x="833"/>
        <item x="774"/>
        <item x="761"/>
        <item x="841"/>
        <item x="445"/>
        <item x="799"/>
        <item x="700"/>
        <item x="737"/>
        <item x="776"/>
        <item x="590"/>
        <item x="628"/>
        <item x="597"/>
        <item x="751"/>
        <item x="695"/>
        <item x="570"/>
        <item x="670"/>
        <item x="563"/>
        <item x="792"/>
        <item x="806"/>
        <item x="588"/>
        <item x="347"/>
        <item x="731"/>
        <item x="781"/>
        <item x="791"/>
        <item x="786"/>
        <item x="547"/>
        <item x="771"/>
        <item x="591"/>
        <item x="775"/>
        <item x="705"/>
        <item x="612"/>
        <item x="816"/>
        <item x="544"/>
        <item x="690"/>
        <item x="708"/>
        <item x="524"/>
        <item x="784"/>
        <item x="579"/>
        <item x="596"/>
        <item x="744"/>
        <item x="419"/>
        <item x="765"/>
        <item x="542"/>
        <item x="706"/>
        <item x="803"/>
        <item x="736"/>
        <item x="752"/>
        <item x="571"/>
        <item x="785"/>
        <item x="642"/>
        <item x="501"/>
        <item x="647"/>
        <item x="335"/>
        <item x="558"/>
        <item x="506"/>
        <item x="686"/>
        <item x="828"/>
        <item x="709"/>
        <item x="802"/>
        <item x="587"/>
        <item x="453"/>
        <item x="180"/>
        <item x="684"/>
        <item x="589"/>
        <item x="541"/>
        <item x="365"/>
        <item x="247"/>
        <item x="256"/>
        <item x="381"/>
        <item x="168"/>
        <item x="429"/>
        <item x="439"/>
        <item x="673"/>
        <item x="306"/>
        <item x="659"/>
        <item x="233"/>
        <item x="674"/>
        <item x="796"/>
        <item x="710"/>
        <item x="283"/>
        <item x="482"/>
        <item x="742"/>
        <item x="285"/>
        <item x="652"/>
        <item x="580"/>
        <item x="666"/>
        <item x="772"/>
        <item x="355"/>
        <item x="773"/>
        <item x="504"/>
        <item x="565"/>
        <item x="621"/>
        <item x="697"/>
        <item x="338"/>
        <item x="451"/>
        <item x="618"/>
        <item x="753"/>
        <item x="528"/>
        <item x="614"/>
        <item x="486"/>
        <item x="455"/>
        <item x="664"/>
        <item x="536"/>
        <item x="665"/>
        <item x="746"/>
        <item x="656"/>
        <item x="655"/>
        <item x="526"/>
        <item x="704"/>
        <item x="548"/>
        <item x="685"/>
        <item x="634"/>
        <item x="633"/>
        <item x="763"/>
        <item x="485"/>
        <item x="398"/>
        <item x="543"/>
        <item x="356"/>
        <item x="698"/>
        <item x="431"/>
        <item x="727"/>
        <item x="111"/>
        <item x="529"/>
        <item x="638"/>
        <item x="112"/>
        <item x="404"/>
        <item x="629"/>
        <item x="487"/>
        <item x="408"/>
        <item x="454"/>
        <item x="689"/>
        <item x="586"/>
        <item x="500"/>
        <item x="661"/>
        <item x="401"/>
        <item x="449"/>
        <item x="654"/>
        <item x="456"/>
        <item x="426"/>
        <item x="534"/>
        <item x="512"/>
        <item x="552"/>
        <item x="249"/>
        <item x="157"/>
        <item x="333"/>
        <item x="246"/>
        <item x="116"/>
        <item x="662"/>
        <item x="287"/>
        <item x="243"/>
        <item x="553"/>
        <item x="191"/>
        <item x="514"/>
        <item x="366"/>
        <item x="498"/>
        <item x="406"/>
        <item x="213"/>
        <item x="405"/>
        <item x="592"/>
        <item x="92"/>
        <item x="680"/>
        <item x="701"/>
        <item x="380"/>
        <item x="343"/>
        <item x="477"/>
        <item x="723"/>
        <item x="307"/>
        <item x="409"/>
        <item x="609"/>
        <item x="121"/>
        <item x="505"/>
        <item x="296"/>
        <item x="263"/>
        <item x="245"/>
        <item x="540"/>
        <item x="582"/>
        <item x="732"/>
        <item x="593"/>
        <item x="74"/>
        <item x="344"/>
        <item x="637"/>
        <item x="598"/>
        <item x="507"/>
        <item x="424"/>
        <item x="535"/>
        <item x="58"/>
        <item x="630"/>
        <item x="491"/>
        <item x="436"/>
        <item x="222"/>
        <item x="483"/>
        <item x="622"/>
        <item x="264"/>
        <item x="212"/>
        <item x="438"/>
        <item x="154"/>
        <item x="492"/>
        <item x="251"/>
        <item x="699"/>
        <item x="89"/>
        <item x="248"/>
        <item x="290"/>
        <item x="581"/>
        <item x="142"/>
        <item x="159"/>
        <item x="250"/>
        <item x="143"/>
        <item x="160"/>
        <item x="489"/>
        <item x="422"/>
        <item x="423"/>
        <item x="430"/>
        <item x="95"/>
        <item x="235"/>
        <item x="231"/>
        <item x="56"/>
        <item x="691"/>
        <item x="610"/>
        <item x="337"/>
        <item x="595"/>
        <item x="466"/>
        <item x="574"/>
        <item x="515"/>
        <item x="266"/>
        <item x="632"/>
        <item x="383"/>
        <item x="166"/>
        <item x="339"/>
        <item x="88"/>
        <item x="45"/>
        <item x="244"/>
        <item x="667"/>
        <item x="308"/>
        <item x="641"/>
        <item x="435"/>
        <item x="525"/>
        <item x="284"/>
        <item x="177"/>
        <item x="176"/>
        <item x="392"/>
        <item x="220"/>
        <item x="252"/>
        <item x="532"/>
        <item x="113"/>
        <item x="658"/>
        <item x="155"/>
        <item x="122"/>
        <item x="138"/>
        <item x="282"/>
        <item x="465"/>
        <item x="605"/>
        <item x="364"/>
        <item x="740"/>
        <item x="620"/>
        <item x="726"/>
        <item x="522"/>
        <item x="387"/>
        <item x="73"/>
        <item x="216"/>
        <item x="600"/>
        <item x="186"/>
        <item x="87"/>
        <item x="153"/>
        <item x="669"/>
        <item x="750"/>
        <item x="60"/>
        <item x="167"/>
        <item x="80"/>
        <item x="211"/>
        <item x="86"/>
        <item x="109"/>
        <item x="452"/>
        <item x="81"/>
        <item x="353"/>
        <item x="232"/>
        <item x="645"/>
        <item x="221"/>
        <item x="480"/>
        <item x="44"/>
        <item x="564"/>
        <item x="218"/>
        <item x="193"/>
        <item x="569"/>
        <item x="738"/>
        <item x="239"/>
        <item x="291"/>
        <item x="545"/>
        <item x="782"/>
        <item x="668"/>
        <item x="77"/>
        <item x="49"/>
        <item x="770"/>
        <item x="208"/>
        <item x="135"/>
        <item x="96"/>
        <item x="93"/>
        <item x="388"/>
        <item x="286"/>
        <item x="140"/>
        <item x="163"/>
        <item x="292"/>
        <item x="531"/>
        <item x="660"/>
        <item x="769"/>
        <item x="400"/>
        <item x="164"/>
        <item x="90"/>
        <item x="275"/>
        <item x="224"/>
        <item x="29"/>
        <item x="78"/>
        <item x="36"/>
        <item x="75"/>
        <item x="102"/>
        <item x="393"/>
        <item x="309"/>
        <item x="33"/>
        <item x="277"/>
        <item x="468"/>
        <item x="334"/>
        <item x="313"/>
        <item x="349"/>
        <item x="653"/>
        <item x="181"/>
        <item x="394"/>
        <item x="108"/>
        <item x="61"/>
        <item x="721"/>
        <item x="340"/>
        <item x="583"/>
        <item x="223"/>
        <item x="104"/>
        <item x="395"/>
        <item x="778"/>
        <item x="136"/>
        <item x="399"/>
        <item x="156"/>
        <item x="47"/>
        <item x="52"/>
        <item x="728"/>
        <item x="57"/>
        <item x="115"/>
        <item x="76"/>
        <item x="253"/>
        <item x="389"/>
        <item x="722"/>
        <item x="84"/>
        <item x="79"/>
        <item x="391"/>
        <item x="411"/>
        <item x="238"/>
        <item x="107"/>
        <item x="644"/>
        <item x="573"/>
        <item x="53"/>
        <item x="314"/>
        <item x="421"/>
        <item x="336"/>
        <item x="631"/>
        <item x="602"/>
        <item x="117"/>
        <item x="46"/>
        <item x="396"/>
        <item x="797"/>
        <item x="214"/>
        <item x="475"/>
        <item x="110"/>
        <item x="576"/>
        <item x="682"/>
        <item x="161"/>
        <item x="288"/>
        <item x="242"/>
        <item x="443"/>
        <item x="707"/>
        <item x="687"/>
        <item x="34"/>
        <item x="375"/>
        <item x="91"/>
        <item x="374"/>
        <item x="407"/>
        <item x="376"/>
        <item x="747"/>
        <item x="71"/>
        <item x="503"/>
        <item x="539"/>
        <item x="527"/>
        <item x="425"/>
        <item x="236"/>
        <item x="649"/>
        <item x="557"/>
        <item x="341"/>
        <item x="54"/>
        <item x="268"/>
        <item x="147"/>
        <item x="192"/>
        <item x="82"/>
        <item x="174"/>
        <item x="134"/>
        <item x="386"/>
        <item x="276"/>
        <item x="599"/>
        <item x="254"/>
        <item x="141"/>
        <item x="298"/>
        <item x="681"/>
        <item x="418"/>
        <item x="403"/>
        <item x="572"/>
        <item x="124"/>
        <item x="267"/>
        <item x="59"/>
        <item x="450"/>
        <item x="367"/>
        <item x="478"/>
        <item x="683"/>
        <item x="530"/>
        <item x="270"/>
        <item x="490"/>
        <item x="359"/>
        <item x="363"/>
        <item x="537"/>
        <item x="608"/>
        <item x="22"/>
        <item x="696"/>
        <item x="357"/>
        <item x="467"/>
        <item x="559"/>
        <item x="269"/>
        <item x="94"/>
        <item x="295"/>
        <item x="346"/>
        <item x="259"/>
        <item x="234"/>
        <item x="442"/>
        <item x="635"/>
        <item x="511"/>
        <item x="619"/>
        <item x="627"/>
        <item x="301"/>
        <item x="97"/>
        <item x="521"/>
        <item x="297"/>
        <item x="281"/>
        <item x="417"/>
        <item x="643"/>
        <item x="636"/>
        <item x="331"/>
        <item x="513"/>
        <item x="185"/>
        <item x="299"/>
        <item x="502"/>
        <item x="470"/>
        <item x="382"/>
        <item x="237"/>
        <item x="748"/>
        <item x="226"/>
        <item x="735"/>
        <item x="789"/>
        <item x="146"/>
        <item x="566"/>
        <item x="446"/>
        <item x="51"/>
        <item x="171"/>
        <item x="428"/>
        <item x="219"/>
        <item x="469"/>
        <item x="373"/>
        <item x="555"/>
        <item x="178"/>
        <item x="312"/>
        <item x="327"/>
        <item x="523"/>
        <item x="497"/>
        <item x="444"/>
        <item x="187"/>
        <item x="311"/>
        <item x="148"/>
        <item x="315"/>
        <item x="385"/>
        <item x="384"/>
        <item x="718"/>
        <item x="205"/>
        <item x="601"/>
        <item x="280"/>
        <item x="162"/>
        <item x="479"/>
        <item x="350"/>
        <item x="556"/>
        <item x="657"/>
        <item x="671"/>
        <item x="402"/>
        <item x="472"/>
        <item x="795"/>
        <item x="577"/>
        <item x="217"/>
        <item x="257"/>
        <item x="129"/>
        <item x="279"/>
        <item x="183"/>
        <item x="616"/>
        <item x="182"/>
        <item x="739"/>
        <item x="361"/>
        <item x="227"/>
        <item x="293"/>
        <item x="712"/>
        <item x="225"/>
        <item x="240"/>
        <item x="724"/>
        <item x="179"/>
        <item x="30"/>
        <item x="584"/>
        <item x="149"/>
        <item x="20"/>
        <item x="294"/>
        <item x="118"/>
        <item x="105"/>
        <item x="517"/>
        <item x="554"/>
        <item x="271"/>
        <item x="538"/>
        <item x="463"/>
        <item x="575"/>
        <item x="725"/>
        <item x="676"/>
        <item x="21"/>
        <item x="567"/>
        <item x="549"/>
        <item x="310"/>
        <item x="720"/>
        <item x="648"/>
        <item x="734"/>
        <item x="328"/>
        <item x="114"/>
        <item x="209"/>
        <item x="757"/>
        <item x="719"/>
        <item x="448"/>
        <item x="169"/>
        <item x="651"/>
        <item x="101"/>
        <item x="441"/>
        <item x="397"/>
        <item x="694"/>
        <item x="519"/>
        <item x="316"/>
        <item x="329"/>
        <item x="414"/>
        <item x="493"/>
        <item x="481"/>
        <item x="132"/>
        <item x="675"/>
        <item x="352"/>
        <item x="415"/>
        <item x="518"/>
        <item x="358"/>
        <item x="560"/>
        <item x="170"/>
        <item x="427"/>
        <item x="158"/>
        <item x="749"/>
        <item x="679"/>
        <item x="215"/>
        <item x="371"/>
        <item x="332"/>
        <item x="617"/>
        <item x="520"/>
        <item x="175"/>
        <item x="756"/>
        <item x="137"/>
        <item x="611"/>
        <item x="150"/>
        <item x="853"/>
        <item x="133"/>
        <item x="326"/>
        <item x="788"/>
        <item x="743"/>
        <item x="48"/>
        <item x="551"/>
        <item x="120"/>
        <item x="206"/>
        <item x="711"/>
        <item x="230"/>
        <item x="759"/>
        <item x="473"/>
        <item x="494"/>
        <item x="703"/>
        <item x="432"/>
        <item x="615"/>
        <item x="533"/>
        <item x="207"/>
        <item x="210"/>
        <item x="348"/>
        <item x="83"/>
        <item x="274"/>
        <item x="172"/>
        <item x="508"/>
        <item x="190"/>
        <item x="369"/>
        <item x="255"/>
        <item x="372"/>
        <item x="516"/>
        <item x="434"/>
        <item x="28"/>
        <item x="351"/>
        <item x="693"/>
        <item x="1"/>
        <item x="677"/>
        <item x="437"/>
        <item x="19"/>
        <item x="496"/>
        <item x="345"/>
        <item x="119"/>
        <item x="550"/>
        <item x="474"/>
        <item x="241"/>
        <item x="416"/>
        <item x="317"/>
        <item x="692"/>
        <item x="173"/>
        <item x="289"/>
        <item x="650"/>
        <item x="471"/>
        <item x="31"/>
        <item x="362"/>
        <item x="165"/>
        <item x="733"/>
        <item x="495"/>
        <item x="303"/>
        <item x="272"/>
        <item x="379"/>
        <item x="342"/>
        <item x="145"/>
        <item x="260"/>
        <item x="130"/>
        <item x="13"/>
        <item x="258"/>
        <item x="144"/>
        <item x="510"/>
        <item x="265"/>
        <item x="98"/>
        <item x="378"/>
        <item x="561"/>
        <item x="768"/>
        <item x="228"/>
        <item x="412"/>
        <item x="578"/>
        <item x="184"/>
        <item x="300"/>
        <item x="261"/>
        <item x="606"/>
        <item x="433"/>
        <item x="447"/>
        <item x="646"/>
        <item x="741"/>
        <item x="390"/>
        <item x="151"/>
        <item x="678"/>
        <item x="188"/>
        <item x="273"/>
        <item x="410"/>
        <item x="585"/>
        <item x="55"/>
        <item x="304"/>
        <item x="562"/>
        <item x="18"/>
        <item x="189"/>
        <item x="7"/>
        <item x="106"/>
        <item x="860"/>
        <item x="413"/>
        <item x="302"/>
        <item x="476"/>
        <item x="330"/>
        <item x="35"/>
        <item x="607"/>
        <item x="14"/>
        <item x="123"/>
        <item x="370"/>
        <item x="99"/>
        <item x="262"/>
        <item x="278"/>
        <item x="368"/>
        <item x="377"/>
        <item x="131"/>
        <item x="810"/>
        <item x="85"/>
        <item x="200"/>
        <item x="604"/>
        <item x="305"/>
        <item x="766"/>
        <item x="12"/>
        <item x="72"/>
        <item x="70"/>
        <item x="62"/>
        <item x="103"/>
        <item x="152"/>
        <item x="460"/>
        <item x="626"/>
        <item x="39"/>
        <item x="229"/>
        <item x="100"/>
        <item x="32"/>
        <item x="0"/>
        <item x="67"/>
        <item x="325"/>
        <item x="459"/>
        <item x="854"/>
        <item x="40"/>
        <item x="815"/>
        <item x="201"/>
        <item x="324"/>
        <item x="716"/>
        <item x="812"/>
        <item x="126"/>
        <item x="625"/>
        <item x="852"/>
        <item x="197"/>
        <item x="462"/>
        <item x="66"/>
        <item x="811"/>
        <item x="777"/>
        <item x="323"/>
        <item x="128"/>
        <item x="43"/>
        <item x="318"/>
        <item x="196"/>
        <item x="69"/>
        <item x="27"/>
        <item x="322"/>
        <item x="461"/>
        <item x="203"/>
        <item x="41"/>
        <item x="715"/>
        <item x="321"/>
        <item x="199"/>
        <item x="9"/>
        <item x="26"/>
        <item x="68"/>
        <item x="509"/>
        <item x="640"/>
        <item x="464"/>
        <item x="17"/>
        <item x="198"/>
        <item x="50"/>
        <item x="809"/>
        <item x="42"/>
        <item x="202"/>
        <item x="5"/>
        <item x="320"/>
        <item x="11"/>
        <item x="360"/>
        <item x="139"/>
        <item x="64"/>
        <item x="24"/>
        <item x="639"/>
        <item x="6"/>
        <item x="194"/>
        <item x="457"/>
        <item x="15"/>
        <item x="814"/>
        <item x="65"/>
        <item x="195"/>
        <item x="8"/>
        <item x="25"/>
        <item x="37"/>
        <item x="2"/>
        <item x="16"/>
        <item x="4"/>
        <item x="63"/>
        <item x="204"/>
        <item x="767"/>
        <item x="10"/>
        <item x="38"/>
        <item x="458"/>
        <item x="127"/>
        <item x="813"/>
        <item x="3"/>
        <item x="319"/>
        <item x="125"/>
        <item x="23"/>
        <item x="717"/>
        <item x="623"/>
        <item x="624"/>
        <item t="default"/>
      </items>
    </pivotField>
    <pivotField compact="0" outline="0" showAll="0"/>
  </pivotFields>
  <rowFields count="1">
    <field x="3"/>
  </rowFields>
  <rowItems count="6">
    <i>
      <x/>
    </i>
    <i>
      <x v="1"/>
    </i>
    <i>
      <x v="2"/>
    </i>
    <i>
      <x v="3"/>
    </i>
    <i>
      <x v="4"/>
    </i>
    <i t="grand">
      <x/>
    </i>
  </rowItems>
  <colFields count="1">
    <field x="9"/>
  </colFields>
  <colItems count="6">
    <i>
      <x v="1"/>
    </i>
    <i>
      <x v="2"/>
    </i>
    <i>
      <x v="3"/>
    </i>
    <i>
      <x v="4"/>
    </i>
    <i>
      <x v="5"/>
    </i>
    <i t="grand">
      <x/>
    </i>
  </colItems>
  <dataFields count="1">
    <dataField name="Average of Operating Profit" fld="10" subtotal="average" baseField="0" baseItem="0" numFmtId="6"/>
  </dataFields>
  <formats count="28">
    <format dxfId="27">
      <pivotArea type="origin" dataOnly="0" labelOnly="1" outline="0" fieldPosition="0"/>
    </format>
    <format dxfId="26">
      <pivotArea field="9" type="button" dataOnly="0" labelOnly="1" outline="0" axis="axisCol" fieldPosition="0"/>
    </format>
    <format dxfId="25">
      <pivotArea type="topRight" dataOnly="0" labelOnly="1" outline="0" fieldPosition="0"/>
    </format>
    <format dxfId="24">
      <pivotArea field="3" type="button" dataOnly="0" labelOnly="1" outline="0" axis="axisRow" fieldPosition="0"/>
    </format>
    <format dxfId="23">
      <pivotArea dataOnly="0" labelOnly="1" outline="0" fieldPosition="0">
        <references count="1">
          <reference field="9" count="5">
            <x v="1"/>
            <x v="2"/>
            <x v="3"/>
            <x v="4"/>
            <x v="5"/>
          </reference>
        </references>
      </pivotArea>
    </format>
    <format dxfId="22">
      <pivotArea dataOnly="0" labelOnly="1" grandCol="1" outline="0" fieldPosition="0"/>
    </format>
    <format dxfId="21">
      <pivotArea grandRow="1" outline="0" collapsedLevelsAreSubtotals="1" fieldPosition="0"/>
    </format>
    <format dxfId="20">
      <pivotArea dataOnly="0" labelOnly="1" grandRow="1" outline="0" fieldPosition="0"/>
    </format>
    <format dxfId="19">
      <pivotArea type="topRight" dataOnly="0" labelOnly="1" outline="0" fieldPosition="0"/>
    </format>
    <format dxfId="18">
      <pivotArea type="origin" dataOnly="0" labelOnly="1" outline="0" fieldPosition="0"/>
    </format>
    <format dxfId="17">
      <pivotArea field="9" type="button" dataOnly="0" labelOnly="1" outline="0" axis="axisCol" fieldPosition="0"/>
    </format>
    <format dxfId="16">
      <pivotArea field="3" type="button" dataOnly="0" labelOnly="1" outline="0" axis="axisRow" fieldPosition="0"/>
    </format>
    <format dxfId="15">
      <pivotArea dataOnly="0" labelOnly="1" outline="0" fieldPosition="0">
        <references count="1">
          <reference field="9" count="5">
            <x v="1"/>
            <x v="2"/>
            <x v="3"/>
            <x v="4"/>
            <x v="5"/>
          </reference>
        </references>
      </pivotArea>
    </format>
    <format dxfId="14">
      <pivotArea dataOnly="0" labelOnly="1" grandCol="1" outline="0" fieldPosition="0"/>
    </format>
    <format dxfId="13">
      <pivotArea outline="0" collapsedLevelsAreSubtotals="1" fieldPosition="0"/>
    </format>
    <format dxfId="12">
      <pivotArea field="3" type="button" dataOnly="0" labelOnly="1" outline="0" axis="axisRow" fieldPosition="0"/>
    </format>
    <format dxfId="11">
      <pivotArea dataOnly="0" labelOnly="1" outline="0" fieldPosition="0">
        <references count="1">
          <reference field="3" count="0"/>
        </references>
      </pivotArea>
    </format>
    <format dxfId="10">
      <pivotArea dataOnly="0" labelOnly="1" grandRow="1" outline="0" fieldPosition="0"/>
    </format>
    <format dxfId="9">
      <pivotArea dataOnly="0" labelOnly="1" outline="0" fieldPosition="0">
        <references count="1">
          <reference field="9" count="5">
            <x v="1"/>
            <x v="2"/>
            <x v="3"/>
            <x v="4"/>
            <x v="5"/>
          </reference>
        </references>
      </pivotArea>
    </format>
    <format dxfId="8">
      <pivotArea dataOnly="0" labelOnly="1" grandCol="1" outline="0" fieldPosition="0"/>
    </format>
    <format dxfId="7">
      <pivotArea type="origin" dataOnly="0" labelOnly="1" outline="0" fieldPosition="0"/>
    </format>
    <format dxfId="6">
      <pivotArea field="9" type="button" dataOnly="0" labelOnly="1" outline="0" axis="axisCol" fieldPosition="0"/>
    </format>
    <format dxfId="5">
      <pivotArea field="3" type="button" dataOnly="0" labelOnly="1" outline="0" axis="axisRow" fieldPosition="0"/>
    </format>
    <format dxfId="4">
      <pivotArea dataOnly="0" labelOnly="1" outline="0" fieldPosition="0">
        <references count="1">
          <reference field="9" count="1">
            <x v="1"/>
          </reference>
        </references>
      </pivotArea>
    </format>
    <format dxfId="3">
      <pivotArea dataOnly="0" labelOnly="1" outline="0" fieldPosition="0">
        <references count="1">
          <reference field="9" count="4">
            <x v="2"/>
            <x v="3"/>
            <x v="4"/>
            <x v="5"/>
          </reference>
        </references>
      </pivotArea>
    </format>
    <format dxfId="2">
      <pivotArea dataOnly="0" labelOnly="1" grandCol="1" outline="0" fieldPosition="0"/>
    </format>
    <format dxfId="1">
      <pivotArea grandRow="1" outline="0" collapsedLevelsAreSubtotals="1" fieldPosition="0"/>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CD573-34E2-4552-B92F-EABAB8E508B2}">
  <dimension ref="A1:R5000"/>
  <sheetViews>
    <sheetView tabSelected="1" topLeftCell="A2" zoomScale="96" zoomScaleNormal="96" workbookViewId="0">
      <selection activeCell="P16" sqref="P16"/>
    </sheetView>
  </sheetViews>
  <sheetFormatPr defaultRowHeight="14.5" x14ac:dyDescent="0.35"/>
  <cols>
    <col min="1" max="1" width="11.453125" bestFit="1" customWidth="1"/>
    <col min="2" max="2" width="9.1796875" bestFit="1" customWidth="1"/>
    <col min="3" max="3" width="10.81640625" bestFit="1" customWidth="1"/>
    <col min="4" max="4" width="9" bestFit="1" customWidth="1"/>
    <col min="5" max="5" width="13.54296875" bestFit="1" customWidth="1"/>
    <col min="6" max="6" width="12.54296875" bestFit="1" customWidth="1"/>
    <col min="7" max="7" width="23.1796875" bestFit="1" customWidth="1"/>
    <col min="8" max="8" width="11.7265625" bestFit="1" customWidth="1"/>
    <col min="9" max="9" width="8.81640625" bestFit="1" customWidth="1"/>
    <col min="10" max="10" width="9.54296875" bestFit="1" customWidth="1"/>
    <col min="11" max="11" width="13.54296875" bestFit="1" customWidth="1"/>
    <col min="12" max="12" width="11.54296875" bestFit="1" customWidth="1"/>
    <col min="14" max="14" width="18" customWidth="1"/>
    <col min="15" max="15" width="12" customWidth="1"/>
    <col min="16" max="16" width="18" customWidth="1"/>
    <col min="17" max="17" width="22.81640625" customWidth="1"/>
    <col min="18" max="18" width="28.81640625" customWidth="1"/>
  </cols>
  <sheetData>
    <row r="1" spans="1:18" x14ac:dyDescent="0.35">
      <c r="A1" s="31" t="s">
        <v>0</v>
      </c>
      <c r="B1" s="31" t="s">
        <v>1</v>
      </c>
      <c r="C1" s="31" t="s">
        <v>2</v>
      </c>
      <c r="D1" s="31" t="s">
        <v>3</v>
      </c>
      <c r="E1" s="31" t="s">
        <v>4</v>
      </c>
      <c r="F1" s="31" t="s">
        <v>5</v>
      </c>
      <c r="G1" s="31" t="s">
        <v>6</v>
      </c>
      <c r="H1" s="31" t="s">
        <v>7</v>
      </c>
      <c r="I1" s="31" t="s">
        <v>8</v>
      </c>
      <c r="J1" s="31" t="s">
        <v>9</v>
      </c>
      <c r="K1" s="31" t="s">
        <v>10</v>
      </c>
      <c r="L1" s="31" t="s">
        <v>11</v>
      </c>
    </row>
    <row r="2" spans="1:18" x14ac:dyDescent="0.35">
      <c r="A2" t="s">
        <v>12</v>
      </c>
      <c r="B2">
        <v>1128299</v>
      </c>
      <c r="C2" s="1">
        <v>44364</v>
      </c>
      <c r="D2" t="s">
        <v>13</v>
      </c>
      <c r="E2" t="s">
        <v>14</v>
      </c>
      <c r="F2" t="s">
        <v>15</v>
      </c>
      <c r="G2" t="s">
        <v>16</v>
      </c>
      <c r="H2" s="2">
        <v>103</v>
      </c>
      <c r="I2">
        <v>218</v>
      </c>
      <c r="J2" s="3">
        <v>2245</v>
      </c>
      <c r="K2" s="4">
        <v>1257</v>
      </c>
      <c r="L2" t="s">
        <v>17</v>
      </c>
    </row>
    <row r="3" spans="1:18" x14ac:dyDescent="0.35">
      <c r="A3" t="s">
        <v>18</v>
      </c>
      <c r="B3">
        <v>1128299</v>
      </c>
      <c r="C3" s="1">
        <v>44393</v>
      </c>
      <c r="D3" t="s">
        <v>19</v>
      </c>
      <c r="E3" t="s">
        <v>20</v>
      </c>
      <c r="F3" t="s">
        <v>21</v>
      </c>
      <c r="G3" t="s">
        <v>16</v>
      </c>
      <c r="H3" s="2">
        <v>103</v>
      </c>
      <c r="I3">
        <v>163</v>
      </c>
      <c r="J3" s="3">
        <v>1679</v>
      </c>
      <c r="K3" s="4">
        <v>806</v>
      </c>
      <c r="L3" t="s">
        <v>17</v>
      </c>
      <c r="N3" s="27" t="s">
        <v>22</v>
      </c>
    </row>
    <row r="4" spans="1:18" x14ac:dyDescent="0.35">
      <c r="A4" t="s">
        <v>23</v>
      </c>
      <c r="B4">
        <v>1197831</v>
      </c>
      <c r="C4" s="1">
        <v>44433</v>
      </c>
      <c r="D4" t="s">
        <v>19</v>
      </c>
      <c r="E4" t="s">
        <v>24</v>
      </c>
      <c r="F4" t="s">
        <v>25</v>
      </c>
      <c r="G4" t="s">
        <v>26</v>
      </c>
      <c r="H4" s="2">
        <v>10</v>
      </c>
      <c r="I4">
        <v>700</v>
      </c>
      <c r="J4" s="3">
        <v>7000</v>
      </c>
      <c r="K4" s="4">
        <v>3150</v>
      </c>
      <c r="L4" t="s">
        <v>27</v>
      </c>
      <c r="N4" s="28" t="s">
        <v>3</v>
      </c>
      <c r="O4" s="29" t="s">
        <v>28</v>
      </c>
      <c r="P4" s="28" t="s">
        <v>29</v>
      </c>
      <c r="Q4" s="28" t="s">
        <v>30</v>
      </c>
      <c r="R4" s="28" t="s">
        <v>31</v>
      </c>
    </row>
    <row r="5" spans="1:18" x14ac:dyDescent="0.35">
      <c r="A5" t="s">
        <v>23</v>
      </c>
      <c r="B5">
        <v>1197831</v>
      </c>
      <c r="C5" s="1">
        <v>44435</v>
      </c>
      <c r="D5" t="s">
        <v>19</v>
      </c>
      <c r="E5" t="s">
        <v>24</v>
      </c>
      <c r="F5" t="s">
        <v>25</v>
      </c>
      <c r="G5" t="s">
        <v>32</v>
      </c>
      <c r="H5" s="2">
        <v>15</v>
      </c>
      <c r="I5">
        <v>575</v>
      </c>
      <c r="J5" s="3">
        <v>8625</v>
      </c>
      <c r="K5" s="4">
        <v>3881</v>
      </c>
      <c r="L5" t="s">
        <v>27</v>
      </c>
      <c r="N5" s="16" t="str" cm="1">
        <f t="array" ref="N5:N9">_xlfn.UNIQUE(D2:D5000)</f>
        <v>Southeast</v>
      </c>
      <c r="O5" s="15">
        <f>COUNTIF($D$2:$D$5000,"Southeast")</f>
        <v>650</v>
      </c>
      <c r="P5" s="19">
        <f>O5/SUM($O$5:$O$9)</f>
        <v>0.13002600520104021</v>
      </c>
      <c r="Q5" s="15">
        <f>O5</f>
        <v>650</v>
      </c>
      <c r="R5" s="19">
        <f>Q5/SUM($O$5:$O$9)</f>
        <v>0.13002600520104021</v>
      </c>
    </row>
    <row r="6" spans="1:18" x14ac:dyDescent="0.35">
      <c r="A6" t="s">
        <v>23</v>
      </c>
      <c r="B6">
        <v>1197831</v>
      </c>
      <c r="C6" s="1">
        <v>44429</v>
      </c>
      <c r="D6" t="s">
        <v>19</v>
      </c>
      <c r="E6" t="s">
        <v>24</v>
      </c>
      <c r="F6" t="s">
        <v>25</v>
      </c>
      <c r="G6" t="s">
        <v>32</v>
      </c>
      <c r="H6" s="2">
        <v>15</v>
      </c>
      <c r="I6">
        <v>475</v>
      </c>
      <c r="J6" s="3">
        <v>7125</v>
      </c>
      <c r="K6" s="4">
        <v>3206</v>
      </c>
      <c r="L6" t="s">
        <v>27</v>
      </c>
      <c r="N6" s="16" t="str">
        <v>South</v>
      </c>
      <c r="O6" s="15">
        <f>COUNTIF($D$2:$D$5000,"South")</f>
        <v>1130</v>
      </c>
      <c r="P6" s="19">
        <f t="shared" ref="P6:P9" si="0">O6/SUM($O$5:$O$9)</f>
        <v>0.22604520904180836</v>
      </c>
      <c r="Q6" s="15">
        <f>O5+O6</f>
        <v>1780</v>
      </c>
      <c r="R6" s="19">
        <f t="shared" ref="R6:R9" si="1">Q6/SUM($O$5:$O$9)</f>
        <v>0.35607121424284854</v>
      </c>
    </row>
    <row r="7" spans="1:18" x14ac:dyDescent="0.35">
      <c r="A7" t="s">
        <v>18</v>
      </c>
      <c r="B7">
        <v>1185732</v>
      </c>
      <c r="C7" s="1">
        <v>44207</v>
      </c>
      <c r="D7" t="s">
        <v>33</v>
      </c>
      <c r="E7" t="s">
        <v>34</v>
      </c>
      <c r="F7" t="s">
        <v>35</v>
      </c>
      <c r="G7" t="s">
        <v>32</v>
      </c>
      <c r="H7" s="2">
        <v>15</v>
      </c>
      <c r="I7">
        <v>475</v>
      </c>
      <c r="J7" s="3">
        <v>7125</v>
      </c>
      <c r="K7" s="4">
        <v>2494</v>
      </c>
      <c r="L7" t="s">
        <v>36</v>
      </c>
      <c r="N7" s="16" t="str">
        <v>Midwest</v>
      </c>
      <c r="O7" s="15">
        <f>COUNTIF($D$2:$D$5000,"Midwest")</f>
        <v>809</v>
      </c>
      <c r="P7" s="19">
        <f t="shared" si="0"/>
        <v>0.16183236647329466</v>
      </c>
      <c r="Q7" s="15">
        <f>SUM(O5:O7)</f>
        <v>2589</v>
      </c>
      <c r="R7" s="19">
        <f t="shared" si="1"/>
        <v>0.51790358071614317</v>
      </c>
    </row>
    <row r="8" spans="1:18" x14ac:dyDescent="0.35">
      <c r="A8" t="s">
        <v>23</v>
      </c>
      <c r="B8">
        <v>1185732</v>
      </c>
      <c r="C8" s="1">
        <v>44517</v>
      </c>
      <c r="D8" t="s">
        <v>19</v>
      </c>
      <c r="E8" t="s">
        <v>37</v>
      </c>
      <c r="F8" t="s">
        <v>38</v>
      </c>
      <c r="G8" t="s">
        <v>39</v>
      </c>
      <c r="H8" s="2">
        <v>20</v>
      </c>
      <c r="I8">
        <v>450</v>
      </c>
      <c r="J8" s="3">
        <v>9000</v>
      </c>
      <c r="K8" s="4">
        <v>3150</v>
      </c>
      <c r="L8" t="s">
        <v>17</v>
      </c>
      <c r="N8" s="16" t="str">
        <v>Northeast</v>
      </c>
      <c r="O8" s="15">
        <f>COUNTIF($D$2:$D$5000,"Northeast")</f>
        <v>1001</v>
      </c>
      <c r="P8" s="19">
        <f t="shared" si="0"/>
        <v>0.20024004800960193</v>
      </c>
      <c r="Q8" s="15">
        <f>SUM(O5:O8)</f>
        <v>3590</v>
      </c>
      <c r="R8" s="19">
        <f t="shared" si="1"/>
        <v>0.71814362872574511</v>
      </c>
    </row>
    <row r="9" spans="1:18" x14ac:dyDescent="0.35">
      <c r="A9" t="s">
        <v>23</v>
      </c>
      <c r="B9">
        <v>1197831</v>
      </c>
      <c r="C9" s="1">
        <v>44219</v>
      </c>
      <c r="D9" t="s">
        <v>19</v>
      </c>
      <c r="E9" t="s">
        <v>37</v>
      </c>
      <c r="F9" t="s">
        <v>38</v>
      </c>
      <c r="G9" t="s">
        <v>32</v>
      </c>
      <c r="H9" s="2">
        <v>15</v>
      </c>
      <c r="I9">
        <v>450</v>
      </c>
      <c r="J9" s="3">
        <v>6750</v>
      </c>
      <c r="K9" s="4">
        <v>2700</v>
      </c>
      <c r="L9" t="s">
        <v>17</v>
      </c>
      <c r="N9" s="16" t="str">
        <v>West</v>
      </c>
      <c r="O9" s="15">
        <f>COUNTIF($D$2:$D$5000,"West")</f>
        <v>1409</v>
      </c>
      <c r="P9" s="19">
        <f t="shared" si="0"/>
        <v>0.28185637127425484</v>
      </c>
      <c r="Q9" s="15">
        <f>SUM(O5:O9)</f>
        <v>4999</v>
      </c>
      <c r="R9" s="19">
        <f t="shared" si="1"/>
        <v>1</v>
      </c>
    </row>
    <row r="10" spans="1:18" x14ac:dyDescent="0.35">
      <c r="A10" t="s">
        <v>18</v>
      </c>
      <c r="B10">
        <v>1185732</v>
      </c>
      <c r="C10" s="1">
        <v>44289</v>
      </c>
      <c r="D10" t="s">
        <v>33</v>
      </c>
      <c r="E10" t="s">
        <v>40</v>
      </c>
      <c r="F10" t="s">
        <v>41</v>
      </c>
      <c r="G10" t="s">
        <v>26</v>
      </c>
      <c r="H10" s="2">
        <v>20</v>
      </c>
      <c r="I10">
        <v>450</v>
      </c>
      <c r="J10" s="3">
        <v>9000</v>
      </c>
      <c r="K10" s="4">
        <v>2700</v>
      </c>
      <c r="L10" t="s">
        <v>36</v>
      </c>
    </row>
    <row r="11" spans="1:18" x14ac:dyDescent="0.35">
      <c r="A11" t="s">
        <v>42</v>
      </c>
      <c r="B11">
        <v>1185732</v>
      </c>
      <c r="C11" s="1">
        <v>43900</v>
      </c>
      <c r="D11" t="s">
        <v>43</v>
      </c>
      <c r="E11" t="s">
        <v>44</v>
      </c>
      <c r="F11" t="s">
        <v>44</v>
      </c>
      <c r="G11" t="s">
        <v>26</v>
      </c>
      <c r="H11" s="2">
        <v>44</v>
      </c>
      <c r="I11">
        <v>434</v>
      </c>
      <c r="J11" s="3">
        <v>1910</v>
      </c>
      <c r="K11" s="4">
        <v>993</v>
      </c>
      <c r="L11" t="s">
        <v>27</v>
      </c>
    </row>
    <row r="12" spans="1:18" x14ac:dyDescent="0.35">
      <c r="A12" t="s">
        <v>42</v>
      </c>
      <c r="B12">
        <v>1185732</v>
      </c>
      <c r="C12" s="1">
        <v>44214</v>
      </c>
      <c r="D12" t="s">
        <v>33</v>
      </c>
      <c r="E12" t="s">
        <v>45</v>
      </c>
      <c r="F12" t="s">
        <v>46</v>
      </c>
      <c r="G12" t="s">
        <v>32</v>
      </c>
      <c r="H12" s="2">
        <v>20</v>
      </c>
      <c r="I12">
        <v>425</v>
      </c>
      <c r="J12" s="3">
        <v>8500</v>
      </c>
      <c r="K12" s="4">
        <v>2975</v>
      </c>
      <c r="L12" t="s">
        <v>36</v>
      </c>
      <c r="N12" s="32" t="s">
        <v>47</v>
      </c>
      <c r="O12" s="32"/>
    </row>
    <row r="13" spans="1:18" x14ac:dyDescent="0.35">
      <c r="A13" t="s">
        <v>18</v>
      </c>
      <c r="B13">
        <v>1185732</v>
      </c>
      <c r="C13" s="1">
        <v>44238</v>
      </c>
      <c r="D13" t="s">
        <v>33</v>
      </c>
      <c r="E13" t="s">
        <v>34</v>
      </c>
      <c r="F13" t="s">
        <v>35</v>
      </c>
      <c r="G13" t="s">
        <v>32</v>
      </c>
      <c r="H13" s="2">
        <v>15</v>
      </c>
      <c r="I13">
        <v>425</v>
      </c>
      <c r="J13" s="3">
        <v>6375</v>
      </c>
      <c r="K13" s="4">
        <v>2231</v>
      </c>
      <c r="L13" t="s">
        <v>36</v>
      </c>
      <c r="N13" s="28" t="s">
        <v>3</v>
      </c>
      <c r="O13" s="30" t="s">
        <v>28</v>
      </c>
      <c r="P13" s="30" t="s">
        <v>29</v>
      </c>
      <c r="Q13" s="30" t="s">
        <v>30</v>
      </c>
      <c r="R13" s="29" t="s">
        <v>31</v>
      </c>
    </row>
    <row r="14" spans="1:18" x14ac:dyDescent="0.35">
      <c r="A14" t="s">
        <v>18</v>
      </c>
      <c r="B14">
        <v>1185732</v>
      </c>
      <c r="C14" s="1">
        <v>44358</v>
      </c>
      <c r="D14" t="s">
        <v>48</v>
      </c>
      <c r="E14" t="s">
        <v>49</v>
      </c>
      <c r="F14" t="s">
        <v>50</v>
      </c>
      <c r="G14" t="s">
        <v>32</v>
      </c>
      <c r="H14" s="2">
        <v>20</v>
      </c>
      <c r="I14">
        <v>425</v>
      </c>
      <c r="J14" s="3">
        <v>8500</v>
      </c>
      <c r="K14" s="4">
        <v>2975</v>
      </c>
      <c r="L14" t="s">
        <v>36</v>
      </c>
      <c r="N14" s="16" t="str" cm="1">
        <f t="array" ref="N14:N16">_xlfn.UNIQUE(L2:L5000)</f>
        <v>Online</v>
      </c>
      <c r="O14" s="15">
        <f>COUNTIF(L2:L5000,"Online")</f>
        <v>2867</v>
      </c>
      <c r="P14" s="19">
        <f>O14/SUM($O$14:$O$16)</f>
        <v>0.57351470294058815</v>
      </c>
      <c r="Q14" s="15">
        <f>O14</f>
        <v>2867</v>
      </c>
      <c r="R14" s="19">
        <f>Q14/Q16</f>
        <v>0.57351470294058815</v>
      </c>
    </row>
    <row r="15" spans="1:18" x14ac:dyDescent="0.35">
      <c r="A15" t="s">
        <v>51</v>
      </c>
      <c r="B15">
        <v>1185732</v>
      </c>
      <c r="C15" s="1">
        <v>44296</v>
      </c>
      <c r="D15" t="s">
        <v>33</v>
      </c>
      <c r="E15" t="s">
        <v>52</v>
      </c>
      <c r="F15" t="s">
        <v>53</v>
      </c>
      <c r="G15" t="s">
        <v>32</v>
      </c>
      <c r="H15" s="2">
        <v>20</v>
      </c>
      <c r="I15">
        <v>425</v>
      </c>
      <c r="J15" s="3">
        <v>8500</v>
      </c>
      <c r="K15" s="4">
        <v>3400</v>
      </c>
      <c r="L15" t="s">
        <v>17</v>
      </c>
      <c r="N15" s="16" t="str">
        <v>Outlet</v>
      </c>
      <c r="O15" s="15">
        <f>COUNTIF(L2:L5000,"Outlet")</f>
        <v>1735</v>
      </c>
      <c r="P15" s="19">
        <f t="shared" ref="P15:P16" si="2">O15/SUM($O$14:$O$16)</f>
        <v>0.34706941388277657</v>
      </c>
      <c r="Q15" s="15">
        <f>O14+O15</f>
        <v>4602</v>
      </c>
      <c r="R15" s="19">
        <f>Q15/Q16</f>
        <v>0.92058411682336472</v>
      </c>
    </row>
    <row r="16" spans="1:18" x14ac:dyDescent="0.35">
      <c r="A16" t="s">
        <v>42</v>
      </c>
      <c r="B16">
        <v>1185732</v>
      </c>
      <c r="C16" s="1">
        <v>44271</v>
      </c>
      <c r="D16" t="s">
        <v>19</v>
      </c>
      <c r="E16" t="s">
        <v>37</v>
      </c>
      <c r="F16" t="s">
        <v>38</v>
      </c>
      <c r="G16" t="s">
        <v>32</v>
      </c>
      <c r="H16" s="2">
        <v>15</v>
      </c>
      <c r="I16">
        <v>425</v>
      </c>
      <c r="J16" s="3">
        <v>6375</v>
      </c>
      <c r="K16" s="4">
        <v>2550</v>
      </c>
      <c r="L16" t="s">
        <v>17</v>
      </c>
      <c r="N16" s="16" t="str">
        <v>In-store</v>
      </c>
      <c r="O16" s="15">
        <f>COUNTIF(L2:L5000,"In-store")</f>
        <v>397</v>
      </c>
      <c r="P16" s="19">
        <f t="shared" si="2"/>
        <v>7.9415883176635324E-2</v>
      </c>
      <c r="Q16" s="15">
        <f>O14+O15+O16</f>
        <v>4999</v>
      </c>
      <c r="R16" s="19">
        <f>Q16/Q16</f>
        <v>1</v>
      </c>
    </row>
    <row r="17" spans="1:12" x14ac:dyDescent="0.35">
      <c r="A17" t="s">
        <v>12</v>
      </c>
      <c r="B17">
        <v>1185732</v>
      </c>
      <c r="C17" s="1">
        <v>44455</v>
      </c>
      <c r="D17" t="s">
        <v>19</v>
      </c>
      <c r="E17" t="s">
        <v>37</v>
      </c>
      <c r="F17" t="s">
        <v>38</v>
      </c>
      <c r="G17" t="s">
        <v>32</v>
      </c>
      <c r="H17" s="2">
        <v>20</v>
      </c>
      <c r="I17">
        <v>425</v>
      </c>
      <c r="J17" s="3">
        <v>8500</v>
      </c>
      <c r="K17" s="4">
        <v>3400</v>
      </c>
      <c r="L17" t="s">
        <v>17</v>
      </c>
    </row>
    <row r="18" spans="1:12" x14ac:dyDescent="0.35">
      <c r="A18" t="s">
        <v>12</v>
      </c>
      <c r="B18">
        <v>1197831</v>
      </c>
      <c r="C18" s="1">
        <v>44248</v>
      </c>
      <c r="D18" t="s">
        <v>19</v>
      </c>
      <c r="E18" t="s">
        <v>54</v>
      </c>
      <c r="F18" t="s">
        <v>55</v>
      </c>
      <c r="G18" t="s">
        <v>16</v>
      </c>
      <c r="H18" s="2">
        <v>20</v>
      </c>
      <c r="I18">
        <v>425</v>
      </c>
      <c r="J18" s="3">
        <v>8500</v>
      </c>
      <c r="K18" s="4">
        <v>3400</v>
      </c>
      <c r="L18" t="s">
        <v>17</v>
      </c>
    </row>
    <row r="19" spans="1:12" x14ac:dyDescent="0.35">
      <c r="A19" t="s">
        <v>12</v>
      </c>
      <c r="B19">
        <v>1197831</v>
      </c>
      <c r="C19" s="1">
        <v>44490</v>
      </c>
      <c r="D19" t="s">
        <v>19</v>
      </c>
      <c r="E19" t="s">
        <v>54</v>
      </c>
      <c r="F19" t="s">
        <v>55</v>
      </c>
      <c r="G19" t="s">
        <v>39</v>
      </c>
      <c r="H19" s="2">
        <v>20</v>
      </c>
      <c r="I19">
        <v>425</v>
      </c>
      <c r="J19" s="3">
        <v>8500</v>
      </c>
      <c r="K19" s="4">
        <v>2975</v>
      </c>
      <c r="L19" t="s">
        <v>17</v>
      </c>
    </row>
    <row r="20" spans="1:12" x14ac:dyDescent="0.35">
      <c r="A20" t="s">
        <v>12</v>
      </c>
      <c r="B20">
        <v>1185732</v>
      </c>
      <c r="C20" s="1">
        <v>43954</v>
      </c>
      <c r="D20" t="s">
        <v>43</v>
      </c>
      <c r="E20" t="s">
        <v>44</v>
      </c>
      <c r="F20" t="s">
        <v>44</v>
      </c>
      <c r="G20" t="s">
        <v>26</v>
      </c>
      <c r="H20" s="2">
        <v>48</v>
      </c>
      <c r="I20">
        <v>420</v>
      </c>
      <c r="J20" s="3">
        <v>2016</v>
      </c>
      <c r="K20" s="4">
        <v>1129</v>
      </c>
      <c r="L20" t="s">
        <v>27</v>
      </c>
    </row>
    <row r="21" spans="1:12" x14ac:dyDescent="0.35">
      <c r="A21" t="s">
        <v>12</v>
      </c>
      <c r="B21">
        <v>1185732</v>
      </c>
      <c r="C21" s="1">
        <v>43940</v>
      </c>
      <c r="D21" t="s">
        <v>43</v>
      </c>
      <c r="E21" t="s">
        <v>44</v>
      </c>
      <c r="F21" t="s">
        <v>44</v>
      </c>
      <c r="G21" t="s">
        <v>26</v>
      </c>
      <c r="H21" s="2">
        <v>39</v>
      </c>
      <c r="I21">
        <v>408</v>
      </c>
      <c r="J21" s="3">
        <v>1591</v>
      </c>
      <c r="K21" s="4">
        <v>875</v>
      </c>
      <c r="L21" t="s">
        <v>27</v>
      </c>
    </row>
    <row r="22" spans="1:12" x14ac:dyDescent="0.35">
      <c r="A22" t="s">
        <v>12</v>
      </c>
      <c r="B22">
        <v>1185732</v>
      </c>
      <c r="C22" s="1">
        <v>43948</v>
      </c>
      <c r="D22" t="s">
        <v>43</v>
      </c>
      <c r="E22" t="s">
        <v>44</v>
      </c>
      <c r="F22" t="s">
        <v>44</v>
      </c>
      <c r="G22" t="s">
        <v>26</v>
      </c>
      <c r="H22" s="2">
        <v>46</v>
      </c>
      <c r="I22">
        <v>403</v>
      </c>
      <c r="J22" s="3">
        <v>1854</v>
      </c>
      <c r="K22" s="4">
        <v>1038</v>
      </c>
      <c r="L22" t="s">
        <v>27</v>
      </c>
    </row>
    <row r="23" spans="1:12" x14ac:dyDescent="0.35">
      <c r="A23" t="s">
        <v>18</v>
      </c>
      <c r="B23">
        <v>1185732</v>
      </c>
      <c r="C23" s="1">
        <v>44265</v>
      </c>
      <c r="D23" t="s">
        <v>48</v>
      </c>
      <c r="E23" t="s">
        <v>49</v>
      </c>
      <c r="F23" t="s">
        <v>50</v>
      </c>
      <c r="G23" t="s">
        <v>32</v>
      </c>
      <c r="H23" s="2">
        <v>20</v>
      </c>
      <c r="I23">
        <v>400</v>
      </c>
      <c r="J23" s="3">
        <v>8000</v>
      </c>
      <c r="K23" s="4">
        <v>2800</v>
      </c>
      <c r="L23" t="s">
        <v>36</v>
      </c>
    </row>
    <row r="24" spans="1:12" x14ac:dyDescent="0.35">
      <c r="A24" t="s">
        <v>18</v>
      </c>
      <c r="B24">
        <v>1185732</v>
      </c>
      <c r="C24" s="1">
        <v>44358</v>
      </c>
      <c r="D24" t="s">
        <v>48</v>
      </c>
      <c r="E24" t="s">
        <v>49</v>
      </c>
      <c r="F24" t="s">
        <v>50</v>
      </c>
      <c r="G24" t="s">
        <v>56</v>
      </c>
      <c r="H24" s="2">
        <v>20</v>
      </c>
      <c r="I24">
        <v>400</v>
      </c>
      <c r="J24" s="3">
        <v>8000</v>
      </c>
      <c r="K24" s="4">
        <v>3200</v>
      </c>
      <c r="L24" t="s">
        <v>36</v>
      </c>
    </row>
    <row r="25" spans="1:12" x14ac:dyDescent="0.35">
      <c r="A25" t="s">
        <v>18</v>
      </c>
      <c r="B25">
        <v>1185732</v>
      </c>
      <c r="C25" s="1">
        <v>44480</v>
      </c>
      <c r="D25" t="s">
        <v>48</v>
      </c>
      <c r="E25" t="s">
        <v>49</v>
      </c>
      <c r="F25" t="s">
        <v>50</v>
      </c>
      <c r="G25" t="s">
        <v>39</v>
      </c>
      <c r="H25" s="2">
        <v>20</v>
      </c>
      <c r="I25">
        <v>400</v>
      </c>
      <c r="J25" s="3">
        <v>8000</v>
      </c>
      <c r="K25" s="4">
        <v>2800</v>
      </c>
      <c r="L25" t="s">
        <v>36</v>
      </c>
    </row>
    <row r="26" spans="1:12" x14ac:dyDescent="0.35">
      <c r="A26" t="s">
        <v>18</v>
      </c>
      <c r="B26">
        <v>1185732</v>
      </c>
      <c r="C26" s="1">
        <v>44511</v>
      </c>
      <c r="D26" t="s">
        <v>48</v>
      </c>
      <c r="E26" t="s">
        <v>49</v>
      </c>
      <c r="F26" t="s">
        <v>50</v>
      </c>
      <c r="G26" t="s">
        <v>39</v>
      </c>
      <c r="H26" s="2">
        <v>20</v>
      </c>
      <c r="I26">
        <v>400</v>
      </c>
      <c r="J26" s="3">
        <v>8000</v>
      </c>
      <c r="K26" s="4">
        <v>2800</v>
      </c>
      <c r="L26" t="s">
        <v>36</v>
      </c>
    </row>
    <row r="27" spans="1:12" x14ac:dyDescent="0.35">
      <c r="A27" t="s">
        <v>12</v>
      </c>
      <c r="B27">
        <v>1185732</v>
      </c>
      <c r="C27" s="1">
        <v>44455</v>
      </c>
      <c r="D27" t="s">
        <v>19</v>
      </c>
      <c r="E27" t="s">
        <v>37</v>
      </c>
      <c r="F27" t="s">
        <v>38</v>
      </c>
      <c r="G27" t="s">
        <v>56</v>
      </c>
      <c r="H27" s="2">
        <v>20</v>
      </c>
      <c r="I27">
        <v>400</v>
      </c>
      <c r="J27" s="3">
        <v>8000</v>
      </c>
      <c r="K27" s="4">
        <v>3200</v>
      </c>
      <c r="L27" t="s">
        <v>17</v>
      </c>
    </row>
    <row r="28" spans="1:12" x14ac:dyDescent="0.35">
      <c r="A28" t="s">
        <v>23</v>
      </c>
      <c r="B28">
        <v>1197831</v>
      </c>
      <c r="C28" s="1">
        <v>44248</v>
      </c>
      <c r="D28" t="s">
        <v>19</v>
      </c>
      <c r="E28" t="s">
        <v>37</v>
      </c>
      <c r="F28" t="s">
        <v>38</v>
      </c>
      <c r="G28" t="s">
        <v>32</v>
      </c>
      <c r="H28" s="2">
        <v>15</v>
      </c>
      <c r="I28">
        <v>400</v>
      </c>
      <c r="J28" s="3">
        <v>6000</v>
      </c>
      <c r="K28" s="4">
        <v>2400</v>
      </c>
      <c r="L28" t="s">
        <v>17</v>
      </c>
    </row>
    <row r="29" spans="1:12" x14ac:dyDescent="0.35">
      <c r="A29" t="s">
        <v>42</v>
      </c>
      <c r="B29">
        <v>1185732</v>
      </c>
      <c r="C29" s="1">
        <v>43894</v>
      </c>
      <c r="D29" t="s">
        <v>43</v>
      </c>
      <c r="E29" t="s">
        <v>44</v>
      </c>
      <c r="F29" t="s">
        <v>44</v>
      </c>
      <c r="G29" t="s">
        <v>26</v>
      </c>
      <c r="H29" s="2">
        <v>47</v>
      </c>
      <c r="I29">
        <v>400</v>
      </c>
      <c r="J29" s="3">
        <v>1880</v>
      </c>
      <c r="K29" s="4">
        <v>978</v>
      </c>
      <c r="L29" t="s">
        <v>27</v>
      </c>
    </row>
    <row r="30" spans="1:12" x14ac:dyDescent="0.35">
      <c r="A30" t="s">
        <v>42</v>
      </c>
      <c r="B30">
        <v>1185732</v>
      </c>
      <c r="C30" s="1">
        <v>43855</v>
      </c>
      <c r="D30" t="s">
        <v>43</v>
      </c>
      <c r="E30" t="s">
        <v>44</v>
      </c>
      <c r="F30" t="s">
        <v>44</v>
      </c>
      <c r="G30" t="s">
        <v>26</v>
      </c>
      <c r="H30" s="2">
        <v>40</v>
      </c>
      <c r="I30">
        <v>390</v>
      </c>
      <c r="J30" s="3">
        <v>1560</v>
      </c>
      <c r="K30" s="4">
        <v>811</v>
      </c>
      <c r="L30" t="s">
        <v>27</v>
      </c>
    </row>
    <row r="31" spans="1:12" x14ac:dyDescent="0.35">
      <c r="A31" t="s">
        <v>42</v>
      </c>
      <c r="B31">
        <v>1185732</v>
      </c>
      <c r="C31" s="1">
        <v>43837</v>
      </c>
      <c r="D31" t="s">
        <v>43</v>
      </c>
      <c r="E31" t="s">
        <v>44</v>
      </c>
      <c r="F31" t="s">
        <v>44</v>
      </c>
      <c r="G31" t="s">
        <v>26</v>
      </c>
      <c r="H31" s="2">
        <v>33</v>
      </c>
      <c r="I31">
        <v>388</v>
      </c>
      <c r="J31" s="3">
        <v>1280</v>
      </c>
      <c r="K31" s="4">
        <v>666</v>
      </c>
      <c r="L31" t="s">
        <v>27</v>
      </c>
    </row>
    <row r="32" spans="1:12" x14ac:dyDescent="0.35">
      <c r="A32" t="s">
        <v>42</v>
      </c>
      <c r="B32">
        <v>1185732</v>
      </c>
      <c r="C32" s="1">
        <v>43831</v>
      </c>
      <c r="D32" t="s">
        <v>43</v>
      </c>
      <c r="E32" t="s">
        <v>44</v>
      </c>
      <c r="F32" t="s">
        <v>44</v>
      </c>
      <c r="G32" t="s">
        <v>26</v>
      </c>
      <c r="H32" s="2">
        <v>34</v>
      </c>
      <c r="I32">
        <v>384</v>
      </c>
      <c r="J32" s="3">
        <v>1306</v>
      </c>
      <c r="K32" s="4">
        <v>679</v>
      </c>
      <c r="L32" t="s">
        <v>27</v>
      </c>
    </row>
    <row r="33" spans="1:12" x14ac:dyDescent="0.35">
      <c r="A33" t="s">
        <v>42</v>
      </c>
      <c r="B33">
        <v>1185732</v>
      </c>
      <c r="C33" s="1">
        <v>44234</v>
      </c>
      <c r="D33" t="s">
        <v>13</v>
      </c>
      <c r="E33" t="s">
        <v>57</v>
      </c>
      <c r="F33" t="s">
        <v>58</v>
      </c>
      <c r="G33" t="s">
        <v>26</v>
      </c>
      <c r="H33" s="2">
        <v>31</v>
      </c>
      <c r="I33">
        <v>376</v>
      </c>
      <c r="J33" s="3">
        <v>1166</v>
      </c>
      <c r="K33" s="4">
        <v>559</v>
      </c>
      <c r="L33" t="s">
        <v>27</v>
      </c>
    </row>
    <row r="34" spans="1:12" x14ac:dyDescent="0.35">
      <c r="A34" t="s">
        <v>23</v>
      </c>
      <c r="B34">
        <v>1197831</v>
      </c>
      <c r="C34" s="1">
        <v>44430</v>
      </c>
      <c r="D34" t="s">
        <v>19</v>
      </c>
      <c r="E34" t="s">
        <v>24</v>
      </c>
      <c r="F34" t="s">
        <v>25</v>
      </c>
      <c r="G34" t="s">
        <v>56</v>
      </c>
      <c r="H34" s="2">
        <v>20</v>
      </c>
      <c r="I34">
        <v>375</v>
      </c>
      <c r="J34" s="3">
        <v>7500</v>
      </c>
      <c r="K34" s="4">
        <v>4125</v>
      </c>
      <c r="L34" t="s">
        <v>27</v>
      </c>
    </row>
    <row r="35" spans="1:12" x14ac:dyDescent="0.35">
      <c r="A35" t="s">
        <v>42</v>
      </c>
      <c r="B35">
        <v>1185732</v>
      </c>
      <c r="C35" s="1">
        <v>44245</v>
      </c>
      <c r="D35" t="s">
        <v>33</v>
      </c>
      <c r="E35" t="s">
        <v>45</v>
      </c>
      <c r="F35" t="s">
        <v>46</v>
      </c>
      <c r="G35" t="s">
        <v>32</v>
      </c>
      <c r="H35" s="2">
        <v>20</v>
      </c>
      <c r="I35">
        <v>375</v>
      </c>
      <c r="J35" s="3">
        <v>7500</v>
      </c>
      <c r="K35" s="4">
        <v>2625</v>
      </c>
      <c r="L35" t="s">
        <v>36</v>
      </c>
    </row>
    <row r="36" spans="1:12" x14ac:dyDescent="0.35">
      <c r="A36" t="s">
        <v>18</v>
      </c>
      <c r="B36">
        <v>1185732</v>
      </c>
      <c r="C36" s="1">
        <v>44419</v>
      </c>
      <c r="D36" t="s">
        <v>48</v>
      </c>
      <c r="E36" t="s">
        <v>49</v>
      </c>
      <c r="F36" t="s">
        <v>50</v>
      </c>
      <c r="G36" t="s">
        <v>56</v>
      </c>
      <c r="H36" s="2">
        <v>20</v>
      </c>
      <c r="I36">
        <v>375</v>
      </c>
      <c r="J36" s="3">
        <v>7500</v>
      </c>
      <c r="K36" s="4">
        <v>3000</v>
      </c>
      <c r="L36" t="s">
        <v>36</v>
      </c>
    </row>
    <row r="37" spans="1:12" x14ac:dyDescent="0.35">
      <c r="A37" t="s">
        <v>18</v>
      </c>
      <c r="B37">
        <v>1185732</v>
      </c>
      <c r="C37" s="1">
        <v>44511</v>
      </c>
      <c r="D37" t="s">
        <v>48</v>
      </c>
      <c r="E37" t="s">
        <v>49</v>
      </c>
      <c r="F37" t="s">
        <v>50</v>
      </c>
      <c r="G37" t="s">
        <v>56</v>
      </c>
      <c r="H37" s="2">
        <v>20</v>
      </c>
      <c r="I37">
        <v>375</v>
      </c>
      <c r="J37" s="3">
        <v>7500</v>
      </c>
      <c r="K37" s="4">
        <v>3000</v>
      </c>
      <c r="L37" t="s">
        <v>36</v>
      </c>
    </row>
    <row r="38" spans="1:12" x14ac:dyDescent="0.35">
      <c r="A38" t="s">
        <v>42</v>
      </c>
      <c r="B38">
        <v>1185732</v>
      </c>
      <c r="C38" s="1">
        <v>44303</v>
      </c>
      <c r="D38" t="s">
        <v>19</v>
      </c>
      <c r="E38" t="s">
        <v>37</v>
      </c>
      <c r="F38" t="s">
        <v>38</v>
      </c>
      <c r="G38" t="s">
        <v>32</v>
      </c>
      <c r="H38" s="2">
        <v>15</v>
      </c>
      <c r="I38">
        <v>375</v>
      </c>
      <c r="J38" s="3">
        <v>5625</v>
      </c>
      <c r="K38" s="4">
        <v>2250</v>
      </c>
      <c r="L38" t="s">
        <v>17</v>
      </c>
    </row>
    <row r="39" spans="1:12" x14ac:dyDescent="0.35">
      <c r="A39" t="s">
        <v>18</v>
      </c>
      <c r="B39">
        <v>1197831</v>
      </c>
      <c r="C39" s="1">
        <v>44520</v>
      </c>
      <c r="D39" t="s">
        <v>19</v>
      </c>
      <c r="E39" t="s">
        <v>54</v>
      </c>
      <c r="F39" t="s">
        <v>55</v>
      </c>
      <c r="G39" t="s">
        <v>39</v>
      </c>
      <c r="H39" s="2">
        <v>15</v>
      </c>
      <c r="I39">
        <v>375</v>
      </c>
      <c r="J39" s="3">
        <v>5625</v>
      </c>
      <c r="K39" s="4">
        <v>1969</v>
      </c>
      <c r="L39" t="s">
        <v>17</v>
      </c>
    </row>
    <row r="40" spans="1:12" x14ac:dyDescent="0.35">
      <c r="A40" t="s">
        <v>18</v>
      </c>
      <c r="B40">
        <v>1197831</v>
      </c>
      <c r="C40" s="1">
        <v>44219</v>
      </c>
      <c r="D40" t="s">
        <v>19</v>
      </c>
      <c r="E40" t="s">
        <v>54</v>
      </c>
      <c r="F40" t="s">
        <v>55</v>
      </c>
      <c r="G40" t="s">
        <v>32</v>
      </c>
      <c r="H40" s="2">
        <v>15</v>
      </c>
      <c r="I40">
        <v>375</v>
      </c>
      <c r="J40" s="3">
        <v>5625</v>
      </c>
      <c r="K40" s="4">
        <v>2250</v>
      </c>
      <c r="L40" t="s">
        <v>17</v>
      </c>
    </row>
    <row r="41" spans="1:12" x14ac:dyDescent="0.35">
      <c r="A41" t="s">
        <v>42</v>
      </c>
      <c r="B41">
        <v>1185732</v>
      </c>
      <c r="C41" s="1">
        <v>43906</v>
      </c>
      <c r="D41" t="s">
        <v>43</v>
      </c>
      <c r="E41" t="s">
        <v>44</v>
      </c>
      <c r="F41" t="s">
        <v>44</v>
      </c>
      <c r="G41" t="s">
        <v>26</v>
      </c>
      <c r="H41" s="2">
        <v>41</v>
      </c>
      <c r="I41">
        <v>375</v>
      </c>
      <c r="J41" s="3">
        <v>1538</v>
      </c>
      <c r="K41" s="4">
        <v>800</v>
      </c>
      <c r="L41" t="s">
        <v>27</v>
      </c>
    </row>
    <row r="42" spans="1:12" x14ac:dyDescent="0.35">
      <c r="A42" t="s">
        <v>12</v>
      </c>
      <c r="B42">
        <v>1197831</v>
      </c>
      <c r="C42" s="1">
        <v>44069</v>
      </c>
      <c r="D42" t="s">
        <v>19</v>
      </c>
      <c r="E42" t="s">
        <v>59</v>
      </c>
      <c r="F42" t="s">
        <v>60</v>
      </c>
      <c r="G42" t="s">
        <v>32</v>
      </c>
      <c r="H42" s="2">
        <v>29</v>
      </c>
      <c r="I42">
        <v>374</v>
      </c>
      <c r="J42" s="3">
        <v>1085</v>
      </c>
      <c r="K42" s="4">
        <v>445</v>
      </c>
      <c r="L42" t="s">
        <v>27</v>
      </c>
    </row>
    <row r="43" spans="1:12" x14ac:dyDescent="0.35">
      <c r="A43" t="s">
        <v>12</v>
      </c>
      <c r="B43">
        <v>1197831</v>
      </c>
      <c r="C43" s="1">
        <v>44075</v>
      </c>
      <c r="D43" t="s">
        <v>19</v>
      </c>
      <c r="E43" t="s">
        <v>59</v>
      </c>
      <c r="F43" t="s">
        <v>60</v>
      </c>
      <c r="G43" t="s">
        <v>32</v>
      </c>
      <c r="H43" s="2">
        <v>29</v>
      </c>
      <c r="I43">
        <v>374</v>
      </c>
      <c r="J43" s="3">
        <v>1085</v>
      </c>
      <c r="K43" s="4">
        <v>445</v>
      </c>
      <c r="L43" t="s">
        <v>27</v>
      </c>
    </row>
    <row r="44" spans="1:12" x14ac:dyDescent="0.35">
      <c r="A44" t="s">
        <v>42</v>
      </c>
      <c r="B44">
        <v>1185732</v>
      </c>
      <c r="C44" s="1">
        <v>43861</v>
      </c>
      <c r="D44" t="s">
        <v>43</v>
      </c>
      <c r="E44" t="s">
        <v>44</v>
      </c>
      <c r="F44" t="s">
        <v>44</v>
      </c>
      <c r="G44" t="s">
        <v>26</v>
      </c>
      <c r="H44" s="2">
        <v>33</v>
      </c>
      <c r="I44">
        <v>372</v>
      </c>
      <c r="J44" s="3">
        <v>1228</v>
      </c>
      <c r="K44" s="4">
        <v>663</v>
      </c>
      <c r="L44" t="s">
        <v>27</v>
      </c>
    </row>
    <row r="45" spans="1:12" x14ac:dyDescent="0.35">
      <c r="A45" t="s">
        <v>42</v>
      </c>
      <c r="B45">
        <v>1185732</v>
      </c>
      <c r="C45" s="1">
        <v>43867</v>
      </c>
      <c r="D45" t="s">
        <v>43</v>
      </c>
      <c r="E45" t="s">
        <v>44</v>
      </c>
      <c r="F45" t="s">
        <v>44</v>
      </c>
      <c r="G45" t="s">
        <v>26</v>
      </c>
      <c r="H45" s="2">
        <v>44</v>
      </c>
      <c r="I45">
        <v>366</v>
      </c>
      <c r="J45" s="3">
        <v>1610</v>
      </c>
      <c r="K45" s="4">
        <v>837</v>
      </c>
      <c r="L45" t="s">
        <v>27</v>
      </c>
    </row>
    <row r="46" spans="1:12" x14ac:dyDescent="0.35">
      <c r="A46" t="s">
        <v>12</v>
      </c>
      <c r="B46">
        <v>1185732</v>
      </c>
      <c r="C46" s="1">
        <v>43940</v>
      </c>
      <c r="D46" t="s">
        <v>43</v>
      </c>
      <c r="E46" t="s">
        <v>44</v>
      </c>
      <c r="F46" t="s">
        <v>44</v>
      </c>
      <c r="G46" t="s">
        <v>26</v>
      </c>
      <c r="H46" s="2">
        <v>56</v>
      </c>
      <c r="I46">
        <v>360</v>
      </c>
      <c r="J46" s="3">
        <v>2016</v>
      </c>
      <c r="K46" s="4">
        <v>1250</v>
      </c>
      <c r="L46" t="s">
        <v>17</v>
      </c>
    </row>
    <row r="47" spans="1:12" x14ac:dyDescent="0.35">
      <c r="A47" t="s">
        <v>42</v>
      </c>
      <c r="B47">
        <v>1185732</v>
      </c>
      <c r="C47" s="1">
        <v>43907</v>
      </c>
      <c r="D47" t="s">
        <v>43</v>
      </c>
      <c r="E47" t="s">
        <v>44</v>
      </c>
      <c r="F47" t="s">
        <v>44</v>
      </c>
      <c r="G47" t="s">
        <v>39</v>
      </c>
      <c r="H47" s="2">
        <v>37</v>
      </c>
      <c r="I47">
        <v>359</v>
      </c>
      <c r="J47" s="3">
        <v>1328</v>
      </c>
      <c r="K47" s="4">
        <v>452</v>
      </c>
      <c r="L47" t="s">
        <v>27</v>
      </c>
    </row>
    <row r="48" spans="1:12" x14ac:dyDescent="0.35">
      <c r="A48" t="s">
        <v>12</v>
      </c>
      <c r="B48">
        <v>1185732</v>
      </c>
      <c r="C48" s="1">
        <v>43939</v>
      </c>
      <c r="D48" t="s">
        <v>43</v>
      </c>
      <c r="E48" t="s">
        <v>44</v>
      </c>
      <c r="F48" t="s">
        <v>44</v>
      </c>
      <c r="G48" t="s">
        <v>16</v>
      </c>
      <c r="H48" s="2">
        <v>48</v>
      </c>
      <c r="I48">
        <v>355</v>
      </c>
      <c r="J48" s="3">
        <v>1704</v>
      </c>
      <c r="K48" s="4">
        <v>511</v>
      </c>
      <c r="L48" t="s">
        <v>27</v>
      </c>
    </row>
    <row r="49" spans="1:12" x14ac:dyDescent="0.35">
      <c r="A49" t="s">
        <v>42</v>
      </c>
      <c r="B49">
        <v>1185732</v>
      </c>
      <c r="C49" s="1">
        <v>43855</v>
      </c>
      <c r="D49" t="s">
        <v>43</v>
      </c>
      <c r="E49" t="s">
        <v>44</v>
      </c>
      <c r="F49" t="s">
        <v>44</v>
      </c>
      <c r="G49" t="s">
        <v>26</v>
      </c>
      <c r="H49" s="2">
        <v>46</v>
      </c>
      <c r="I49">
        <v>354</v>
      </c>
      <c r="J49" s="3">
        <v>1628</v>
      </c>
      <c r="K49" s="4">
        <v>1026</v>
      </c>
      <c r="L49" t="s">
        <v>17</v>
      </c>
    </row>
    <row r="50" spans="1:12" x14ac:dyDescent="0.35">
      <c r="A50" t="s">
        <v>42</v>
      </c>
      <c r="B50">
        <v>1185732</v>
      </c>
      <c r="C50" s="1">
        <v>43905</v>
      </c>
      <c r="D50" t="s">
        <v>43</v>
      </c>
      <c r="E50" t="s">
        <v>44</v>
      </c>
      <c r="F50" t="s">
        <v>44</v>
      </c>
      <c r="G50" t="s">
        <v>16</v>
      </c>
      <c r="H50" s="2">
        <v>47</v>
      </c>
      <c r="I50">
        <v>352</v>
      </c>
      <c r="J50" s="3">
        <v>1654</v>
      </c>
      <c r="K50" s="4">
        <v>447</v>
      </c>
      <c r="L50" t="s">
        <v>27</v>
      </c>
    </row>
    <row r="51" spans="1:12" x14ac:dyDescent="0.35">
      <c r="A51" t="s">
        <v>42</v>
      </c>
      <c r="B51">
        <v>1185732</v>
      </c>
      <c r="C51" s="1">
        <v>44272</v>
      </c>
      <c r="D51" t="s">
        <v>33</v>
      </c>
      <c r="E51" t="s">
        <v>34</v>
      </c>
      <c r="F51" t="s">
        <v>35</v>
      </c>
      <c r="G51" t="s">
        <v>32</v>
      </c>
      <c r="H51" s="2">
        <v>25</v>
      </c>
      <c r="I51">
        <v>350</v>
      </c>
      <c r="J51" s="3">
        <v>8750</v>
      </c>
      <c r="K51" s="4">
        <v>3063</v>
      </c>
      <c r="L51" t="s">
        <v>36</v>
      </c>
    </row>
    <row r="52" spans="1:12" x14ac:dyDescent="0.35">
      <c r="A52" t="s">
        <v>42</v>
      </c>
      <c r="B52">
        <v>1185732</v>
      </c>
      <c r="C52" s="1">
        <v>44365</v>
      </c>
      <c r="D52" t="s">
        <v>33</v>
      </c>
      <c r="E52" t="s">
        <v>34</v>
      </c>
      <c r="F52" t="s">
        <v>35</v>
      </c>
      <c r="G52" t="s">
        <v>56</v>
      </c>
      <c r="H52" s="2">
        <v>25</v>
      </c>
      <c r="I52">
        <v>350</v>
      </c>
      <c r="J52" s="3">
        <v>8750</v>
      </c>
      <c r="K52" s="4">
        <v>3500</v>
      </c>
      <c r="L52" t="s">
        <v>36</v>
      </c>
    </row>
    <row r="53" spans="1:12" x14ac:dyDescent="0.35">
      <c r="A53" t="s">
        <v>42</v>
      </c>
      <c r="B53">
        <v>1185732</v>
      </c>
      <c r="C53" s="1">
        <v>44487</v>
      </c>
      <c r="D53" t="s">
        <v>33</v>
      </c>
      <c r="E53" t="s">
        <v>34</v>
      </c>
      <c r="F53" t="s">
        <v>35</v>
      </c>
      <c r="G53" t="s">
        <v>39</v>
      </c>
      <c r="H53" s="2">
        <v>25</v>
      </c>
      <c r="I53">
        <v>350</v>
      </c>
      <c r="J53" s="3">
        <v>8750</v>
      </c>
      <c r="K53" s="4">
        <v>3063</v>
      </c>
      <c r="L53" t="s">
        <v>36</v>
      </c>
    </row>
    <row r="54" spans="1:12" x14ac:dyDescent="0.35">
      <c r="A54" t="s">
        <v>42</v>
      </c>
      <c r="B54">
        <v>1185732</v>
      </c>
      <c r="C54" s="1">
        <v>44518</v>
      </c>
      <c r="D54" t="s">
        <v>33</v>
      </c>
      <c r="E54" t="s">
        <v>34</v>
      </c>
      <c r="F54" t="s">
        <v>35</v>
      </c>
      <c r="G54" t="s">
        <v>39</v>
      </c>
      <c r="H54" s="2">
        <v>25</v>
      </c>
      <c r="I54">
        <v>350</v>
      </c>
      <c r="J54" s="3">
        <v>8750</v>
      </c>
      <c r="K54" s="4">
        <v>3063</v>
      </c>
      <c r="L54" t="s">
        <v>36</v>
      </c>
    </row>
    <row r="55" spans="1:12" x14ac:dyDescent="0.35">
      <c r="A55" t="s">
        <v>18</v>
      </c>
      <c r="B55">
        <v>1185732</v>
      </c>
      <c r="C55" s="1">
        <v>44328</v>
      </c>
      <c r="D55" t="s">
        <v>48</v>
      </c>
      <c r="E55" t="s">
        <v>49</v>
      </c>
      <c r="F55" t="s">
        <v>50</v>
      </c>
      <c r="G55" t="s">
        <v>32</v>
      </c>
      <c r="H55" s="2">
        <v>25</v>
      </c>
      <c r="I55">
        <v>350</v>
      </c>
      <c r="J55" s="3">
        <v>8750</v>
      </c>
      <c r="K55" s="4">
        <v>3063</v>
      </c>
      <c r="L55" t="s">
        <v>36</v>
      </c>
    </row>
    <row r="56" spans="1:12" x14ac:dyDescent="0.35">
      <c r="A56" t="s">
        <v>18</v>
      </c>
      <c r="B56">
        <v>1185732</v>
      </c>
      <c r="C56" s="1">
        <v>44451</v>
      </c>
      <c r="D56" t="s">
        <v>48</v>
      </c>
      <c r="E56" t="s">
        <v>49</v>
      </c>
      <c r="F56" t="s">
        <v>50</v>
      </c>
      <c r="G56" t="s">
        <v>32</v>
      </c>
      <c r="H56" s="2">
        <v>10</v>
      </c>
      <c r="I56">
        <v>350</v>
      </c>
      <c r="J56" s="3">
        <v>3500</v>
      </c>
      <c r="K56" s="4">
        <v>1225</v>
      </c>
      <c r="L56" t="s">
        <v>36</v>
      </c>
    </row>
    <row r="57" spans="1:12" x14ac:dyDescent="0.35">
      <c r="A57" t="s">
        <v>51</v>
      </c>
      <c r="B57">
        <v>1185732</v>
      </c>
      <c r="C57" s="1">
        <v>44296</v>
      </c>
      <c r="D57" t="s">
        <v>33</v>
      </c>
      <c r="E57" t="s">
        <v>52</v>
      </c>
      <c r="F57" t="s">
        <v>53</v>
      </c>
      <c r="G57" t="s">
        <v>56</v>
      </c>
      <c r="H57" s="2">
        <v>25</v>
      </c>
      <c r="I57">
        <v>350</v>
      </c>
      <c r="J57" s="3">
        <v>8750</v>
      </c>
      <c r="K57" s="4">
        <v>3500</v>
      </c>
      <c r="L57" t="s">
        <v>17</v>
      </c>
    </row>
    <row r="58" spans="1:12" x14ac:dyDescent="0.35">
      <c r="A58" t="s">
        <v>12</v>
      </c>
      <c r="B58">
        <v>1185732</v>
      </c>
      <c r="C58" s="1">
        <v>44487</v>
      </c>
      <c r="D58" t="s">
        <v>19</v>
      </c>
      <c r="E58" t="s">
        <v>37</v>
      </c>
      <c r="F58" t="s">
        <v>38</v>
      </c>
      <c r="G58" t="s">
        <v>56</v>
      </c>
      <c r="H58" s="2">
        <v>25</v>
      </c>
      <c r="I58">
        <v>350</v>
      </c>
      <c r="J58" s="3">
        <v>8750</v>
      </c>
      <c r="K58" s="4">
        <v>3500</v>
      </c>
      <c r="L58" t="s">
        <v>17</v>
      </c>
    </row>
    <row r="59" spans="1:12" x14ac:dyDescent="0.35">
      <c r="A59" t="s">
        <v>23</v>
      </c>
      <c r="B59">
        <v>1197831</v>
      </c>
      <c r="C59" s="1">
        <v>44248</v>
      </c>
      <c r="D59" t="s">
        <v>19</v>
      </c>
      <c r="E59" t="s">
        <v>37</v>
      </c>
      <c r="F59" t="s">
        <v>38</v>
      </c>
      <c r="G59" t="s">
        <v>39</v>
      </c>
      <c r="H59" s="2">
        <v>25</v>
      </c>
      <c r="I59">
        <v>350</v>
      </c>
      <c r="J59" s="3">
        <v>8750</v>
      </c>
      <c r="K59" s="4">
        <v>3063</v>
      </c>
      <c r="L59" t="s">
        <v>17</v>
      </c>
    </row>
    <row r="60" spans="1:12" x14ac:dyDescent="0.35">
      <c r="A60" t="s">
        <v>12</v>
      </c>
      <c r="B60">
        <v>1197831</v>
      </c>
      <c r="C60" s="1">
        <v>44274</v>
      </c>
      <c r="D60" t="s">
        <v>19</v>
      </c>
      <c r="E60" t="s">
        <v>54</v>
      </c>
      <c r="F60" t="s">
        <v>55</v>
      </c>
      <c r="G60" t="s">
        <v>32</v>
      </c>
      <c r="H60" s="2">
        <v>10</v>
      </c>
      <c r="I60">
        <v>350</v>
      </c>
      <c r="J60" s="3">
        <v>3500</v>
      </c>
      <c r="K60" s="4">
        <v>1400</v>
      </c>
      <c r="L60" t="s">
        <v>17</v>
      </c>
    </row>
    <row r="61" spans="1:12" x14ac:dyDescent="0.35">
      <c r="A61" t="s">
        <v>12</v>
      </c>
      <c r="B61">
        <v>1197831</v>
      </c>
      <c r="C61" s="1">
        <v>44274</v>
      </c>
      <c r="D61" t="s">
        <v>19</v>
      </c>
      <c r="E61" t="s">
        <v>54</v>
      </c>
      <c r="F61" t="s">
        <v>55</v>
      </c>
      <c r="G61" t="s">
        <v>16</v>
      </c>
      <c r="H61" s="2">
        <v>25</v>
      </c>
      <c r="I61">
        <v>350</v>
      </c>
      <c r="J61" s="3">
        <v>8750</v>
      </c>
      <c r="K61" s="4">
        <v>3500</v>
      </c>
      <c r="L61" t="s">
        <v>17</v>
      </c>
    </row>
    <row r="62" spans="1:12" x14ac:dyDescent="0.35">
      <c r="A62" t="s">
        <v>12</v>
      </c>
      <c r="B62">
        <v>1197831</v>
      </c>
      <c r="C62" s="1">
        <v>44458</v>
      </c>
      <c r="D62" t="s">
        <v>19</v>
      </c>
      <c r="E62" t="s">
        <v>54</v>
      </c>
      <c r="F62" t="s">
        <v>55</v>
      </c>
      <c r="G62" t="s">
        <v>32</v>
      </c>
      <c r="H62" s="2">
        <v>15</v>
      </c>
      <c r="I62">
        <v>350</v>
      </c>
      <c r="J62" s="3">
        <v>5250</v>
      </c>
      <c r="K62" s="4">
        <v>2100</v>
      </c>
      <c r="L62" t="s">
        <v>17</v>
      </c>
    </row>
    <row r="63" spans="1:12" x14ac:dyDescent="0.35">
      <c r="A63" t="s">
        <v>18</v>
      </c>
      <c r="B63">
        <v>1197831</v>
      </c>
      <c r="C63" s="1">
        <v>44248</v>
      </c>
      <c r="D63" t="s">
        <v>19</v>
      </c>
      <c r="E63" t="s">
        <v>61</v>
      </c>
      <c r="F63" t="s">
        <v>62</v>
      </c>
      <c r="G63" t="s">
        <v>16</v>
      </c>
      <c r="H63" s="2">
        <v>20</v>
      </c>
      <c r="I63">
        <v>350</v>
      </c>
      <c r="J63" s="3">
        <v>7000</v>
      </c>
      <c r="K63" s="4">
        <v>2800</v>
      </c>
      <c r="L63" t="s">
        <v>17</v>
      </c>
    </row>
    <row r="64" spans="1:12" x14ac:dyDescent="0.35">
      <c r="A64" t="s">
        <v>18</v>
      </c>
      <c r="B64">
        <v>1197831</v>
      </c>
      <c r="C64" s="1">
        <v>44490</v>
      </c>
      <c r="D64" t="s">
        <v>19</v>
      </c>
      <c r="E64" t="s">
        <v>61</v>
      </c>
      <c r="F64" t="s">
        <v>62</v>
      </c>
      <c r="G64" t="s">
        <v>39</v>
      </c>
      <c r="H64" s="2">
        <v>20</v>
      </c>
      <c r="I64">
        <v>350</v>
      </c>
      <c r="J64" s="3">
        <v>7000</v>
      </c>
      <c r="K64" s="4">
        <v>2450</v>
      </c>
      <c r="L64" t="s">
        <v>17</v>
      </c>
    </row>
    <row r="65" spans="1:12" x14ac:dyDescent="0.35">
      <c r="A65" t="s">
        <v>63</v>
      </c>
      <c r="B65">
        <v>1197831</v>
      </c>
      <c r="C65" s="1">
        <v>44212</v>
      </c>
      <c r="D65" t="s">
        <v>19</v>
      </c>
      <c r="E65" t="s">
        <v>61</v>
      </c>
      <c r="F65" t="s">
        <v>62</v>
      </c>
      <c r="G65" t="s">
        <v>39</v>
      </c>
      <c r="H65" s="2">
        <v>25</v>
      </c>
      <c r="I65">
        <v>350</v>
      </c>
      <c r="J65" s="3">
        <v>8750</v>
      </c>
      <c r="K65" s="4">
        <v>3063</v>
      </c>
      <c r="L65" t="s">
        <v>17</v>
      </c>
    </row>
    <row r="66" spans="1:12" x14ac:dyDescent="0.35">
      <c r="A66" t="s">
        <v>63</v>
      </c>
      <c r="B66">
        <v>1197831</v>
      </c>
      <c r="C66" s="1">
        <v>44212</v>
      </c>
      <c r="D66" t="s">
        <v>19</v>
      </c>
      <c r="E66" t="s">
        <v>61</v>
      </c>
      <c r="F66" t="s">
        <v>62</v>
      </c>
      <c r="G66" t="s">
        <v>32</v>
      </c>
      <c r="H66" s="2">
        <v>15</v>
      </c>
      <c r="I66">
        <v>350</v>
      </c>
      <c r="J66" s="3">
        <v>5250</v>
      </c>
      <c r="K66" s="4">
        <v>1838</v>
      </c>
      <c r="L66" t="s">
        <v>17</v>
      </c>
    </row>
    <row r="67" spans="1:12" x14ac:dyDescent="0.35">
      <c r="A67" t="s">
        <v>63</v>
      </c>
      <c r="B67">
        <v>1197831</v>
      </c>
      <c r="C67" s="1">
        <v>44212</v>
      </c>
      <c r="D67" t="s">
        <v>19</v>
      </c>
      <c r="E67" t="s">
        <v>61</v>
      </c>
      <c r="F67" t="s">
        <v>62</v>
      </c>
      <c r="G67" t="s">
        <v>16</v>
      </c>
      <c r="H67" s="2">
        <v>25</v>
      </c>
      <c r="I67">
        <v>350</v>
      </c>
      <c r="J67" s="3">
        <v>8750</v>
      </c>
      <c r="K67" s="4">
        <v>3063</v>
      </c>
      <c r="L67" t="s">
        <v>17</v>
      </c>
    </row>
    <row r="68" spans="1:12" x14ac:dyDescent="0.35">
      <c r="A68" t="s">
        <v>18</v>
      </c>
      <c r="B68">
        <v>1185732</v>
      </c>
      <c r="C68" s="1">
        <v>44244</v>
      </c>
      <c r="D68" t="s">
        <v>43</v>
      </c>
      <c r="E68" t="s">
        <v>64</v>
      </c>
      <c r="F68" t="s">
        <v>65</v>
      </c>
      <c r="G68" t="s">
        <v>16</v>
      </c>
      <c r="H68" s="2">
        <v>25</v>
      </c>
      <c r="I68">
        <v>350</v>
      </c>
      <c r="J68" s="3">
        <v>8750</v>
      </c>
      <c r="K68" s="4">
        <v>3500</v>
      </c>
      <c r="L68" t="s">
        <v>36</v>
      </c>
    </row>
    <row r="69" spans="1:12" x14ac:dyDescent="0.35">
      <c r="A69" t="s">
        <v>42</v>
      </c>
      <c r="B69">
        <v>1185732</v>
      </c>
      <c r="C69" s="1">
        <v>43833</v>
      </c>
      <c r="D69" t="s">
        <v>43</v>
      </c>
      <c r="E69" t="s">
        <v>44</v>
      </c>
      <c r="F69" t="s">
        <v>44</v>
      </c>
      <c r="G69" t="s">
        <v>32</v>
      </c>
      <c r="H69" s="2">
        <v>32</v>
      </c>
      <c r="I69">
        <v>350</v>
      </c>
      <c r="J69" s="3">
        <v>1120</v>
      </c>
      <c r="K69" s="4">
        <v>414</v>
      </c>
      <c r="L69" t="s">
        <v>27</v>
      </c>
    </row>
    <row r="70" spans="1:12" x14ac:dyDescent="0.35">
      <c r="A70" t="s">
        <v>42</v>
      </c>
      <c r="B70">
        <v>1185732</v>
      </c>
      <c r="C70" s="1">
        <v>43854</v>
      </c>
      <c r="D70" t="s">
        <v>43</v>
      </c>
      <c r="E70" t="s">
        <v>44</v>
      </c>
      <c r="F70" t="s">
        <v>44</v>
      </c>
      <c r="G70" t="s">
        <v>16</v>
      </c>
      <c r="H70" s="2">
        <v>36</v>
      </c>
      <c r="I70">
        <v>350</v>
      </c>
      <c r="J70" s="3">
        <v>1260</v>
      </c>
      <c r="K70" s="4">
        <v>365</v>
      </c>
      <c r="L70" t="s">
        <v>27</v>
      </c>
    </row>
    <row r="71" spans="1:12" x14ac:dyDescent="0.35">
      <c r="A71" t="s">
        <v>12</v>
      </c>
      <c r="B71">
        <v>1185732</v>
      </c>
      <c r="C71" s="1">
        <v>43941</v>
      </c>
      <c r="D71" t="s">
        <v>43</v>
      </c>
      <c r="E71" t="s">
        <v>44</v>
      </c>
      <c r="F71" t="s">
        <v>44</v>
      </c>
      <c r="G71" t="s">
        <v>39</v>
      </c>
      <c r="H71" s="2">
        <v>43</v>
      </c>
      <c r="I71">
        <v>350</v>
      </c>
      <c r="J71" s="3">
        <v>1505</v>
      </c>
      <c r="K71" s="4">
        <v>497</v>
      </c>
      <c r="L71" t="s">
        <v>27</v>
      </c>
    </row>
    <row r="72" spans="1:12" x14ac:dyDescent="0.35">
      <c r="A72" t="s">
        <v>12</v>
      </c>
      <c r="B72">
        <v>1185732</v>
      </c>
      <c r="C72" s="1">
        <v>43945</v>
      </c>
      <c r="D72" t="s">
        <v>43</v>
      </c>
      <c r="E72" t="s">
        <v>44</v>
      </c>
      <c r="F72" t="s">
        <v>44</v>
      </c>
      <c r="G72" t="s">
        <v>16</v>
      </c>
      <c r="H72" s="2">
        <v>45</v>
      </c>
      <c r="I72">
        <v>350</v>
      </c>
      <c r="J72" s="3">
        <v>1575</v>
      </c>
      <c r="K72" s="4">
        <v>473</v>
      </c>
      <c r="L72" t="s">
        <v>27</v>
      </c>
    </row>
    <row r="73" spans="1:12" x14ac:dyDescent="0.35">
      <c r="A73" t="s">
        <v>12</v>
      </c>
      <c r="B73">
        <v>1197831</v>
      </c>
      <c r="C73" s="1">
        <v>44066</v>
      </c>
      <c r="D73" t="s">
        <v>19</v>
      </c>
      <c r="E73" t="s">
        <v>59</v>
      </c>
      <c r="F73" t="s">
        <v>60</v>
      </c>
      <c r="G73" t="s">
        <v>16</v>
      </c>
      <c r="H73" s="2">
        <v>38</v>
      </c>
      <c r="I73">
        <v>350</v>
      </c>
      <c r="J73" s="3">
        <v>1330</v>
      </c>
      <c r="K73" s="4">
        <v>758</v>
      </c>
      <c r="L73" t="s">
        <v>27</v>
      </c>
    </row>
    <row r="74" spans="1:12" x14ac:dyDescent="0.35">
      <c r="A74" t="s">
        <v>42</v>
      </c>
      <c r="B74">
        <v>1185732</v>
      </c>
      <c r="C74" s="1">
        <v>44205</v>
      </c>
      <c r="D74" t="s">
        <v>13</v>
      </c>
      <c r="E74" t="s">
        <v>57</v>
      </c>
      <c r="F74" t="s">
        <v>58</v>
      </c>
      <c r="G74" t="s">
        <v>26</v>
      </c>
      <c r="H74" s="2">
        <v>26</v>
      </c>
      <c r="I74">
        <v>349</v>
      </c>
      <c r="J74">
        <v>907</v>
      </c>
      <c r="K74" s="4">
        <v>426</v>
      </c>
      <c r="L74" t="s">
        <v>27</v>
      </c>
    </row>
    <row r="75" spans="1:12" x14ac:dyDescent="0.35">
      <c r="A75" t="s">
        <v>42</v>
      </c>
      <c r="B75">
        <v>1185732</v>
      </c>
      <c r="C75" s="1">
        <v>43899</v>
      </c>
      <c r="D75" t="s">
        <v>43</v>
      </c>
      <c r="E75" t="s">
        <v>44</v>
      </c>
      <c r="F75" t="s">
        <v>44</v>
      </c>
      <c r="G75" t="s">
        <v>16</v>
      </c>
      <c r="H75" s="2">
        <v>46</v>
      </c>
      <c r="I75">
        <v>347</v>
      </c>
      <c r="J75" s="3">
        <v>1596</v>
      </c>
      <c r="K75" s="4">
        <v>511</v>
      </c>
      <c r="L75" t="s">
        <v>27</v>
      </c>
    </row>
    <row r="76" spans="1:12" x14ac:dyDescent="0.35">
      <c r="A76" t="s">
        <v>18</v>
      </c>
      <c r="B76">
        <v>1185732</v>
      </c>
      <c r="C76" s="1">
        <v>44511</v>
      </c>
      <c r="D76" t="s">
        <v>48</v>
      </c>
      <c r="E76" t="s">
        <v>49</v>
      </c>
      <c r="F76" t="s">
        <v>50</v>
      </c>
      <c r="G76" t="s">
        <v>32</v>
      </c>
      <c r="H76" s="2">
        <v>20</v>
      </c>
      <c r="I76">
        <v>345</v>
      </c>
      <c r="J76" s="3">
        <v>6900</v>
      </c>
      <c r="K76" s="4">
        <v>2415</v>
      </c>
      <c r="L76" t="s">
        <v>36</v>
      </c>
    </row>
    <row r="77" spans="1:12" x14ac:dyDescent="0.35">
      <c r="A77" t="s">
        <v>18</v>
      </c>
      <c r="B77">
        <v>1128299</v>
      </c>
      <c r="C77" s="1">
        <v>44202</v>
      </c>
      <c r="D77" t="s">
        <v>48</v>
      </c>
      <c r="E77" t="s">
        <v>66</v>
      </c>
      <c r="F77" t="s">
        <v>67</v>
      </c>
      <c r="G77" t="s">
        <v>26</v>
      </c>
      <c r="H77" s="2">
        <v>41</v>
      </c>
      <c r="I77">
        <v>341</v>
      </c>
      <c r="J77" s="3">
        <v>1398</v>
      </c>
      <c r="K77" s="4">
        <v>601</v>
      </c>
      <c r="L77" t="s">
        <v>27</v>
      </c>
    </row>
    <row r="78" spans="1:12" x14ac:dyDescent="0.35">
      <c r="A78" t="s">
        <v>42</v>
      </c>
      <c r="B78">
        <v>1185732</v>
      </c>
      <c r="C78" s="1">
        <v>43895</v>
      </c>
      <c r="D78" t="s">
        <v>43</v>
      </c>
      <c r="E78" t="s">
        <v>44</v>
      </c>
      <c r="F78" t="s">
        <v>44</v>
      </c>
      <c r="G78" t="s">
        <v>39</v>
      </c>
      <c r="H78" s="2">
        <v>41</v>
      </c>
      <c r="I78">
        <v>340</v>
      </c>
      <c r="J78" s="3">
        <v>1394</v>
      </c>
      <c r="K78" s="4">
        <v>474</v>
      </c>
      <c r="L78" t="s">
        <v>27</v>
      </c>
    </row>
    <row r="79" spans="1:12" x14ac:dyDescent="0.35">
      <c r="A79" t="s">
        <v>12</v>
      </c>
      <c r="B79">
        <v>1185732</v>
      </c>
      <c r="C79" s="1">
        <v>44030</v>
      </c>
      <c r="D79" t="s">
        <v>43</v>
      </c>
      <c r="E79" t="s">
        <v>44</v>
      </c>
      <c r="F79" t="s">
        <v>44</v>
      </c>
      <c r="G79" t="s">
        <v>16</v>
      </c>
      <c r="H79" s="2">
        <v>48</v>
      </c>
      <c r="I79">
        <v>340</v>
      </c>
      <c r="J79" s="3">
        <v>1632</v>
      </c>
      <c r="K79" s="4">
        <v>490</v>
      </c>
      <c r="L79" t="s">
        <v>27</v>
      </c>
    </row>
    <row r="80" spans="1:12" x14ac:dyDescent="0.35">
      <c r="A80" t="s">
        <v>18</v>
      </c>
      <c r="B80">
        <v>1128299</v>
      </c>
      <c r="C80" s="1">
        <v>44208</v>
      </c>
      <c r="D80" t="s">
        <v>48</v>
      </c>
      <c r="E80" t="s">
        <v>66</v>
      </c>
      <c r="F80" t="s">
        <v>67</v>
      </c>
      <c r="G80" t="s">
        <v>26</v>
      </c>
      <c r="H80" s="2">
        <v>41</v>
      </c>
      <c r="I80">
        <v>338</v>
      </c>
      <c r="J80" s="3">
        <v>1386</v>
      </c>
      <c r="K80" s="4">
        <v>527</v>
      </c>
      <c r="L80" t="s">
        <v>27</v>
      </c>
    </row>
    <row r="81" spans="1:12" x14ac:dyDescent="0.35">
      <c r="A81" t="s">
        <v>42</v>
      </c>
      <c r="B81">
        <v>1185732</v>
      </c>
      <c r="C81" s="1">
        <v>43831</v>
      </c>
      <c r="D81" t="s">
        <v>43</v>
      </c>
      <c r="E81" t="s">
        <v>44</v>
      </c>
      <c r="F81" t="s">
        <v>44</v>
      </c>
      <c r="G81" t="s">
        <v>26</v>
      </c>
      <c r="H81" s="2">
        <v>47</v>
      </c>
      <c r="I81">
        <v>336</v>
      </c>
      <c r="J81" s="3">
        <v>1579</v>
      </c>
      <c r="K81" s="4">
        <v>963</v>
      </c>
      <c r="L81" t="s">
        <v>17</v>
      </c>
    </row>
    <row r="82" spans="1:12" x14ac:dyDescent="0.35">
      <c r="A82" t="s">
        <v>42</v>
      </c>
      <c r="B82">
        <v>1185732</v>
      </c>
      <c r="C82" s="1">
        <v>43866</v>
      </c>
      <c r="D82" t="s">
        <v>43</v>
      </c>
      <c r="E82" t="s">
        <v>44</v>
      </c>
      <c r="F82" t="s">
        <v>44</v>
      </c>
      <c r="G82" t="s">
        <v>16</v>
      </c>
      <c r="H82" s="2">
        <v>39</v>
      </c>
      <c r="I82">
        <v>333</v>
      </c>
      <c r="J82" s="3">
        <v>1299</v>
      </c>
      <c r="K82" s="4">
        <v>351</v>
      </c>
      <c r="L82" t="s">
        <v>27</v>
      </c>
    </row>
    <row r="83" spans="1:12" x14ac:dyDescent="0.35">
      <c r="A83" t="s">
        <v>12</v>
      </c>
      <c r="B83">
        <v>1185732</v>
      </c>
      <c r="C83" s="1">
        <v>43956</v>
      </c>
      <c r="D83" t="s">
        <v>43</v>
      </c>
      <c r="E83" t="s">
        <v>44</v>
      </c>
      <c r="F83" t="s">
        <v>44</v>
      </c>
      <c r="G83" t="s">
        <v>32</v>
      </c>
      <c r="H83" s="2">
        <v>42</v>
      </c>
      <c r="I83">
        <v>333</v>
      </c>
      <c r="J83" s="3">
        <v>1399</v>
      </c>
      <c r="K83" s="4">
        <v>559</v>
      </c>
      <c r="L83" t="s">
        <v>27</v>
      </c>
    </row>
    <row r="84" spans="1:12" x14ac:dyDescent="0.35">
      <c r="A84" t="s">
        <v>12</v>
      </c>
      <c r="B84">
        <v>1197831</v>
      </c>
      <c r="C84" s="1">
        <v>44130</v>
      </c>
      <c r="D84" t="s">
        <v>19</v>
      </c>
      <c r="E84" t="s">
        <v>59</v>
      </c>
      <c r="F84" t="s">
        <v>60</v>
      </c>
      <c r="G84" t="s">
        <v>26</v>
      </c>
      <c r="H84" s="2">
        <v>32</v>
      </c>
      <c r="I84">
        <v>333</v>
      </c>
      <c r="J84" s="3">
        <v>1066</v>
      </c>
      <c r="K84" s="4">
        <v>426</v>
      </c>
      <c r="L84" t="s">
        <v>27</v>
      </c>
    </row>
    <row r="85" spans="1:12" x14ac:dyDescent="0.35">
      <c r="A85" t="s">
        <v>12</v>
      </c>
      <c r="B85">
        <v>1197831</v>
      </c>
      <c r="C85" s="1">
        <v>44131</v>
      </c>
      <c r="D85" t="s">
        <v>19</v>
      </c>
      <c r="E85" t="s">
        <v>59</v>
      </c>
      <c r="F85" t="s">
        <v>60</v>
      </c>
      <c r="G85" t="s">
        <v>39</v>
      </c>
      <c r="H85" s="2">
        <v>34</v>
      </c>
      <c r="I85">
        <v>333</v>
      </c>
      <c r="J85" s="3">
        <v>1132</v>
      </c>
      <c r="K85" s="4">
        <v>476</v>
      </c>
      <c r="L85" t="s">
        <v>27</v>
      </c>
    </row>
    <row r="86" spans="1:12" x14ac:dyDescent="0.35">
      <c r="A86" t="s">
        <v>18</v>
      </c>
      <c r="B86">
        <v>1128299</v>
      </c>
      <c r="C86" s="1">
        <v>44239</v>
      </c>
      <c r="D86" t="s">
        <v>48</v>
      </c>
      <c r="E86" t="s">
        <v>66</v>
      </c>
      <c r="F86" t="s">
        <v>67</v>
      </c>
      <c r="G86" t="s">
        <v>39</v>
      </c>
      <c r="H86" s="2">
        <v>46</v>
      </c>
      <c r="I86">
        <v>332</v>
      </c>
      <c r="J86" s="3">
        <v>1527</v>
      </c>
      <c r="K86" s="4">
        <v>321</v>
      </c>
      <c r="L86" t="s">
        <v>27</v>
      </c>
    </row>
    <row r="87" spans="1:12" x14ac:dyDescent="0.35">
      <c r="A87" t="s">
        <v>23</v>
      </c>
      <c r="B87">
        <v>1197831</v>
      </c>
      <c r="C87" s="1">
        <v>44463</v>
      </c>
      <c r="D87" t="s">
        <v>19</v>
      </c>
      <c r="E87" t="s">
        <v>59</v>
      </c>
      <c r="F87" t="s">
        <v>68</v>
      </c>
      <c r="G87" t="s">
        <v>32</v>
      </c>
      <c r="H87" s="2">
        <v>35</v>
      </c>
      <c r="I87">
        <v>332</v>
      </c>
      <c r="J87" s="3">
        <v>1162</v>
      </c>
      <c r="K87" s="4">
        <v>546</v>
      </c>
      <c r="L87" t="s">
        <v>27</v>
      </c>
    </row>
    <row r="88" spans="1:12" x14ac:dyDescent="0.35">
      <c r="A88" t="s">
        <v>42</v>
      </c>
      <c r="B88">
        <v>1185732</v>
      </c>
      <c r="C88" s="1">
        <v>43836</v>
      </c>
      <c r="D88" t="s">
        <v>43</v>
      </c>
      <c r="E88" t="s">
        <v>44</v>
      </c>
      <c r="F88" t="s">
        <v>44</v>
      </c>
      <c r="G88" t="s">
        <v>16</v>
      </c>
      <c r="H88" s="2">
        <v>38</v>
      </c>
      <c r="I88">
        <v>330</v>
      </c>
      <c r="J88" s="3">
        <v>1254</v>
      </c>
      <c r="K88" s="4">
        <v>401</v>
      </c>
      <c r="L88" t="s">
        <v>27</v>
      </c>
    </row>
    <row r="89" spans="1:12" x14ac:dyDescent="0.35">
      <c r="A89" t="s">
        <v>12</v>
      </c>
      <c r="B89">
        <v>1185732</v>
      </c>
      <c r="C89" s="1">
        <v>43947</v>
      </c>
      <c r="D89" t="s">
        <v>43</v>
      </c>
      <c r="E89" t="s">
        <v>44</v>
      </c>
      <c r="F89" t="s">
        <v>44</v>
      </c>
      <c r="G89" t="s">
        <v>16</v>
      </c>
      <c r="H89" s="2">
        <v>50</v>
      </c>
      <c r="I89">
        <v>330</v>
      </c>
      <c r="J89" s="3">
        <v>1650</v>
      </c>
      <c r="K89" s="4">
        <v>462</v>
      </c>
      <c r="L89" t="s">
        <v>27</v>
      </c>
    </row>
    <row r="90" spans="1:12" x14ac:dyDescent="0.35">
      <c r="A90" t="s">
        <v>42</v>
      </c>
      <c r="B90">
        <v>1185732</v>
      </c>
      <c r="C90" s="1">
        <v>44414</v>
      </c>
      <c r="D90" t="s">
        <v>13</v>
      </c>
      <c r="E90" t="s">
        <v>69</v>
      </c>
      <c r="F90" t="s">
        <v>65</v>
      </c>
      <c r="G90" t="s">
        <v>26</v>
      </c>
      <c r="H90" s="2">
        <v>62</v>
      </c>
      <c r="I90">
        <v>326</v>
      </c>
      <c r="J90" s="3">
        <v>2021</v>
      </c>
      <c r="K90" s="4">
        <v>1152</v>
      </c>
      <c r="L90" t="s">
        <v>17</v>
      </c>
    </row>
    <row r="91" spans="1:12" x14ac:dyDescent="0.35">
      <c r="A91" t="s">
        <v>42</v>
      </c>
      <c r="B91">
        <v>1185732</v>
      </c>
      <c r="C91" s="1">
        <v>44426</v>
      </c>
      <c r="D91" t="s">
        <v>33</v>
      </c>
      <c r="E91" t="s">
        <v>34</v>
      </c>
      <c r="F91" t="s">
        <v>35</v>
      </c>
      <c r="G91" t="s">
        <v>56</v>
      </c>
      <c r="H91" s="2">
        <v>25</v>
      </c>
      <c r="I91">
        <v>325</v>
      </c>
      <c r="J91" s="3">
        <v>8125</v>
      </c>
      <c r="K91" s="4">
        <v>3250</v>
      </c>
      <c r="L91" t="s">
        <v>36</v>
      </c>
    </row>
    <row r="92" spans="1:12" x14ac:dyDescent="0.35">
      <c r="A92" t="s">
        <v>42</v>
      </c>
      <c r="B92">
        <v>1185732</v>
      </c>
      <c r="C92" s="1">
        <v>44518</v>
      </c>
      <c r="D92" t="s">
        <v>33</v>
      </c>
      <c r="E92" t="s">
        <v>34</v>
      </c>
      <c r="F92" t="s">
        <v>35</v>
      </c>
      <c r="G92" t="s">
        <v>56</v>
      </c>
      <c r="H92" s="2">
        <v>25</v>
      </c>
      <c r="I92">
        <v>325</v>
      </c>
      <c r="J92" s="3">
        <v>8125</v>
      </c>
      <c r="K92" s="4">
        <v>3250</v>
      </c>
      <c r="L92" t="s">
        <v>36</v>
      </c>
    </row>
    <row r="93" spans="1:12" x14ac:dyDescent="0.35">
      <c r="A93" t="s">
        <v>18</v>
      </c>
      <c r="B93">
        <v>1185732</v>
      </c>
      <c r="C93" s="1">
        <v>44207</v>
      </c>
      <c r="D93" t="s">
        <v>33</v>
      </c>
      <c r="E93" t="s">
        <v>34</v>
      </c>
      <c r="F93" t="s">
        <v>35</v>
      </c>
      <c r="G93" t="s">
        <v>56</v>
      </c>
      <c r="H93" s="2">
        <v>20</v>
      </c>
      <c r="I93">
        <v>325</v>
      </c>
      <c r="J93" s="3">
        <v>6500</v>
      </c>
      <c r="K93" s="4">
        <v>2600</v>
      </c>
      <c r="L93" t="s">
        <v>36</v>
      </c>
    </row>
    <row r="94" spans="1:12" x14ac:dyDescent="0.35">
      <c r="A94" t="s">
        <v>18</v>
      </c>
      <c r="B94">
        <v>1185732</v>
      </c>
      <c r="C94" s="1">
        <v>44297</v>
      </c>
      <c r="D94" t="s">
        <v>48</v>
      </c>
      <c r="E94" t="s">
        <v>49</v>
      </c>
      <c r="F94" t="s">
        <v>50</v>
      </c>
      <c r="G94" t="s">
        <v>39</v>
      </c>
      <c r="H94" s="2">
        <v>25</v>
      </c>
      <c r="I94">
        <v>325</v>
      </c>
      <c r="J94" s="3">
        <v>8125</v>
      </c>
      <c r="K94" s="4">
        <v>2844</v>
      </c>
      <c r="L94" t="s">
        <v>36</v>
      </c>
    </row>
    <row r="95" spans="1:12" x14ac:dyDescent="0.35">
      <c r="A95" t="s">
        <v>18</v>
      </c>
      <c r="B95">
        <v>1185732</v>
      </c>
      <c r="C95" s="1">
        <v>44297</v>
      </c>
      <c r="D95" t="s">
        <v>48</v>
      </c>
      <c r="E95" t="s">
        <v>49</v>
      </c>
      <c r="F95" t="s">
        <v>50</v>
      </c>
      <c r="G95" t="s">
        <v>32</v>
      </c>
      <c r="H95" s="2">
        <v>15</v>
      </c>
      <c r="I95">
        <v>325</v>
      </c>
      <c r="J95" s="3">
        <v>4875</v>
      </c>
      <c r="K95" s="4">
        <v>1706</v>
      </c>
      <c r="L95" t="s">
        <v>36</v>
      </c>
    </row>
    <row r="96" spans="1:12" x14ac:dyDescent="0.35">
      <c r="A96" t="s">
        <v>18</v>
      </c>
      <c r="B96">
        <v>1185732</v>
      </c>
      <c r="C96" s="1">
        <v>44451</v>
      </c>
      <c r="D96" t="s">
        <v>48</v>
      </c>
      <c r="E96" t="s">
        <v>49</v>
      </c>
      <c r="F96" t="s">
        <v>50</v>
      </c>
      <c r="G96" t="s">
        <v>56</v>
      </c>
      <c r="H96" s="2">
        <v>10</v>
      </c>
      <c r="I96">
        <v>325</v>
      </c>
      <c r="J96" s="3">
        <v>3250</v>
      </c>
      <c r="K96" s="4">
        <v>1300</v>
      </c>
      <c r="L96" t="s">
        <v>36</v>
      </c>
    </row>
    <row r="97" spans="1:12" x14ac:dyDescent="0.35">
      <c r="A97" t="s">
        <v>18</v>
      </c>
      <c r="B97">
        <v>1185732</v>
      </c>
      <c r="C97" s="1">
        <v>44451</v>
      </c>
      <c r="D97" t="s">
        <v>48</v>
      </c>
      <c r="E97" t="s">
        <v>49</v>
      </c>
      <c r="F97" t="s">
        <v>50</v>
      </c>
      <c r="G97" t="s">
        <v>70</v>
      </c>
      <c r="H97" s="2">
        <v>20</v>
      </c>
      <c r="I97">
        <v>325</v>
      </c>
      <c r="J97" s="3">
        <v>6500</v>
      </c>
      <c r="K97" s="4">
        <v>2275</v>
      </c>
      <c r="L97" t="s">
        <v>36</v>
      </c>
    </row>
    <row r="98" spans="1:12" x14ac:dyDescent="0.35">
      <c r="A98" t="s">
        <v>51</v>
      </c>
      <c r="B98">
        <v>1185732</v>
      </c>
      <c r="C98" s="1">
        <v>44264</v>
      </c>
      <c r="D98" t="s">
        <v>33</v>
      </c>
      <c r="E98" t="s">
        <v>52</v>
      </c>
      <c r="F98" t="s">
        <v>53</v>
      </c>
      <c r="G98" t="s">
        <v>56</v>
      </c>
      <c r="H98" s="2">
        <v>25</v>
      </c>
      <c r="I98">
        <v>325</v>
      </c>
      <c r="J98" s="3">
        <v>8125</v>
      </c>
      <c r="K98" s="4">
        <v>3250</v>
      </c>
      <c r="L98" t="s">
        <v>17</v>
      </c>
    </row>
    <row r="99" spans="1:12" x14ac:dyDescent="0.35">
      <c r="A99" t="s">
        <v>42</v>
      </c>
      <c r="B99">
        <v>1185732</v>
      </c>
      <c r="C99" s="1">
        <v>44245</v>
      </c>
      <c r="D99" t="s">
        <v>19</v>
      </c>
      <c r="E99" t="s">
        <v>37</v>
      </c>
      <c r="F99" t="s">
        <v>38</v>
      </c>
      <c r="G99" t="s">
        <v>56</v>
      </c>
      <c r="H99" s="2">
        <v>25</v>
      </c>
      <c r="I99">
        <v>325</v>
      </c>
      <c r="J99" s="3">
        <v>8125</v>
      </c>
      <c r="K99" s="4">
        <v>3250</v>
      </c>
      <c r="L99" t="s">
        <v>17</v>
      </c>
    </row>
    <row r="100" spans="1:12" x14ac:dyDescent="0.35">
      <c r="A100" t="s">
        <v>12</v>
      </c>
      <c r="B100">
        <v>1197831</v>
      </c>
      <c r="C100" s="1">
        <v>44274</v>
      </c>
      <c r="D100" t="s">
        <v>19</v>
      </c>
      <c r="E100" t="s">
        <v>54</v>
      </c>
      <c r="F100" t="s">
        <v>55</v>
      </c>
      <c r="G100" t="s">
        <v>39</v>
      </c>
      <c r="H100" s="2">
        <v>20</v>
      </c>
      <c r="I100">
        <v>325</v>
      </c>
      <c r="J100" s="3">
        <v>6500</v>
      </c>
      <c r="K100" s="4">
        <v>2275</v>
      </c>
      <c r="L100" t="s">
        <v>17</v>
      </c>
    </row>
    <row r="101" spans="1:12" x14ac:dyDescent="0.35">
      <c r="A101" t="s">
        <v>12</v>
      </c>
      <c r="B101">
        <v>1197831</v>
      </c>
      <c r="C101" s="1">
        <v>44458</v>
      </c>
      <c r="D101" t="s">
        <v>19</v>
      </c>
      <c r="E101" t="s">
        <v>54</v>
      </c>
      <c r="F101" t="s">
        <v>55</v>
      </c>
      <c r="G101" t="s">
        <v>56</v>
      </c>
      <c r="H101" s="2">
        <v>15</v>
      </c>
      <c r="I101">
        <v>325</v>
      </c>
      <c r="J101" s="3">
        <v>4875</v>
      </c>
      <c r="K101" s="4">
        <v>1950</v>
      </c>
      <c r="L101" t="s">
        <v>17</v>
      </c>
    </row>
    <row r="102" spans="1:12" x14ac:dyDescent="0.35">
      <c r="A102" t="s">
        <v>12</v>
      </c>
      <c r="B102">
        <v>1197831</v>
      </c>
      <c r="C102" s="1">
        <v>44458</v>
      </c>
      <c r="D102" t="s">
        <v>19</v>
      </c>
      <c r="E102" t="s">
        <v>54</v>
      </c>
      <c r="F102" t="s">
        <v>55</v>
      </c>
      <c r="G102" t="s">
        <v>70</v>
      </c>
      <c r="H102" s="2">
        <v>25</v>
      </c>
      <c r="I102">
        <v>325</v>
      </c>
      <c r="J102" s="3">
        <v>8125</v>
      </c>
      <c r="K102" s="4">
        <v>2844</v>
      </c>
      <c r="L102" t="s">
        <v>17</v>
      </c>
    </row>
    <row r="103" spans="1:12" x14ac:dyDescent="0.35">
      <c r="A103" t="s">
        <v>18</v>
      </c>
      <c r="B103">
        <v>1197831</v>
      </c>
      <c r="C103" s="1">
        <v>44248</v>
      </c>
      <c r="D103" t="s">
        <v>19</v>
      </c>
      <c r="E103" t="s">
        <v>54</v>
      </c>
      <c r="F103" t="s">
        <v>55</v>
      </c>
      <c r="G103" t="s">
        <v>32</v>
      </c>
      <c r="H103" s="2">
        <v>15</v>
      </c>
      <c r="I103">
        <v>325</v>
      </c>
      <c r="J103" s="3">
        <v>4875</v>
      </c>
      <c r="K103" s="4">
        <v>1950</v>
      </c>
      <c r="L103" t="s">
        <v>17</v>
      </c>
    </row>
    <row r="104" spans="1:12" x14ac:dyDescent="0.35">
      <c r="A104" t="s">
        <v>63</v>
      </c>
      <c r="B104">
        <v>1197831</v>
      </c>
      <c r="C104" s="1">
        <v>44241</v>
      </c>
      <c r="D104" t="s">
        <v>33</v>
      </c>
      <c r="E104" t="s">
        <v>71</v>
      </c>
      <c r="F104" t="s">
        <v>72</v>
      </c>
      <c r="G104" t="s">
        <v>16</v>
      </c>
      <c r="H104" s="2">
        <v>20</v>
      </c>
      <c r="I104">
        <v>325</v>
      </c>
      <c r="J104" s="3">
        <v>6500</v>
      </c>
      <c r="K104" s="4">
        <v>2275</v>
      </c>
      <c r="L104" t="s">
        <v>17</v>
      </c>
    </row>
    <row r="105" spans="1:12" x14ac:dyDescent="0.35">
      <c r="A105" t="s">
        <v>63</v>
      </c>
      <c r="B105">
        <v>1197831</v>
      </c>
      <c r="C105" s="1">
        <v>44483</v>
      </c>
      <c r="D105" t="s">
        <v>33</v>
      </c>
      <c r="E105" t="s">
        <v>71</v>
      </c>
      <c r="F105" t="s">
        <v>72</v>
      </c>
      <c r="G105" t="s">
        <v>39</v>
      </c>
      <c r="H105" s="2">
        <v>20</v>
      </c>
      <c r="I105">
        <v>325</v>
      </c>
      <c r="J105" s="3">
        <v>6500</v>
      </c>
      <c r="K105" s="4">
        <v>2275</v>
      </c>
      <c r="L105" t="s">
        <v>17</v>
      </c>
    </row>
    <row r="106" spans="1:12" x14ac:dyDescent="0.35">
      <c r="A106" t="s">
        <v>18</v>
      </c>
      <c r="B106">
        <v>1185732</v>
      </c>
      <c r="C106" s="1">
        <v>44271</v>
      </c>
      <c r="D106" t="s">
        <v>43</v>
      </c>
      <c r="E106" t="s">
        <v>64</v>
      </c>
      <c r="F106" t="s">
        <v>65</v>
      </c>
      <c r="G106" t="s">
        <v>32</v>
      </c>
      <c r="H106" s="2">
        <v>20</v>
      </c>
      <c r="I106">
        <v>325</v>
      </c>
      <c r="J106" s="3">
        <v>6500</v>
      </c>
      <c r="K106" s="4">
        <v>2600</v>
      </c>
      <c r="L106" t="s">
        <v>36</v>
      </c>
    </row>
    <row r="107" spans="1:12" x14ac:dyDescent="0.35">
      <c r="A107" t="s">
        <v>42</v>
      </c>
      <c r="B107">
        <v>1185732</v>
      </c>
      <c r="C107" s="1">
        <v>43906</v>
      </c>
      <c r="D107" t="s">
        <v>43</v>
      </c>
      <c r="E107" t="s">
        <v>44</v>
      </c>
      <c r="F107" t="s">
        <v>44</v>
      </c>
      <c r="G107" t="s">
        <v>26</v>
      </c>
      <c r="H107" s="2">
        <v>58</v>
      </c>
      <c r="I107">
        <v>325</v>
      </c>
      <c r="J107" s="3">
        <v>1885</v>
      </c>
      <c r="K107" s="4">
        <v>1150</v>
      </c>
      <c r="L107" t="s">
        <v>17</v>
      </c>
    </row>
    <row r="108" spans="1:12" x14ac:dyDescent="0.35">
      <c r="A108" t="s">
        <v>42</v>
      </c>
      <c r="B108">
        <v>1185732</v>
      </c>
      <c r="C108" s="1">
        <v>43921</v>
      </c>
      <c r="D108" t="s">
        <v>43</v>
      </c>
      <c r="E108" t="s">
        <v>44</v>
      </c>
      <c r="F108" t="s">
        <v>44</v>
      </c>
      <c r="G108" t="s">
        <v>56</v>
      </c>
      <c r="H108" s="2">
        <v>40</v>
      </c>
      <c r="I108">
        <v>324</v>
      </c>
      <c r="J108" s="3">
        <v>1296</v>
      </c>
      <c r="K108" s="4">
        <v>518</v>
      </c>
      <c r="L108" t="s">
        <v>27</v>
      </c>
    </row>
    <row r="109" spans="1:12" x14ac:dyDescent="0.35">
      <c r="A109" t="s">
        <v>23</v>
      </c>
      <c r="B109">
        <v>1185732</v>
      </c>
      <c r="C109" s="1">
        <v>43975</v>
      </c>
      <c r="D109" t="s">
        <v>13</v>
      </c>
      <c r="E109" t="s">
        <v>14</v>
      </c>
      <c r="F109" t="s">
        <v>73</v>
      </c>
      <c r="G109" t="s">
        <v>26</v>
      </c>
      <c r="H109" s="2">
        <v>63</v>
      </c>
      <c r="I109">
        <v>323</v>
      </c>
      <c r="J109" s="3">
        <v>2035</v>
      </c>
      <c r="K109" s="4">
        <v>1140</v>
      </c>
      <c r="L109" t="s">
        <v>17</v>
      </c>
    </row>
    <row r="110" spans="1:12" x14ac:dyDescent="0.35">
      <c r="A110" t="s">
        <v>42</v>
      </c>
      <c r="B110">
        <v>1185732</v>
      </c>
      <c r="C110" s="1">
        <v>43851</v>
      </c>
      <c r="D110" t="s">
        <v>43</v>
      </c>
      <c r="E110" t="s">
        <v>44</v>
      </c>
      <c r="F110" t="s">
        <v>44</v>
      </c>
      <c r="G110" t="s">
        <v>32</v>
      </c>
      <c r="H110" s="2">
        <v>32</v>
      </c>
      <c r="I110">
        <v>323</v>
      </c>
      <c r="J110" s="3">
        <v>1034</v>
      </c>
      <c r="K110" s="4">
        <v>393</v>
      </c>
      <c r="L110" t="s">
        <v>27</v>
      </c>
    </row>
    <row r="111" spans="1:12" x14ac:dyDescent="0.35">
      <c r="A111" t="s">
        <v>42</v>
      </c>
      <c r="B111">
        <v>1185732</v>
      </c>
      <c r="C111" s="1">
        <v>43860</v>
      </c>
      <c r="D111" t="s">
        <v>43</v>
      </c>
      <c r="E111" t="s">
        <v>44</v>
      </c>
      <c r="F111" t="s">
        <v>44</v>
      </c>
      <c r="G111" t="s">
        <v>16</v>
      </c>
      <c r="H111" s="2">
        <v>36</v>
      </c>
      <c r="I111">
        <v>323</v>
      </c>
      <c r="J111" s="3">
        <v>1163</v>
      </c>
      <c r="K111" s="4">
        <v>314</v>
      </c>
      <c r="L111" t="s">
        <v>27</v>
      </c>
    </row>
    <row r="112" spans="1:12" x14ac:dyDescent="0.35">
      <c r="A112" t="s">
        <v>12</v>
      </c>
      <c r="B112">
        <v>1197831</v>
      </c>
      <c r="C112" s="1">
        <v>44062</v>
      </c>
      <c r="D112" t="s">
        <v>19</v>
      </c>
      <c r="E112" t="s">
        <v>59</v>
      </c>
      <c r="F112" t="s">
        <v>60</v>
      </c>
      <c r="G112" t="s">
        <v>39</v>
      </c>
      <c r="H112" s="2">
        <v>33</v>
      </c>
      <c r="I112">
        <v>323</v>
      </c>
      <c r="J112" s="3">
        <v>1066</v>
      </c>
      <c r="K112" s="4">
        <v>448</v>
      </c>
      <c r="L112" t="s">
        <v>27</v>
      </c>
    </row>
    <row r="113" spans="1:12" x14ac:dyDescent="0.35">
      <c r="A113" t="s">
        <v>12</v>
      </c>
      <c r="B113">
        <v>1185732</v>
      </c>
      <c r="C113" s="1">
        <v>43953</v>
      </c>
      <c r="D113" t="s">
        <v>43</v>
      </c>
      <c r="E113" t="s">
        <v>44</v>
      </c>
      <c r="F113" t="s">
        <v>44</v>
      </c>
      <c r="G113" t="s">
        <v>16</v>
      </c>
      <c r="H113" s="2">
        <v>53</v>
      </c>
      <c r="I113">
        <v>322</v>
      </c>
      <c r="J113" s="3">
        <v>1707</v>
      </c>
      <c r="K113" s="4">
        <v>478</v>
      </c>
      <c r="L113" t="s">
        <v>27</v>
      </c>
    </row>
    <row r="114" spans="1:12" x14ac:dyDescent="0.35">
      <c r="A114" t="s">
        <v>18</v>
      </c>
      <c r="B114">
        <v>1128299</v>
      </c>
      <c r="C114" s="1">
        <v>44238</v>
      </c>
      <c r="D114" t="s">
        <v>48</v>
      </c>
      <c r="E114" t="s">
        <v>66</v>
      </c>
      <c r="F114" t="s">
        <v>67</v>
      </c>
      <c r="G114" t="s">
        <v>26</v>
      </c>
      <c r="H114" s="2">
        <v>40</v>
      </c>
      <c r="I114">
        <v>322</v>
      </c>
      <c r="J114" s="3">
        <v>1288</v>
      </c>
      <c r="K114" s="4">
        <v>425</v>
      </c>
      <c r="L114" t="s">
        <v>27</v>
      </c>
    </row>
    <row r="115" spans="1:12" x14ac:dyDescent="0.35">
      <c r="A115" t="s">
        <v>23</v>
      </c>
      <c r="B115">
        <v>1197831</v>
      </c>
      <c r="C115" s="1">
        <v>44457</v>
      </c>
      <c r="D115" t="s">
        <v>19</v>
      </c>
      <c r="E115" t="s">
        <v>59</v>
      </c>
      <c r="F115" t="s">
        <v>68</v>
      </c>
      <c r="G115" t="s">
        <v>32</v>
      </c>
      <c r="H115" s="2">
        <v>33</v>
      </c>
      <c r="I115">
        <v>322</v>
      </c>
      <c r="J115" s="3">
        <v>1063</v>
      </c>
      <c r="K115" s="4">
        <v>446</v>
      </c>
      <c r="L115" t="s">
        <v>27</v>
      </c>
    </row>
    <row r="116" spans="1:12" x14ac:dyDescent="0.35">
      <c r="A116" t="s">
        <v>23</v>
      </c>
      <c r="B116">
        <v>1197831</v>
      </c>
      <c r="C116" s="1">
        <v>44303</v>
      </c>
      <c r="D116" t="s">
        <v>19</v>
      </c>
      <c r="E116" t="s">
        <v>74</v>
      </c>
      <c r="F116" t="s">
        <v>75</v>
      </c>
      <c r="G116" t="s">
        <v>32</v>
      </c>
      <c r="H116" s="2">
        <v>30</v>
      </c>
      <c r="I116">
        <v>322</v>
      </c>
      <c r="J116">
        <v>966</v>
      </c>
      <c r="K116" s="4">
        <v>483</v>
      </c>
      <c r="L116" t="s">
        <v>27</v>
      </c>
    </row>
    <row r="117" spans="1:12" x14ac:dyDescent="0.35">
      <c r="A117" t="s">
        <v>23</v>
      </c>
      <c r="B117">
        <v>1197831</v>
      </c>
      <c r="C117" s="1">
        <v>44447</v>
      </c>
      <c r="D117" t="s">
        <v>19</v>
      </c>
      <c r="E117" t="s">
        <v>24</v>
      </c>
      <c r="F117" t="s">
        <v>25</v>
      </c>
      <c r="G117" t="s">
        <v>32</v>
      </c>
      <c r="H117" s="2">
        <v>31</v>
      </c>
      <c r="I117">
        <v>322</v>
      </c>
      <c r="J117">
        <v>998</v>
      </c>
      <c r="K117" s="4">
        <v>559</v>
      </c>
      <c r="L117" t="s">
        <v>27</v>
      </c>
    </row>
    <row r="118" spans="1:12" x14ac:dyDescent="0.35">
      <c r="A118" t="s">
        <v>18</v>
      </c>
      <c r="B118">
        <v>1197831</v>
      </c>
      <c r="C118" s="1">
        <v>44520</v>
      </c>
      <c r="D118" t="s">
        <v>19</v>
      </c>
      <c r="E118" t="s">
        <v>54</v>
      </c>
      <c r="F118" t="s">
        <v>55</v>
      </c>
      <c r="G118" t="s">
        <v>32</v>
      </c>
      <c r="H118" s="2">
        <v>25</v>
      </c>
      <c r="I118">
        <v>320</v>
      </c>
      <c r="J118" s="3">
        <v>8000</v>
      </c>
      <c r="K118" s="4">
        <v>3200</v>
      </c>
      <c r="L118" t="s">
        <v>17</v>
      </c>
    </row>
    <row r="119" spans="1:12" x14ac:dyDescent="0.35">
      <c r="A119" t="s">
        <v>42</v>
      </c>
      <c r="B119">
        <v>1185732</v>
      </c>
      <c r="C119" s="1">
        <v>43832</v>
      </c>
      <c r="D119" t="s">
        <v>43</v>
      </c>
      <c r="E119" t="s">
        <v>44</v>
      </c>
      <c r="F119" t="s">
        <v>44</v>
      </c>
      <c r="G119" t="s">
        <v>39</v>
      </c>
      <c r="H119" s="2">
        <v>36</v>
      </c>
      <c r="I119">
        <v>320</v>
      </c>
      <c r="J119" s="3">
        <v>1152</v>
      </c>
      <c r="K119" s="4">
        <v>403</v>
      </c>
      <c r="L119" t="s">
        <v>27</v>
      </c>
    </row>
    <row r="120" spans="1:12" x14ac:dyDescent="0.35">
      <c r="A120" t="s">
        <v>42</v>
      </c>
      <c r="B120">
        <v>1185732</v>
      </c>
      <c r="C120" s="1">
        <v>43893</v>
      </c>
      <c r="D120" t="s">
        <v>43</v>
      </c>
      <c r="E120" t="s">
        <v>44</v>
      </c>
      <c r="F120" t="s">
        <v>44</v>
      </c>
      <c r="G120" t="s">
        <v>16</v>
      </c>
      <c r="H120" s="2">
        <v>44</v>
      </c>
      <c r="I120">
        <v>320</v>
      </c>
      <c r="J120" s="3">
        <v>1408</v>
      </c>
      <c r="K120" s="4">
        <v>408</v>
      </c>
      <c r="L120" t="s">
        <v>27</v>
      </c>
    </row>
    <row r="121" spans="1:12" x14ac:dyDescent="0.35">
      <c r="A121" t="s">
        <v>42</v>
      </c>
      <c r="B121">
        <v>1185732</v>
      </c>
      <c r="C121" s="1">
        <v>43900</v>
      </c>
      <c r="D121" t="s">
        <v>43</v>
      </c>
      <c r="E121" t="s">
        <v>44</v>
      </c>
      <c r="F121" t="s">
        <v>44</v>
      </c>
      <c r="G121" t="s">
        <v>26</v>
      </c>
      <c r="H121" s="2">
        <v>59</v>
      </c>
      <c r="I121">
        <v>319</v>
      </c>
      <c r="J121" s="3">
        <v>1882</v>
      </c>
      <c r="K121" s="4">
        <v>1129</v>
      </c>
      <c r="L121" t="s">
        <v>17</v>
      </c>
    </row>
    <row r="122" spans="1:12" x14ac:dyDescent="0.35">
      <c r="A122" t="s">
        <v>12</v>
      </c>
      <c r="B122">
        <v>1197831</v>
      </c>
      <c r="C122" s="1">
        <v>44069</v>
      </c>
      <c r="D122" t="s">
        <v>19</v>
      </c>
      <c r="E122" t="s">
        <v>59</v>
      </c>
      <c r="F122" t="s">
        <v>60</v>
      </c>
      <c r="G122" t="s">
        <v>32</v>
      </c>
      <c r="H122" s="2">
        <v>37</v>
      </c>
      <c r="I122">
        <v>319</v>
      </c>
      <c r="J122" s="3">
        <v>1180</v>
      </c>
      <c r="K122" s="4">
        <v>531</v>
      </c>
      <c r="L122" t="s">
        <v>17</v>
      </c>
    </row>
    <row r="123" spans="1:12" x14ac:dyDescent="0.35">
      <c r="A123" t="s">
        <v>42</v>
      </c>
      <c r="B123">
        <v>1185732</v>
      </c>
      <c r="C123" s="1">
        <v>44055</v>
      </c>
      <c r="D123" t="s">
        <v>13</v>
      </c>
      <c r="E123" t="s">
        <v>14</v>
      </c>
      <c r="F123" t="s">
        <v>73</v>
      </c>
      <c r="G123" t="s">
        <v>26</v>
      </c>
      <c r="H123" s="2">
        <v>43</v>
      </c>
      <c r="I123">
        <v>319</v>
      </c>
      <c r="J123" s="3">
        <v>1372</v>
      </c>
      <c r="K123" s="4">
        <v>782</v>
      </c>
      <c r="L123" t="s">
        <v>17</v>
      </c>
    </row>
    <row r="124" spans="1:12" x14ac:dyDescent="0.35">
      <c r="A124" t="s">
        <v>42</v>
      </c>
      <c r="B124">
        <v>1185732</v>
      </c>
      <c r="C124" s="1">
        <v>43901</v>
      </c>
      <c r="D124" t="s">
        <v>43</v>
      </c>
      <c r="E124" t="s">
        <v>44</v>
      </c>
      <c r="F124" t="s">
        <v>44</v>
      </c>
      <c r="G124" t="s">
        <v>39</v>
      </c>
      <c r="H124" s="2">
        <v>41</v>
      </c>
      <c r="I124">
        <v>318</v>
      </c>
      <c r="J124" s="3">
        <v>1304</v>
      </c>
      <c r="K124" s="4">
        <v>482</v>
      </c>
      <c r="L124" t="s">
        <v>27</v>
      </c>
    </row>
    <row r="125" spans="1:12" x14ac:dyDescent="0.35">
      <c r="A125" t="s">
        <v>42</v>
      </c>
      <c r="B125">
        <v>1185732</v>
      </c>
      <c r="C125" s="1">
        <v>43867</v>
      </c>
      <c r="D125" t="s">
        <v>43</v>
      </c>
      <c r="E125" t="s">
        <v>44</v>
      </c>
      <c r="F125" t="s">
        <v>44</v>
      </c>
      <c r="G125" t="s">
        <v>26</v>
      </c>
      <c r="H125" s="2">
        <v>54</v>
      </c>
      <c r="I125">
        <v>317</v>
      </c>
      <c r="J125" s="3">
        <v>1712</v>
      </c>
      <c r="K125" s="4">
        <v>1096</v>
      </c>
      <c r="L125" t="s">
        <v>17</v>
      </c>
    </row>
    <row r="126" spans="1:12" x14ac:dyDescent="0.35">
      <c r="A126" t="s">
        <v>42</v>
      </c>
      <c r="B126">
        <v>1185732</v>
      </c>
      <c r="C126" s="1">
        <v>43838</v>
      </c>
      <c r="D126" t="s">
        <v>43</v>
      </c>
      <c r="E126" t="s">
        <v>44</v>
      </c>
      <c r="F126" t="s">
        <v>44</v>
      </c>
      <c r="G126" t="s">
        <v>39</v>
      </c>
      <c r="H126" s="2">
        <v>39</v>
      </c>
      <c r="I126">
        <v>315</v>
      </c>
      <c r="J126" s="3">
        <v>1229</v>
      </c>
      <c r="K126" s="4">
        <v>405</v>
      </c>
      <c r="L126" t="s">
        <v>27</v>
      </c>
    </row>
    <row r="127" spans="1:12" x14ac:dyDescent="0.35">
      <c r="A127" t="s">
        <v>42</v>
      </c>
      <c r="B127">
        <v>1185732</v>
      </c>
      <c r="C127" s="1">
        <v>43856</v>
      </c>
      <c r="D127" t="s">
        <v>43</v>
      </c>
      <c r="E127" t="s">
        <v>44</v>
      </c>
      <c r="F127" t="s">
        <v>44</v>
      </c>
      <c r="G127" t="s">
        <v>39</v>
      </c>
      <c r="H127" s="2">
        <v>35</v>
      </c>
      <c r="I127">
        <v>315</v>
      </c>
      <c r="J127" s="3">
        <v>1103</v>
      </c>
      <c r="K127" s="4">
        <v>397</v>
      </c>
      <c r="L127" t="s">
        <v>27</v>
      </c>
    </row>
    <row r="128" spans="1:12" x14ac:dyDescent="0.35">
      <c r="A128" t="s">
        <v>42</v>
      </c>
      <c r="B128">
        <v>1185732</v>
      </c>
      <c r="C128" s="1">
        <v>43862</v>
      </c>
      <c r="D128" t="s">
        <v>43</v>
      </c>
      <c r="E128" t="s">
        <v>44</v>
      </c>
      <c r="F128" t="s">
        <v>44</v>
      </c>
      <c r="G128" t="s">
        <v>39</v>
      </c>
      <c r="H128" s="2">
        <v>35</v>
      </c>
      <c r="I128">
        <v>315</v>
      </c>
      <c r="J128" s="3">
        <v>1103</v>
      </c>
      <c r="K128" s="4">
        <v>364</v>
      </c>
      <c r="L128" t="s">
        <v>27</v>
      </c>
    </row>
    <row r="129" spans="1:12" x14ac:dyDescent="0.35">
      <c r="A129" t="s">
        <v>42</v>
      </c>
      <c r="B129">
        <v>1185732</v>
      </c>
      <c r="C129" s="1">
        <v>43863</v>
      </c>
      <c r="D129" t="s">
        <v>43</v>
      </c>
      <c r="E129" t="s">
        <v>44</v>
      </c>
      <c r="F129" t="s">
        <v>44</v>
      </c>
      <c r="G129" t="s">
        <v>32</v>
      </c>
      <c r="H129" s="2">
        <v>28</v>
      </c>
      <c r="I129">
        <v>315</v>
      </c>
      <c r="J129">
        <v>882</v>
      </c>
      <c r="K129" s="4">
        <v>335</v>
      </c>
      <c r="L129" t="s">
        <v>27</v>
      </c>
    </row>
    <row r="130" spans="1:12" x14ac:dyDescent="0.35">
      <c r="A130" t="s">
        <v>12</v>
      </c>
      <c r="B130">
        <v>1185732</v>
      </c>
      <c r="C130" s="1">
        <v>43942</v>
      </c>
      <c r="D130" t="s">
        <v>43</v>
      </c>
      <c r="E130" t="s">
        <v>44</v>
      </c>
      <c r="F130" t="s">
        <v>44</v>
      </c>
      <c r="G130" t="s">
        <v>32</v>
      </c>
      <c r="H130" s="2">
        <v>36</v>
      </c>
      <c r="I130">
        <v>315</v>
      </c>
      <c r="J130" s="3">
        <v>1134</v>
      </c>
      <c r="K130" s="4">
        <v>442</v>
      </c>
      <c r="L130" t="s">
        <v>27</v>
      </c>
    </row>
    <row r="131" spans="1:12" x14ac:dyDescent="0.35">
      <c r="A131" t="s">
        <v>12</v>
      </c>
      <c r="B131">
        <v>1185732</v>
      </c>
      <c r="C131" s="1">
        <v>43944</v>
      </c>
      <c r="D131" t="s">
        <v>43</v>
      </c>
      <c r="E131" t="s">
        <v>44</v>
      </c>
      <c r="F131" t="s">
        <v>44</v>
      </c>
      <c r="G131" t="s">
        <v>70</v>
      </c>
      <c r="H131" s="2">
        <v>44</v>
      </c>
      <c r="I131">
        <v>315</v>
      </c>
      <c r="J131" s="3">
        <v>1386</v>
      </c>
      <c r="K131" s="4">
        <v>513</v>
      </c>
      <c r="L131" t="s">
        <v>27</v>
      </c>
    </row>
    <row r="132" spans="1:12" x14ac:dyDescent="0.35">
      <c r="A132" t="s">
        <v>12</v>
      </c>
      <c r="B132">
        <v>1197831</v>
      </c>
      <c r="C132" s="1">
        <v>44055</v>
      </c>
      <c r="D132" t="s">
        <v>19</v>
      </c>
      <c r="E132" t="s">
        <v>59</v>
      </c>
      <c r="F132" t="s">
        <v>60</v>
      </c>
      <c r="G132" t="s">
        <v>26</v>
      </c>
      <c r="H132" s="2">
        <v>24</v>
      </c>
      <c r="I132">
        <v>315</v>
      </c>
      <c r="J132">
        <v>756</v>
      </c>
      <c r="K132" s="4">
        <v>295</v>
      </c>
      <c r="L132" t="s">
        <v>27</v>
      </c>
    </row>
    <row r="133" spans="1:12" x14ac:dyDescent="0.35">
      <c r="A133" t="s">
        <v>12</v>
      </c>
      <c r="B133">
        <v>1197831</v>
      </c>
      <c r="C133" s="1">
        <v>44081</v>
      </c>
      <c r="D133" t="s">
        <v>19</v>
      </c>
      <c r="E133" t="s">
        <v>59</v>
      </c>
      <c r="F133" t="s">
        <v>60</v>
      </c>
      <c r="G133" t="s">
        <v>32</v>
      </c>
      <c r="H133" s="2">
        <v>36</v>
      </c>
      <c r="I133">
        <v>315</v>
      </c>
      <c r="J133" s="3">
        <v>1134</v>
      </c>
      <c r="K133" s="4">
        <v>431</v>
      </c>
      <c r="L133" t="s">
        <v>27</v>
      </c>
    </row>
    <row r="134" spans="1:12" x14ac:dyDescent="0.35">
      <c r="A134" t="s">
        <v>63</v>
      </c>
      <c r="B134">
        <v>1189833</v>
      </c>
      <c r="C134" s="1">
        <v>44341</v>
      </c>
      <c r="D134" t="s">
        <v>48</v>
      </c>
      <c r="E134" t="s">
        <v>66</v>
      </c>
      <c r="F134" t="s">
        <v>76</v>
      </c>
      <c r="G134" t="s">
        <v>26</v>
      </c>
      <c r="H134" s="2">
        <v>39</v>
      </c>
      <c r="I134">
        <v>315</v>
      </c>
      <c r="J134" s="3">
        <v>1229</v>
      </c>
      <c r="K134" s="4">
        <v>565</v>
      </c>
      <c r="L134" t="s">
        <v>27</v>
      </c>
    </row>
    <row r="135" spans="1:12" x14ac:dyDescent="0.35">
      <c r="A135" t="s">
        <v>42</v>
      </c>
      <c r="B135">
        <v>1185732</v>
      </c>
      <c r="C135" s="1">
        <v>43857</v>
      </c>
      <c r="D135" t="s">
        <v>43</v>
      </c>
      <c r="E135" t="s">
        <v>44</v>
      </c>
      <c r="F135" t="s">
        <v>44</v>
      </c>
      <c r="G135" t="s">
        <v>32</v>
      </c>
      <c r="H135" s="2">
        <v>27</v>
      </c>
      <c r="I135">
        <v>314</v>
      </c>
      <c r="J135">
        <v>848</v>
      </c>
      <c r="K135" s="4">
        <v>348</v>
      </c>
      <c r="L135" t="s">
        <v>27</v>
      </c>
    </row>
    <row r="136" spans="1:12" x14ac:dyDescent="0.35">
      <c r="A136" t="s">
        <v>42</v>
      </c>
      <c r="B136">
        <v>1185732</v>
      </c>
      <c r="C136" s="1">
        <v>43908</v>
      </c>
      <c r="D136" t="s">
        <v>43</v>
      </c>
      <c r="E136" t="s">
        <v>44</v>
      </c>
      <c r="F136" t="s">
        <v>44</v>
      </c>
      <c r="G136" t="s">
        <v>32</v>
      </c>
      <c r="H136" s="2">
        <v>37</v>
      </c>
      <c r="I136">
        <v>314</v>
      </c>
      <c r="J136" s="3">
        <v>1162</v>
      </c>
      <c r="K136" s="4">
        <v>430</v>
      </c>
      <c r="L136" t="s">
        <v>27</v>
      </c>
    </row>
    <row r="137" spans="1:12" x14ac:dyDescent="0.35">
      <c r="A137" t="s">
        <v>23</v>
      </c>
      <c r="B137">
        <v>1197831</v>
      </c>
      <c r="C137" s="1">
        <v>44309</v>
      </c>
      <c r="D137" t="s">
        <v>19</v>
      </c>
      <c r="E137" t="s">
        <v>74</v>
      </c>
      <c r="F137" t="s">
        <v>75</v>
      </c>
      <c r="G137" t="s">
        <v>32</v>
      </c>
      <c r="H137" s="2">
        <v>39</v>
      </c>
      <c r="I137">
        <v>314</v>
      </c>
      <c r="J137" s="3">
        <v>1225</v>
      </c>
      <c r="K137" s="4">
        <v>576</v>
      </c>
      <c r="L137" t="s">
        <v>27</v>
      </c>
    </row>
    <row r="138" spans="1:12" x14ac:dyDescent="0.35">
      <c r="A138" t="s">
        <v>42</v>
      </c>
      <c r="B138">
        <v>1185732</v>
      </c>
      <c r="C138" s="1">
        <v>43837</v>
      </c>
      <c r="D138" t="s">
        <v>43</v>
      </c>
      <c r="E138" t="s">
        <v>44</v>
      </c>
      <c r="F138" t="s">
        <v>44</v>
      </c>
      <c r="G138" t="s">
        <v>26</v>
      </c>
      <c r="H138" s="2">
        <v>46</v>
      </c>
      <c r="I138">
        <v>313</v>
      </c>
      <c r="J138" s="3">
        <v>1440</v>
      </c>
      <c r="K138" s="4">
        <v>893</v>
      </c>
      <c r="L138" t="s">
        <v>17</v>
      </c>
    </row>
    <row r="139" spans="1:12" x14ac:dyDescent="0.35">
      <c r="A139" t="s">
        <v>42</v>
      </c>
      <c r="B139">
        <v>1185732</v>
      </c>
      <c r="C139" s="1">
        <v>43894</v>
      </c>
      <c r="D139" t="s">
        <v>43</v>
      </c>
      <c r="E139" t="s">
        <v>44</v>
      </c>
      <c r="F139" t="s">
        <v>44</v>
      </c>
      <c r="G139" t="s">
        <v>26</v>
      </c>
      <c r="H139" s="2">
        <v>55</v>
      </c>
      <c r="I139">
        <v>313</v>
      </c>
      <c r="J139" s="3">
        <v>1722</v>
      </c>
      <c r="K139" s="4">
        <v>1050</v>
      </c>
      <c r="L139" t="s">
        <v>17</v>
      </c>
    </row>
    <row r="140" spans="1:12" x14ac:dyDescent="0.35">
      <c r="A140" t="s">
        <v>12</v>
      </c>
      <c r="B140">
        <v>1185732</v>
      </c>
      <c r="C140" s="1">
        <v>43954</v>
      </c>
      <c r="D140" t="s">
        <v>43</v>
      </c>
      <c r="E140" t="s">
        <v>44</v>
      </c>
      <c r="F140" t="s">
        <v>44</v>
      </c>
      <c r="G140" t="s">
        <v>26</v>
      </c>
      <c r="H140" s="2">
        <v>62</v>
      </c>
      <c r="I140">
        <v>312</v>
      </c>
      <c r="J140" s="3">
        <v>1934</v>
      </c>
      <c r="K140" s="4">
        <v>1238</v>
      </c>
      <c r="L140" t="s">
        <v>17</v>
      </c>
    </row>
    <row r="141" spans="1:12" x14ac:dyDescent="0.35">
      <c r="A141" t="s">
        <v>42</v>
      </c>
      <c r="B141">
        <v>1185732</v>
      </c>
      <c r="C141" s="1">
        <v>44234</v>
      </c>
      <c r="D141" t="s">
        <v>13</v>
      </c>
      <c r="E141" t="s">
        <v>57</v>
      </c>
      <c r="F141" t="s">
        <v>58</v>
      </c>
      <c r="G141" t="s">
        <v>26</v>
      </c>
      <c r="H141" s="2">
        <v>38</v>
      </c>
      <c r="I141">
        <v>312</v>
      </c>
      <c r="J141" s="3">
        <v>1186</v>
      </c>
      <c r="K141" s="4">
        <v>700</v>
      </c>
      <c r="L141" t="s">
        <v>17</v>
      </c>
    </row>
    <row r="142" spans="1:12" x14ac:dyDescent="0.35">
      <c r="A142" t="s">
        <v>12</v>
      </c>
      <c r="B142">
        <v>1185732</v>
      </c>
      <c r="C142" s="1">
        <v>43949</v>
      </c>
      <c r="D142" t="s">
        <v>43</v>
      </c>
      <c r="E142" t="s">
        <v>44</v>
      </c>
      <c r="F142" t="s">
        <v>44</v>
      </c>
      <c r="G142" t="s">
        <v>39</v>
      </c>
      <c r="H142" s="2">
        <v>40</v>
      </c>
      <c r="I142">
        <v>312</v>
      </c>
      <c r="J142" s="3">
        <v>1248</v>
      </c>
      <c r="K142" s="4">
        <v>449</v>
      </c>
      <c r="L142" t="s">
        <v>27</v>
      </c>
    </row>
    <row r="143" spans="1:12" x14ac:dyDescent="0.35">
      <c r="A143" t="s">
        <v>42</v>
      </c>
      <c r="B143">
        <v>1185732</v>
      </c>
      <c r="C143" s="1">
        <v>44382</v>
      </c>
      <c r="D143" t="s">
        <v>13</v>
      </c>
      <c r="E143" t="s">
        <v>69</v>
      </c>
      <c r="F143" t="s">
        <v>65</v>
      </c>
      <c r="G143" t="s">
        <v>26</v>
      </c>
      <c r="H143" s="2">
        <v>63</v>
      </c>
      <c r="I143">
        <v>311</v>
      </c>
      <c r="J143" s="3">
        <v>1959</v>
      </c>
      <c r="K143" s="4">
        <v>1156</v>
      </c>
      <c r="L143" t="s">
        <v>17</v>
      </c>
    </row>
    <row r="144" spans="1:12" x14ac:dyDescent="0.35">
      <c r="A144" t="s">
        <v>12</v>
      </c>
      <c r="B144">
        <v>1185732</v>
      </c>
      <c r="C144" s="1">
        <v>43955</v>
      </c>
      <c r="D144" t="s">
        <v>43</v>
      </c>
      <c r="E144" t="s">
        <v>44</v>
      </c>
      <c r="F144" t="s">
        <v>44</v>
      </c>
      <c r="G144" t="s">
        <v>39</v>
      </c>
      <c r="H144" s="2">
        <v>43</v>
      </c>
      <c r="I144">
        <v>310</v>
      </c>
      <c r="J144" s="3">
        <v>1333</v>
      </c>
      <c r="K144" s="4">
        <v>467</v>
      </c>
      <c r="L144" t="s">
        <v>27</v>
      </c>
    </row>
    <row r="145" spans="1:12" x14ac:dyDescent="0.35">
      <c r="A145" t="s">
        <v>42</v>
      </c>
      <c r="B145">
        <v>1185732</v>
      </c>
      <c r="C145" s="1">
        <v>43907</v>
      </c>
      <c r="D145" t="s">
        <v>43</v>
      </c>
      <c r="E145" t="s">
        <v>44</v>
      </c>
      <c r="F145" t="s">
        <v>44</v>
      </c>
      <c r="G145" t="s">
        <v>39</v>
      </c>
      <c r="H145" s="2">
        <v>53</v>
      </c>
      <c r="I145">
        <v>308</v>
      </c>
      <c r="J145" s="3">
        <v>1632</v>
      </c>
      <c r="K145" s="4">
        <v>669</v>
      </c>
      <c r="L145" t="s">
        <v>17</v>
      </c>
    </row>
    <row r="146" spans="1:12" x14ac:dyDescent="0.35">
      <c r="A146" t="s">
        <v>23</v>
      </c>
      <c r="B146">
        <v>1185732</v>
      </c>
      <c r="C146" s="1">
        <v>44411</v>
      </c>
      <c r="D146" t="s">
        <v>13</v>
      </c>
      <c r="E146" t="s">
        <v>77</v>
      </c>
      <c r="F146" t="s">
        <v>78</v>
      </c>
      <c r="G146" t="s">
        <v>26</v>
      </c>
      <c r="H146" s="2">
        <v>61</v>
      </c>
      <c r="I146">
        <v>308</v>
      </c>
      <c r="J146" s="3">
        <v>1879</v>
      </c>
      <c r="K146" s="4">
        <v>996</v>
      </c>
      <c r="L146" t="s">
        <v>17</v>
      </c>
    </row>
    <row r="147" spans="1:12" x14ac:dyDescent="0.35">
      <c r="A147" t="s">
        <v>42</v>
      </c>
      <c r="B147">
        <v>1185732</v>
      </c>
      <c r="C147" s="1">
        <v>43835</v>
      </c>
      <c r="D147" t="s">
        <v>43</v>
      </c>
      <c r="E147" t="s">
        <v>44</v>
      </c>
      <c r="F147" t="s">
        <v>44</v>
      </c>
      <c r="G147" t="s">
        <v>70</v>
      </c>
      <c r="H147" s="2">
        <v>43</v>
      </c>
      <c r="I147">
        <v>306</v>
      </c>
      <c r="J147" s="3">
        <v>1316</v>
      </c>
      <c r="K147" s="4">
        <v>487</v>
      </c>
      <c r="L147" t="s">
        <v>27</v>
      </c>
    </row>
    <row r="148" spans="1:12" x14ac:dyDescent="0.35">
      <c r="A148" t="s">
        <v>42</v>
      </c>
      <c r="B148">
        <v>1185732</v>
      </c>
      <c r="C148" s="1">
        <v>43853</v>
      </c>
      <c r="D148" t="s">
        <v>43</v>
      </c>
      <c r="E148" t="s">
        <v>44</v>
      </c>
      <c r="F148" t="s">
        <v>44</v>
      </c>
      <c r="G148" t="s">
        <v>70</v>
      </c>
      <c r="H148" s="2">
        <v>43</v>
      </c>
      <c r="I148">
        <v>306</v>
      </c>
      <c r="J148" s="3">
        <v>1316</v>
      </c>
      <c r="K148" s="4">
        <v>461</v>
      </c>
      <c r="L148" t="s">
        <v>27</v>
      </c>
    </row>
    <row r="149" spans="1:12" x14ac:dyDescent="0.35">
      <c r="A149" t="s">
        <v>12</v>
      </c>
      <c r="B149">
        <v>1185732</v>
      </c>
      <c r="C149" s="1">
        <v>43943</v>
      </c>
      <c r="D149" t="s">
        <v>43</v>
      </c>
      <c r="E149" t="s">
        <v>44</v>
      </c>
      <c r="F149" t="s">
        <v>44</v>
      </c>
      <c r="G149" t="s">
        <v>56</v>
      </c>
      <c r="H149" s="2">
        <v>34</v>
      </c>
      <c r="I149">
        <v>306</v>
      </c>
      <c r="J149" s="3">
        <v>1040</v>
      </c>
      <c r="K149" s="4">
        <v>406</v>
      </c>
      <c r="L149" t="s">
        <v>27</v>
      </c>
    </row>
    <row r="150" spans="1:12" x14ac:dyDescent="0.35">
      <c r="A150" t="s">
        <v>12</v>
      </c>
      <c r="B150">
        <v>1185732</v>
      </c>
      <c r="C150" s="1">
        <v>43957</v>
      </c>
      <c r="D150" t="s">
        <v>43</v>
      </c>
      <c r="E150" t="s">
        <v>44</v>
      </c>
      <c r="F150" t="s">
        <v>44</v>
      </c>
      <c r="G150" t="s">
        <v>56</v>
      </c>
      <c r="H150" s="2">
        <v>41</v>
      </c>
      <c r="I150">
        <v>306</v>
      </c>
      <c r="J150" s="3">
        <v>1255</v>
      </c>
      <c r="K150" s="4">
        <v>502</v>
      </c>
      <c r="L150" t="s">
        <v>27</v>
      </c>
    </row>
    <row r="151" spans="1:12" x14ac:dyDescent="0.35">
      <c r="A151" t="s">
        <v>23</v>
      </c>
      <c r="B151">
        <v>1197831</v>
      </c>
      <c r="C151" s="1">
        <v>44043</v>
      </c>
      <c r="D151" t="s">
        <v>19</v>
      </c>
      <c r="E151" t="s">
        <v>59</v>
      </c>
      <c r="F151" t="s">
        <v>60</v>
      </c>
      <c r="G151" t="s">
        <v>26</v>
      </c>
      <c r="H151" s="2">
        <v>20</v>
      </c>
      <c r="I151">
        <v>306</v>
      </c>
      <c r="J151">
        <v>612</v>
      </c>
      <c r="K151" s="4">
        <v>257</v>
      </c>
      <c r="L151" t="s">
        <v>27</v>
      </c>
    </row>
    <row r="152" spans="1:12" x14ac:dyDescent="0.35">
      <c r="A152" t="s">
        <v>23</v>
      </c>
      <c r="B152">
        <v>1197831</v>
      </c>
      <c r="C152" s="1">
        <v>44049</v>
      </c>
      <c r="D152" t="s">
        <v>19</v>
      </c>
      <c r="E152" t="s">
        <v>59</v>
      </c>
      <c r="F152" t="s">
        <v>60</v>
      </c>
      <c r="G152" t="s">
        <v>26</v>
      </c>
      <c r="H152" s="2">
        <v>23</v>
      </c>
      <c r="I152">
        <v>306</v>
      </c>
      <c r="J152">
        <v>704</v>
      </c>
      <c r="K152" s="4">
        <v>260</v>
      </c>
      <c r="L152" t="s">
        <v>27</v>
      </c>
    </row>
    <row r="153" spans="1:12" x14ac:dyDescent="0.35">
      <c r="A153" t="s">
        <v>23</v>
      </c>
      <c r="B153">
        <v>1197831</v>
      </c>
      <c r="C153" s="1">
        <v>44050</v>
      </c>
      <c r="D153" t="s">
        <v>19</v>
      </c>
      <c r="E153" t="s">
        <v>59</v>
      </c>
      <c r="F153" t="s">
        <v>60</v>
      </c>
      <c r="G153" t="s">
        <v>39</v>
      </c>
      <c r="H153" s="2">
        <v>29</v>
      </c>
      <c r="I153">
        <v>306</v>
      </c>
      <c r="J153">
        <v>887</v>
      </c>
      <c r="K153" s="4">
        <v>364</v>
      </c>
      <c r="L153" t="s">
        <v>27</v>
      </c>
    </row>
    <row r="154" spans="1:12" x14ac:dyDescent="0.35">
      <c r="A154" t="s">
        <v>12</v>
      </c>
      <c r="B154">
        <v>1197831</v>
      </c>
      <c r="C154" s="1">
        <v>44125</v>
      </c>
      <c r="D154" t="s">
        <v>19</v>
      </c>
      <c r="E154" t="s">
        <v>59</v>
      </c>
      <c r="F154" t="s">
        <v>60</v>
      </c>
      <c r="G154" t="s">
        <v>39</v>
      </c>
      <c r="H154" s="2">
        <v>31</v>
      </c>
      <c r="I154">
        <v>306</v>
      </c>
      <c r="J154">
        <v>949</v>
      </c>
      <c r="K154" s="4">
        <v>379</v>
      </c>
      <c r="L154" t="s">
        <v>27</v>
      </c>
    </row>
    <row r="155" spans="1:12" x14ac:dyDescent="0.35">
      <c r="A155" t="s">
        <v>12</v>
      </c>
      <c r="B155">
        <v>1197831</v>
      </c>
      <c r="C155" s="1">
        <v>44135</v>
      </c>
      <c r="D155" t="s">
        <v>19</v>
      </c>
      <c r="E155" t="s">
        <v>59</v>
      </c>
      <c r="F155" t="s">
        <v>60</v>
      </c>
      <c r="G155" t="s">
        <v>16</v>
      </c>
      <c r="H155" s="2">
        <v>41</v>
      </c>
      <c r="I155">
        <v>306</v>
      </c>
      <c r="J155" s="3">
        <v>1255</v>
      </c>
      <c r="K155" s="4">
        <v>690</v>
      </c>
      <c r="L155" t="s">
        <v>27</v>
      </c>
    </row>
    <row r="156" spans="1:12" x14ac:dyDescent="0.35">
      <c r="A156" t="s">
        <v>18</v>
      </c>
      <c r="B156">
        <v>1128299</v>
      </c>
      <c r="C156" s="1">
        <v>44207</v>
      </c>
      <c r="D156" t="s">
        <v>48</v>
      </c>
      <c r="E156" t="s">
        <v>66</v>
      </c>
      <c r="F156" t="s">
        <v>67</v>
      </c>
      <c r="G156" t="s">
        <v>16</v>
      </c>
      <c r="H156" s="2">
        <v>60</v>
      </c>
      <c r="I156">
        <v>306</v>
      </c>
      <c r="J156" s="3">
        <v>1836</v>
      </c>
      <c r="K156" s="4">
        <v>477</v>
      </c>
      <c r="L156" t="s">
        <v>27</v>
      </c>
    </row>
    <row r="157" spans="1:12" x14ac:dyDescent="0.35">
      <c r="A157" t="s">
        <v>18</v>
      </c>
      <c r="B157">
        <v>1128299</v>
      </c>
      <c r="C157" s="1">
        <v>44233</v>
      </c>
      <c r="D157" t="s">
        <v>48</v>
      </c>
      <c r="E157" t="s">
        <v>66</v>
      </c>
      <c r="F157" t="s">
        <v>67</v>
      </c>
      <c r="G157" t="s">
        <v>39</v>
      </c>
      <c r="H157" s="2">
        <v>46</v>
      </c>
      <c r="I157">
        <v>306</v>
      </c>
      <c r="J157" s="3">
        <v>1408</v>
      </c>
      <c r="K157" s="4">
        <v>282</v>
      </c>
      <c r="L157" t="s">
        <v>27</v>
      </c>
    </row>
    <row r="158" spans="1:12" x14ac:dyDescent="0.35">
      <c r="A158" t="s">
        <v>63</v>
      </c>
      <c r="B158">
        <v>1189833</v>
      </c>
      <c r="C158" s="1">
        <v>44317</v>
      </c>
      <c r="D158" t="s">
        <v>48</v>
      </c>
      <c r="E158" t="s">
        <v>66</v>
      </c>
      <c r="F158" t="s">
        <v>76</v>
      </c>
      <c r="G158" t="s">
        <v>26</v>
      </c>
      <c r="H158" s="2">
        <v>36</v>
      </c>
      <c r="I158">
        <v>306</v>
      </c>
      <c r="J158" s="3">
        <v>1102</v>
      </c>
      <c r="K158" s="4">
        <v>496</v>
      </c>
      <c r="L158" t="s">
        <v>27</v>
      </c>
    </row>
    <row r="159" spans="1:12" x14ac:dyDescent="0.35">
      <c r="A159" t="s">
        <v>23</v>
      </c>
      <c r="B159">
        <v>1197831</v>
      </c>
      <c r="C159" s="1">
        <v>44300</v>
      </c>
      <c r="D159" t="s">
        <v>19</v>
      </c>
      <c r="E159" t="s">
        <v>74</v>
      </c>
      <c r="F159" t="s">
        <v>75</v>
      </c>
      <c r="G159" t="s">
        <v>16</v>
      </c>
      <c r="H159" s="2">
        <v>37</v>
      </c>
      <c r="I159">
        <v>306</v>
      </c>
      <c r="J159" s="3">
        <v>1132</v>
      </c>
      <c r="K159" s="4">
        <v>668</v>
      </c>
      <c r="L159" t="s">
        <v>27</v>
      </c>
    </row>
    <row r="160" spans="1:12" x14ac:dyDescent="0.35">
      <c r="A160" t="s">
        <v>18</v>
      </c>
      <c r="B160">
        <v>1128299</v>
      </c>
      <c r="C160" s="1">
        <v>44393</v>
      </c>
      <c r="D160" t="s">
        <v>19</v>
      </c>
      <c r="E160" t="s">
        <v>20</v>
      </c>
      <c r="F160" t="s">
        <v>21</v>
      </c>
      <c r="G160" t="s">
        <v>26</v>
      </c>
      <c r="H160" s="2">
        <v>62</v>
      </c>
      <c r="I160">
        <v>306</v>
      </c>
      <c r="J160" s="3">
        <v>1897</v>
      </c>
      <c r="K160" s="4">
        <v>816</v>
      </c>
      <c r="L160" t="s">
        <v>27</v>
      </c>
    </row>
    <row r="161" spans="1:12" x14ac:dyDescent="0.35">
      <c r="A161" t="s">
        <v>42</v>
      </c>
      <c r="B161">
        <v>1185732</v>
      </c>
      <c r="C161" s="1">
        <v>43899</v>
      </c>
      <c r="D161" t="s">
        <v>43</v>
      </c>
      <c r="E161" t="s">
        <v>44</v>
      </c>
      <c r="F161" t="s">
        <v>44</v>
      </c>
      <c r="G161" t="s">
        <v>16</v>
      </c>
      <c r="H161" s="2">
        <v>64</v>
      </c>
      <c r="I161">
        <v>305</v>
      </c>
      <c r="J161" s="3">
        <v>1952</v>
      </c>
      <c r="K161" s="4">
        <v>761</v>
      </c>
      <c r="L161" t="s">
        <v>17</v>
      </c>
    </row>
    <row r="162" spans="1:12" x14ac:dyDescent="0.35">
      <c r="A162" t="s">
        <v>12</v>
      </c>
      <c r="B162">
        <v>1197831</v>
      </c>
      <c r="C162" s="1">
        <v>44073</v>
      </c>
      <c r="D162" t="s">
        <v>19</v>
      </c>
      <c r="E162" t="s">
        <v>59</v>
      </c>
      <c r="F162" t="s">
        <v>60</v>
      </c>
      <c r="G162" t="s">
        <v>26</v>
      </c>
      <c r="H162" s="2">
        <v>27</v>
      </c>
      <c r="I162">
        <v>305</v>
      </c>
      <c r="J162">
        <v>824</v>
      </c>
      <c r="K162" s="4">
        <v>305</v>
      </c>
      <c r="L162" t="s">
        <v>27</v>
      </c>
    </row>
    <row r="163" spans="1:12" x14ac:dyDescent="0.35">
      <c r="A163" t="s">
        <v>12</v>
      </c>
      <c r="B163">
        <v>1197831</v>
      </c>
      <c r="C163" s="1">
        <v>44074</v>
      </c>
      <c r="D163" t="s">
        <v>19</v>
      </c>
      <c r="E163" t="s">
        <v>59</v>
      </c>
      <c r="F163" t="s">
        <v>60</v>
      </c>
      <c r="G163" t="s">
        <v>39</v>
      </c>
      <c r="H163" s="2">
        <v>33</v>
      </c>
      <c r="I163">
        <v>305</v>
      </c>
      <c r="J163" s="3">
        <v>1007</v>
      </c>
      <c r="K163" s="4">
        <v>382</v>
      </c>
      <c r="L163" t="s">
        <v>27</v>
      </c>
    </row>
    <row r="164" spans="1:12" x14ac:dyDescent="0.35">
      <c r="A164" t="s">
        <v>42</v>
      </c>
      <c r="B164">
        <v>1197831</v>
      </c>
      <c r="C164" s="1">
        <v>44416</v>
      </c>
      <c r="D164" t="s">
        <v>48</v>
      </c>
      <c r="E164" t="s">
        <v>79</v>
      </c>
      <c r="F164" t="s">
        <v>80</v>
      </c>
      <c r="G164" t="s">
        <v>32</v>
      </c>
      <c r="H164" s="2">
        <v>39</v>
      </c>
      <c r="I164">
        <v>305</v>
      </c>
      <c r="J164" s="3">
        <v>1190</v>
      </c>
      <c r="K164" s="4">
        <v>511</v>
      </c>
      <c r="L164" t="s">
        <v>27</v>
      </c>
    </row>
    <row r="165" spans="1:12" x14ac:dyDescent="0.35">
      <c r="A165" t="s">
        <v>18</v>
      </c>
      <c r="B165">
        <v>1185732</v>
      </c>
      <c r="C165" s="1">
        <v>44091</v>
      </c>
      <c r="D165" t="s">
        <v>13</v>
      </c>
      <c r="E165" t="s">
        <v>14</v>
      </c>
      <c r="F165" t="s">
        <v>73</v>
      </c>
      <c r="G165" t="s">
        <v>26</v>
      </c>
      <c r="H165" s="2">
        <v>60</v>
      </c>
      <c r="I165">
        <v>304</v>
      </c>
      <c r="J165" s="3">
        <v>1824</v>
      </c>
      <c r="K165" s="4">
        <v>1040</v>
      </c>
      <c r="L165" t="s">
        <v>17</v>
      </c>
    </row>
    <row r="166" spans="1:12" x14ac:dyDescent="0.35">
      <c r="A166" t="s">
        <v>12</v>
      </c>
      <c r="B166">
        <v>1197831</v>
      </c>
      <c r="C166" s="1">
        <v>44072</v>
      </c>
      <c r="D166" t="s">
        <v>19</v>
      </c>
      <c r="E166" t="s">
        <v>59</v>
      </c>
      <c r="F166" t="s">
        <v>60</v>
      </c>
      <c r="G166" t="s">
        <v>16</v>
      </c>
      <c r="H166" s="2">
        <v>36</v>
      </c>
      <c r="I166">
        <v>302</v>
      </c>
      <c r="J166" s="3">
        <v>1087</v>
      </c>
      <c r="K166" s="4">
        <v>565</v>
      </c>
      <c r="L166" t="s">
        <v>27</v>
      </c>
    </row>
    <row r="167" spans="1:12" x14ac:dyDescent="0.35">
      <c r="A167" t="s">
        <v>18</v>
      </c>
      <c r="B167">
        <v>1128299</v>
      </c>
      <c r="C167" s="1">
        <v>44214</v>
      </c>
      <c r="D167" t="s">
        <v>48</v>
      </c>
      <c r="E167" t="s">
        <v>66</v>
      </c>
      <c r="F167" t="s">
        <v>67</v>
      </c>
      <c r="G167" t="s">
        <v>26</v>
      </c>
      <c r="H167" s="2">
        <v>45</v>
      </c>
      <c r="I167">
        <v>302</v>
      </c>
      <c r="J167" s="3">
        <v>1359</v>
      </c>
      <c r="K167" s="4">
        <v>544</v>
      </c>
      <c r="L167" t="s">
        <v>27</v>
      </c>
    </row>
    <row r="168" spans="1:12" x14ac:dyDescent="0.35">
      <c r="A168" t="s">
        <v>23</v>
      </c>
      <c r="B168">
        <v>1197831</v>
      </c>
      <c r="C168" s="1">
        <v>44287</v>
      </c>
      <c r="D168" t="s">
        <v>19</v>
      </c>
      <c r="E168" t="s">
        <v>74</v>
      </c>
      <c r="F168" t="s">
        <v>75</v>
      </c>
      <c r="G168" t="s">
        <v>70</v>
      </c>
      <c r="H168" s="2">
        <v>30</v>
      </c>
      <c r="I168">
        <v>300</v>
      </c>
      <c r="J168" s="3">
        <v>9000</v>
      </c>
      <c r="K168" s="4">
        <v>3150</v>
      </c>
      <c r="L168" t="s">
        <v>27</v>
      </c>
    </row>
    <row r="169" spans="1:12" x14ac:dyDescent="0.35">
      <c r="A169" t="s">
        <v>23</v>
      </c>
      <c r="B169">
        <v>1197831</v>
      </c>
      <c r="C169" s="1">
        <v>44467</v>
      </c>
      <c r="D169" t="s">
        <v>19</v>
      </c>
      <c r="E169" t="s">
        <v>24</v>
      </c>
      <c r="F169" t="s">
        <v>25</v>
      </c>
      <c r="G169" t="s">
        <v>70</v>
      </c>
      <c r="H169" s="2">
        <v>30</v>
      </c>
      <c r="I169">
        <v>300</v>
      </c>
      <c r="J169" s="3">
        <v>9000</v>
      </c>
      <c r="K169" s="4">
        <v>4050</v>
      </c>
      <c r="L169" t="s">
        <v>27</v>
      </c>
    </row>
    <row r="170" spans="1:12" x14ac:dyDescent="0.35">
      <c r="A170" t="s">
        <v>42</v>
      </c>
      <c r="B170">
        <v>1185732</v>
      </c>
      <c r="C170" s="1">
        <v>44335</v>
      </c>
      <c r="D170" t="s">
        <v>33</v>
      </c>
      <c r="E170" t="s">
        <v>34</v>
      </c>
      <c r="F170" t="s">
        <v>35</v>
      </c>
      <c r="G170" t="s">
        <v>32</v>
      </c>
      <c r="H170" s="2">
        <v>30</v>
      </c>
      <c r="I170">
        <v>300</v>
      </c>
      <c r="J170" s="3">
        <v>9000</v>
      </c>
      <c r="K170" s="4">
        <v>3150</v>
      </c>
      <c r="L170" t="s">
        <v>36</v>
      </c>
    </row>
    <row r="171" spans="1:12" x14ac:dyDescent="0.35">
      <c r="A171" t="s">
        <v>42</v>
      </c>
      <c r="B171">
        <v>1185732</v>
      </c>
      <c r="C171" s="1">
        <v>44458</v>
      </c>
      <c r="D171" t="s">
        <v>33</v>
      </c>
      <c r="E171" t="s">
        <v>34</v>
      </c>
      <c r="F171" t="s">
        <v>35</v>
      </c>
      <c r="G171" t="s">
        <v>32</v>
      </c>
      <c r="H171" s="2">
        <v>15</v>
      </c>
      <c r="I171">
        <v>300</v>
      </c>
      <c r="J171" s="3">
        <v>4500</v>
      </c>
      <c r="K171" s="4">
        <v>1575</v>
      </c>
      <c r="L171" t="s">
        <v>36</v>
      </c>
    </row>
    <row r="172" spans="1:12" x14ac:dyDescent="0.35">
      <c r="A172" t="s">
        <v>18</v>
      </c>
      <c r="B172">
        <v>1185732</v>
      </c>
      <c r="C172" s="1">
        <v>44238</v>
      </c>
      <c r="D172" t="s">
        <v>48</v>
      </c>
      <c r="E172" t="s">
        <v>49</v>
      </c>
      <c r="F172" t="s">
        <v>50</v>
      </c>
      <c r="G172" t="s">
        <v>56</v>
      </c>
      <c r="H172" s="2">
        <v>20</v>
      </c>
      <c r="I172">
        <v>300</v>
      </c>
      <c r="J172" s="3">
        <v>6000</v>
      </c>
      <c r="K172" s="4">
        <v>2400</v>
      </c>
      <c r="L172" t="s">
        <v>36</v>
      </c>
    </row>
    <row r="173" spans="1:12" x14ac:dyDescent="0.35">
      <c r="A173" t="s">
        <v>18</v>
      </c>
      <c r="B173">
        <v>1185732</v>
      </c>
      <c r="C173" s="1">
        <v>44480</v>
      </c>
      <c r="D173" t="s">
        <v>48</v>
      </c>
      <c r="E173" t="s">
        <v>49</v>
      </c>
      <c r="F173" t="s">
        <v>50</v>
      </c>
      <c r="G173" t="s">
        <v>32</v>
      </c>
      <c r="H173" s="2">
        <v>20</v>
      </c>
      <c r="I173">
        <v>300</v>
      </c>
      <c r="J173" s="3">
        <v>6000</v>
      </c>
      <c r="K173" s="4">
        <v>2100</v>
      </c>
      <c r="L173" t="s">
        <v>36</v>
      </c>
    </row>
    <row r="174" spans="1:12" x14ac:dyDescent="0.35">
      <c r="A174" t="s">
        <v>51</v>
      </c>
      <c r="B174">
        <v>1185732</v>
      </c>
      <c r="C174" s="1">
        <v>44218</v>
      </c>
      <c r="D174" t="s">
        <v>33</v>
      </c>
      <c r="E174" t="s">
        <v>52</v>
      </c>
      <c r="F174" t="s">
        <v>53</v>
      </c>
      <c r="G174" t="s">
        <v>32</v>
      </c>
      <c r="H174" s="2">
        <v>30</v>
      </c>
      <c r="I174">
        <v>300</v>
      </c>
      <c r="J174" s="3">
        <v>9000</v>
      </c>
      <c r="K174" s="4">
        <v>3600</v>
      </c>
      <c r="L174" t="s">
        <v>17</v>
      </c>
    </row>
    <row r="175" spans="1:12" x14ac:dyDescent="0.35">
      <c r="A175" t="s">
        <v>42</v>
      </c>
      <c r="B175">
        <v>1185732</v>
      </c>
      <c r="C175" s="1">
        <v>44303</v>
      </c>
      <c r="D175" t="s">
        <v>19</v>
      </c>
      <c r="E175" t="s">
        <v>37</v>
      </c>
      <c r="F175" t="s">
        <v>38</v>
      </c>
      <c r="G175" t="s">
        <v>56</v>
      </c>
      <c r="H175" s="2">
        <v>20</v>
      </c>
      <c r="I175">
        <v>300</v>
      </c>
      <c r="J175" s="3">
        <v>6000</v>
      </c>
      <c r="K175" s="4">
        <v>2400</v>
      </c>
      <c r="L175" t="s">
        <v>17</v>
      </c>
    </row>
    <row r="176" spans="1:12" x14ac:dyDescent="0.35">
      <c r="A176" t="s">
        <v>23</v>
      </c>
      <c r="B176">
        <v>1197831</v>
      </c>
      <c r="C176" s="1">
        <v>44219</v>
      </c>
      <c r="D176" t="s">
        <v>19</v>
      </c>
      <c r="E176" t="s">
        <v>37</v>
      </c>
      <c r="F176" t="s">
        <v>38</v>
      </c>
      <c r="G176" t="s">
        <v>56</v>
      </c>
      <c r="H176" s="2">
        <v>20</v>
      </c>
      <c r="I176">
        <v>300</v>
      </c>
      <c r="J176" s="3">
        <v>6000</v>
      </c>
      <c r="K176" s="4">
        <v>2400</v>
      </c>
      <c r="L176" t="s">
        <v>17</v>
      </c>
    </row>
    <row r="177" spans="1:12" x14ac:dyDescent="0.35">
      <c r="A177" t="s">
        <v>12</v>
      </c>
      <c r="B177">
        <v>1197831</v>
      </c>
      <c r="C177" s="1">
        <v>44306</v>
      </c>
      <c r="D177" t="s">
        <v>19</v>
      </c>
      <c r="E177" t="s">
        <v>54</v>
      </c>
      <c r="F177" t="s">
        <v>55</v>
      </c>
      <c r="G177" t="s">
        <v>39</v>
      </c>
      <c r="H177" s="2">
        <v>25</v>
      </c>
      <c r="I177">
        <v>300</v>
      </c>
      <c r="J177" s="3">
        <v>7500</v>
      </c>
      <c r="K177" s="4">
        <v>2625</v>
      </c>
      <c r="L177" t="s">
        <v>17</v>
      </c>
    </row>
    <row r="178" spans="1:12" x14ac:dyDescent="0.35">
      <c r="A178" t="s">
        <v>12</v>
      </c>
      <c r="B178">
        <v>1197831</v>
      </c>
      <c r="C178" s="1">
        <v>44306</v>
      </c>
      <c r="D178" t="s">
        <v>19</v>
      </c>
      <c r="E178" t="s">
        <v>54</v>
      </c>
      <c r="F178" t="s">
        <v>55</v>
      </c>
      <c r="G178" t="s">
        <v>32</v>
      </c>
      <c r="H178" s="2">
        <v>15</v>
      </c>
      <c r="I178">
        <v>300</v>
      </c>
      <c r="J178" s="3">
        <v>4500</v>
      </c>
      <c r="K178" s="4">
        <v>1800</v>
      </c>
      <c r="L178" t="s">
        <v>17</v>
      </c>
    </row>
    <row r="179" spans="1:12" x14ac:dyDescent="0.35">
      <c r="A179" t="s">
        <v>12</v>
      </c>
      <c r="B179">
        <v>1197831</v>
      </c>
      <c r="C179" s="1">
        <v>44490</v>
      </c>
      <c r="D179" t="s">
        <v>19</v>
      </c>
      <c r="E179" t="s">
        <v>54</v>
      </c>
      <c r="F179" t="s">
        <v>55</v>
      </c>
      <c r="G179" t="s">
        <v>32</v>
      </c>
      <c r="H179" s="2">
        <v>20</v>
      </c>
      <c r="I179">
        <v>300</v>
      </c>
      <c r="J179" s="3">
        <v>6000</v>
      </c>
      <c r="K179" s="4">
        <v>2400</v>
      </c>
      <c r="L179" t="s">
        <v>17</v>
      </c>
    </row>
    <row r="180" spans="1:12" x14ac:dyDescent="0.35">
      <c r="A180" t="s">
        <v>63</v>
      </c>
      <c r="B180">
        <v>1197831</v>
      </c>
      <c r="C180" s="1">
        <v>44520</v>
      </c>
      <c r="D180" t="s">
        <v>19</v>
      </c>
      <c r="E180" t="s">
        <v>61</v>
      </c>
      <c r="F180" t="s">
        <v>62</v>
      </c>
      <c r="G180" t="s">
        <v>39</v>
      </c>
      <c r="H180" s="2">
        <v>15</v>
      </c>
      <c r="I180">
        <v>300</v>
      </c>
      <c r="J180" s="3">
        <v>4500</v>
      </c>
      <c r="K180" s="4">
        <v>1575</v>
      </c>
      <c r="L180" t="s">
        <v>17</v>
      </c>
    </row>
    <row r="181" spans="1:12" x14ac:dyDescent="0.35">
      <c r="A181" t="s">
        <v>63</v>
      </c>
      <c r="B181">
        <v>1197831</v>
      </c>
      <c r="C181" s="1">
        <v>44241</v>
      </c>
      <c r="D181" t="s">
        <v>19</v>
      </c>
      <c r="E181" t="s">
        <v>61</v>
      </c>
      <c r="F181" t="s">
        <v>62</v>
      </c>
      <c r="G181" t="s">
        <v>32</v>
      </c>
      <c r="H181" s="2">
        <v>15</v>
      </c>
      <c r="I181">
        <v>300</v>
      </c>
      <c r="J181" s="3">
        <v>4500</v>
      </c>
      <c r="K181" s="4">
        <v>1575</v>
      </c>
      <c r="L181" t="s">
        <v>17</v>
      </c>
    </row>
    <row r="182" spans="1:12" x14ac:dyDescent="0.35">
      <c r="A182" t="s">
        <v>63</v>
      </c>
      <c r="B182">
        <v>1197831</v>
      </c>
      <c r="C182" s="1">
        <v>44299</v>
      </c>
      <c r="D182" t="s">
        <v>33</v>
      </c>
      <c r="E182" t="s">
        <v>71</v>
      </c>
      <c r="F182" t="s">
        <v>72</v>
      </c>
      <c r="G182" t="s">
        <v>16</v>
      </c>
      <c r="H182" s="2">
        <v>30</v>
      </c>
      <c r="I182">
        <v>300</v>
      </c>
      <c r="J182" s="3">
        <v>9000</v>
      </c>
      <c r="K182" s="4">
        <v>3150</v>
      </c>
      <c r="L182" t="s">
        <v>17</v>
      </c>
    </row>
    <row r="183" spans="1:12" x14ac:dyDescent="0.35">
      <c r="A183" t="s">
        <v>42</v>
      </c>
      <c r="B183">
        <v>1197831</v>
      </c>
      <c r="C183" s="1">
        <v>44483</v>
      </c>
      <c r="D183" t="s">
        <v>33</v>
      </c>
      <c r="E183" t="s">
        <v>71</v>
      </c>
      <c r="F183" t="s">
        <v>72</v>
      </c>
      <c r="G183" t="s">
        <v>16</v>
      </c>
      <c r="H183" s="2">
        <v>30</v>
      </c>
      <c r="I183">
        <v>300</v>
      </c>
      <c r="J183" s="3">
        <v>9000</v>
      </c>
      <c r="K183" s="4">
        <v>3150</v>
      </c>
      <c r="L183" t="s">
        <v>17</v>
      </c>
    </row>
    <row r="184" spans="1:12" x14ac:dyDescent="0.35">
      <c r="A184" t="s">
        <v>18</v>
      </c>
      <c r="B184">
        <v>1185732</v>
      </c>
      <c r="C184" s="1">
        <v>44350</v>
      </c>
      <c r="D184" t="s">
        <v>33</v>
      </c>
      <c r="E184" t="s">
        <v>40</v>
      </c>
      <c r="F184" t="s">
        <v>41</v>
      </c>
      <c r="G184" t="s">
        <v>39</v>
      </c>
      <c r="H184" s="2">
        <v>30</v>
      </c>
      <c r="I184">
        <v>300</v>
      </c>
      <c r="J184" s="3">
        <v>9000</v>
      </c>
      <c r="K184" s="4">
        <v>3150</v>
      </c>
      <c r="L184" t="s">
        <v>36</v>
      </c>
    </row>
    <row r="185" spans="1:12" x14ac:dyDescent="0.35">
      <c r="A185" t="s">
        <v>18</v>
      </c>
      <c r="B185">
        <v>1185732</v>
      </c>
      <c r="C185" s="1">
        <v>44206</v>
      </c>
      <c r="D185" t="s">
        <v>33</v>
      </c>
      <c r="E185" t="s">
        <v>40</v>
      </c>
      <c r="F185" t="s">
        <v>41</v>
      </c>
      <c r="G185" t="s">
        <v>32</v>
      </c>
      <c r="H185" s="2">
        <v>25</v>
      </c>
      <c r="I185">
        <v>300</v>
      </c>
      <c r="J185" s="3">
        <v>7500</v>
      </c>
      <c r="K185" s="4">
        <v>2625</v>
      </c>
      <c r="L185" t="s">
        <v>36</v>
      </c>
    </row>
    <row r="186" spans="1:12" x14ac:dyDescent="0.35">
      <c r="A186" t="s">
        <v>18</v>
      </c>
      <c r="B186">
        <v>1185732</v>
      </c>
      <c r="C186" s="1">
        <v>44237</v>
      </c>
      <c r="D186" t="s">
        <v>33</v>
      </c>
      <c r="E186" t="s">
        <v>81</v>
      </c>
      <c r="F186" t="s">
        <v>82</v>
      </c>
      <c r="G186" t="s">
        <v>16</v>
      </c>
      <c r="H186" s="2">
        <v>20</v>
      </c>
      <c r="I186">
        <v>300</v>
      </c>
      <c r="J186" s="3">
        <v>6000</v>
      </c>
      <c r="K186" s="4">
        <v>2400</v>
      </c>
      <c r="L186" t="s">
        <v>36</v>
      </c>
    </row>
    <row r="187" spans="1:12" x14ac:dyDescent="0.35">
      <c r="A187" t="s">
        <v>18</v>
      </c>
      <c r="B187">
        <v>1185732</v>
      </c>
      <c r="C187" s="1">
        <v>44213</v>
      </c>
      <c r="D187" t="s">
        <v>33</v>
      </c>
      <c r="E187" t="s">
        <v>81</v>
      </c>
      <c r="F187" t="s">
        <v>82</v>
      </c>
      <c r="G187" t="s">
        <v>32</v>
      </c>
      <c r="H187" s="2">
        <v>25</v>
      </c>
      <c r="I187">
        <v>300</v>
      </c>
      <c r="J187" s="3">
        <v>7500</v>
      </c>
      <c r="K187" s="4">
        <v>3000</v>
      </c>
      <c r="L187" t="s">
        <v>36</v>
      </c>
    </row>
    <row r="188" spans="1:12" x14ac:dyDescent="0.35">
      <c r="A188" t="s">
        <v>18</v>
      </c>
      <c r="B188">
        <v>1185732</v>
      </c>
      <c r="C188" s="1">
        <v>44244</v>
      </c>
      <c r="D188" t="s">
        <v>33</v>
      </c>
      <c r="E188" t="s">
        <v>81</v>
      </c>
      <c r="F188" t="s">
        <v>82</v>
      </c>
      <c r="G188" t="s">
        <v>32</v>
      </c>
      <c r="H188" s="2">
        <v>30</v>
      </c>
      <c r="I188">
        <v>300</v>
      </c>
      <c r="J188" s="3">
        <v>9000</v>
      </c>
      <c r="K188" s="4">
        <v>3600</v>
      </c>
      <c r="L188" t="s">
        <v>36</v>
      </c>
    </row>
    <row r="189" spans="1:12" x14ac:dyDescent="0.35">
      <c r="A189" t="s">
        <v>23</v>
      </c>
      <c r="B189">
        <v>1185732</v>
      </c>
      <c r="C189" s="1">
        <v>44203</v>
      </c>
      <c r="D189" t="s">
        <v>43</v>
      </c>
      <c r="E189" t="s">
        <v>83</v>
      </c>
      <c r="F189" t="s">
        <v>84</v>
      </c>
      <c r="G189" t="s">
        <v>32</v>
      </c>
      <c r="H189" s="2">
        <v>30</v>
      </c>
      <c r="I189">
        <v>300</v>
      </c>
      <c r="J189" s="3">
        <v>9000</v>
      </c>
      <c r="K189" s="4">
        <v>2700</v>
      </c>
      <c r="L189" t="s">
        <v>36</v>
      </c>
    </row>
    <row r="190" spans="1:12" x14ac:dyDescent="0.35">
      <c r="A190" t="s">
        <v>42</v>
      </c>
      <c r="B190">
        <v>1185732</v>
      </c>
      <c r="C190" s="1">
        <v>43861</v>
      </c>
      <c r="D190" t="s">
        <v>43</v>
      </c>
      <c r="E190" t="s">
        <v>44</v>
      </c>
      <c r="F190" t="s">
        <v>44</v>
      </c>
      <c r="G190" t="s">
        <v>26</v>
      </c>
      <c r="H190" s="2">
        <v>45</v>
      </c>
      <c r="I190">
        <v>300</v>
      </c>
      <c r="J190" s="3">
        <v>1350</v>
      </c>
      <c r="K190" s="4">
        <v>837</v>
      </c>
      <c r="L190" t="s">
        <v>17</v>
      </c>
    </row>
    <row r="191" spans="1:12" x14ac:dyDescent="0.35">
      <c r="A191" t="s">
        <v>12</v>
      </c>
      <c r="B191">
        <v>1185732</v>
      </c>
      <c r="C191" s="1">
        <v>43955</v>
      </c>
      <c r="D191" t="s">
        <v>43</v>
      </c>
      <c r="E191" t="s">
        <v>44</v>
      </c>
      <c r="F191" t="s">
        <v>44</v>
      </c>
      <c r="G191" t="s">
        <v>39</v>
      </c>
      <c r="H191" s="2">
        <v>51</v>
      </c>
      <c r="I191">
        <v>300</v>
      </c>
      <c r="J191" s="3">
        <v>1530</v>
      </c>
      <c r="K191" s="4">
        <v>643</v>
      </c>
      <c r="L191" t="s">
        <v>17</v>
      </c>
    </row>
    <row r="192" spans="1:12" x14ac:dyDescent="0.35">
      <c r="A192" t="s">
        <v>18</v>
      </c>
      <c r="B192">
        <v>1185732</v>
      </c>
      <c r="C192" s="1">
        <v>43945</v>
      </c>
      <c r="D192" t="s">
        <v>13</v>
      </c>
      <c r="E192" t="s">
        <v>14</v>
      </c>
      <c r="F192" t="s">
        <v>73</v>
      </c>
      <c r="G192" t="s">
        <v>26</v>
      </c>
      <c r="H192" s="2">
        <v>52</v>
      </c>
      <c r="I192">
        <v>300</v>
      </c>
      <c r="J192" s="3">
        <v>1560</v>
      </c>
      <c r="K192" s="4">
        <v>874</v>
      </c>
      <c r="L192" t="s">
        <v>17</v>
      </c>
    </row>
    <row r="193" spans="1:12" x14ac:dyDescent="0.35">
      <c r="A193" t="s">
        <v>12</v>
      </c>
      <c r="B193">
        <v>1185732</v>
      </c>
      <c r="C193" s="1">
        <v>43948</v>
      </c>
      <c r="D193" t="s">
        <v>43</v>
      </c>
      <c r="E193" t="s">
        <v>44</v>
      </c>
      <c r="F193" t="s">
        <v>44</v>
      </c>
      <c r="G193" t="s">
        <v>26</v>
      </c>
      <c r="H193" s="2">
        <v>60</v>
      </c>
      <c r="I193">
        <v>299</v>
      </c>
      <c r="J193" s="3">
        <v>1794</v>
      </c>
      <c r="K193" s="4">
        <v>1076</v>
      </c>
      <c r="L193" t="s">
        <v>17</v>
      </c>
    </row>
    <row r="194" spans="1:12" x14ac:dyDescent="0.35">
      <c r="A194" t="s">
        <v>18</v>
      </c>
      <c r="B194">
        <v>1185732</v>
      </c>
      <c r="C194" s="1">
        <v>44085</v>
      </c>
      <c r="D194" t="s">
        <v>13</v>
      </c>
      <c r="E194" t="s">
        <v>14</v>
      </c>
      <c r="F194" t="s">
        <v>73</v>
      </c>
      <c r="G194" t="s">
        <v>26</v>
      </c>
      <c r="H194" s="2">
        <v>60</v>
      </c>
      <c r="I194">
        <v>299</v>
      </c>
      <c r="J194" s="3">
        <v>1794</v>
      </c>
      <c r="K194" s="4">
        <v>1076</v>
      </c>
      <c r="L194" t="s">
        <v>17</v>
      </c>
    </row>
    <row r="195" spans="1:12" x14ac:dyDescent="0.35">
      <c r="A195" t="s">
        <v>12</v>
      </c>
      <c r="B195">
        <v>1197831</v>
      </c>
      <c r="C195" s="1">
        <v>44084</v>
      </c>
      <c r="D195" t="s">
        <v>19</v>
      </c>
      <c r="E195" t="s">
        <v>59</v>
      </c>
      <c r="F195" t="s">
        <v>60</v>
      </c>
      <c r="G195" t="s">
        <v>16</v>
      </c>
      <c r="H195" s="2">
        <v>42</v>
      </c>
      <c r="I195">
        <v>298</v>
      </c>
      <c r="J195" s="3">
        <v>1252</v>
      </c>
      <c r="K195" s="4">
        <v>713</v>
      </c>
      <c r="L195" t="s">
        <v>27</v>
      </c>
    </row>
    <row r="196" spans="1:12" x14ac:dyDescent="0.35">
      <c r="A196" t="s">
        <v>12</v>
      </c>
      <c r="B196">
        <v>1197831</v>
      </c>
      <c r="C196" s="1">
        <v>44132</v>
      </c>
      <c r="D196" t="s">
        <v>19</v>
      </c>
      <c r="E196" t="s">
        <v>59</v>
      </c>
      <c r="F196" t="s">
        <v>60</v>
      </c>
      <c r="G196" t="s">
        <v>32</v>
      </c>
      <c r="H196" s="2">
        <v>38</v>
      </c>
      <c r="I196">
        <v>298</v>
      </c>
      <c r="J196" s="3">
        <v>1132</v>
      </c>
      <c r="K196" s="4">
        <v>430</v>
      </c>
      <c r="L196" t="s">
        <v>27</v>
      </c>
    </row>
    <row r="197" spans="1:12" x14ac:dyDescent="0.35">
      <c r="A197" t="s">
        <v>18</v>
      </c>
      <c r="B197">
        <v>1128299</v>
      </c>
      <c r="C197" s="1">
        <v>44400</v>
      </c>
      <c r="D197" t="s">
        <v>48</v>
      </c>
      <c r="E197" t="s">
        <v>85</v>
      </c>
      <c r="F197" t="s">
        <v>86</v>
      </c>
      <c r="G197" t="s">
        <v>26</v>
      </c>
      <c r="H197" s="2">
        <v>60</v>
      </c>
      <c r="I197">
        <v>298</v>
      </c>
      <c r="J197" s="3">
        <v>1788</v>
      </c>
      <c r="K197" s="4">
        <v>751</v>
      </c>
      <c r="L197" t="s">
        <v>27</v>
      </c>
    </row>
    <row r="198" spans="1:12" x14ac:dyDescent="0.35">
      <c r="A198" t="s">
        <v>12</v>
      </c>
      <c r="B198">
        <v>1197831</v>
      </c>
      <c r="C198" s="1">
        <v>44075</v>
      </c>
      <c r="D198" t="s">
        <v>19</v>
      </c>
      <c r="E198" t="s">
        <v>59</v>
      </c>
      <c r="F198" t="s">
        <v>60</v>
      </c>
      <c r="G198" t="s">
        <v>32</v>
      </c>
      <c r="H198" s="2">
        <v>39</v>
      </c>
      <c r="I198">
        <v>297</v>
      </c>
      <c r="J198" s="3">
        <v>1158</v>
      </c>
      <c r="K198" s="4">
        <v>533</v>
      </c>
      <c r="L198" t="s">
        <v>17</v>
      </c>
    </row>
    <row r="199" spans="1:12" x14ac:dyDescent="0.35">
      <c r="A199" t="s">
        <v>42</v>
      </c>
      <c r="B199">
        <v>1185732</v>
      </c>
      <c r="C199" s="1">
        <v>43897</v>
      </c>
      <c r="D199" t="s">
        <v>43</v>
      </c>
      <c r="E199" t="s">
        <v>44</v>
      </c>
      <c r="F199" t="s">
        <v>44</v>
      </c>
      <c r="G199" t="s">
        <v>56</v>
      </c>
      <c r="H199" s="2">
        <v>38</v>
      </c>
      <c r="I199">
        <v>297</v>
      </c>
      <c r="J199" s="3">
        <v>1129</v>
      </c>
      <c r="K199" s="4">
        <v>429</v>
      </c>
      <c r="L199" t="s">
        <v>27</v>
      </c>
    </row>
    <row r="200" spans="1:12" x14ac:dyDescent="0.35">
      <c r="A200" t="s">
        <v>63</v>
      </c>
      <c r="B200">
        <v>1189833</v>
      </c>
      <c r="C200" s="1">
        <v>44305</v>
      </c>
      <c r="D200" t="s">
        <v>48</v>
      </c>
      <c r="E200" t="s">
        <v>66</v>
      </c>
      <c r="F200" t="s">
        <v>76</v>
      </c>
      <c r="G200" t="s">
        <v>26</v>
      </c>
      <c r="H200" s="2">
        <v>36</v>
      </c>
      <c r="I200">
        <v>297</v>
      </c>
      <c r="J200" s="3">
        <v>1069</v>
      </c>
      <c r="K200" s="4">
        <v>470</v>
      </c>
      <c r="L200" t="s">
        <v>27</v>
      </c>
    </row>
    <row r="201" spans="1:12" x14ac:dyDescent="0.35">
      <c r="A201" t="s">
        <v>12</v>
      </c>
      <c r="B201">
        <v>1128299</v>
      </c>
      <c r="C201" s="1">
        <v>44393</v>
      </c>
      <c r="D201" t="s">
        <v>13</v>
      </c>
      <c r="E201" t="s">
        <v>14</v>
      </c>
      <c r="F201" t="s">
        <v>15</v>
      </c>
      <c r="G201" t="s">
        <v>26</v>
      </c>
      <c r="H201" s="2">
        <v>68</v>
      </c>
      <c r="I201">
        <v>297</v>
      </c>
      <c r="J201" s="3">
        <v>2020</v>
      </c>
      <c r="K201" s="4">
        <v>747</v>
      </c>
      <c r="L201" t="s">
        <v>27</v>
      </c>
    </row>
    <row r="202" spans="1:12" x14ac:dyDescent="0.35">
      <c r="A202" t="s">
        <v>42</v>
      </c>
      <c r="B202">
        <v>1185732</v>
      </c>
      <c r="C202" s="1">
        <v>43868</v>
      </c>
      <c r="D202" t="s">
        <v>43</v>
      </c>
      <c r="E202" t="s">
        <v>44</v>
      </c>
      <c r="F202" t="s">
        <v>44</v>
      </c>
      <c r="G202" t="s">
        <v>39</v>
      </c>
      <c r="H202" s="2">
        <v>37</v>
      </c>
      <c r="I202">
        <v>296</v>
      </c>
      <c r="J202" s="3">
        <v>1095</v>
      </c>
      <c r="K202" s="4">
        <v>383</v>
      </c>
      <c r="L202" t="s">
        <v>27</v>
      </c>
    </row>
    <row r="203" spans="1:12" x14ac:dyDescent="0.35">
      <c r="A203" t="s">
        <v>42</v>
      </c>
      <c r="B203">
        <v>1185732</v>
      </c>
      <c r="C203" s="1">
        <v>43896</v>
      </c>
      <c r="D203" t="s">
        <v>43</v>
      </c>
      <c r="E203" t="s">
        <v>44</v>
      </c>
      <c r="F203" t="s">
        <v>44</v>
      </c>
      <c r="G203" t="s">
        <v>32</v>
      </c>
      <c r="H203" s="2">
        <v>37</v>
      </c>
      <c r="I203">
        <v>296</v>
      </c>
      <c r="J203" s="3">
        <v>1095</v>
      </c>
      <c r="K203" s="4">
        <v>449</v>
      </c>
      <c r="L203" t="s">
        <v>27</v>
      </c>
    </row>
    <row r="204" spans="1:12" x14ac:dyDescent="0.35">
      <c r="A204" t="s">
        <v>42</v>
      </c>
      <c r="B204">
        <v>1185732</v>
      </c>
      <c r="C204" s="1">
        <v>44518</v>
      </c>
      <c r="D204" t="s">
        <v>33</v>
      </c>
      <c r="E204" t="s">
        <v>34</v>
      </c>
      <c r="F204" t="s">
        <v>35</v>
      </c>
      <c r="G204" t="s">
        <v>32</v>
      </c>
      <c r="H204" s="2">
        <v>25</v>
      </c>
      <c r="I204">
        <v>295</v>
      </c>
      <c r="J204" s="3">
        <v>7375</v>
      </c>
      <c r="K204" s="4">
        <v>2581</v>
      </c>
      <c r="L204" t="s">
        <v>36</v>
      </c>
    </row>
    <row r="205" spans="1:12" x14ac:dyDescent="0.35">
      <c r="A205" t="s">
        <v>42</v>
      </c>
      <c r="B205">
        <v>1185732</v>
      </c>
      <c r="C205" s="1">
        <v>43902</v>
      </c>
      <c r="D205" t="s">
        <v>43</v>
      </c>
      <c r="E205" t="s">
        <v>44</v>
      </c>
      <c r="F205" t="s">
        <v>44</v>
      </c>
      <c r="G205" t="s">
        <v>32</v>
      </c>
      <c r="H205" s="2">
        <v>35</v>
      </c>
      <c r="I205">
        <v>295</v>
      </c>
      <c r="J205" s="3">
        <v>1033</v>
      </c>
      <c r="K205" s="4">
        <v>434</v>
      </c>
      <c r="L205" t="s">
        <v>27</v>
      </c>
    </row>
    <row r="206" spans="1:12" x14ac:dyDescent="0.35">
      <c r="A206" t="s">
        <v>12</v>
      </c>
      <c r="B206">
        <v>1197831</v>
      </c>
      <c r="C206" s="1">
        <v>44060</v>
      </c>
      <c r="D206" t="s">
        <v>19</v>
      </c>
      <c r="E206" t="s">
        <v>59</v>
      </c>
      <c r="F206" t="s">
        <v>60</v>
      </c>
      <c r="G206" t="s">
        <v>16</v>
      </c>
      <c r="H206" s="2">
        <v>32</v>
      </c>
      <c r="I206">
        <v>295</v>
      </c>
      <c r="J206">
        <v>944</v>
      </c>
      <c r="K206" s="4">
        <v>538</v>
      </c>
      <c r="L206" t="s">
        <v>27</v>
      </c>
    </row>
    <row r="207" spans="1:12" x14ac:dyDescent="0.35">
      <c r="A207" t="s">
        <v>12</v>
      </c>
      <c r="B207">
        <v>1197831</v>
      </c>
      <c r="C207" s="1">
        <v>44061</v>
      </c>
      <c r="D207" t="s">
        <v>19</v>
      </c>
      <c r="E207" t="s">
        <v>59</v>
      </c>
      <c r="F207" t="s">
        <v>60</v>
      </c>
      <c r="G207" t="s">
        <v>26</v>
      </c>
      <c r="H207" s="2">
        <v>28</v>
      </c>
      <c r="I207">
        <v>295</v>
      </c>
      <c r="J207">
        <v>826</v>
      </c>
      <c r="K207" s="4">
        <v>339</v>
      </c>
      <c r="L207" t="s">
        <v>27</v>
      </c>
    </row>
    <row r="208" spans="1:12" x14ac:dyDescent="0.35">
      <c r="A208" t="s">
        <v>12</v>
      </c>
      <c r="B208">
        <v>1197831</v>
      </c>
      <c r="C208" s="1">
        <v>44067</v>
      </c>
      <c r="D208" t="s">
        <v>19</v>
      </c>
      <c r="E208" t="s">
        <v>59</v>
      </c>
      <c r="F208" t="s">
        <v>60</v>
      </c>
      <c r="G208" t="s">
        <v>26</v>
      </c>
      <c r="H208" s="2">
        <v>29</v>
      </c>
      <c r="I208">
        <v>295</v>
      </c>
      <c r="J208">
        <v>856</v>
      </c>
      <c r="K208" s="4">
        <v>342</v>
      </c>
      <c r="L208" t="s">
        <v>27</v>
      </c>
    </row>
    <row r="209" spans="1:12" x14ac:dyDescent="0.35">
      <c r="A209" t="s">
        <v>23</v>
      </c>
      <c r="B209">
        <v>1185732</v>
      </c>
      <c r="C209" s="1">
        <v>44379</v>
      </c>
      <c r="D209" t="s">
        <v>13</v>
      </c>
      <c r="E209" t="s">
        <v>77</v>
      </c>
      <c r="F209" t="s">
        <v>78</v>
      </c>
      <c r="G209" t="s">
        <v>26</v>
      </c>
      <c r="H209" s="2">
        <v>60</v>
      </c>
      <c r="I209">
        <v>294</v>
      </c>
      <c r="J209" s="3">
        <v>1764</v>
      </c>
      <c r="K209" s="4">
        <v>882</v>
      </c>
      <c r="L209" t="s">
        <v>17</v>
      </c>
    </row>
    <row r="210" spans="1:12" x14ac:dyDescent="0.35">
      <c r="A210" t="s">
        <v>12</v>
      </c>
      <c r="B210">
        <v>1185732</v>
      </c>
      <c r="C210" s="1">
        <v>43950</v>
      </c>
      <c r="D210" t="s">
        <v>43</v>
      </c>
      <c r="E210" t="s">
        <v>44</v>
      </c>
      <c r="F210" t="s">
        <v>44</v>
      </c>
      <c r="G210" t="s">
        <v>32</v>
      </c>
      <c r="H210" s="2">
        <v>43</v>
      </c>
      <c r="I210">
        <v>294</v>
      </c>
      <c r="J210" s="3">
        <v>1264</v>
      </c>
      <c r="K210" s="4">
        <v>531</v>
      </c>
      <c r="L210" t="s">
        <v>27</v>
      </c>
    </row>
    <row r="211" spans="1:12" x14ac:dyDescent="0.35">
      <c r="A211" t="s">
        <v>12</v>
      </c>
      <c r="B211">
        <v>1197831</v>
      </c>
      <c r="C211" s="1">
        <v>44072</v>
      </c>
      <c r="D211" t="s">
        <v>19</v>
      </c>
      <c r="E211" t="s">
        <v>59</v>
      </c>
      <c r="F211" t="s">
        <v>60</v>
      </c>
      <c r="G211" t="s">
        <v>16</v>
      </c>
      <c r="H211" s="2">
        <v>47</v>
      </c>
      <c r="I211">
        <v>293</v>
      </c>
      <c r="J211" s="3">
        <v>1377</v>
      </c>
      <c r="K211" s="4">
        <v>868</v>
      </c>
      <c r="L211" t="s">
        <v>17</v>
      </c>
    </row>
    <row r="212" spans="1:12" x14ac:dyDescent="0.35">
      <c r="A212" t="s">
        <v>18</v>
      </c>
      <c r="B212">
        <v>1128299</v>
      </c>
      <c r="C212" s="1">
        <v>44238</v>
      </c>
      <c r="D212" t="s">
        <v>48</v>
      </c>
      <c r="E212" t="s">
        <v>66</v>
      </c>
      <c r="F212" t="s">
        <v>67</v>
      </c>
      <c r="G212" t="s">
        <v>26</v>
      </c>
      <c r="H212" s="2">
        <v>51</v>
      </c>
      <c r="I212">
        <v>293</v>
      </c>
      <c r="J212" s="3">
        <v>1494</v>
      </c>
      <c r="K212" s="4">
        <v>598</v>
      </c>
      <c r="L212" t="s">
        <v>17</v>
      </c>
    </row>
    <row r="213" spans="1:12" x14ac:dyDescent="0.35">
      <c r="A213" t="s">
        <v>42</v>
      </c>
      <c r="B213">
        <v>1185732</v>
      </c>
      <c r="C213" s="1">
        <v>43854</v>
      </c>
      <c r="D213" t="s">
        <v>43</v>
      </c>
      <c r="E213" t="s">
        <v>44</v>
      </c>
      <c r="F213" t="s">
        <v>44</v>
      </c>
      <c r="G213" t="s">
        <v>16</v>
      </c>
      <c r="H213" s="2">
        <v>48</v>
      </c>
      <c r="I213">
        <v>290</v>
      </c>
      <c r="J213" s="3">
        <v>1392</v>
      </c>
      <c r="K213" s="4">
        <v>529</v>
      </c>
      <c r="L213" t="s">
        <v>17</v>
      </c>
    </row>
    <row r="214" spans="1:12" x14ac:dyDescent="0.35">
      <c r="A214" t="s">
        <v>42</v>
      </c>
      <c r="B214">
        <v>1185732</v>
      </c>
      <c r="C214" s="1">
        <v>43893</v>
      </c>
      <c r="D214" t="s">
        <v>43</v>
      </c>
      <c r="E214" t="s">
        <v>44</v>
      </c>
      <c r="F214" t="s">
        <v>44</v>
      </c>
      <c r="G214" t="s">
        <v>16</v>
      </c>
      <c r="H214" s="2">
        <v>59</v>
      </c>
      <c r="I214">
        <v>290</v>
      </c>
      <c r="J214" s="3">
        <v>1711</v>
      </c>
      <c r="K214" s="4">
        <v>616</v>
      </c>
      <c r="L214" t="s">
        <v>17</v>
      </c>
    </row>
    <row r="215" spans="1:12" x14ac:dyDescent="0.35">
      <c r="A215" t="s">
        <v>12</v>
      </c>
      <c r="B215">
        <v>1185732</v>
      </c>
      <c r="C215" s="1">
        <v>43939</v>
      </c>
      <c r="D215" t="s">
        <v>43</v>
      </c>
      <c r="E215" t="s">
        <v>44</v>
      </c>
      <c r="F215" t="s">
        <v>44</v>
      </c>
      <c r="G215" t="s">
        <v>16</v>
      </c>
      <c r="H215" s="2">
        <v>62</v>
      </c>
      <c r="I215">
        <v>290</v>
      </c>
      <c r="J215" s="3">
        <v>1798</v>
      </c>
      <c r="K215" s="4">
        <v>665</v>
      </c>
      <c r="L215" t="s">
        <v>17</v>
      </c>
    </row>
    <row r="216" spans="1:12" x14ac:dyDescent="0.35">
      <c r="A216" t="s">
        <v>12</v>
      </c>
      <c r="B216">
        <v>1185732</v>
      </c>
      <c r="C216" s="1">
        <v>43947</v>
      </c>
      <c r="D216" t="s">
        <v>43</v>
      </c>
      <c r="E216" t="s">
        <v>44</v>
      </c>
      <c r="F216" t="s">
        <v>44</v>
      </c>
      <c r="G216" t="s">
        <v>16</v>
      </c>
      <c r="H216" s="2">
        <v>68</v>
      </c>
      <c r="I216">
        <v>290</v>
      </c>
      <c r="J216" s="3">
        <v>1972</v>
      </c>
      <c r="K216" s="4">
        <v>749</v>
      </c>
      <c r="L216" t="s">
        <v>17</v>
      </c>
    </row>
    <row r="217" spans="1:12" x14ac:dyDescent="0.35">
      <c r="A217" t="s">
        <v>12</v>
      </c>
      <c r="B217">
        <v>1185732</v>
      </c>
      <c r="C217" s="1">
        <v>44030</v>
      </c>
      <c r="D217" t="s">
        <v>43</v>
      </c>
      <c r="E217" t="s">
        <v>44</v>
      </c>
      <c r="F217" t="s">
        <v>44</v>
      </c>
      <c r="G217" t="s">
        <v>16</v>
      </c>
      <c r="H217" s="2">
        <v>68</v>
      </c>
      <c r="I217">
        <v>290</v>
      </c>
      <c r="J217" s="3">
        <v>1972</v>
      </c>
      <c r="K217" s="4">
        <v>690</v>
      </c>
      <c r="L217" t="s">
        <v>17</v>
      </c>
    </row>
    <row r="218" spans="1:12" x14ac:dyDescent="0.35">
      <c r="A218" t="s">
        <v>18</v>
      </c>
      <c r="B218">
        <v>1185732</v>
      </c>
      <c r="C218" s="1">
        <v>43945</v>
      </c>
      <c r="D218" t="s">
        <v>13</v>
      </c>
      <c r="E218" t="s">
        <v>14</v>
      </c>
      <c r="F218" t="s">
        <v>73</v>
      </c>
      <c r="G218" t="s">
        <v>26</v>
      </c>
      <c r="H218" s="2">
        <v>55</v>
      </c>
      <c r="I218">
        <v>290</v>
      </c>
      <c r="J218" s="3">
        <v>1595</v>
      </c>
      <c r="K218" s="4">
        <v>941</v>
      </c>
      <c r="L218" t="s">
        <v>17</v>
      </c>
    </row>
    <row r="219" spans="1:12" x14ac:dyDescent="0.35">
      <c r="A219" t="s">
        <v>42</v>
      </c>
      <c r="B219">
        <v>1185732</v>
      </c>
      <c r="C219" s="1">
        <v>44535</v>
      </c>
      <c r="D219" t="s">
        <v>13</v>
      </c>
      <c r="E219" t="s">
        <v>69</v>
      </c>
      <c r="F219" t="s">
        <v>65</v>
      </c>
      <c r="G219" t="s">
        <v>26</v>
      </c>
      <c r="H219" s="2">
        <v>67</v>
      </c>
      <c r="I219">
        <v>290</v>
      </c>
      <c r="J219" s="3">
        <v>1943</v>
      </c>
      <c r="K219" s="4">
        <v>1166</v>
      </c>
      <c r="L219" t="s">
        <v>17</v>
      </c>
    </row>
    <row r="220" spans="1:12" x14ac:dyDescent="0.35">
      <c r="A220" t="s">
        <v>42</v>
      </c>
      <c r="B220">
        <v>1185732</v>
      </c>
      <c r="C220" s="1">
        <v>43859</v>
      </c>
      <c r="D220" t="s">
        <v>43</v>
      </c>
      <c r="E220" t="s">
        <v>44</v>
      </c>
      <c r="F220" t="s">
        <v>44</v>
      </c>
      <c r="G220" t="s">
        <v>70</v>
      </c>
      <c r="H220" s="2">
        <v>43</v>
      </c>
      <c r="I220">
        <v>289</v>
      </c>
      <c r="J220" s="3">
        <v>1243</v>
      </c>
      <c r="K220" s="4">
        <v>398</v>
      </c>
      <c r="L220" t="s">
        <v>27</v>
      </c>
    </row>
    <row r="221" spans="1:12" x14ac:dyDescent="0.35">
      <c r="A221" t="s">
        <v>42</v>
      </c>
      <c r="B221">
        <v>1185732</v>
      </c>
      <c r="C221" s="1">
        <v>43864</v>
      </c>
      <c r="D221" t="s">
        <v>43</v>
      </c>
      <c r="E221" t="s">
        <v>44</v>
      </c>
      <c r="F221" t="s">
        <v>44</v>
      </c>
      <c r="G221" t="s">
        <v>56</v>
      </c>
      <c r="H221" s="2">
        <v>31</v>
      </c>
      <c r="I221">
        <v>289</v>
      </c>
      <c r="J221">
        <v>896</v>
      </c>
      <c r="K221" s="4">
        <v>331</v>
      </c>
      <c r="L221" t="s">
        <v>27</v>
      </c>
    </row>
    <row r="222" spans="1:12" x14ac:dyDescent="0.35">
      <c r="A222" t="s">
        <v>42</v>
      </c>
      <c r="B222">
        <v>1185732</v>
      </c>
      <c r="C222" s="1">
        <v>43870</v>
      </c>
      <c r="D222" t="s">
        <v>43</v>
      </c>
      <c r="E222" t="s">
        <v>44</v>
      </c>
      <c r="F222" t="s">
        <v>44</v>
      </c>
      <c r="G222" t="s">
        <v>56</v>
      </c>
      <c r="H222" s="2">
        <v>33</v>
      </c>
      <c r="I222">
        <v>289</v>
      </c>
      <c r="J222">
        <v>954</v>
      </c>
      <c r="K222" s="4">
        <v>381</v>
      </c>
      <c r="L222" t="s">
        <v>27</v>
      </c>
    </row>
    <row r="223" spans="1:12" x14ac:dyDescent="0.35">
      <c r="A223" t="s">
        <v>12</v>
      </c>
      <c r="B223">
        <v>1185732</v>
      </c>
      <c r="C223" s="1">
        <v>43946</v>
      </c>
      <c r="D223" t="s">
        <v>43</v>
      </c>
      <c r="E223" t="s">
        <v>44</v>
      </c>
      <c r="F223" t="s">
        <v>44</v>
      </c>
      <c r="G223" t="s">
        <v>70</v>
      </c>
      <c r="H223" s="2">
        <v>51</v>
      </c>
      <c r="I223">
        <v>289</v>
      </c>
      <c r="J223" s="3">
        <v>1474</v>
      </c>
      <c r="K223" s="4">
        <v>472</v>
      </c>
      <c r="L223" t="s">
        <v>27</v>
      </c>
    </row>
    <row r="224" spans="1:12" x14ac:dyDescent="0.35">
      <c r="A224" t="s">
        <v>23</v>
      </c>
      <c r="B224">
        <v>1197831</v>
      </c>
      <c r="C224" s="1">
        <v>44038</v>
      </c>
      <c r="D224" t="s">
        <v>19</v>
      </c>
      <c r="E224" t="s">
        <v>59</v>
      </c>
      <c r="F224" t="s">
        <v>60</v>
      </c>
      <c r="G224" t="s">
        <v>39</v>
      </c>
      <c r="H224" s="2">
        <v>23</v>
      </c>
      <c r="I224">
        <v>289</v>
      </c>
      <c r="J224">
        <v>665</v>
      </c>
      <c r="K224" s="4">
        <v>279</v>
      </c>
      <c r="L224" t="s">
        <v>27</v>
      </c>
    </row>
    <row r="225" spans="1:12" x14ac:dyDescent="0.35">
      <c r="A225" t="s">
        <v>12</v>
      </c>
      <c r="B225">
        <v>1197831</v>
      </c>
      <c r="C225" s="1">
        <v>44129</v>
      </c>
      <c r="D225" t="s">
        <v>19</v>
      </c>
      <c r="E225" t="s">
        <v>59</v>
      </c>
      <c r="F225" t="s">
        <v>60</v>
      </c>
      <c r="G225" t="s">
        <v>16</v>
      </c>
      <c r="H225" s="2">
        <v>44</v>
      </c>
      <c r="I225">
        <v>289</v>
      </c>
      <c r="J225" s="3">
        <v>1272</v>
      </c>
      <c r="K225" s="4">
        <v>725</v>
      </c>
      <c r="L225" t="s">
        <v>27</v>
      </c>
    </row>
    <row r="226" spans="1:12" x14ac:dyDescent="0.35">
      <c r="A226" t="s">
        <v>18</v>
      </c>
      <c r="B226">
        <v>1128299</v>
      </c>
      <c r="C226" s="1">
        <v>44142</v>
      </c>
      <c r="D226" t="s">
        <v>48</v>
      </c>
      <c r="E226" t="s">
        <v>66</v>
      </c>
      <c r="F226" t="s">
        <v>67</v>
      </c>
      <c r="G226" t="s">
        <v>26</v>
      </c>
      <c r="H226" s="2">
        <v>28</v>
      </c>
      <c r="I226">
        <v>289</v>
      </c>
      <c r="J226">
        <v>809</v>
      </c>
      <c r="K226" s="4">
        <v>340</v>
      </c>
      <c r="L226" t="s">
        <v>27</v>
      </c>
    </row>
    <row r="227" spans="1:12" x14ac:dyDescent="0.35">
      <c r="A227" t="s">
        <v>18</v>
      </c>
      <c r="B227">
        <v>1128299</v>
      </c>
      <c r="C227" s="1">
        <v>44226</v>
      </c>
      <c r="D227" t="s">
        <v>48</v>
      </c>
      <c r="E227" t="s">
        <v>66</v>
      </c>
      <c r="F227" t="s">
        <v>67</v>
      </c>
      <c r="G227" t="s">
        <v>26</v>
      </c>
      <c r="H227" s="2">
        <v>36</v>
      </c>
      <c r="I227">
        <v>289</v>
      </c>
      <c r="J227" s="3">
        <v>1040</v>
      </c>
      <c r="K227" s="4">
        <v>343</v>
      </c>
      <c r="L227" t="s">
        <v>27</v>
      </c>
    </row>
    <row r="228" spans="1:12" x14ac:dyDescent="0.35">
      <c r="A228" t="s">
        <v>63</v>
      </c>
      <c r="B228">
        <v>1189833</v>
      </c>
      <c r="C228" s="1">
        <v>44323</v>
      </c>
      <c r="D228" t="s">
        <v>48</v>
      </c>
      <c r="E228" t="s">
        <v>66</v>
      </c>
      <c r="F228" t="s">
        <v>76</v>
      </c>
      <c r="G228" t="s">
        <v>26</v>
      </c>
      <c r="H228" s="2">
        <v>38</v>
      </c>
      <c r="I228">
        <v>289</v>
      </c>
      <c r="J228" s="3">
        <v>1098</v>
      </c>
      <c r="K228" s="4">
        <v>505</v>
      </c>
      <c r="L228" t="s">
        <v>27</v>
      </c>
    </row>
    <row r="229" spans="1:12" x14ac:dyDescent="0.35">
      <c r="A229" t="s">
        <v>42</v>
      </c>
      <c r="B229">
        <v>1185732</v>
      </c>
      <c r="C229" s="1">
        <v>44393</v>
      </c>
      <c r="D229" t="s">
        <v>19</v>
      </c>
      <c r="E229" t="s">
        <v>37</v>
      </c>
      <c r="F229" t="s">
        <v>38</v>
      </c>
      <c r="G229" t="s">
        <v>26</v>
      </c>
      <c r="H229" s="2">
        <v>47</v>
      </c>
      <c r="I229">
        <v>289</v>
      </c>
      <c r="J229" s="3">
        <v>1358</v>
      </c>
      <c r="K229" s="4">
        <v>625</v>
      </c>
      <c r="L229" t="s">
        <v>27</v>
      </c>
    </row>
    <row r="230" spans="1:12" x14ac:dyDescent="0.35">
      <c r="A230" t="s">
        <v>42</v>
      </c>
      <c r="B230">
        <v>1185732</v>
      </c>
      <c r="C230" s="1">
        <v>43869</v>
      </c>
      <c r="D230" t="s">
        <v>43</v>
      </c>
      <c r="E230" t="s">
        <v>44</v>
      </c>
      <c r="F230" t="s">
        <v>44</v>
      </c>
      <c r="G230" t="s">
        <v>32</v>
      </c>
      <c r="H230" s="2">
        <v>36</v>
      </c>
      <c r="I230">
        <v>288</v>
      </c>
      <c r="J230" s="3">
        <v>1037</v>
      </c>
      <c r="K230" s="4">
        <v>435</v>
      </c>
      <c r="L230" t="s">
        <v>27</v>
      </c>
    </row>
    <row r="231" spans="1:12" x14ac:dyDescent="0.35">
      <c r="A231" t="s">
        <v>42</v>
      </c>
      <c r="B231">
        <v>1185732</v>
      </c>
      <c r="C231" s="1">
        <v>43898</v>
      </c>
      <c r="D231" t="s">
        <v>43</v>
      </c>
      <c r="E231" t="s">
        <v>44</v>
      </c>
      <c r="F231" t="s">
        <v>44</v>
      </c>
      <c r="G231" t="s">
        <v>70</v>
      </c>
      <c r="H231" s="2">
        <v>45</v>
      </c>
      <c r="I231">
        <v>288</v>
      </c>
      <c r="J231" s="3">
        <v>1296</v>
      </c>
      <c r="K231" s="4">
        <v>441</v>
      </c>
      <c r="L231" t="s">
        <v>27</v>
      </c>
    </row>
    <row r="232" spans="1:12" x14ac:dyDescent="0.35">
      <c r="A232" t="s">
        <v>63</v>
      </c>
      <c r="B232">
        <v>1189833</v>
      </c>
      <c r="C232" s="1">
        <v>44342</v>
      </c>
      <c r="D232" t="s">
        <v>48</v>
      </c>
      <c r="E232" t="s">
        <v>66</v>
      </c>
      <c r="F232" t="s">
        <v>76</v>
      </c>
      <c r="G232" t="s">
        <v>39</v>
      </c>
      <c r="H232" s="2">
        <v>42</v>
      </c>
      <c r="I232">
        <v>288</v>
      </c>
      <c r="J232" s="3">
        <v>1210</v>
      </c>
      <c r="K232" s="4">
        <v>339</v>
      </c>
      <c r="L232" t="s">
        <v>27</v>
      </c>
    </row>
    <row r="233" spans="1:12" x14ac:dyDescent="0.35">
      <c r="A233" t="s">
        <v>18</v>
      </c>
      <c r="B233">
        <v>1185732</v>
      </c>
      <c r="C233" s="1">
        <v>44237</v>
      </c>
      <c r="D233" t="s">
        <v>13</v>
      </c>
      <c r="E233" t="s">
        <v>14</v>
      </c>
      <c r="F233" t="s">
        <v>15</v>
      </c>
      <c r="G233" t="s">
        <v>26</v>
      </c>
      <c r="H233" s="2">
        <v>36</v>
      </c>
      <c r="I233">
        <v>288</v>
      </c>
      <c r="J233" s="3">
        <v>1037</v>
      </c>
      <c r="K233" s="4">
        <v>487</v>
      </c>
      <c r="L233" t="s">
        <v>27</v>
      </c>
    </row>
    <row r="234" spans="1:12" x14ac:dyDescent="0.35">
      <c r="A234" t="s">
        <v>42</v>
      </c>
      <c r="B234">
        <v>1185732</v>
      </c>
      <c r="C234" s="1">
        <v>44444</v>
      </c>
      <c r="D234" t="s">
        <v>13</v>
      </c>
      <c r="E234" t="s">
        <v>69</v>
      </c>
      <c r="F234" t="s">
        <v>65</v>
      </c>
      <c r="G234" t="s">
        <v>26</v>
      </c>
      <c r="H234" s="2">
        <v>51</v>
      </c>
      <c r="I234">
        <v>287</v>
      </c>
      <c r="J234" s="3">
        <v>1464</v>
      </c>
      <c r="K234" s="4">
        <v>849</v>
      </c>
      <c r="L234" t="s">
        <v>17</v>
      </c>
    </row>
    <row r="235" spans="1:12" x14ac:dyDescent="0.35">
      <c r="A235" t="s">
        <v>12</v>
      </c>
      <c r="B235">
        <v>1197831</v>
      </c>
      <c r="C235" s="1">
        <v>44056</v>
      </c>
      <c r="D235" t="s">
        <v>19</v>
      </c>
      <c r="E235" t="s">
        <v>59</v>
      </c>
      <c r="F235" t="s">
        <v>60</v>
      </c>
      <c r="G235" t="s">
        <v>39</v>
      </c>
      <c r="H235" s="2">
        <v>30</v>
      </c>
      <c r="I235">
        <v>287</v>
      </c>
      <c r="J235">
        <v>861</v>
      </c>
      <c r="K235" s="4">
        <v>362</v>
      </c>
      <c r="L235" t="s">
        <v>27</v>
      </c>
    </row>
    <row r="236" spans="1:12" x14ac:dyDescent="0.35">
      <c r="A236" t="s">
        <v>18</v>
      </c>
      <c r="B236">
        <v>1128299</v>
      </c>
      <c r="C236" s="1">
        <v>44220</v>
      </c>
      <c r="D236" t="s">
        <v>48</v>
      </c>
      <c r="E236" t="s">
        <v>66</v>
      </c>
      <c r="F236" t="s">
        <v>67</v>
      </c>
      <c r="G236" t="s">
        <v>26</v>
      </c>
      <c r="H236" s="2">
        <v>40</v>
      </c>
      <c r="I236">
        <v>287</v>
      </c>
      <c r="J236" s="3">
        <v>1148</v>
      </c>
      <c r="K236" s="4">
        <v>402</v>
      </c>
      <c r="L236" t="s">
        <v>27</v>
      </c>
    </row>
    <row r="237" spans="1:12" x14ac:dyDescent="0.35">
      <c r="A237" t="s">
        <v>18</v>
      </c>
      <c r="B237">
        <v>1128299</v>
      </c>
      <c r="C237" s="1">
        <v>44221</v>
      </c>
      <c r="D237" t="s">
        <v>48</v>
      </c>
      <c r="E237" t="s">
        <v>66</v>
      </c>
      <c r="F237" t="s">
        <v>67</v>
      </c>
      <c r="G237" t="s">
        <v>39</v>
      </c>
      <c r="H237" s="2">
        <v>42</v>
      </c>
      <c r="I237">
        <v>287</v>
      </c>
      <c r="J237" s="3">
        <v>1205</v>
      </c>
      <c r="K237" s="4">
        <v>205</v>
      </c>
      <c r="L237" t="s">
        <v>27</v>
      </c>
    </row>
    <row r="238" spans="1:12" x14ac:dyDescent="0.35">
      <c r="A238" t="s">
        <v>42</v>
      </c>
      <c r="B238">
        <v>1185732</v>
      </c>
      <c r="C238" s="1">
        <v>43905</v>
      </c>
      <c r="D238" t="s">
        <v>43</v>
      </c>
      <c r="E238" t="s">
        <v>44</v>
      </c>
      <c r="F238" t="s">
        <v>44</v>
      </c>
      <c r="G238" t="s">
        <v>16</v>
      </c>
      <c r="H238" s="2">
        <v>61</v>
      </c>
      <c r="I238">
        <v>286</v>
      </c>
      <c r="J238" s="3">
        <v>1745</v>
      </c>
      <c r="K238" s="4">
        <v>698</v>
      </c>
      <c r="L238" t="s">
        <v>17</v>
      </c>
    </row>
    <row r="239" spans="1:12" x14ac:dyDescent="0.35">
      <c r="A239" t="s">
        <v>12</v>
      </c>
      <c r="B239">
        <v>1185732</v>
      </c>
      <c r="C239" s="1">
        <v>43956</v>
      </c>
      <c r="D239" t="s">
        <v>43</v>
      </c>
      <c r="E239" t="s">
        <v>44</v>
      </c>
      <c r="F239" t="s">
        <v>44</v>
      </c>
      <c r="G239" t="s">
        <v>32</v>
      </c>
      <c r="H239" s="2">
        <v>54</v>
      </c>
      <c r="I239">
        <v>285</v>
      </c>
      <c r="J239" s="3">
        <v>1539</v>
      </c>
      <c r="K239" s="4">
        <v>723</v>
      </c>
      <c r="L239" t="s">
        <v>17</v>
      </c>
    </row>
    <row r="240" spans="1:12" x14ac:dyDescent="0.35">
      <c r="A240" t="s">
        <v>12</v>
      </c>
      <c r="B240">
        <v>1197831</v>
      </c>
      <c r="C240" s="1">
        <v>44131</v>
      </c>
      <c r="D240" t="s">
        <v>19</v>
      </c>
      <c r="E240" t="s">
        <v>59</v>
      </c>
      <c r="F240" t="s">
        <v>60</v>
      </c>
      <c r="G240" t="s">
        <v>39</v>
      </c>
      <c r="H240" s="2">
        <v>44</v>
      </c>
      <c r="I240">
        <v>285</v>
      </c>
      <c r="J240" s="3">
        <v>1254</v>
      </c>
      <c r="K240" s="4">
        <v>602</v>
      </c>
      <c r="L240" t="s">
        <v>17</v>
      </c>
    </row>
    <row r="241" spans="1:12" x14ac:dyDescent="0.35">
      <c r="A241" t="s">
        <v>23</v>
      </c>
      <c r="B241">
        <v>1197831</v>
      </c>
      <c r="C241" s="1">
        <v>44309</v>
      </c>
      <c r="D241" t="s">
        <v>19</v>
      </c>
      <c r="E241" t="s">
        <v>74</v>
      </c>
      <c r="F241" t="s">
        <v>75</v>
      </c>
      <c r="G241" t="s">
        <v>32</v>
      </c>
      <c r="H241" s="2">
        <v>46</v>
      </c>
      <c r="I241">
        <v>285</v>
      </c>
      <c r="J241" s="3">
        <v>1311</v>
      </c>
      <c r="K241" s="4">
        <v>787</v>
      </c>
      <c r="L241" t="s">
        <v>17</v>
      </c>
    </row>
    <row r="242" spans="1:12" x14ac:dyDescent="0.35">
      <c r="A242" t="s">
        <v>12</v>
      </c>
      <c r="B242">
        <v>1197831</v>
      </c>
      <c r="C242" s="1">
        <v>44068</v>
      </c>
      <c r="D242" t="s">
        <v>19</v>
      </c>
      <c r="E242" t="s">
        <v>59</v>
      </c>
      <c r="F242" t="s">
        <v>60</v>
      </c>
      <c r="G242" t="s">
        <v>39</v>
      </c>
      <c r="H242" s="2">
        <v>32</v>
      </c>
      <c r="I242">
        <v>285</v>
      </c>
      <c r="J242">
        <v>912</v>
      </c>
      <c r="K242" s="4">
        <v>383</v>
      </c>
      <c r="L242" t="s">
        <v>27</v>
      </c>
    </row>
    <row r="243" spans="1:12" x14ac:dyDescent="0.35">
      <c r="A243" t="s">
        <v>63</v>
      </c>
      <c r="B243">
        <v>1189833</v>
      </c>
      <c r="C243" s="1">
        <v>44311</v>
      </c>
      <c r="D243" t="s">
        <v>48</v>
      </c>
      <c r="E243" t="s">
        <v>66</v>
      </c>
      <c r="F243" t="s">
        <v>76</v>
      </c>
      <c r="G243" t="s">
        <v>26</v>
      </c>
      <c r="H243" s="2">
        <v>30</v>
      </c>
      <c r="I243">
        <v>285</v>
      </c>
      <c r="J243">
        <v>855</v>
      </c>
      <c r="K243" s="4">
        <v>402</v>
      </c>
      <c r="L243" t="s">
        <v>27</v>
      </c>
    </row>
    <row r="244" spans="1:12" x14ac:dyDescent="0.35">
      <c r="A244" t="s">
        <v>42</v>
      </c>
      <c r="B244">
        <v>1185732</v>
      </c>
      <c r="C244" s="1">
        <v>44097</v>
      </c>
      <c r="D244" t="s">
        <v>13</v>
      </c>
      <c r="E244" t="s">
        <v>14</v>
      </c>
      <c r="F244" t="s">
        <v>73</v>
      </c>
      <c r="G244" t="s">
        <v>26</v>
      </c>
      <c r="H244" s="2">
        <v>53</v>
      </c>
      <c r="I244">
        <v>284</v>
      </c>
      <c r="J244" s="3">
        <v>1505</v>
      </c>
      <c r="K244" s="4">
        <v>828</v>
      </c>
      <c r="L244" t="s">
        <v>17</v>
      </c>
    </row>
    <row r="245" spans="1:12" x14ac:dyDescent="0.35">
      <c r="A245" t="s">
        <v>42</v>
      </c>
      <c r="B245">
        <v>1185732</v>
      </c>
      <c r="C245" s="1">
        <v>44292</v>
      </c>
      <c r="D245" t="s">
        <v>13</v>
      </c>
      <c r="E245" t="s">
        <v>69</v>
      </c>
      <c r="F245" t="s">
        <v>65</v>
      </c>
      <c r="G245" t="s">
        <v>26</v>
      </c>
      <c r="H245" s="2">
        <v>33</v>
      </c>
      <c r="I245">
        <v>283</v>
      </c>
      <c r="J245">
        <v>934</v>
      </c>
      <c r="K245" s="4">
        <v>532</v>
      </c>
      <c r="L245" t="s">
        <v>17</v>
      </c>
    </row>
    <row r="246" spans="1:12" x14ac:dyDescent="0.35">
      <c r="A246" t="s">
        <v>42</v>
      </c>
      <c r="B246">
        <v>1185732</v>
      </c>
      <c r="C246" s="1">
        <v>44321</v>
      </c>
      <c r="D246" t="s">
        <v>13</v>
      </c>
      <c r="E246" t="s">
        <v>69</v>
      </c>
      <c r="F246" t="s">
        <v>65</v>
      </c>
      <c r="G246" t="s">
        <v>26</v>
      </c>
      <c r="H246" s="2">
        <v>48</v>
      </c>
      <c r="I246">
        <v>282</v>
      </c>
      <c r="J246" s="3">
        <v>1354</v>
      </c>
      <c r="K246" s="4">
        <v>744</v>
      </c>
      <c r="L246" t="s">
        <v>17</v>
      </c>
    </row>
    <row r="247" spans="1:12" x14ac:dyDescent="0.35">
      <c r="A247" t="s">
        <v>42</v>
      </c>
      <c r="B247">
        <v>1185732</v>
      </c>
      <c r="C247" s="1">
        <v>43834</v>
      </c>
      <c r="D247" t="s">
        <v>43</v>
      </c>
      <c r="E247" t="s">
        <v>44</v>
      </c>
      <c r="F247" t="s">
        <v>44</v>
      </c>
      <c r="G247" t="s">
        <v>56</v>
      </c>
      <c r="H247" s="2">
        <v>36</v>
      </c>
      <c r="I247">
        <v>281</v>
      </c>
      <c r="J247" s="3">
        <v>1012</v>
      </c>
      <c r="K247" s="4">
        <v>374</v>
      </c>
      <c r="L247" t="s">
        <v>27</v>
      </c>
    </row>
    <row r="248" spans="1:12" x14ac:dyDescent="0.35">
      <c r="A248" t="s">
        <v>42</v>
      </c>
      <c r="B248">
        <v>1185732</v>
      </c>
      <c r="C248" s="1">
        <v>43865</v>
      </c>
      <c r="D248" t="s">
        <v>43</v>
      </c>
      <c r="E248" t="s">
        <v>44</v>
      </c>
      <c r="F248" t="s">
        <v>44</v>
      </c>
      <c r="G248" t="s">
        <v>70</v>
      </c>
      <c r="H248" s="2">
        <v>44</v>
      </c>
      <c r="I248">
        <v>281</v>
      </c>
      <c r="J248" s="3">
        <v>1236</v>
      </c>
      <c r="K248" s="4">
        <v>445</v>
      </c>
      <c r="L248" t="s">
        <v>27</v>
      </c>
    </row>
    <row r="249" spans="1:12" x14ac:dyDescent="0.35">
      <c r="A249" t="s">
        <v>12</v>
      </c>
      <c r="B249">
        <v>1197831</v>
      </c>
      <c r="C249" s="1">
        <v>44126</v>
      </c>
      <c r="D249" t="s">
        <v>19</v>
      </c>
      <c r="E249" t="s">
        <v>59</v>
      </c>
      <c r="F249" t="s">
        <v>60</v>
      </c>
      <c r="G249" t="s">
        <v>32</v>
      </c>
      <c r="H249" s="2">
        <v>34</v>
      </c>
      <c r="I249">
        <v>281</v>
      </c>
      <c r="J249">
        <v>955</v>
      </c>
      <c r="K249" s="4">
        <v>373</v>
      </c>
      <c r="L249" t="s">
        <v>27</v>
      </c>
    </row>
    <row r="250" spans="1:12" x14ac:dyDescent="0.35">
      <c r="A250" t="s">
        <v>18</v>
      </c>
      <c r="B250">
        <v>1128299</v>
      </c>
      <c r="C250" s="1">
        <v>44204</v>
      </c>
      <c r="D250" t="s">
        <v>48</v>
      </c>
      <c r="E250" t="s">
        <v>66</v>
      </c>
      <c r="F250" t="s">
        <v>67</v>
      </c>
      <c r="G250" t="s">
        <v>32</v>
      </c>
      <c r="H250" s="2">
        <v>42</v>
      </c>
      <c r="I250">
        <v>281</v>
      </c>
      <c r="J250" s="3">
        <v>1180</v>
      </c>
      <c r="K250" s="4">
        <v>531</v>
      </c>
      <c r="L250" t="s">
        <v>27</v>
      </c>
    </row>
    <row r="251" spans="1:12" x14ac:dyDescent="0.35">
      <c r="A251" t="s">
        <v>23</v>
      </c>
      <c r="B251">
        <v>1197831</v>
      </c>
      <c r="C251" s="1">
        <v>44485</v>
      </c>
      <c r="D251" t="s">
        <v>19</v>
      </c>
      <c r="E251" t="s">
        <v>59</v>
      </c>
      <c r="F251" t="s">
        <v>68</v>
      </c>
      <c r="G251" t="s">
        <v>26</v>
      </c>
      <c r="H251" s="2">
        <v>46</v>
      </c>
      <c r="I251">
        <v>281</v>
      </c>
      <c r="J251" s="3">
        <v>1293</v>
      </c>
      <c r="K251" s="4">
        <v>608</v>
      </c>
      <c r="L251" t="s">
        <v>27</v>
      </c>
    </row>
    <row r="252" spans="1:12" x14ac:dyDescent="0.35">
      <c r="A252" t="s">
        <v>42</v>
      </c>
      <c r="B252">
        <v>1185732</v>
      </c>
      <c r="C252" s="1">
        <v>44205</v>
      </c>
      <c r="D252" t="s">
        <v>13</v>
      </c>
      <c r="E252" t="s">
        <v>57</v>
      </c>
      <c r="F252" t="s">
        <v>58</v>
      </c>
      <c r="G252" t="s">
        <v>16</v>
      </c>
      <c r="H252" s="2">
        <v>30</v>
      </c>
      <c r="I252">
        <v>281</v>
      </c>
      <c r="J252">
        <v>843</v>
      </c>
      <c r="K252" s="4">
        <v>447</v>
      </c>
      <c r="L252" t="s">
        <v>27</v>
      </c>
    </row>
    <row r="253" spans="1:12" x14ac:dyDescent="0.35">
      <c r="A253" t="s">
        <v>12</v>
      </c>
      <c r="B253">
        <v>1185732</v>
      </c>
      <c r="C253" s="1">
        <v>43945</v>
      </c>
      <c r="D253" t="s">
        <v>43</v>
      </c>
      <c r="E253" t="s">
        <v>44</v>
      </c>
      <c r="F253" t="s">
        <v>44</v>
      </c>
      <c r="G253" t="s">
        <v>16</v>
      </c>
      <c r="H253" s="2">
        <v>59</v>
      </c>
      <c r="I253">
        <v>280</v>
      </c>
      <c r="J253" s="3">
        <v>1652</v>
      </c>
      <c r="K253" s="4">
        <v>661</v>
      </c>
      <c r="L253" t="s">
        <v>17</v>
      </c>
    </row>
    <row r="254" spans="1:12" x14ac:dyDescent="0.35">
      <c r="A254" t="s">
        <v>42</v>
      </c>
      <c r="B254">
        <v>1185732</v>
      </c>
      <c r="C254" s="1">
        <v>43871</v>
      </c>
      <c r="D254" t="s">
        <v>43</v>
      </c>
      <c r="E254" t="s">
        <v>44</v>
      </c>
      <c r="F254" t="s">
        <v>44</v>
      </c>
      <c r="G254" t="s">
        <v>70</v>
      </c>
      <c r="H254" s="2">
        <v>47</v>
      </c>
      <c r="I254">
        <v>280</v>
      </c>
      <c r="J254" s="3">
        <v>1316</v>
      </c>
      <c r="K254" s="4">
        <v>461</v>
      </c>
      <c r="L254" t="s">
        <v>27</v>
      </c>
    </row>
    <row r="255" spans="1:12" x14ac:dyDescent="0.35">
      <c r="A255" t="s">
        <v>12</v>
      </c>
      <c r="B255">
        <v>1185732</v>
      </c>
      <c r="C255" s="1">
        <v>43952</v>
      </c>
      <c r="D255" t="s">
        <v>43</v>
      </c>
      <c r="E255" t="s">
        <v>44</v>
      </c>
      <c r="F255" t="s">
        <v>44</v>
      </c>
      <c r="G255" t="s">
        <v>70</v>
      </c>
      <c r="H255" s="2">
        <v>47</v>
      </c>
      <c r="I255">
        <v>280</v>
      </c>
      <c r="J255" s="3">
        <v>1316</v>
      </c>
      <c r="K255" s="4">
        <v>474</v>
      </c>
      <c r="L255" t="s">
        <v>27</v>
      </c>
    </row>
    <row r="256" spans="1:12" x14ac:dyDescent="0.35">
      <c r="A256" t="s">
        <v>18</v>
      </c>
      <c r="B256">
        <v>1128299</v>
      </c>
      <c r="C256" s="1">
        <v>44227</v>
      </c>
      <c r="D256" t="s">
        <v>48</v>
      </c>
      <c r="E256" t="s">
        <v>66</v>
      </c>
      <c r="F256" t="s">
        <v>67</v>
      </c>
      <c r="G256" t="s">
        <v>39</v>
      </c>
      <c r="H256" s="2">
        <v>39</v>
      </c>
      <c r="I256">
        <v>280</v>
      </c>
      <c r="J256" s="3">
        <v>1092</v>
      </c>
      <c r="K256" s="4">
        <v>197</v>
      </c>
      <c r="L256" t="s">
        <v>27</v>
      </c>
    </row>
    <row r="257" spans="1:12" x14ac:dyDescent="0.35">
      <c r="A257" t="s">
        <v>23</v>
      </c>
      <c r="B257">
        <v>1197831</v>
      </c>
      <c r="C257" s="1">
        <v>44450</v>
      </c>
      <c r="D257" t="s">
        <v>19</v>
      </c>
      <c r="E257" t="s">
        <v>59</v>
      </c>
      <c r="F257" t="s">
        <v>68</v>
      </c>
      <c r="G257" t="s">
        <v>39</v>
      </c>
      <c r="H257" s="2">
        <v>40</v>
      </c>
      <c r="I257">
        <v>280</v>
      </c>
      <c r="J257" s="3">
        <v>1120</v>
      </c>
      <c r="K257" s="4">
        <v>459</v>
      </c>
      <c r="L257" t="s">
        <v>27</v>
      </c>
    </row>
    <row r="258" spans="1:12" x14ac:dyDescent="0.35">
      <c r="A258" t="s">
        <v>23</v>
      </c>
      <c r="B258">
        <v>1197831</v>
      </c>
      <c r="C258" s="1">
        <v>44454</v>
      </c>
      <c r="D258" t="s">
        <v>19</v>
      </c>
      <c r="E258" t="s">
        <v>59</v>
      </c>
      <c r="F258" t="s">
        <v>68</v>
      </c>
      <c r="G258" t="s">
        <v>16</v>
      </c>
      <c r="H258" s="2">
        <v>42</v>
      </c>
      <c r="I258">
        <v>280</v>
      </c>
      <c r="J258" s="3">
        <v>1176</v>
      </c>
      <c r="K258" s="4">
        <v>647</v>
      </c>
      <c r="L258" t="s">
        <v>27</v>
      </c>
    </row>
    <row r="259" spans="1:12" x14ac:dyDescent="0.35">
      <c r="A259" t="s">
        <v>23</v>
      </c>
      <c r="B259">
        <v>1197831</v>
      </c>
      <c r="C259" s="1">
        <v>44444</v>
      </c>
      <c r="D259" t="s">
        <v>19</v>
      </c>
      <c r="E259" t="s">
        <v>24</v>
      </c>
      <c r="F259" t="s">
        <v>25</v>
      </c>
      <c r="G259" t="s">
        <v>16</v>
      </c>
      <c r="H259" s="2">
        <v>36</v>
      </c>
      <c r="I259">
        <v>280</v>
      </c>
      <c r="J259" s="3">
        <v>1008</v>
      </c>
      <c r="K259" s="4">
        <v>645</v>
      </c>
      <c r="L259" t="s">
        <v>27</v>
      </c>
    </row>
    <row r="260" spans="1:12" x14ac:dyDescent="0.35">
      <c r="A260" t="s">
        <v>23</v>
      </c>
      <c r="B260">
        <v>1197831</v>
      </c>
      <c r="C260" s="1">
        <v>44450</v>
      </c>
      <c r="D260" t="s">
        <v>19</v>
      </c>
      <c r="E260" t="s">
        <v>24</v>
      </c>
      <c r="F260" t="s">
        <v>25</v>
      </c>
      <c r="G260" t="s">
        <v>16</v>
      </c>
      <c r="H260" s="2">
        <v>47</v>
      </c>
      <c r="I260">
        <v>280</v>
      </c>
      <c r="J260" s="3">
        <v>1316</v>
      </c>
      <c r="K260" s="4">
        <v>921</v>
      </c>
      <c r="L260" t="s">
        <v>27</v>
      </c>
    </row>
    <row r="261" spans="1:12" x14ac:dyDescent="0.35">
      <c r="A261" t="s">
        <v>12</v>
      </c>
      <c r="B261">
        <v>1128299</v>
      </c>
      <c r="C261" s="1">
        <v>44546</v>
      </c>
      <c r="D261" t="s">
        <v>13</v>
      </c>
      <c r="E261" t="s">
        <v>14</v>
      </c>
      <c r="F261" t="s">
        <v>15</v>
      </c>
      <c r="G261" t="s">
        <v>26</v>
      </c>
      <c r="H261" s="2">
        <v>58</v>
      </c>
      <c r="I261">
        <v>280</v>
      </c>
      <c r="J261" s="3">
        <v>1624</v>
      </c>
      <c r="K261" s="4">
        <v>585</v>
      </c>
      <c r="L261" t="s">
        <v>27</v>
      </c>
    </row>
    <row r="262" spans="1:12" x14ac:dyDescent="0.35">
      <c r="A262" t="s">
        <v>12</v>
      </c>
      <c r="B262">
        <v>1185732</v>
      </c>
      <c r="C262" s="1">
        <v>43938</v>
      </c>
      <c r="D262" t="s">
        <v>43</v>
      </c>
      <c r="E262" t="s">
        <v>44</v>
      </c>
      <c r="F262" t="s">
        <v>44</v>
      </c>
      <c r="G262" t="s">
        <v>70</v>
      </c>
      <c r="H262" s="2">
        <v>43</v>
      </c>
      <c r="I262">
        <v>279</v>
      </c>
      <c r="J262" s="3">
        <v>1200</v>
      </c>
      <c r="K262" s="4">
        <v>396</v>
      </c>
      <c r="L262" t="s">
        <v>27</v>
      </c>
    </row>
    <row r="263" spans="1:12" x14ac:dyDescent="0.35">
      <c r="A263" t="s">
        <v>12</v>
      </c>
      <c r="B263">
        <v>1185732</v>
      </c>
      <c r="C263" s="1">
        <v>43958</v>
      </c>
      <c r="D263" t="s">
        <v>43</v>
      </c>
      <c r="E263" t="s">
        <v>44</v>
      </c>
      <c r="F263" t="s">
        <v>44</v>
      </c>
      <c r="G263" t="s">
        <v>70</v>
      </c>
      <c r="H263" s="2">
        <v>48</v>
      </c>
      <c r="I263">
        <v>279</v>
      </c>
      <c r="J263" s="3">
        <v>1339</v>
      </c>
      <c r="K263" s="4">
        <v>496</v>
      </c>
      <c r="L263" t="s">
        <v>27</v>
      </c>
    </row>
    <row r="264" spans="1:12" x14ac:dyDescent="0.35">
      <c r="A264" t="s">
        <v>42</v>
      </c>
      <c r="B264">
        <v>1185732</v>
      </c>
      <c r="C264" s="1">
        <v>43896</v>
      </c>
      <c r="D264" t="s">
        <v>43</v>
      </c>
      <c r="E264" t="s">
        <v>44</v>
      </c>
      <c r="F264" t="s">
        <v>44</v>
      </c>
      <c r="G264" t="s">
        <v>32</v>
      </c>
      <c r="H264" s="2">
        <v>46</v>
      </c>
      <c r="I264">
        <v>278</v>
      </c>
      <c r="J264" s="3">
        <v>1279</v>
      </c>
      <c r="K264" s="4">
        <v>614</v>
      </c>
      <c r="L264" t="s">
        <v>17</v>
      </c>
    </row>
    <row r="265" spans="1:12" x14ac:dyDescent="0.35">
      <c r="A265" t="s">
        <v>42</v>
      </c>
      <c r="B265">
        <v>1185732</v>
      </c>
      <c r="C265" s="1">
        <v>44096</v>
      </c>
      <c r="D265" t="s">
        <v>13</v>
      </c>
      <c r="E265" t="s">
        <v>14</v>
      </c>
      <c r="F265" t="s">
        <v>73</v>
      </c>
      <c r="G265" t="s">
        <v>16</v>
      </c>
      <c r="H265" s="2">
        <v>56</v>
      </c>
      <c r="I265">
        <v>278</v>
      </c>
      <c r="J265" s="3">
        <v>1557</v>
      </c>
      <c r="K265" s="4">
        <v>950</v>
      </c>
      <c r="L265" t="s">
        <v>17</v>
      </c>
    </row>
    <row r="266" spans="1:12" x14ac:dyDescent="0.35">
      <c r="A266" t="s">
        <v>42</v>
      </c>
      <c r="B266">
        <v>1185732</v>
      </c>
      <c r="C266" s="1">
        <v>44414</v>
      </c>
      <c r="D266" t="s">
        <v>13</v>
      </c>
      <c r="E266" t="s">
        <v>69</v>
      </c>
      <c r="F266" t="s">
        <v>65</v>
      </c>
      <c r="G266" t="s">
        <v>16</v>
      </c>
      <c r="H266" s="2">
        <v>58</v>
      </c>
      <c r="I266">
        <v>278</v>
      </c>
      <c r="J266" s="3">
        <v>1612</v>
      </c>
      <c r="K266" s="4">
        <v>984</v>
      </c>
      <c r="L266" t="s">
        <v>17</v>
      </c>
    </row>
    <row r="267" spans="1:12" x14ac:dyDescent="0.35">
      <c r="A267" t="s">
        <v>42</v>
      </c>
      <c r="B267">
        <v>1185732</v>
      </c>
      <c r="C267" s="1">
        <v>44506</v>
      </c>
      <c r="D267" t="s">
        <v>13</v>
      </c>
      <c r="E267" t="s">
        <v>69</v>
      </c>
      <c r="F267" t="s">
        <v>65</v>
      </c>
      <c r="G267" t="s">
        <v>26</v>
      </c>
      <c r="H267" s="2">
        <v>50</v>
      </c>
      <c r="I267">
        <v>278</v>
      </c>
      <c r="J267" s="3">
        <v>1390</v>
      </c>
      <c r="K267" s="4">
        <v>792</v>
      </c>
      <c r="L267" t="s">
        <v>17</v>
      </c>
    </row>
    <row r="268" spans="1:12" x14ac:dyDescent="0.35">
      <c r="A268" t="s">
        <v>42</v>
      </c>
      <c r="B268">
        <v>1185732</v>
      </c>
      <c r="C268" s="1">
        <v>43904</v>
      </c>
      <c r="D268" t="s">
        <v>43</v>
      </c>
      <c r="E268" t="s">
        <v>44</v>
      </c>
      <c r="F268" t="s">
        <v>44</v>
      </c>
      <c r="G268" t="s">
        <v>70</v>
      </c>
      <c r="H268" s="2">
        <v>46</v>
      </c>
      <c r="I268">
        <v>278</v>
      </c>
      <c r="J268" s="3">
        <v>1279</v>
      </c>
      <c r="K268" s="4">
        <v>435</v>
      </c>
      <c r="L268" t="s">
        <v>27</v>
      </c>
    </row>
    <row r="269" spans="1:12" x14ac:dyDescent="0.35">
      <c r="A269" t="s">
        <v>18</v>
      </c>
      <c r="B269">
        <v>1128299</v>
      </c>
      <c r="C269" s="1">
        <v>44215</v>
      </c>
      <c r="D269" t="s">
        <v>48</v>
      </c>
      <c r="E269" t="s">
        <v>66</v>
      </c>
      <c r="F269" t="s">
        <v>67</v>
      </c>
      <c r="G269" t="s">
        <v>39</v>
      </c>
      <c r="H269" s="2">
        <v>47</v>
      </c>
      <c r="I269">
        <v>278</v>
      </c>
      <c r="J269" s="3">
        <v>1307</v>
      </c>
      <c r="K269" s="4">
        <v>287</v>
      </c>
      <c r="L269" t="s">
        <v>27</v>
      </c>
    </row>
    <row r="270" spans="1:12" x14ac:dyDescent="0.35">
      <c r="A270" t="s">
        <v>23</v>
      </c>
      <c r="B270">
        <v>1197831</v>
      </c>
      <c r="C270" s="1">
        <v>44453</v>
      </c>
      <c r="D270" t="s">
        <v>19</v>
      </c>
      <c r="E270" t="s">
        <v>24</v>
      </c>
      <c r="F270" t="s">
        <v>25</v>
      </c>
      <c r="G270" t="s">
        <v>32</v>
      </c>
      <c r="H270" s="2">
        <v>36</v>
      </c>
      <c r="I270">
        <v>278</v>
      </c>
      <c r="J270" s="3">
        <v>1001</v>
      </c>
      <c r="K270" s="4">
        <v>530</v>
      </c>
      <c r="L270" t="s">
        <v>27</v>
      </c>
    </row>
    <row r="271" spans="1:12" x14ac:dyDescent="0.35">
      <c r="A271" t="s">
        <v>18</v>
      </c>
      <c r="B271">
        <v>1197831</v>
      </c>
      <c r="C271" s="1">
        <v>44383</v>
      </c>
      <c r="D271" t="s">
        <v>48</v>
      </c>
      <c r="E271" t="s">
        <v>79</v>
      </c>
      <c r="F271" t="s">
        <v>80</v>
      </c>
      <c r="G271" t="s">
        <v>32</v>
      </c>
      <c r="H271" s="2">
        <v>34</v>
      </c>
      <c r="I271">
        <v>278</v>
      </c>
      <c r="J271">
        <v>945</v>
      </c>
      <c r="K271" s="4">
        <v>397</v>
      </c>
      <c r="L271" t="s">
        <v>27</v>
      </c>
    </row>
    <row r="272" spans="1:12" x14ac:dyDescent="0.35">
      <c r="A272" t="s">
        <v>18</v>
      </c>
      <c r="B272">
        <v>1128299</v>
      </c>
      <c r="C272" s="1">
        <v>44208</v>
      </c>
      <c r="D272" t="s">
        <v>48</v>
      </c>
      <c r="E272" t="s">
        <v>66</v>
      </c>
      <c r="F272" t="s">
        <v>67</v>
      </c>
      <c r="G272" t="s">
        <v>26</v>
      </c>
      <c r="H272" s="2">
        <v>56</v>
      </c>
      <c r="I272">
        <v>277</v>
      </c>
      <c r="J272" s="3">
        <v>1551</v>
      </c>
      <c r="K272" s="4">
        <v>698</v>
      </c>
      <c r="L272" t="s">
        <v>17</v>
      </c>
    </row>
    <row r="273" spans="1:12" x14ac:dyDescent="0.35">
      <c r="A273" t="s">
        <v>42</v>
      </c>
      <c r="B273">
        <v>1185732</v>
      </c>
      <c r="C273" s="1">
        <v>43851</v>
      </c>
      <c r="D273" t="s">
        <v>43</v>
      </c>
      <c r="E273" t="s">
        <v>44</v>
      </c>
      <c r="F273" t="s">
        <v>44</v>
      </c>
      <c r="G273" t="s">
        <v>32</v>
      </c>
      <c r="H273" s="2">
        <v>36</v>
      </c>
      <c r="I273">
        <v>276</v>
      </c>
      <c r="J273">
        <v>994</v>
      </c>
      <c r="K273" s="4">
        <v>467</v>
      </c>
      <c r="L273" t="s">
        <v>17</v>
      </c>
    </row>
    <row r="274" spans="1:12" x14ac:dyDescent="0.35">
      <c r="A274" t="s">
        <v>12</v>
      </c>
      <c r="B274">
        <v>1197831</v>
      </c>
      <c r="C274" s="1">
        <v>44060</v>
      </c>
      <c r="D274" t="s">
        <v>19</v>
      </c>
      <c r="E274" t="s">
        <v>59</v>
      </c>
      <c r="F274" t="s">
        <v>60</v>
      </c>
      <c r="G274" t="s">
        <v>16</v>
      </c>
      <c r="H274" s="2">
        <v>37</v>
      </c>
      <c r="I274">
        <v>276</v>
      </c>
      <c r="J274" s="3">
        <v>1021</v>
      </c>
      <c r="K274" s="4">
        <v>643</v>
      </c>
      <c r="L274" t="s">
        <v>17</v>
      </c>
    </row>
    <row r="275" spans="1:12" x14ac:dyDescent="0.35">
      <c r="A275" t="s">
        <v>23</v>
      </c>
      <c r="B275">
        <v>1185732</v>
      </c>
      <c r="C275" s="1">
        <v>44257</v>
      </c>
      <c r="D275" t="s">
        <v>13</v>
      </c>
      <c r="E275" t="s">
        <v>77</v>
      </c>
      <c r="F275" t="s">
        <v>78</v>
      </c>
      <c r="G275" t="s">
        <v>26</v>
      </c>
      <c r="H275" s="2">
        <v>28</v>
      </c>
      <c r="I275">
        <v>276</v>
      </c>
      <c r="J275">
        <v>773</v>
      </c>
      <c r="K275" s="4">
        <v>417</v>
      </c>
      <c r="L275" t="s">
        <v>17</v>
      </c>
    </row>
    <row r="276" spans="1:12" x14ac:dyDescent="0.35">
      <c r="A276" t="s">
        <v>23</v>
      </c>
      <c r="B276">
        <v>1197831</v>
      </c>
      <c r="C276" s="1">
        <v>44431</v>
      </c>
      <c r="D276" t="s">
        <v>19</v>
      </c>
      <c r="E276" t="s">
        <v>24</v>
      </c>
      <c r="F276" t="s">
        <v>25</v>
      </c>
      <c r="G276" t="s">
        <v>70</v>
      </c>
      <c r="H276" s="2">
        <v>25</v>
      </c>
      <c r="I276">
        <v>275</v>
      </c>
      <c r="J276" s="3">
        <v>6875</v>
      </c>
      <c r="K276" s="4">
        <v>2750</v>
      </c>
      <c r="L276" t="s">
        <v>27</v>
      </c>
    </row>
    <row r="277" spans="1:12" x14ac:dyDescent="0.35">
      <c r="A277" t="s">
        <v>42</v>
      </c>
      <c r="B277">
        <v>1185732</v>
      </c>
      <c r="C277" s="1">
        <v>44214</v>
      </c>
      <c r="D277" t="s">
        <v>33</v>
      </c>
      <c r="E277" t="s">
        <v>45</v>
      </c>
      <c r="F277" t="s">
        <v>46</v>
      </c>
      <c r="G277" t="s">
        <v>56</v>
      </c>
      <c r="H277" s="2">
        <v>25</v>
      </c>
      <c r="I277">
        <v>275</v>
      </c>
      <c r="J277" s="3">
        <v>6875</v>
      </c>
      <c r="K277" s="4">
        <v>2750</v>
      </c>
      <c r="L277" t="s">
        <v>36</v>
      </c>
    </row>
    <row r="278" spans="1:12" x14ac:dyDescent="0.35">
      <c r="A278" t="s">
        <v>42</v>
      </c>
      <c r="B278">
        <v>1185732</v>
      </c>
      <c r="C278" s="1">
        <v>44304</v>
      </c>
      <c r="D278" t="s">
        <v>33</v>
      </c>
      <c r="E278" t="s">
        <v>34</v>
      </c>
      <c r="F278" t="s">
        <v>35</v>
      </c>
      <c r="G278" t="s">
        <v>39</v>
      </c>
      <c r="H278" s="2">
        <v>30</v>
      </c>
      <c r="I278">
        <v>275</v>
      </c>
      <c r="J278" s="3">
        <v>8250</v>
      </c>
      <c r="K278" s="4">
        <v>2888</v>
      </c>
      <c r="L278" t="s">
        <v>36</v>
      </c>
    </row>
    <row r="279" spans="1:12" x14ac:dyDescent="0.35">
      <c r="A279" t="s">
        <v>42</v>
      </c>
      <c r="B279">
        <v>1185732</v>
      </c>
      <c r="C279" s="1">
        <v>44304</v>
      </c>
      <c r="D279" t="s">
        <v>33</v>
      </c>
      <c r="E279" t="s">
        <v>34</v>
      </c>
      <c r="F279" t="s">
        <v>35</v>
      </c>
      <c r="G279" t="s">
        <v>32</v>
      </c>
      <c r="H279" s="2">
        <v>20</v>
      </c>
      <c r="I279">
        <v>275</v>
      </c>
      <c r="J279" s="3">
        <v>5500</v>
      </c>
      <c r="K279" s="4">
        <v>1925</v>
      </c>
      <c r="L279" t="s">
        <v>36</v>
      </c>
    </row>
    <row r="280" spans="1:12" x14ac:dyDescent="0.35">
      <c r="A280" t="s">
        <v>42</v>
      </c>
      <c r="B280">
        <v>1185732</v>
      </c>
      <c r="C280" s="1">
        <v>44458</v>
      </c>
      <c r="D280" t="s">
        <v>33</v>
      </c>
      <c r="E280" t="s">
        <v>34</v>
      </c>
      <c r="F280" t="s">
        <v>35</v>
      </c>
      <c r="G280" t="s">
        <v>56</v>
      </c>
      <c r="H280" s="2">
        <v>15</v>
      </c>
      <c r="I280">
        <v>275</v>
      </c>
      <c r="J280" s="3">
        <v>4125</v>
      </c>
      <c r="K280" s="4">
        <v>1650</v>
      </c>
      <c r="L280" t="s">
        <v>36</v>
      </c>
    </row>
    <row r="281" spans="1:12" x14ac:dyDescent="0.35">
      <c r="A281" t="s">
        <v>42</v>
      </c>
      <c r="B281">
        <v>1185732</v>
      </c>
      <c r="C281" s="1">
        <v>44458</v>
      </c>
      <c r="D281" t="s">
        <v>33</v>
      </c>
      <c r="E281" t="s">
        <v>34</v>
      </c>
      <c r="F281" t="s">
        <v>35</v>
      </c>
      <c r="G281" t="s">
        <v>70</v>
      </c>
      <c r="H281" s="2">
        <v>25</v>
      </c>
      <c r="I281">
        <v>275</v>
      </c>
      <c r="J281" s="3">
        <v>6875</v>
      </c>
      <c r="K281" s="4">
        <v>2406</v>
      </c>
      <c r="L281" t="s">
        <v>36</v>
      </c>
    </row>
    <row r="282" spans="1:12" x14ac:dyDescent="0.35">
      <c r="A282" t="s">
        <v>18</v>
      </c>
      <c r="B282">
        <v>1185732</v>
      </c>
      <c r="C282" s="1">
        <v>44328</v>
      </c>
      <c r="D282" t="s">
        <v>48</v>
      </c>
      <c r="E282" t="s">
        <v>49</v>
      </c>
      <c r="F282" t="s">
        <v>50</v>
      </c>
      <c r="G282" t="s">
        <v>56</v>
      </c>
      <c r="H282" s="2">
        <v>25</v>
      </c>
      <c r="I282">
        <v>275</v>
      </c>
      <c r="J282" s="3">
        <v>6875</v>
      </c>
      <c r="K282" s="4">
        <v>2750</v>
      </c>
      <c r="L282" t="s">
        <v>36</v>
      </c>
    </row>
    <row r="283" spans="1:12" x14ac:dyDescent="0.35">
      <c r="A283" t="s">
        <v>18</v>
      </c>
      <c r="B283">
        <v>1185732</v>
      </c>
      <c r="C283" s="1">
        <v>44480</v>
      </c>
      <c r="D283" t="s">
        <v>48</v>
      </c>
      <c r="E283" t="s">
        <v>49</v>
      </c>
      <c r="F283" t="s">
        <v>50</v>
      </c>
      <c r="G283" t="s">
        <v>56</v>
      </c>
      <c r="H283" s="2">
        <v>20</v>
      </c>
      <c r="I283">
        <v>275</v>
      </c>
      <c r="J283" s="3">
        <v>5500</v>
      </c>
      <c r="K283" s="4">
        <v>2200</v>
      </c>
      <c r="L283" t="s">
        <v>36</v>
      </c>
    </row>
    <row r="284" spans="1:12" x14ac:dyDescent="0.35">
      <c r="A284" t="s">
        <v>18</v>
      </c>
      <c r="B284">
        <v>1185732</v>
      </c>
      <c r="C284" s="1">
        <v>44480</v>
      </c>
      <c r="D284" t="s">
        <v>48</v>
      </c>
      <c r="E284" t="s">
        <v>49</v>
      </c>
      <c r="F284" t="s">
        <v>50</v>
      </c>
      <c r="G284" t="s">
        <v>70</v>
      </c>
      <c r="H284" s="2">
        <v>30</v>
      </c>
      <c r="I284">
        <v>275</v>
      </c>
      <c r="J284" s="3">
        <v>8250</v>
      </c>
      <c r="K284" s="4">
        <v>2888</v>
      </c>
      <c r="L284" t="s">
        <v>36</v>
      </c>
    </row>
    <row r="285" spans="1:12" x14ac:dyDescent="0.35">
      <c r="A285" t="s">
        <v>42</v>
      </c>
      <c r="B285">
        <v>1185732</v>
      </c>
      <c r="C285" s="1">
        <v>44271</v>
      </c>
      <c r="D285" t="s">
        <v>19</v>
      </c>
      <c r="E285" t="s">
        <v>37</v>
      </c>
      <c r="F285" t="s">
        <v>38</v>
      </c>
      <c r="G285" t="s">
        <v>56</v>
      </c>
      <c r="H285" s="2">
        <v>20</v>
      </c>
      <c r="I285">
        <v>275</v>
      </c>
      <c r="J285" s="3">
        <v>5500</v>
      </c>
      <c r="K285" s="4">
        <v>2200</v>
      </c>
      <c r="L285" t="s">
        <v>17</v>
      </c>
    </row>
    <row r="286" spans="1:12" x14ac:dyDescent="0.35">
      <c r="A286" t="s">
        <v>12</v>
      </c>
      <c r="B286">
        <v>1197831</v>
      </c>
      <c r="C286" s="1">
        <v>44490</v>
      </c>
      <c r="D286" t="s">
        <v>19</v>
      </c>
      <c r="E286" t="s">
        <v>54</v>
      </c>
      <c r="F286" t="s">
        <v>55</v>
      </c>
      <c r="G286" t="s">
        <v>56</v>
      </c>
      <c r="H286" s="2">
        <v>20</v>
      </c>
      <c r="I286">
        <v>275</v>
      </c>
      <c r="J286" s="3">
        <v>5500</v>
      </c>
      <c r="K286" s="4">
        <v>2200</v>
      </c>
      <c r="L286" t="s">
        <v>17</v>
      </c>
    </row>
    <row r="287" spans="1:12" x14ac:dyDescent="0.35">
      <c r="A287" t="s">
        <v>12</v>
      </c>
      <c r="B287">
        <v>1197831</v>
      </c>
      <c r="C287" s="1">
        <v>44490</v>
      </c>
      <c r="D287" t="s">
        <v>19</v>
      </c>
      <c r="E287" t="s">
        <v>54</v>
      </c>
      <c r="F287" t="s">
        <v>55</v>
      </c>
      <c r="G287" t="s">
        <v>70</v>
      </c>
      <c r="H287" s="2">
        <v>30</v>
      </c>
      <c r="I287">
        <v>275</v>
      </c>
      <c r="J287" s="3">
        <v>8250</v>
      </c>
      <c r="K287" s="4">
        <v>2888</v>
      </c>
      <c r="L287" t="s">
        <v>17</v>
      </c>
    </row>
    <row r="288" spans="1:12" x14ac:dyDescent="0.35">
      <c r="A288" t="s">
        <v>18</v>
      </c>
      <c r="B288">
        <v>1197831</v>
      </c>
      <c r="C288" s="1">
        <v>44248</v>
      </c>
      <c r="D288" t="s">
        <v>19</v>
      </c>
      <c r="E288" t="s">
        <v>54</v>
      </c>
      <c r="F288" t="s">
        <v>55</v>
      </c>
      <c r="G288" t="s">
        <v>39</v>
      </c>
      <c r="H288" s="2">
        <v>25</v>
      </c>
      <c r="I288">
        <v>275</v>
      </c>
      <c r="J288" s="3">
        <v>6875</v>
      </c>
      <c r="K288" s="4">
        <v>2406</v>
      </c>
      <c r="L288" t="s">
        <v>17</v>
      </c>
    </row>
    <row r="289" spans="1:12" x14ac:dyDescent="0.35">
      <c r="A289" t="s">
        <v>18</v>
      </c>
      <c r="B289">
        <v>1197831</v>
      </c>
      <c r="C289" s="1">
        <v>44274</v>
      </c>
      <c r="D289" t="s">
        <v>19</v>
      </c>
      <c r="E289" t="s">
        <v>61</v>
      </c>
      <c r="F289" t="s">
        <v>62</v>
      </c>
      <c r="G289" t="s">
        <v>32</v>
      </c>
      <c r="H289" s="2">
        <v>10</v>
      </c>
      <c r="I289">
        <v>275</v>
      </c>
      <c r="J289" s="3">
        <v>2750</v>
      </c>
      <c r="K289" s="4">
        <v>1100</v>
      </c>
      <c r="L289" t="s">
        <v>17</v>
      </c>
    </row>
    <row r="290" spans="1:12" x14ac:dyDescent="0.35">
      <c r="A290" t="s">
        <v>18</v>
      </c>
      <c r="B290">
        <v>1197831</v>
      </c>
      <c r="C290" s="1">
        <v>44274</v>
      </c>
      <c r="D290" t="s">
        <v>19</v>
      </c>
      <c r="E290" t="s">
        <v>61</v>
      </c>
      <c r="F290" t="s">
        <v>62</v>
      </c>
      <c r="G290" t="s">
        <v>16</v>
      </c>
      <c r="H290" s="2">
        <v>25</v>
      </c>
      <c r="I290">
        <v>275</v>
      </c>
      <c r="J290" s="3">
        <v>6875</v>
      </c>
      <c r="K290" s="4">
        <v>2750</v>
      </c>
      <c r="L290" t="s">
        <v>17</v>
      </c>
    </row>
    <row r="291" spans="1:12" x14ac:dyDescent="0.35">
      <c r="A291" t="s">
        <v>18</v>
      </c>
      <c r="B291">
        <v>1197831</v>
      </c>
      <c r="C291" s="1">
        <v>44458</v>
      </c>
      <c r="D291" t="s">
        <v>19</v>
      </c>
      <c r="E291" t="s">
        <v>61</v>
      </c>
      <c r="F291" t="s">
        <v>62</v>
      </c>
      <c r="G291" t="s">
        <v>32</v>
      </c>
      <c r="H291" s="2">
        <v>15</v>
      </c>
      <c r="I291">
        <v>275</v>
      </c>
      <c r="J291" s="3">
        <v>4125</v>
      </c>
      <c r="K291" s="4">
        <v>1650</v>
      </c>
      <c r="L291" t="s">
        <v>17</v>
      </c>
    </row>
    <row r="292" spans="1:12" x14ac:dyDescent="0.35">
      <c r="A292" t="s">
        <v>42</v>
      </c>
      <c r="B292">
        <v>1197831</v>
      </c>
      <c r="C292" s="1">
        <v>44513</v>
      </c>
      <c r="D292" t="s">
        <v>33</v>
      </c>
      <c r="E292" t="s">
        <v>71</v>
      </c>
      <c r="F292" t="s">
        <v>72</v>
      </c>
      <c r="G292" t="s">
        <v>39</v>
      </c>
      <c r="H292" s="2">
        <v>15</v>
      </c>
      <c r="I292">
        <v>275</v>
      </c>
      <c r="J292" s="3">
        <v>4125</v>
      </c>
      <c r="K292" s="4">
        <v>1444</v>
      </c>
      <c r="L292" t="s">
        <v>17</v>
      </c>
    </row>
    <row r="293" spans="1:12" x14ac:dyDescent="0.35">
      <c r="A293" t="s">
        <v>42</v>
      </c>
      <c r="B293">
        <v>1185732</v>
      </c>
      <c r="C293" s="1">
        <v>44208</v>
      </c>
      <c r="D293" t="s">
        <v>33</v>
      </c>
      <c r="E293" t="s">
        <v>71</v>
      </c>
      <c r="F293" t="s">
        <v>72</v>
      </c>
      <c r="G293" t="s">
        <v>32</v>
      </c>
      <c r="H293" s="2">
        <v>30</v>
      </c>
      <c r="I293">
        <v>275</v>
      </c>
      <c r="J293" s="3">
        <v>8250</v>
      </c>
      <c r="K293" s="4">
        <v>2475</v>
      </c>
      <c r="L293" t="s">
        <v>17</v>
      </c>
    </row>
    <row r="294" spans="1:12" x14ac:dyDescent="0.35">
      <c r="A294" t="s">
        <v>23</v>
      </c>
      <c r="B294">
        <v>1185732</v>
      </c>
      <c r="C294" s="1">
        <v>44205</v>
      </c>
      <c r="D294" t="s">
        <v>33</v>
      </c>
      <c r="E294" t="s">
        <v>87</v>
      </c>
      <c r="F294" t="s">
        <v>88</v>
      </c>
      <c r="G294" t="s">
        <v>32</v>
      </c>
      <c r="H294" s="2">
        <v>25</v>
      </c>
      <c r="I294">
        <v>275</v>
      </c>
      <c r="J294" s="3">
        <v>6875</v>
      </c>
      <c r="K294" s="4">
        <v>2063</v>
      </c>
      <c r="L294" t="s">
        <v>17</v>
      </c>
    </row>
    <row r="295" spans="1:12" x14ac:dyDescent="0.35">
      <c r="A295" t="s">
        <v>23</v>
      </c>
      <c r="B295">
        <v>1185732</v>
      </c>
      <c r="C295" s="1">
        <v>44236</v>
      </c>
      <c r="D295" t="s">
        <v>33</v>
      </c>
      <c r="E295" t="s">
        <v>89</v>
      </c>
      <c r="F295" t="s">
        <v>90</v>
      </c>
      <c r="G295" t="s">
        <v>16</v>
      </c>
      <c r="H295" s="2">
        <v>25</v>
      </c>
      <c r="I295">
        <v>275</v>
      </c>
      <c r="J295" s="3">
        <v>6875</v>
      </c>
      <c r="K295" s="4">
        <v>2750</v>
      </c>
      <c r="L295" t="s">
        <v>17</v>
      </c>
    </row>
    <row r="296" spans="1:12" x14ac:dyDescent="0.35">
      <c r="A296" t="s">
        <v>42</v>
      </c>
      <c r="B296">
        <v>1185732</v>
      </c>
      <c r="C296" s="1">
        <v>44353</v>
      </c>
      <c r="D296" t="s">
        <v>33</v>
      </c>
      <c r="E296" t="s">
        <v>91</v>
      </c>
      <c r="F296" t="s">
        <v>92</v>
      </c>
      <c r="G296" t="s">
        <v>39</v>
      </c>
      <c r="H296" s="2">
        <v>30</v>
      </c>
      <c r="I296">
        <v>275</v>
      </c>
      <c r="J296" s="3">
        <v>8250</v>
      </c>
      <c r="K296" s="4">
        <v>2888</v>
      </c>
      <c r="L296" t="s">
        <v>36</v>
      </c>
    </row>
    <row r="297" spans="1:12" x14ac:dyDescent="0.35">
      <c r="A297" t="s">
        <v>42</v>
      </c>
      <c r="B297">
        <v>1185732</v>
      </c>
      <c r="C297" s="1">
        <v>44446</v>
      </c>
      <c r="D297" t="s">
        <v>33</v>
      </c>
      <c r="E297" t="s">
        <v>91</v>
      </c>
      <c r="F297" t="s">
        <v>92</v>
      </c>
      <c r="G297" t="s">
        <v>39</v>
      </c>
      <c r="H297" s="2">
        <v>30</v>
      </c>
      <c r="I297">
        <v>275</v>
      </c>
      <c r="J297" s="3">
        <v>8250</v>
      </c>
      <c r="K297" s="4">
        <v>2888</v>
      </c>
      <c r="L297" t="s">
        <v>36</v>
      </c>
    </row>
    <row r="298" spans="1:12" x14ac:dyDescent="0.35">
      <c r="A298" t="s">
        <v>18</v>
      </c>
      <c r="B298">
        <v>1185732</v>
      </c>
      <c r="C298" s="1">
        <v>44264</v>
      </c>
      <c r="D298" t="s">
        <v>33</v>
      </c>
      <c r="E298" t="s">
        <v>81</v>
      </c>
      <c r="F298" t="s">
        <v>82</v>
      </c>
      <c r="G298" t="s">
        <v>32</v>
      </c>
      <c r="H298" s="2">
        <v>15</v>
      </c>
      <c r="I298">
        <v>275</v>
      </c>
      <c r="J298" s="3">
        <v>4125</v>
      </c>
      <c r="K298" s="4">
        <v>1444</v>
      </c>
      <c r="L298" t="s">
        <v>36</v>
      </c>
    </row>
    <row r="299" spans="1:12" x14ac:dyDescent="0.35">
      <c r="A299" t="s">
        <v>18</v>
      </c>
      <c r="B299">
        <v>1185732</v>
      </c>
      <c r="C299" s="1">
        <v>44264</v>
      </c>
      <c r="D299" t="s">
        <v>33</v>
      </c>
      <c r="E299" t="s">
        <v>81</v>
      </c>
      <c r="F299" t="s">
        <v>82</v>
      </c>
      <c r="G299" t="s">
        <v>16</v>
      </c>
      <c r="H299" s="2">
        <v>25</v>
      </c>
      <c r="I299">
        <v>275</v>
      </c>
      <c r="J299" s="3">
        <v>6875</v>
      </c>
      <c r="K299" s="4">
        <v>2750</v>
      </c>
      <c r="L299" t="s">
        <v>36</v>
      </c>
    </row>
    <row r="300" spans="1:12" x14ac:dyDescent="0.35">
      <c r="A300" t="s">
        <v>18</v>
      </c>
      <c r="B300">
        <v>1185732</v>
      </c>
      <c r="C300" s="1">
        <v>44450</v>
      </c>
      <c r="D300" t="s">
        <v>33</v>
      </c>
      <c r="E300" t="s">
        <v>81</v>
      </c>
      <c r="F300" t="s">
        <v>82</v>
      </c>
      <c r="G300" t="s">
        <v>39</v>
      </c>
      <c r="H300" s="2">
        <v>30</v>
      </c>
      <c r="I300">
        <v>275</v>
      </c>
      <c r="J300" s="3">
        <v>8250</v>
      </c>
      <c r="K300" s="4">
        <v>3300</v>
      </c>
      <c r="L300" t="s">
        <v>36</v>
      </c>
    </row>
    <row r="301" spans="1:12" x14ac:dyDescent="0.35">
      <c r="A301" t="s">
        <v>18</v>
      </c>
      <c r="B301">
        <v>1185732</v>
      </c>
      <c r="C301" s="1">
        <v>44271</v>
      </c>
      <c r="D301" t="s">
        <v>43</v>
      </c>
      <c r="E301" t="s">
        <v>64</v>
      </c>
      <c r="F301" t="s">
        <v>65</v>
      </c>
      <c r="G301" t="s">
        <v>39</v>
      </c>
      <c r="H301" s="2">
        <v>30</v>
      </c>
      <c r="I301">
        <v>275</v>
      </c>
      <c r="J301" s="3">
        <v>8250</v>
      </c>
      <c r="K301" s="4">
        <v>3300</v>
      </c>
      <c r="L301" t="s">
        <v>36</v>
      </c>
    </row>
    <row r="302" spans="1:12" x14ac:dyDescent="0.35">
      <c r="A302" t="s">
        <v>42</v>
      </c>
      <c r="B302">
        <v>1185732</v>
      </c>
      <c r="C302" s="1">
        <v>44242</v>
      </c>
      <c r="D302" t="s">
        <v>43</v>
      </c>
      <c r="E302" t="s">
        <v>93</v>
      </c>
      <c r="F302" t="s">
        <v>94</v>
      </c>
      <c r="G302" t="s">
        <v>32</v>
      </c>
      <c r="H302" s="2">
        <v>30</v>
      </c>
      <c r="I302">
        <v>275</v>
      </c>
      <c r="J302" s="3">
        <v>8250</v>
      </c>
      <c r="K302" s="4">
        <v>3300</v>
      </c>
      <c r="L302" t="s">
        <v>36</v>
      </c>
    </row>
    <row r="303" spans="1:12" x14ac:dyDescent="0.35">
      <c r="A303" t="s">
        <v>42</v>
      </c>
      <c r="B303">
        <v>1185732</v>
      </c>
      <c r="C303" s="1">
        <v>44268</v>
      </c>
      <c r="D303" t="s">
        <v>43</v>
      </c>
      <c r="E303" t="s">
        <v>95</v>
      </c>
      <c r="F303" t="s">
        <v>96</v>
      </c>
      <c r="G303" t="s">
        <v>32</v>
      </c>
      <c r="H303" s="2">
        <v>30</v>
      </c>
      <c r="I303">
        <v>275</v>
      </c>
      <c r="J303" s="3">
        <v>8250</v>
      </c>
      <c r="K303" s="4">
        <v>3300</v>
      </c>
      <c r="L303" t="s">
        <v>36</v>
      </c>
    </row>
    <row r="304" spans="1:12" x14ac:dyDescent="0.35">
      <c r="A304" t="s">
        <v>63</v>
      </c>
      <c r="B304">
        <v>1185732</v>
      </c>
      <c r="C304" s="1">
        <v>44206</v>
      </c>
      <c r="D304" t="s">
        <v>43</v>
      </c>
      <c r="E304" t="s">
        <v>95</v>
      </c>
      <c r="F304" t="s">
        <v>96</v>
      </c>
      <c r="G304" t="s">
        <v>32</v>
      </c>
      <c r="H304" s="2">
        <v>25</v>
      </c>
      <c r="I304">
        <v>275</v>
      </c>
      <c r="J304" s="3">
        <v>6875</v>
      </c>
      <c r="K304" s="4">
        <v>2750</v>
      </c>
      <c r="L304" t="s">
        <v>36</v>
      </c>
    </row>
    <row r="305" spans="1:12" x14ac:dyDescent="0.35">
      <c r="A305" t="s">
        <v>12</v>
      </c>
      <c r="B305">
        <v>1185732</v>
      </c>
      <c r="C305" s="1">
        <v>43949</v>
      </c>
      <c r="D305" t="s">
        <v>43</v>
      </c>
      <c r="E305" t="s">
        <v>44</v>
      </c>
      <c r="F305" t="s">
        <v>44</v>
      </c>
      <c r="G305" t="s">
        <v>39</v>
      </c>
      <c r="H305" s="2">
        <v>53</v>
      </c>
      <c r="I305">
        <v>273</v>
      </c>
      <c r="J305" s="3">
        <v>1447</v>
      </c>
      <c r="K305" s="4">
        <v>622</v>
      </c>
      <c r="L305" t="s">
        <v>17</v>
      </c>
    </row>
    <row r="306" spans="1:12" x14ac:dyDescent="0.35">
      <c r="A306" t="s">
        <v>18</v>
      </c>
      <c r="B306">
        <v>1128299</v>
      </c>
      <c r="C306" s="1">
        <v>44202</v>
      </c>
      <c r="D306" t="s">
        <v>48</v>
      </c>
      <c r="E306" t="s">
        <v>66</v>
      </c>
      <c r="F306" t="s">
        <v>67</v>
      </c>
      <c r="G306" t="s">
        <v>26</v>
      </c>
      <c r="H306" s="2">
        <v>56</v>
      </c>
      <c r="I306">
        <v>273</v>
      </c>
      <c r="J306" s="3">
        <v>1529</v>
      </c>
      <c r="K306" s="4">
        <v>764</v>
      </c>
      <c r="L306" t="s">
        <v>17</v>
      </c>
    </row>
    <row r="307" spans="1:12" x14ac:dyDescent="0.35">
      <c r="A307" t="s">
        <v>18</v>
      </c>
      <c r="B307">
        <v>1128299</v>
      </c>
      <c r="C307" s="1">
        <v>44214</v>
      </c>
      <c r="D307" t="s">
        <v>48</v>
      </c>
      <c r="E307" t="s">
        <v>66</v>
      </c>
      <c r="F307" t="s">
        <v>67</v>
      </c>
      <c r="G307" t="s">
        <v>26</v>
      </c>
      <c r="H307" s="2">
        <v>62</v>
      </c>
      <c r="I307">
        <v>273</v>
      </c>
      <c r="J307" s="3">
        <v>1693</v>
      </c>
      <c r="K307" s="4">
        <v>779</v>
      </c>
      <c r="L307" t="s">
        <v>17</v>
      </c>
    </row>
    <row r="308" spans="1:12" x14ac:dyDescent="0.35">
      <c r="A308" t="s">
        <v>18</v>
      </c>
      <c r="B308">
        <v>1128299</v>
      </c>
      <c r="C308" s="1">
        <v>44239</v>
      </c>
      <c r="D308" t="s">
        <v>48</v>
      </c>
      <c r="E308" t="s">
        <v>66</v>
      </c>
      <c r="F308" t="s">
        <v>67</v>
      </c>
      <c r="G308" t="s">
        <v>39</v>
      </c>
      <c r="H308" s="2">
        <v>58</v>
      </c>
      <c r="I308">
        <v>273</v>
      </c>
      <c r="J308" s="3">
        <v>1583</v>
      </c>
      <c r="K308" s="4">
        <v>428</v>
      </c>
      <c r="L308" t="s">
        <v>17</v>
      </c>
    </row>
    <row r="309" spans="1:12" x14ac:dyDescent="0.35">
      <c r="A309" t="s">
        <v>23</v>
      </c>
      <c r="B309">
        <v>1197831</v>
      </c>
      <c r="C309" s="1">
        <v>44463</v>
      </c>
      <c r="D309" t="s">
        <v>19</v>
      </c>
      <c r="E309" t="s">
        <v>59</v>
      </c>
      <c r="F309" t="s">
        <v>68</v>
      </c>
      <c r="G309" t="s">
        <v>32</v>
      </c>
      <c r="H309" s="2">
        <v>46</v>
      </c>
      <c r="I309">
        <v>273</v>
      </c>
      <c r="J309" s="3">
        <v>1256</v>
      </c>
      <c r="K309" s="4">
        <v>691</v>
      </c>
      <c r="L309" t="s">
        <v>17</v>
      </c>
    </row>
    <row r="310" spans="1:12" x14ac:dyDescent="0.35">
      <c r="A310" t="s">
        <v>42</v>
      </c>
      <c r="B310">
        <v>1185732</v>
      </c>
      <c r="C310" s="1">
        <v>44049</v>
      </c>
      <c r="D310" t="s">
        <v>48</v>
      </c>
      <c r="E310" t="s">
        <v>97</v>
      </c>
      <c r="F310" t="s">
        <v>98</v>
      </c>
      <c r="G310" t="s">
        <v>26</v>
      </c>
      <c r="H310" s="2">
        <v>44</v>
      </c>
      <c r="I310">
        <v>273</v>
      </c>
      <c r="J310" s="3">
        <v>1201</v>
      </c>
      <c r="K310" s="4">
        <v>661</v>
      </c>
      <c r="L310" t="s">
        <v>17</v>
      </c>
    </row>
    <row r="311" spans="1:12" x14ac:dyDescent="0.35">
      <c r="A311" t="s">
        <v>42</v>
      </c>
      <c r="B311">
        <v>1185732</v>
      </c>
      <c r="C311" s="1">
        <v>44354</v>
      </c>
      <c r="D311" t="s">
        <v>13</v>
      </c>
      <c r="E311" t="s">
        <v>69</v>
      </c>
      <c r="F311" t="s">
        <v>65</v>
      </c>
      <c r="G311" t="s">
        <v>26</v>
      </c>
      <c r="H311" s="2">
        <v>51</v>
      </c>
      <c r="I311">
        <v>273</v>
      </c>
      <c r="J311" s="3">
        <v>1392</v>
      </c>
      <c r="K311" s="4">
        <v>780</v>
      </c>
      <c r="L311" t="s">
        <v>17</v>
      </c>
    </row>
    <row r="312" spans="1:12" x14ac:dyDescent="0.35">
      <c r="A312" t="s">
        <v>12</v>
      </c>
      <c r="B312">
        <v>1197831</v>
      </c>
      <c r="C312" s="1">
        <v>44054</v>
      </c>
      <c r="D312" t="s">
        <v>19</v>
      </c>
      <c r="E312" t="s">
        <v>59</v>
      </c>
      <c r="F312" t="s">
        <v>60</v>
      </c>
      <c r="G312" t="s">
        <v>16</v>
      </c>
      <c r="H312" s="2">
        <v>27</v>
      </c>
      <c r="I312">
        <v>272</v>
      </c>
      <c r="J312">
        <v>734</v>
      </c>
      <c r="K312" s="4">
        <v>404</v>
      </c>
      <c r="L312" t="s">
        <v>27</v>
      </c>
    </row>
    <row r="313" spans="1:12" x14ac:dyDescent="0.35">
      <c r="A313" t="s">
        <v>12</v>
      </c>
      <c r="B313">
        <v>1197831</v>
      </c>
      <c r="C313" s="1">
        <v>44085</v>
      </c>
      <c r="D313" t="s">
        <v>19</v>
      </c>
      <c r="E313" t="s">
        <v>59</v>
      </c>
      <c r="F313" t="s">
        <v>60</v>
      </c>
      <c r="G313" t="s">
        <v>26</v>
      </c>
      <c r="H313" s="2">
        <v>31</v>
      </c>
      <c r="I313">
        <v>272</v>
      </c>
      <c r="J313">
        <v>843</v>
      </c>
      <c r="K313" s="4">
        <v>329</v>
      </c>
      <c r="L313" t="s">
        <v>27</v>
      </c>
    </row>
    <row r="314" spans="1:12" x14ac:dyDescent="0.35">
      <c r="A314" t="s">
        <v>18</v>
      </c>
      <c r="B314">
        <v>1128299</v>
      </c>
      <c r="C314" s="1">
        <v>44148</v>
      </c>
      <c r="D314" t="s">
        <v>48</v>
      </c>
      <c r="E314" t="s">
        <v>66</v>
      </c>
      <c r="F314" t="s">
        <v>67</v>
      </c>
      <c r="G314" t="s">
        <v>26</v>
      </c>
      <c r="H314" s="2">
        <v>36</v>
      </c>
      <c r="I314">
        <v>272</v>
      </c>
      <c r="J314">
        <v>979</v>
      </c>
      <c r="K314" s="4">
        <v>382</v>
      </c>
      <c r="L314" t="s">
        <v>27</v>
      </c>
    </row>
    <row r="315" spans="1:12" x14ac:dyDescent="0.35">
      <c r="A315" t="s">
        <v>63</v>
      </c>
      <c r="B315">
        <v>1189833</v>
      </c>
      <c r="C315" s="1">
        <v>44312</v>
      </c>
      <c r="D315" t="s">
        <v>48</v>
      </c>
      <c r="E315" t="s">
        <v>66</v>
      </c>
      <c r="F315" t="s">
        <v>76</v>
      </c>
      <c r="G315" t="s">
        <v>39</v>
      </c>
      <c r="H315" s="2">
        <v>37</v>
      </c>
      <c r="I315">
        <v>272</v>
      </c>
      <c r="J315" s="3">
        <v>1006</v>
      </c>
      <c r="K315" s="4">
        <v>292</v>
      </c>
      <c r="L315" t="s">
        <v>27</v>
      </c>
    </row>
    <row r="316" spans="1:12" x14ac:dyDescent="0.35">
      <c r="A316" t="s">
        <v>63</v>
      </c>
      <c r="B316">
        <v>1189833</v>
      </c>
      <c r="C316" s="1">
        <v>44335</v>
      </c>
      <c r="D316" t="s">
        <v>48</v>
      </c>
      <c r="E316" t="s">
        <v>66</v>
      </c>
      <c r="F316" t="s">
        <v>76</v>
      </c>
      <c r="G316" t="s">
        <v>26</v>
      </c>
      <c r="H316" s="2">
        <v>40</v>
      </c>
      <c r="I316">
        <v>272</v>
      </c>
      <c r="J316" s="3">
        <v>1088</v>
      </c>
      <c r="K316" s="4">
        <v>500</v>
      </c>
      <c r="L316" t="s">
        <v>27</v>
      </c>
    </row>
    <row r="317" spans="1:12" x14ac:dyDescent="0.35">
      <c r="A317" t="s">
        <v>23</v>
      </c>
      <c r="B317">
        <v>1197831</v>
      </c>
      <c r="C317" s="1">
        <v>44460</v>
      </c>
      <c r="D317" t="s">
        <v>19</v>
      </c>
      <c r="E317" t="s">
        <v>59</v>
      </c>
      <c r="F317" t="s">
        <v>68</v>
      </c>
      <c r="G317" t="s">
        <v>16</v>
      </c>
      <c r="H317" s="2">
        <v>47</v>
      </c>
      <c r="I317">
        <v>272</v>
      </c>
      <c r="J317" s="3">
        <v>1278</v>
      </c>
      <c r="K317" s="4">
        <v>729</v>
      </c>
      <c r="L317" t="s">
        <v>27</v>
      </c>
    </row>
    <row r="318" spans="1:12" x14ac:dyDescent="0.35">
      <c r="A318" t="s">
        <v>23</v>
      </c>
      <c r="B318">
        <v>1197831</v>
      </c>
      <c r="C318" s="1">
        <v>44301</v>
      </c>
      <c r="D318" t="s">
        <v>19</v>
      </c>
      <c r="E318" t="s">
        <v>74</v>
      </c>
      <c r="F318" t="s">
        <v>75</v>
      </c>
      <c r="G318" t="s">
        <v>26</v>
      </c>
      <c r="H318" s="2">
        <v>29</v>
      </c>
      <c r="I318">
        <v>272</v>
      </c>
      <c r="J318">
        <v>789</v>
      </c>
      <c r="K318" s="4">
        <v>394</v>
      </c>
      <c r="L318" t="s">
        <v>27</v>
      </c>
    </row>
    <row r="319" spans="1:12" x14ac:dyDescent="0.35">
      <c r="A319" t="s">
        <v>23</v>
      </c>
      <c r="B319">
        <v>1197831</v>
      </c>
      <c r="C319" s="1">
        <v>44306</v>
      </c>
      <c r="D319" t="s">
        <v>19</v>
      </c>
      <c r="E319" t="s">
        <v>74</v>
      </c>
      <c r="F319" t="s">
        <v>75</v>
      </c>
      <c r="G319" t="s">
        <v>16</v>
      </c>
      <c r="H319" s="2">
        <v>38</v>
      </c>
      <c r="I319">
        <v>272</v>
      </c>
      <c r="J319" s="3">
        <v>1034</v>
      </c>
      <c r="K319" s="4">
        <v>641</v>
      </c>
      <c r="L319" t="s">
        <v>27</v>
      </c>
    </row>
    <row r="320" spans="1:12" x14ac:dyDescent="0.35">
      <c r="A320" t="s">
        <v>12</v>
      </c>
      <c r="B320">
        <v>1128299</v>
      </c>
      <c r="C320" s="1">
        <v>44364</v>
      </c>
      <c r="D320" t="s">
        <v>13</v>
      </c>
      <c r="E320" t="s">
        <v>14</v>
      </c>
      <c r="F320" t="s">
        <v>15</v>
      </c>
      <c r="G320" t="s">
        <v>26</v>
      </c>
      <c r="H320" s="2">
        <v>50</v>
      </c>
      <c r="I320">
        <v>272</v>
      </c>
      <c r="J320" s="3">
        <v>1360</v>
      </c>
      <c r="K320" s="4">
        <v>435</v>
      </c>
      <c r="L320" t="s">
        <v>27</v>
      </c>
    </row>
    <row r="321" spans="1:12" x14ac:dyDescent="0.35">
      <c r="A321" t="s">
        <v>12</v>
      </c>
      <c r="B321">
        <v>1128299</v>
      </c>
      <c r="C321" s="1">
        <v>44425</v>
      </c>
      <c r="D321" t="s">
        <v>13</v>
      </c>
      <c r="E321" t="s">
        <v>14</v>
      </c>
      <c r="F321" t="s">
        <v>15</v>
      </c>
      <c r="G321" t="s">
        <v>39</v>
      </c>
      <c r="H321" s="2">
        <v>60</v>
      </c>
      <c r="I321">
        <v>272</v>
      </c>
      <c r="J321" s="3">
        <v>1632</v>
      </c>
      <c r="K321" s="4">
        <v>441</v>
      </c>
      <c r="L321" t="s">
        <v>27</v>
      </c>
    </row>
    <row r="322" spans="1:12" x14ac:dyDescent="0.35">
      <c r="A322" t="s">
        <v>18</v>
      </c>
      <c r="B322">
        <v>1185732</v>
      </c>
      <c r="C322" s="1">
        <v>44208</v>
      </c>
      <c r="D322" t="s">
        <v>13</v>
      </c>
      <c r="E322" t="s">
        <v>14</v>
      </c>
      <c r="F322" t="s">
        <v>15</v>
      </c>
      <c r="G322" t="s">
        <v>26</v>
      </c>
      <c r="H322" s="2">
        <v>30</v>
      </c>
      <c r="I322">
        <v>272</v>
      </c>
      <c r="J322">
        <v>816</v>
      </c>
      <c r="K322" s="4">
        <v>416</v>
      </c>
      <c r="L322" t="s">
        <v>27</v>
      </c>
    </row>
    <row r="323" spans="1:12" x14ac:dyDescent="0.35">
      <c r="A323" t="s">
        <v>42</v>
      </c>
      <c r="B323">
        <v>1128299</v>
      </c>
      <c r="C323" s="1">
        <v>44400</v>
      </c>
      <c r="D323" t="s">
        <v>13</v>
      </c>
      <c r="E323" t="s">
        <v>99</v>
      </c>
      <c r="F323" t="s">
        <v>100</v>
      </c>
      <c r="G323" t="s">
        <v>26</v>
      </c>
      <c r="H323" s="2">
        <v>60</v>
      </c>
      <c r="I323">
        <v>272</v>
      </c>
      <c r="J323" s="3">
        <v>1632</v>
      </c>
      <c r="K323" s="4">
        <v>604</v>
      </c>
      <c r="L323" t="s">
        <v>27</v>
      </c>
    </row>
    <row r="324" spans="1:12" x14ac:dyDescent="0.35">
      <c r="A324" t="s">
        <v>42</v>
      </c>
      <c r="B324">
        <v>1128299</v>
      </c>
      <c r="C324" s="1">
        <v>44432</v>
      </c>
      <c r="D324" t="s">
        <v>13</v>
      </c>
      <c r="E324" t="s">
        <v>99</v>
      </c>
      <c r="F324" t="s">
        <v>100</v>
      </c>
      <c r="G324" t="s">
        <v>26</v>
      </c>
      <c r="H324" s="2">
        <v>67</v>
      </c>
      <c r="I324">
        <v>272</v>
      </c>
      <c r="J324" s="3">
        <v>1822</v>
      </c>
      <c r="K324" s="4">
        <v>729</v>
      </c>
      <c r="L324" t="s">
        <v>27</v>
      </c>
    </row>
    <row r="325" spans="1:12" x14ac:dyDescent="0.35">
      <c r="A325" t="s">
        <v>18</v>
      </c>
      <c r="B325">
        <v>1128299</v>
      </c>
      <c r="C325" s="1">
        <v>44546</v>
      </c>
      <c r="D325" t="s">
        <v>19</v>
      </c>
      <c r="E325" t="s">
        <v>20</v>
      </c>
      <c r="F325" t="s">
        <v>21</v>
      </c>
      <c r="G325" t="s">
        <v>26</v>
      </c>
      <c r="H325" s="2">
        <v>46</v>
      </c>
      <c r="I325">
        <v>272</v>
      </c>
      <c r="J325" s="3">
        <v>1251</v>
      </c>
      <c r="K325" s="4">
        <v>576</v>
      </c>
      <c r="L325" t="s">
        <v>27</v>
      </c>
    </row>
    <row r="326" spans="1:12" x14ac:dyDescent="0.35">
      <c r="A326" t="s">
        <v>18</v>
      </c>
      <c r="B326">
        <v>1128299</v>
      </c>
      <c r="C326" s="1">
        <v>44138</v>
      </c>
      <c r="D326" t="s">
        <v>19</v>
      </c>
      <c r="E326" t="s">
        <v>59</v>
      </c>
      <c r="F326" t="s">
        <v>60</v>
      </c>
      <c r="G326" t="s">
        <v>32</v>
      </c>
      <c r="H326" s="2">
        <v>33</v>
      </c>
      <c r="I326">
        <v>271</v>
      </c>
      <c r="J326">
        <v>894</v>
      </c>
      <c r="K326" s="4">
        <v>376</v>
      </c>
      <c r="L326" t="s">
        <v>27</v>
      </c>
    </row>
    <row r="327" spans="1:12" x14ac:dyDescent="0.35">
      <c r="A327" t="s">
        <v>18</v>
      </c>
      <c r="B327">
        <v>1128299</v>
      </c>
      <c r="C327" s="1">
        <v>44190</v>
      </c>
      <c r="D327" t="s">
        <v>48</v>
      </c>
      <c r="E327" t="s">
        <v>66</v>
      </c>
      <c r="F327" t="s">
        <v>67</v>
      </c>
      <c r="G327" t="s">
        <v>26</v>
      </c>
      <c r="H327" s="2">
        <v>40</v>
      </c>
      <c r="I327">
        <v>271</v>
      </c>
      <c r="J327" s="3">
        <v>1084</v>
      </c>
      <c r="K327" s="4">
        <v>412</v>
      </c>
      <c r="L327" t="s">
        <v>27</v>
      </c>
    </row>
    <row r="328" spans="1:12" x14ac:dyDescent="0.35">
      <c r="A328" t="s">
        <v>18</v>
      </c>
      <c r="B328">
        <v>1128299</v>
      </c>
      <c r="C328" s="1">
        <v>44241</v>
      </c>
      <c r="D328" t="s">
        <v>48</v>
      </c>
      <c r="E328" t="s">
        <v>66</v>
      </c>
      <c r="F328" t="s">
        <v>67</v>
      </c>
      <c r="G328" t="s">
        <v>56</v>
      </c>
      <c r="H328" s="2">
        <v>40</v>
      </c>
      <c r="I328">
        <v>271</v>
      </c>
      <c r="J328" s="3">
        <v>1084</v>
      </c>
      <c r="K328" s="4">
        <v>325</v>
      </c>
      <c r="L328" t="s">
        <v>27</v>
      </c>
    </row>
    <row r="329" spans="1:12" x14ac:dyDescent="0.35">
      <c r="A329" t="s">
        <v>23</v>
      </c>
      <c r="B329">
        <v>1197831</v>
      </c>
      <c r="C329" s="1">
        <v>44294</v>
      </c>
      <c r="D329" t="s">
        <v>19</v>
      </c>
      <c r="E329" t="s">
        <v>74</v>
      </c>
      <c r="F329" t="s">
        <v>75</v>
      </c>
      <c r="G329" t="s">
        <v>16</v>
      </c>
      <c r="H329" s="2">
        <v>31</v>
      </c>
      <c r="I329">
        <v>271</v>
      </c>
      <c r="J329">
        <v>840</v>
      </c>
      <c r="K329" s="4">
        <v>496</v>
      </c>
      <c r="L329" t="s">
        <v>27</v>
      </c>
    </row>
    <row r="330" spans="1:12" x14ac:dyDescent="0.35">
      <c r="A330" t="s">
        <v>23</v>
      </c>
      <c r="B330">
        <v>1197831</v>
      </c>
      <c r="C330" s="1">
        <v>44308</v>
      </c>
      <c r="D330" t="s">
        <v>19</v>
      </c>
      <c r="E330" t="s">
        <v>74</v>
      </c>
      <c r="F330" t="s">
        <v>75</v>
      </c>
      <c r="G330" t="s">
        <v>39</v>
      </c>
      <c r="H330" s="2">
        <v>44</v>
      </c>
      <c r="I330">
        <v>271</v>
      </c>
      <c r="J330" s="3">
        <v>1192</v>
      </c>
      <c r="K330" s="4">
        <v>608</v>
      </c>
      <c r="L330" t="s">
        <v>27</v>
      </c>
    </row>
    <row r="331" spans="1:12" x14ac:dyDescent="0.35">
      <c r="A331" t="s">
        <v>18</v>
      </c>
      <c r="B331">
        <v>1197831</v>
      </c>
      <c r="C331" s="1">
        <v>44383</v>
      </c>
      <c r="D331" t="s">
        <v>48</v>
      </c>
      <c r="E331" t="s">
        <v>79</v>
      </c>
      <c r="F331" t="s">
        <v>80</v>
      </c>
      <c r="G331" t="s">
        <v>39</v>
      </c>
      <c r="H331" s="2">
        <v>40</v>
      </c>
      <c r="I331">
        <v>271</v>
      </c>
      <c r="J331" s="3">
        <v>1084</v>
      </c>
      <c r="K331" s="4">
        <v>466</v>
      </c>
      <c r="L331" t="s">
        <v>27</v>
      </c>
    </row>
    <row r="332" spans="1:12" x14ac:dyDescent="0.35">
      <c r="A332" t="s">
        <v>12</v>
      </c>
      <c r="B332">
        <v>1197831</v>
      </c>
      <c r="C332" s="1">
        <v>44396</v>
      </c>
      <c r="D332" t="s">
        <v>19</v>
      </c>
      <c r="E332" t="s">
        <v>54</v>
      </c>
      <c r="F332" t="s">
        <v>55</v>
      </c>
      <c r="G332" t="s">
        <v>26</v>
      </c>
      <c r="H332" s="2">
        <v>39</v>
      </c>
      <c r="I332">
        <v>271</v>
      </c>
      <c r="J332" s="3">
        <v>1057</v>
      </c>
      <c r="K332" s="4">
        <v>444</v>
      </c>
      <c r="L332" t="s">
        <v>27</v>
      </c>
    </row>
    <row r="333" spans="1:12" x14ac:dyDescent="0.35">
      <c r="A333" t="s">
        <v>42</v>
      </c>
      <c r="B333">
        <v>1185732</v>
      </c>
      <c r="C333" s="1">
        <v>43895</v>
      </c>
      <c r="D333" t="s">
        <v>43</v>
      </c>
      <c r="E333" t="s">
        <v>44</v>
      </c>
      <c r="F333" t="s">
        <v>44</v>
      </c>
      <c r="G333" t="s">
        <v>39</v>
      </c>
      <c r="H333" s="2">
        <v>54</v>
      </c>
      <c r="I333">
        <v>270</v>
      </c>
      <c r="J333" s="3">
        <v>1458</v>
      </c>
      <c r="K333" s="4">
        <v>598</v>
      </c>
      <c r="L333" t="s">
        <v>17</v>
      </c>
    </row>
    <row r="334" spans="1:12" x14ac:dyDescent="0.35">
      <c r="A334" t="s">
        <v>12</v>
      </c>
      <c r="B334">
        <v>1185732</v>
      </c>
      <c r="C334" s="1">
        <v>43938</v>
      </c>
      <c r="D334" t="s">
        <v>43</v>
      </c>
      <c r="E334" t="s">
        <v>44</v>
      </c>
      <c r="F334" t="s">
        <v>44</v>
      </c>
      <c r="G334" t="s">
        <v>70</v>
      </c>
      <c r="H334" s="2">
        <v>54</v>
      </c>
      <c r="I334">
        <v>270</v>
      </c>
      <c r="J334" s="3">
        <v>1458</v>
      </c>
      <c r="K334" s="4">
        <v>656</v>
      </c>
      <c r="L334" t="s">
        <v>17</v>
      </c>
    </row>
    <row r="335" spans="1:12" x14ac:dyDescent="0.35">
      <c r="A335" t="s">
        <v>12</v>
      </c>
      <c r="B335">
        <v>1185732</v>
      </c>
      <c r="C335" s="1">
        <v>43941</v>
      </c>
      <c r="D335" t="s">
        <v>43</v>
      </c>
      <c r="E335" t="s">
        <v>44</v>
      </c>
      <c r="F335" t="s">
        <v>44</v>
      </c>
      <c r="G335" t="s">
        <v>39</v>
      </c>
      <c r="H335" s="2">
        <v>50</v>
      </c>
      <c r="I335">
        <v>270</v>
      </c>
      <c r="J335" s="3">
        <v>1350</v>
      </c>
      <c r="K335" s="4">
        <v>594</v>
      </c>
      <c r="L335" t="s">
        <v>17</v>
      </c>
    </row>
    <row r="336" spans="1:12" x14ac:dyDescent="0.35">
      <c r="A336" t="s">
        <v>63</v>
      </c>
      <c r="B336">
        <v>1189833</v>
      </c>
      <c r="C336" s="1">
        <v>44305</v>
      </c>
      <c r="D336" t="s">
        <v>48</v>
      </c>
      <c r="E336" t="s">
        <v>66</v>
      </c>
      <c r="F336" t="s">
        <v>76</v>
      </c>
      <c r="G336" t="s">
        <v>26</v>
      </c>
      <c r="H336" s="2">
        <v>44</v>
      </c>
      <c r="I336">
        <v>270</v>
      </c>
      <c r="J336" s="3">
        <v>1188</v>
      </c>
      <c r="K336" s="4">
        <v>653</v>
      </c>
      <c r="L336" t="s">
        <v>17</v>
      </c>
    </row>
    <row r="337" spans="1:12" x14ac:dyDescent="0.35">
      <c r="A337" t="s">
        <v>23</v>
      </c>
      <c r="B337">
        <v>1185732</v>
      </c>
      <c r="C337" s="1">
        <v>44103</v>
      </c>
      <c r="D337" t="s">
        <v>13</v>
      </c>
      <c r="E337" t="s">
        <v>14</v>
      </c>
      <c r="F337" t="s">
        <v>73</v>
      </c>
      <c r="G337" t="s">
        <v>26</v>
      </c>
      <c r="H337" s="2">
        <v>56</v>
      </c>
      <c r="I337">
        <v>270</v>
      </c>
      <c r="J337" s="3">
        <v>1512</v>
      </c>
      <c r="K337" s="4">
        <v>907</v>
      </c>
      <c r="L337" t="s">
        <v>17</v>
      </c>
    </row>
    <row r="338" spans="1:12" x14ac:dyDescent="0.35">
      <c r="A338" t="s">
        <v>18</v>
      </c>
      <c r="B338">
        <v>1128299</v>
      </c>
      <c r="C338" s="1">
        <v>44393</v>
      </c>
      <c r="D338" t="s">
        <v>19</v>
      </c>
      <c r="E338" t="s">
        <v>20</v>
      </c>
      <c r="F338" t="s">
        <v>21</v>
      </c>
      <c r="G338" t="s">
        <v>26</v>
      </c>
      <c r="H338" s="2">
        <v>86</v>
      </c>
      <c r="I338">
        <v>270</v>
      </c>
      <c r="J338" s="3">
        <v>2322</v>
      </c>
      <c r="K338" s="4">
        <v>1231</v>
      </c>
      <c r="L338" t="s">
        <v>17</v>
      </c>
    </row>
    <row r="339" spans="1:12" x14ac:dyDescent="0.35">
      <c r="A339" t="s">
        <v>42</v>
      </c>
      <c r="B339">
        <v>1185732</v>
      </c>
      <c r="C339" s="1">
        <v>44382</v>
      </c>
      <c r="D339" t="s">
        <v>13</v>
      </c>
      <c r="E339" t="s">
        <v>69</v>
      </c>
      <c r="F339" t="s">
        <v>65</v>
      </c>
      <c r="G339" t="s">
        <v>39</v>
      </c>
      <c r="H339" s="2">
        <v>58</v>
      </c>
      <c r="I339">
        <v>270</v>
      </c>
      <c r="J339" s="3">
        <v>1566</v>
      </c>
      <c r="K339" s="4">
        <v>767</v>
      </c>
      <c r="L339" t="s">
        <v>17</v>
      </c>
    </row>
    <row r="340" spans="1:12" x14ac:dyDescent="0.35">
      <c r="A340" t="s">
        <v>42</v>
      </c>
      <c r="B340">
        <v>1185732</v>
      </c>
      <c r="C340" s="1">
        <v>43903</v>
      </c>
      <c r="D340" t="s">
        <v>43</v>
      </c>
      <c r="E340" t="s">
        <v>44</v>
      </c>
      <c r="F340" t="s">
        <v>44</v>
      </c>
      <c r="G340" t="s">
        <v>56</v>
      </c>
      <c r="H340" s="2">
        <v>35</v>
      </c>
      <c r="I340">
        <v>270</v>
      </c>
      <c r="J340">
        <v>945</v>
      </c>
      <c r="K340" s="4">
        <v>350</v>
      </c>
      <c r="L340" t="s">
        <v>27</v>
      </c>
    </row>
    <row r="341" spans="1:12" x14ac:dyDescent="0.35">
      <c r="A341" t="s">
        <v>12</v>
      </c>
      <c r="B341">
        <v>1185732</v>
      </c>
      <c r="C341" s="1">
        <v>43951</v>
      </c>
      <c r="D341" t="s">
        <v>43</v>
      </c>
      <c r="E341" t="s">
        <v>44</v>
      </c>
      <c r="F341" t="s">
        <v>44</v>
      </c>
      <c r="G341" t="s">
        <v>56</v>
      </c>
      <c r="H341" s="2">
        <v>41</v>
      </c>
      <c r="I341">
        <v>270</v>
      </c>
      <c r="J341" s="3">
        <v>1107</v>
      </c>
      <c r="K341" s="4">
        <v>410</v>
      </c>
      <c r="L341" t="s">
        <v>27</v>
      </c>
    </row>
    <row r="342" spans="1:12" x14ac:dyDescent="0.35">
      <c r="A342" t="s">
        <v>23</v>
      </c>
      <c r="B342">
        <v>1197831</v>
      </c>
      <c r="C342" s="1">
        <v>44031</v>
      </c>
      <c r="D342" t="s">
        <v>43</v>
      </c>
      <c r="E342" t="s">
        <v>44</v>
      </c>
      <c r="F342" t="s">
        <v>44</v>
      </c>
      <c r="G342" t="s">
        <v>26</v>
      </c>
      <c r="H342" s="2">
        <v>20</v>
      </c>
      <c r="I342">
        <v>270</v>
      </c>
      <c r="J342">
        <v>540</v>
      </c>
      <c r="K342" s="4">
        <v>211</v>
      </c>
      <c r="L342" t="s">
        <v>27</v>
      </c>
    </row>
    <row r="343" spans="1:12" x14ac:dyDescent="0.35">
      <c r="A343" t="s">
        <v>23</v>
      </c>
      <c r="B343">
        <v>1197831</v>
      </c>
      <c r="C343" s="1">
        <v>44032</v>
      </c>
      <c r="D343" t="s">
        <v>43</v>
      </c>
      <c r="E343" t="s">
        <v>44</v>
      </c>
      <c r="F343" t="s">
        <v>44</v>
      </c>
      <c r="G343" t="s">
        <v>39</v>
      </c>
      <c r="H343" s="2">
        <v>26</v>
      </c>
      <c r="I343">
        <v>270</v>
      </c>
      <c r="J343">
        <v>702</v>
      </c>
      <c r="K343" s="4">
        <v>260</v>
      </c>
      <c r="L343" t="s">
        <v>27</v>
      </c>
    </row>
    <row r="344" spans="1:12" x14ac:dyDescent="0.35">
      <c r="A344" t="s">
        <v>12</v>
      </c>
      <c r="B344">
        <v>1197831</v>
      </c>
      <c r="C344" s="1">
        <v>44078</v>
      </c>
      <c r="D344" t="s">
        <v>19</v>
      </c>
      <c r="E344" t="s">
        <v>59</v>
      </c>
      <c r="F344" t="s">
        <v>60</v>
      </c>
      <c r="G344" t="s">
        <v>16</v>
      </c>
      <c r="H344" s="2">
        <v>39</v>
      </c>
      <c r="I344">
        <v>270</v>
      </c>
      <c r="J344" s="3">
        <v>1053</v>
      </c>
      <c r="K344" s="4">
        <v>569</v>
      </c>
      <c r="L344" t="s">
        <v>27</v>
      </c>
    </row>
    <row r="345" spans="1:12" x14ac:dyDescent="0.35">
      <c r="A345" t="s">
        <v>12</v>
      </c>
      <c r="B345">
        <v>1197831</v>
      </c>
      <c r="C345" s="1">
        <v>44124</v>
      </c>
      <c r="D345" t="s">
        <v>19</v>
      </c>
      <c r="E345" t="s">
        <v>59</v>
      </c>
      <c r="F345" t="s">
        <v>60</v>
      </c>
      <c r="G345" t="s">
        <v>26</v>
      </c>
      <c r="H345" s="2">
        <v>34</v>
      </c>
      <c r="I345">
        <v>270</v>
      </c>
      <c r="J345">
        <v>918</v>
      </c>
      <c r="K345" s="4">
        <v>349</v>
      </c>
      <c r="L345" t="s">
        <v>27</v>
      </c>
    </row>
    <row r="346" spans="1:12" x14ac:dyDescent="0.35">
      <c r="A346" t="s">
        <v>18</v>
      </c>
      <c r="B346">
        <v>1128299</v>
      </c>
      <c r="C346" s="1">
        <v>44196</v>
      </c>
      <c r="D346" t="s">
        <v>48</v>
      </c>
      <c r="E346" t="s">
        <v>66</v>
      </c>
      <c r="F346" t="s">
        <v>67</v>
      </c>
      <c r="G346" t="s">
        <v>26</v>
      </c>
      <c r="H346" s="2">
        <v>44</v>
      </c>
      <c r="I346">
        <v>270</v>
      </c>
      <c r="J346" s="3">
        <v>1188</v>
      </c>
      <c r="K346" s="4">
        <v>523</v>
      </c>
      <c r="L346" t="s">
        <v>27</v>
      </c>
    </row>
    <row r="347" spans="1:12" x14ac:dyDescent="0.35">
      <c r="A347" t="s">
        <v>12</v>
      </c>
      <c r="B347">
        <v>1185732</v>
      </c>
      <c r="C347" s="1">
        <v>43942</v>
      </c>
      <c r="D347" t="s">
        <v>43</v>
      </c>
      <c r="E347" t="s">
        <v>44</v>
      </c>
      <c r="F347" t="s">
        <v>44</v>
      </c>
      <c r="G347" t="s">
        <v>32</v>
      </c>
      <c r="H347" s="2">
        <v>47</v>
      </c>
      <c r="I347">
        <v>268</v>
      </c>
      <c r="J347" s="3">
        <v>1260</v>
      </c>
      <c r="K347" s="4">
        <v>592</v>
      </c>
      <c r="L347" t="s">
        <v>17</v>
      </c>
    </row>
    <row r="348" spans="1:12" x14ac:dyDescent="0.35">
      <c r="A348" t="s">
        <v>12</v>
      </c>
      <c r="B348">
        <v>1197831</v>
      </c>
      <c r="C348" s="1">
        <v>44055</v>
      </c>
      <c r="D348" t="s">
        <v>19</v>
      </c>
      <c r="E348" t="s">
        <v>59</v>
      </c>
      <c r="F348" t="s">
        <v>60</v>
      </c>
      <c r="G348" t="s">
        <v>26</v>
      </c>
      <c r="H348" s="2">
        <v>29</v>
      </c>
      <c r="I348">
        <v>268</v>
      </c>
      <c r="J348">
        <v>777</v>
      </c>
      <c r="K348" s="4">
        <v>373</v>
      </c>
      <c r="L348" t="s">
        <v>17</v>
      </c>
    </row>
    <row r="349" spans="1:12" x14ac:dyDescent="0.35">
      <c r="A349" t="s">
        <v>12</v>
      </c>
      <c r="B349">
        <v>1197831</v>
      </c>
      <c r="C349" s="1">
        <v>44073</v>
      </c>
      <c r="D349" t="s">
        <v>19</v>
      </c>
      <c r="E349" t="s">
        <v>59</v>
      </c>
      <c r="F349" t="s">
        <v>60</v>
      </c>
      <c r="G349" t="s">
        <v>26</v>
      </c>
      <c r="H349" s="2">
        <v>37</v>
      </c>
      <c r="I349">
        <v>268</v>
      </c>
      <c r="J349">
        <v>992</v>
      </c>
      <c r="K349" s="4">
        <v>486</v>
      </c>
      <c r="L349" t="s">
        <v>17</v>
      </c>
    </row>
    <row r="350" spans="1:12" x14ac:dyDescent="0.35">
      <c r="A350" t="s">
        <v>18</v>
      </c>
      <c r="B350">
        <v>1128299</v>
      </c>
      <c r="C350" s="1">
        <v>44221</v>
      </c>
      <c r="D350" t="s">
        <v>48</v>
      </c>
      <c r="E350" t="s">
        <v>66</v>
      </c>
      <c r="F350" t="s">
        <v>67</v>
      </c>
      <c r="G350" t="s">
        <v>39</v>
      </c>
      <c r="H350" s="2">
        <v>56</v>
      </c>
      <c r="I350">
        <v>268</v>
      </c>
      <c r="J350" s="3">
        <v>1501</v>
      </c>
      <c r="K350" s="4">
        <v>420</v>
      </c>
      <c r="L350" t="s">
        <v>17</v>
      </c>
    </row>
    <row r="351" spans="1:12" x14ac:dyDescent="0.35">
      <c r="A351" t="s">
        <v>42</v>
      </c>
      <c r="B351">
        <v>1185732</v>
      </c>
      <c r="C351" s="1">
        <v>44061</v>
      </c>
      <c r="D351" t="s">
        <v>13</v>
      </c>
      <c r="E351" t="s">
        <v>14</v>
      </c>
      <c r="F351" t="s">
        <v>73</v>
      </c>
      <c r="G351" t="s">
        <v>26</v>
      </c>
      <c r="H351" s="2">
        <v>41</v>
      </c>
      <c r="I351">
        <v>268</v>
      </c>
      <c r="J351" s="3">
        <v>1099</v>
      </c>
      <c r="K351" s="4">
        <v>659</v>
      </c>
      <c r="L351" t="s">
        <v>17</v>
      </c>
    </row>
    <row r="352" spans="1:12" x14ac:dyDescent="0.35">
      <c r="A352" t="s">
        <v>23</v>
      </c>
      <c r="B352">
        <v>1197831</v>
      </c>
      <c r="C352" s="1">
        <v>44453</v>
      </c>
      <c r="D352" t="s">
        <v>19</v>
      </c>
      <c r="E352" t="s">
        <v>24</v>
      </c>
      <c r="F352" t="s">
        <v>25</v>
      </c>
      <c r="G352" t="s">
        <v>32</v>
      </c>
      <c r="H352" s="2">
        <v>51</v>
      </c>
      <c r="I352">
        <v>268</v>
      </c>
      <c r="J352" s="3">
        <v>1367</v>
      </c>
      <c r="K352" s="4">
        <v>820</v>
      </c>
      <c r="L352" t="s">
        <v>17</v>
      </c>
    </row>
    <row r="353" spans="1:12" x14ac:dyDescent="0.35">
      <c r="A353" t="s">
        <v>42</v>
      </c>
      <c r="B353">
        <v>1185732</v>
      </c>
      <c r="C353" s="1">
        <v>43901</v>
      </c>
      <c r="D353" t="s">
        <v>43</v>
      </c>
      <c r="E353" t="s">
        <v>44</v>
      </c>
      <c r="F353" t="s">
        <v>44</v>
      </c>
      <c r="G353" t="s">
        <v>39</v>
      </c>
      <c r="H353" s="2">
        <v>53</v>
      </c>
      <c r="I353">
        <v>267</v>
      </c>
      <c r="J353" s="3">
        <v>1415</v>
      </c>
      <c r="K353" s="4">
        <v>594</v>
      </c>
      <c r="L353" t="s">
        <v>17</v>
      </c>
    </row>
    <row r="354" spans="1:12" x14ac:dyDescent="0.35">
      <c r="A354" t="s">
        <v>42</v>
      </c>
      <c r="B354">
        <v>1185732</v>
      </c>
      <c r="C354" s="1">
        <v>44260</v>
      </c>
      <c r="D354" t="s">
        <v>13</v>
      </c>
      <c r="E354" t="s">
        <v>69</v>
      </c>
      <c r="F354" t="s">
        <v>65</v>
      </c>
      <c r="G354" t="s">
        <v>26</v>
      </c>
      <c r="H354" s="2">
        <v>33</v>
      </c>
      <c r="I354">
        <v>265</v>
      </c>
      <c r="J354">
        <v>875</v>
      </c>
      <c r="K354" s="4">
        <v>507</v>
      </c>
      <c r="L354" t="s">
        <v>17</v>
      </c>
    </row>
    <row r="355" spans="1:12" x14ac:dyDescent="0.35">
      <c r="A355" t="s">
        <v>12</v>
      </c>
      <c r="B355">
        <v>1197831</v>
      </c>
      <c r="C355" s="1">
        <v>44063</v>
      </c>
      <c r="D355" t="s">
        <v>19</v>
      </c>
      <c r="E355" t="s">
        <v>59</v>
      </c>
      <c r="F355" t="s">
        <v>60</v>
      </c>
      <c r="G355" t="s">
        <v>32</v>
      </c>
      <c r="H355" s="2">
        <v>27</v>
      </c>
      <c r="I355">
        <v>264</v>
      </c>
      <c r="J355">
        <v>713</v>
      </c>
      <c r="K355" s="4">
        <v>285</v>
      </c>
      <c r="L355" t="s">
        <v>27</v>
      </c>
    </row>
    <row r="356" spans="1:12" x14ac:dyDescent="0.35">
      <c r="A356" t="s">
        <v>12</v>
      </c>
      <c r="B356">
        <v>1197831</v>
      </c>
      <c r="C356" s="1">
        <v>44079</v>
      </c>
      <c r="D356" t="s">
        <v>19</v>
      </c>
      <c r="E356" t="s">
        <v>59</v>
      </c>
      <c r="F356" t="s">
        <v>60</v>
      </c>
      <c r="G356" t="s">
        <v>26</v>
      </c>
      <c r="H356" s="2">
        <v>33</v>
      </c>
      <c r="I356">
        <v>264</v>
      </c>
      <c r="J356">
        <v>871</v>
      </c>
      <c r="K356" s="4">
        <v>366</v>
      </c>
      <c r="L356" t="s">
        <v>27</v>
      </c>
    </row>
    <row r="357" spans="1:12" x14ac:dyDescent="0.35">
      <c r="A357" t="s">
        <v>18</v>
      </c>
      <c r="B357">
        <v>1128299</v>
      </c>
      <c r="C357" s="1">
        <v>44136</v>
      </c>
      <c r="D357" t="s">
        <v>19</v>
      </c>
      <c r="E357" t="s">
        <v>59</v>
      </c>
      <c r="F357" t="s">
        <v>60</v>
      </c>
      <c r="G357" t="s">
        <v>26</v>
      </c>
      <c r="H357" s="2">
        <v>30</v>
      </c>
      <c r="I357">
        <v>264</v>
      </c>
      <c r="J357">
        <v>792</v>
      </c>
      <c r="K357" s="4">
        <v>309</v>
      </c>
      <c r="L357" t="s">
        <v>27</v>
      </c>
    </row>
    <row r="358" spans="1:12" x14ac:dyDescent="0.35">
      <c r="A358" t="s">
        <v>18</v>
      </c>
      <c r="B358">
        <v>1128299</v>
      </c>
      <c r="C358" s="1">
        <v>44210</v>
      </c>
      <c r="D358" t="s">
        <v>48</v>
      </c>
      <c r="E358" t="s">
        <v>66</v>
      </c>
      <c r="F358" t="s">
        <v>67</v>
      </c>
      <c r="G358" t="s">
        <v>32</v>
      </c>
      <c r="H358" s="2">
        <v>46</v>
      </c>
      <c r="I358">
        <v>264</v>
      </c>
      <c r="J358" s="3">
        <v>1214</v>
      </c>
      <c r="K358" s="4">
        <v>486</v>
      </c>
      <c r="L358" t="s">
        <v>27</v>
      </c>
    </row>
    <row r="359" spans="1:12" x14ac:dyDescent="0.35">
      <c r="A359" t="s">
        <v>18</v>
      </c>
      <c r="B359">
        <v>1128299</v>
      </c>
      <c r="C359" s="1">
        <v>44213</v>
      </c>
      <c r="D359" t="s">
        <v>48</v>
      </c>
      <c r="E359" t="s">
        <v>66</v>
      </c>
      <c r="F359" t="s">
        <v>67</v>
      </c>
      <c r="G359" t="s">
        <v>16</v>
      </c>
      <c r="H359" s="2">
        <v>56</v>
      </c>
      <c r="I359">
        <v>264</v>
      </c>
      <c r="J359" s="3">
        <v>1478</v>
      </c>
      <c r="K359" s="4">
        <v>281</v>
      </c>
      <c r="L359" t="s">
        <v>27</v>
      </c>
    </row>
    <row r="360" spans="1:12" x14ac:dyDescent="0.35">
      <c r="A360" t="s">
        <v>18</v>
      </c>
      <c r="B360">
        <v>1128299</v>
      </c>
      <c r="C360" s="1">
        <v>44225</v>
      </c>
      <c r="D360" t="s">
        <v>48</v>
      </c>
      <c r="E360" t="s">
        <v>66</v>
      </c>
      <c r="F360" t="s">
        <v>67</v>
      </c>
      <c r="G360" t="s">
        <v>16</v>
      </c>
      <c r="H360" s="2">
        <v>51</v>
      </c>
      <c r="I360">
        <v>264</v>
      </c>
      <c r="J360" s="3">
        <v>1346</v>
      </c>
      <c r="K360" s="4">
        <v>202</v>
      </c>
      <c r="L360" t="s">
        <v>27</v>
      </c>
    </row>
    <row r="361" spans="1:12" x14ac:dyDescent="0.35">
      <c r="A361" t="s">
        <v>63</v>
      </c>
      <c r="B361">
        <v>1189833</v>
      </c>
      <c r="C361" s="1">
        <v>44274</v>
      </c>
      <c r="D361" t="s">
        <v>48</v>
      </c>
      <c r="E361" t="s">
        <v>66</v>
      </c>
      <c r="F361" t="s">
        <v>76</v>
      </c>
      <c r="G361" t="s">
        <v>26</v>
      </c>
      <c r="H361" s="2">
        <v>24</v>
      </c>
      <c r="I361">
        <v>264</v>
      </c>
      <c r="J361">
        <v>634</v>
      </c>
      <c r="K361" s="4">
        <v>279</v>
      </c>
      <c r="L361" t="s">
        <v>27</v>
      </c>
    </row>
    <row r="362" spans="1:12" x14ac:dyDescent="0.35">
      <c r="A362" t="s">
        <v>63</v>
      </c>
      <c r="B362">
        <v>1189833</v>
      </c>
      <c r="C362" s="1">
        <v>44310</v>
      </c>
      <c r="D362" t="s">
        <v>48</v>
      </c>
      <c r="E362" t="s">
        <v>66</v>
      </c>
      <c r="F362" t="s">
        <v>76</v>
      </c>
      <c r="G362" t="s">
        <v>16</v>
      </c>
      <c r="H362" s="2">
        <v>48</v>
      </c>
      <c r="I362">
        <v>264</v>
      </c>
      <c r="J362" s="3">
        <v>1267</v>
      </c>
      <c r="K362" s="4">
        <v>279</v>
      </c>
      <c r="L362" t="s">
        <v>27</v>
      </c>
    </row>
    <row r="363" spans="1:12" x14ac:dyDescent="0.35">
      <c r="A363" t="s">
        <v>63</v>
      </c>
      <c r="B363">
        <v>1189833</v>
      </c>
      <c r="C363" s="1">
        <v>44318</v>
      </c>
      <c r="D363" t="s">
        <v>48</v>
      </c>
      <c r="E363" t="s">
        <v>66</v>
      </c>
      <c r="F363" t="s">
        <v>76</v>
      </c>
      <c r="G363" t="s">
        <v>39</v>
      </c>
      <c r="H363" s="2">
        <v>41</v>
      </c>
      <c r="I363">
        <v>264</v>
      </c>
      <c r="J363" s="3">
        <v>1082</v>
      </c>
      <c r="K363" s="4">
        <v>336</v>
      </c>
      <c r="L363" t="s">
        <v>27</v>
      </c>
    </row>
    <row r="364" spans="1:12" x14ac:dyDescent="0.35">
      <c r="A364" t="s">
        <v>63</v>
      </c>
      <c r="B364">
        <v>1189833</v>
      </c>
      <c r="C364" s="1">
        <v>44324</v>
      </c>
      <c r="D364" t="s">
        <v>48</v>
      </c>
      <c r="E364" t="s">
        <v>66</v>
      </c>
      <c r="F364" t="s">
        <v>76</v>
      </c>
      <c r="G364" t="s">
        <v>39</v>
      </c>
      <c r="H364" s="2">
        <v>39</v>
      </c>
      <c r="I364">
        <v>264</v>
      </c>
      <c r="J364" s="3">
        <v>1030</v>
      </c>
      <c r="K364" s="4">
        <v>278</v>
      </c>
      <c r="L364" t="s">
        <v>27</v>
      </c>
    </row>
    <row r="365" spans="1:12" x14ac:dyDescent="0.35">
      <c r="A365" t="s">
        <v>63</v>
      </c>
      <c r="B365">
        <v>1189833</v>
      </c>
      <c r="C365" s="1">
        <v>44330</v>
      </c>
      <c r="D365" t="s">
        <v>48</v>
      </c>
      <c r="E365" t="s">
        <v>66</v>
      </c>
      <c r="F365" t="s">
        <v>76</v>
      </c>
      <c r="G365" t="s">
        <v>39</v>
      </c>
      <c r="H365" s="2">
        <v>43</v>
      </c>
      <c r="I365">
        <v>264</v>
      </c>
      <c r="J365" s="3">
        <v>1135</v>
      </c>
      <c r="K365" s="4">
        <v>341</v>
      </c>
      <c r="L365" t="s">
        <v>27</v>
      </c>
    </row>
    <row r="366" spans="1:12" x14ac:dyDescent="0.35">
      <c r="A366" t="s">
        <v>63</v>
      </c>
      <c r="B366">
        <v>1189833</v>
      </c>
      <c r="C366" s="1">
        <v>44336</v>
      </c>
      <c r="D366" t="s">
        <v>48</v>
      </c>
      <c r="E366" t="s">
        <v>66</v>
      </c>
      <c r="F366" t="s">
        <v>76</v>
      </c>
      <c r="G366" t="s">
        <v>39</v>
      </c>
      <c r="H366" s="2">
        <v>42</v>
      </c>
      <c r="I366">
        <v>264</v>
      </c>
      <c r="J366" s="3">
        <v>1109</v>
      </c>
      <c r="K366" s="4">
        <v>333</v>
      </c>
      <c r="L366" t="s">
        <v>27</v>
      </c>
    </row>
    <row r="367" spans="1:12" x14ac:dyDescent="0.35">
      <c r="A367" t="s">
        <v>23</v>
      </c>
      <c r="B367">
        <v>1197831</v>
      </c>
      <c r="C367" s="1">
        <v>44448</v>
      </c>
      <c r="D367" t="s">
        <v>19</v>
      </c>
      <c r="E367" t="s">
        <v>59</v>
      </c>
      <c r="F367" t="s">
        <v>68</v>
      </c>
      <c r="G367" t="s">
        <v>16</v>
      </c>
      <c r="H367" s="2">
        <v>34</v>
      </c>
      <c r="I367">
        <v>264</v>
      </c>
      <c r="J367">
        <v>898</v>
      </c>
      <c r="K367" s="4">
        <v>467</v>
      </c>
      <c r="L367" t="s">
        <v>27</v>
      </c>
    </row>
    <row r="368" spans="1:12" x14ac:dyDescent="0.35">
      <c r="A368" t="s">
        <v>23</v>
      </c>
      <c r="B368">
        <v>1197831</v>
      </c>
      <c r="C368" s="1">
        <v>44456</v>
      </c>
      <c r="D368" t="s">
        <v>19</v>
      </c>
      <c r="E368" t="s">
        <v>59</v>
      </c>
      <c r="F368" t="s">
        <v>68</v>
      </c>
      <c r="G368" t="s">
        <v>39</v>
      </c>
      <c r="H368" s="2">
        <v>34</v>
      </c>
      <c r="I368">
        <v>264</v>
      </c>
      <c r="J368">
        <v>898</v>
      </c>
      <c r="K368" s="4">
        <v>377</v>
      </c>
      <c r="L368" t="s">
        <v>27</v>
      </c>
    </row>
    <row r="369" spans="1:12" x14ac:dyDescent="0.35">
      <c r="A369" t="s">
        <v>23</v>
      </c>
      <c r="B369">
        <v>1197831</v>
      </c>
      <c r="C369" s="1">
        <v>44302</v>
      </c>
      <c r="D369" t="s">
        <v>19</v>
      </c>
      <c r="E369" t="s">
        <v>74</v>
      </c>
      <c r="F369" t="s">
        <v>75</v>
      </c>
      <c r="G369" t="s">
        <v>39</v>
      </c>
      <c r="H369" s="2">
        <v>30</v>
      </c>
      <c r="I369">
        <v>264</v>
      </c>
      <c r="J369">
        <v>792</v>
      </c>
      <c r="K369" s="4">
        <v>396</v>
      </c>
      <c r="L369" t="s">
        <v>27</v>
      </c>
    </row>
    <row r="370" spans="1:12" x14ac:dyDescent="0.35">
      <c r="A370" t="s">
        <v>23</v>
      </c>
      <c r="B370">
        <v>1197831</v>
      </c>
      <c r="C370" s="1">
        <v>44332</v>
      </c>
      <c r="D370" t="s">
        <v>19</v>
      </c>
      <c r="E370" t="s">
        <v>74</v>
      </c>
      <c r="F370" t="s">
        <v>75</v>
      </c>
      <c r="G370" t="s">
        <v>39</v>
      </c>
      <c r="H370" s="2">
        <v>37</v>
      </c>
      <c r="I370">
        <v>264</v>
      </c>
      <c r="J370">
        <v>977</v>
      </c>
      <c r="K370" s="4">
        <v>479</v>
      </c>
      <c r="L370" t="s">
        <v>27</v>
      </c>
    </row>
    <row r="371" spans="1:12" x14ac:dyDescent="0.35">
      <c r="A371" t="s">
        <v>23</v>
      </c>
      <c r="B371">
        <v>1197831</v>
      </c>
      <c r="C371" s="1">
        <v>44446</v>
      </c>
      <c r="D371" t="s">
        <v>19</v>
      </c>
      <c r="E371" t="s">
        <v>24</v>
      </c>
      <c r="F371" t="s">
        <v>25</v>
      </c>
      <c r="G371" t="s">
        <v>39</v>
      </c>
      <c r="H371" s="2">
        <v>37</v>
      </c>
      <c r="I371">
        <v>264</v>
      </c>
      <c r="J371">
        <v>977</v>
      </c>
      <c r="K371" s="4">
        <v>537</v>
      </c>
      <c r="L371" t="s">
        <v>27</v>
      </c>
    </row>
    <row r="372" spans="1:12" x14ac:dyDescent="0.35">
      <c r="A372" t="s">
        <v>18</v>
      </c>
      <c r="B372">
        <v>1197831</v>
      </c>
      <c r="C372" s="1">
        <v>44383</v>
      </c>
      <c r="D372" t="s">
        <v>48</v>
      </c>
      <c r="E372" t="s">
        <v>79</v>
      </c>
      <c r="F372" t="s">
        <v>80</v>
      </c>
      <c r="G372" t="s">
        <v>26</v>
      </c>
      <c r="H372" s="2">
        <v>35</v>
      </c>
      <c r="I372">
        <v>264</v>
      </c>
      <c r="J372">
        <v>924</v>
      </c>
      <c r="K372" s="4">
        <v>425</v>
      </c>
      <c r="L372" t="s">
        <v>27</v>
      </c>
    </row>
    <row r="373" spans="1:12" x14ac:dyDescent="0.35">
      <c r="A373" t="s">
        <v>42</v>
      </c>
      <c r="B373">
        <v>1197831</v>
      </c>
      <c r="C373" s="1">
        <v>44383</v>
      </c>
      <c r="D373" t="s">
        <v>48</v>
      </c>
      <c r="E373" t="s">
        <v>79</v>
      </c>
      <c r="F373" t="s">
        <v>80</v>
      </c>
      <c r="G373" t="s">
        <v>16</v>
      </c>
      <c r="H373" s="2">
        <v>51</v>
      </c>
      <c r="I373">
        <v>264</v>
      </c>
      <c r="J373" s="3">
        <v>1346</v>
      </c>
      <c r="K373" s="4">
        <v>794</v>
      </c>
      <c r="L373" t="s">
        <v>27</v>
      </c>
    </row>
    <row r="374" spans="1:12" x14ac:dyDescent="0.35">
      <c r="A374" t="s">
        <v>42</v>
      </c>
      <c r="B374">
        <v>1185732</v>
      </c>
      <c r="C374" s="1">
        <v>44205</v>
      </c>
      <c r="D374" t="s">
        <v>13</v>
      </c>
      <c r="E374" t="s">
        <v>57</v>
      </c>
      <c r="F374" t="s">
        <v>58</v>
      </c>
      <c r="G374" t="s">
        <v>32</v>
      </c>
      <c r="H374" s="2">
        <v>24</v>
      </c>
      <c r="I374">
        <v>264</v>
      </c>
      <c r="J374">
        <v>634</v>
      </c>
      <c r="K374" s="4">
        <v>203</v>
      </c>
      <c r="L374" t="s">
        <v>27</v>
      </c>
    </row>
    <row r="375" spans="1:12" x14ac:dyDescent="0.35">
      <c r="A375" t="s">
        <v>12</v>
      </c>
      <c r="B375">
        <v>1185732</v>
      </c>
      <c r="C375" s="1">
        <v>43953</v>
      </c>
      <c r="D375" t="s">
        <v>43</v>
      </c>
      <c r="E375" t="s">
        <v>44</v>
      </c>
      <c r="F375" t="s">
        <v>44</v>
      </c>
      <c r="G375" t="s">
        <v>16</v>
      </c>
      <c r="H375" s="2">
        <v>66</v>
      </c>
      <c r="I375">
        <v>263</v>
      </c>
      <c r="J375" s="3">
        <v>1736</v>
      </c>
      <c r="K375" s="4">
        <v>642</v>
      </c>
      <c r="L375" t="s">
        <v>17</v>
      </c>
    </row>
    <row r="376" spans="1:12" x14ac:dyDescent="0.35">
      <c r="A376" t="s">
        <v>18</v>
      </c>
      <c r="B376">
        <v>1128299</v>
      </c>
      <c r="C376" s="1">
        <v>44232</v>
      </c>
      <c r="D376" t="s">
        <v>48</v>
      </c>
      <c r="E376" t="s">
        <v>66</v>
      </c>
      <c r="F376" t="s">
        <v>67</v>
      </c>
      <c r="G376" t="s">
        <v>26</v>
      </c>
      <c r="H376" s="2">
        <v>52</v>
      </c>
      <c r="I376">
        <v>263</v>
      </c>
      <c r="J376" s="3">
        <v>1368</v>
      </c>
      <c r="K376" s="4">
        <v>602</v>
      </c>
      <c r="L376" t="s">
        <v>17</v>
      </c>
    </row>
    <row r="377" spans="1:12" x14ac:dyDescent="0.35">
      <c r="A377" t="s">
        <v>23</v>
      </c>
      <c r="B377">
        <v>1197831</v>
      </c>
      <c r="C377" s="1">
        <v>44454</v>
      </c>
      <c r="D377" t="s">
        <v>19</v>
      </c>
      <c r="E377" t="s">
        <v>59</v>
      </c>
      <c r="F377" t="s">
        <v>68</v>
      </c>
      <c r="G377" t="s">
        <v>16</v>
      </c>
      <c r="H377" s="2">
        <v>53</v>
      </c>
      <c r="I377">
        <v>263</v>
      </c>
      <c r="J377" s="3">
        <v>1394</v>
      </c>
      <c r="K377" s="4">
        <v>878</v>
      </c>
      <c r="L377" t="s">
        <v>17</v>
      </c>
    </row>
    <row r="378" spans="1:12" x14ac:dyDescent="0.35">
      <c r="A378" t="s">
        <v>23</v>
      </c>
      <c r="B378">
        <v>1197831</v>
      </c>
      <c r="C378" s="1">
        <v>44303</v>
      </c>
      <c r="D378" t="s">
        <v>19</v>
      </c>
      <c r="E378" t="s">
        <v>74</v>
      </c>
      <c r="F378" t="s">
        <v>75</v>
      </c>
      <c r="G378" t="s">
        <v>32</v>
      </c>
      <c r="H378" s="2">
        <v>36</v>
      </c>
      <c r="I378">
        <v>263</v>
      </c>
      <c r="J378">
        <v>947</v>
      </c>
      <c r="K378" s="4">
        <v>568</v>
      </c>
      <c r="L378" t="s">
        <v>17</v>
      </c>
    </row>
    <row r="379" spans="1:12" x14ac:dyDescent="0.35">
      <c r="A379" t="s">
        <v>18</v>
      </c>
      <c r="B379">
        <v>1185732</v>
      </c>
      <c r="C379" s="1">
        <v>44357</v>
      </c>
      <c r="D379" t="s">
        <v>43</v>
      </c>
      <c r="E379" t="s">
        <v>44</v>
      </c>
      <c r="F379" t="s">
        <v>101</v>
      </c>
      <c r="G379" t="s">
        <v>26</v>
      </c>
      <c r="H379" s="2">
        <v>59</v>
      </c>
      <c r="I379">
        <v>263</v>
      </c>
      <c r="J379" s="3">
        <v>1552</v>
      </c>
      <c r="K379" s="4">
        <v>869</v>
      </c>
      <c r="L379" t="s">
        <v>17</v>
      </c>
    </row>
    <row r="380" spans="1:12" x14ac:dyDescent="0.35">
      <c r="A380" t="s">
        <v>23</v>
      </c>
      <c r="B380">
        <v>1185732</v>
      </c>
      <c r="C380" s="1">
        <v>44424</v>
      </c>
      <c r="D380" t="s">
        <v>33</v>
      </c>
      <c r="E380" t="s">
        <v>45</v>
      </c>
      <c r="F380" t="s">
        <v>46</v>
      </c>
      <c r="G380" t="s">
        <v>26</v>
      </c>
      <c r="H380" s="2">
        <v>55</v>
      </c>
      <c r="I380">
        <v>263</v>
      </c>
      <c r="J380" s="3">
        <v>1447</v>
      </c>
      <c r="K380" s="4">
        <v>926</v>
      </c>
      <c r="L380" t="s">
        <v>17</v>
      </c>
    </row>
    <row r="381" spans="1:12" x14ac:dyDescent="0.35">
      <c r="A381" t="s">
        <v>23</v>
      </c>
      <c r="B381">
        <v>1185732</v>
      </c>
      <c r="C381" s="1">
        <v>44231</v>
      </c>
      <c r="D381" t="s">
        <v>13</v>
      </c>
      <c r="E381" t="s">
        <v>69</v>
      </c>
      <c r="F381" t="s">
        <v>65</v>
      </c>
      <c r="G381" t="s">
        <v>26</v>
      </c>
      <c r="H381" s="2">
        <v>34</v>
      </c>
      <c r="I381">
        <v>263</v>
      </c>
      <c r="J381">
        <v>894</v>
      </c>
      <c r="K381" s="4">
        <v>447</v>
      </c>
      <c r="L381" t="s">
        <v>17</v>
      </c>
    </row>
    <row r="382" spans="1:12" x14ac:dyDescent="0.35">
      <c r="A382" t="s">
        <v>23</v>
      </c>
      <c r="B382">
        <v>1185732</v>
      </c>
      <c r="C382" s="1">
        <v>44289</v>
      </c>
      <c r="D382" t="s">
        <v>13</v>
      </c>
      <c r="E382" t="s">
        <v>77</v>
      </c>
      <c r="F382" t="s">
        <v>78</v>
      </c>
      <c r="G382" t="s">
        <v>26</v>
      </c>
      <c r="H382" s="2">
        <v>27</v>
      </c>
      <c r="I382">
        <v>263</v>
      </c>
      <c r="J382">
        <v>710</v>
      </c>
      <c r="K382" s="4">
        <v>383</v>
      </c>
      <c r="L382" t="s">
        <v>17</v>
      </c>
    </row>
    <row r="383" spans="1:12" x14ac:dyDescent="0.35">
      <c r="A383" t="s">
        <v>23</v>
      </c>
      <c r="B383">
        <v>1185732</v>
      </c>
      <c r="C383" s="1">
        <v>44379</v>
      </c>
      <c r="D383" t="s">
        <v>13</v>
      </c>
      <c r="E383" t="s">
        <v>77</v>
      </c>
      <c r="F383" t="s">
        <v>78</v>
      </c>
      <c r="G383" t="s">
        <v>16</v>
      </c>
      <c r="H383" s="2">
        <v>64</v>
      </c>
      <c r="I383">
        <v>263</v>
      </c>
      <c r="J383" s="3">
        <v>1683</v>
      </c>
      <c r="K383" s="4">
        <v>1060</v>
      </c>
      <c r="L383" t="s">
        <v>17</v>
      </c>
    </row>
    <row r="384" spans="1:12" x14ac:dyDescent="0.35">
      <c r="A384" t="s">
        <v>23</v>
      </c>
      <c r="B384">
        <v>1197831</v>
      </c>
      <c r="C384" s="1">
        <v>44044</v>
      </c>
      <c r="D384" t="s">
        <v>19</v>
      </c>
      <c r="E384" t="s">
        <v>59</v>
      </c>
      <c r="F384" t="s">
        <v>60</v>
      </c>
      <c r="G384" t="s">
        <v>39</v>
      </c>
      <c r="H384" s="2">
        <v>30</v>
      </c>
      <c r="I384">
        <v>263</v>
      </c>
      <c r="J384">
        <v>789</v>
      </c>
      <c r="K384" s="4">
        <v>308</v>
      </c>
      <c r="L384" t="s">
        <v>27</v>
      </c>
    </row>
    <row r="385" spans="1:12" x14ac:dyDescent="0.35">
      <c r="A385" t="s">
        <v>12</v>
      </c>
      <c r="B385">
        <v>1197831</v>
      </c>
      <c r="C385" s="1">
        <v>44064</v>
      </c>
      <c r="D385" t="s">
        <v>19</v>
      </c>
      <c r="E385" t="s">
        <v>59</v>
      </c>
      <c r="F385" t="s">
        <v>60</v>
      </c>
      <c r="G385" t="s">
        <v>56</v>
      </c>
      <c r="H385" s="2">
        <v>26</v>
      </c>
      <c r="I385">
        <v>263</v>
      </c>
      <c r="J385">
        <v>684</v>
      </c>
      <c r="K385" s="4">
        <v>328</v>
      </c>
      <c r="L385" t="s">
        <v>27</v>
      </c>
    </row>
    <row r="386" spans="1:12" x14ac:dyDescent="0.35">
      <c r="A386" t="s">
        <v>18</v>
      </c>
      <c r="B386">
        <v>1128299</v>
      </c>
      <c r="C386" s="1">
        <v>44209</v>
      </c>
      <c r="D386" t="s">
        <v>48</v>
      </c>
      <c r="E386" t="s">
        <v>66</v>
      </c>
      <c r="F386" t="s">
        <v>67</v>
      </c>
      <c r="G386" t="s">
        <v>39</v>
      </c>
      <c r="H386" s="2">
        <v>49</v>
      </c>
      <c r="I386">
        <v>263</v>
      </c>
      <c r="J386" s="3">
        <v>1289</v>
      </c>
      <c r="K386" s="4">
        <v>309</v>
      </c>
      <c r="L386" t="s">
        <v>27</v>
      </c>
    </row>
    <row r="387" spans="1:12" x14ac:dyDescent="0.35">
      <c r="A387" t="s">
        <v>18</v>
      </c>
      <c r="B387">
        <v>1128299</v>
      </c>
      <c r="C387" s="1">
        <v>44218</v>
      </c>
      <c r="D387" t="s">
        <v>48</v>
      </c>
      <c r="E387" t="s">
        <v>66</v>
      </c>
      <c r="F387" t="s">
        <v>67</v>
      </c>
      <c r="G387" t="s">
        <v>70</v>
      </c>
      <c r="H387" s="2">
        <v>59</v>
      </c>
      <c r="I387">
        <v>263</v>
      </c>
      <c r="J387" s="3">
        <v>1552</v>
      </c>
      <c r="K387" s="4">
        <v>884</v>
      </c>
      <c r="L387" t="s">
        <v>27</v>
      </c>
    </row>
    <row r="388" spans="1:12" x14ac:dyDescent="0.35">
      <c r="A388" t="s">
        <v>18</v>
      </c>
      <c r="B388">
        <v>1128299</v>
      </c>
      <c r="C388" s="1">
        <v>44232</v>
      </c>
      <c r="D388" t="s">
        <v>48</v>
      </c>
      <c r="E388" t="s">
        <v>66</v>
      </c>
      <c r="F388" t="s">
        <v>67</v>
      </c>
      <c r="G388" t="s">
        <v>26</v>
      </c>
      <c r="H388" s="2">
        <v>39</v>
      </c>
      <c r="I388">
        <v>263</v>
      </c>
      <c r="J388" s="3">
        <v>1026</v>
      </c>
      <c r="K388" s="4">
        <v>359</v>
      </c>
      <c r="L388" t="s">
        <v>27</v>
      </c>
    </row>
    <row r="389" spans="1:12" x14ac:dyDescent="0.35">
      <c r="A389" t="s">
        <v>23</v>
      </c>
      <c r="B389">
        <v>1197831</v>
      </c>
      <c r="C389" s="1">
        <v>44438</v>
      </c>
      <c r="D389" t="s">
        <v>19</v>
      </c>
      <c r="E389" t="s">
        <v>24</v>
      </c>
      <c r="F389" t="s">
        <v>25</v>
      </c>
      <c r="G389" t="s">
        <v>16</v>
      </c>
      <c r="H389" s="2">
        <v>36</v>
      </c>
      <c r="I389">
        <v>263</v>
      </c>
      <c r="J389">
        <v>947</v>
      </c>
      <c r="K389" s="4">
        <v>625</v>
      </c>
      <c r="L389" t="s">
        <v>27</v>
      </c>
    </row>
    <row r="390" spans="1:12" x14ac:dyDescent="0.35">
      <c r="A390" t="s">
        <v>12</v>
      </c>
      <c r="B390">
        <v>1128299</v>
      </c>
      <c r="C390" s="1">
        <v>44393</v>
      </c>
      <c r="D390" t="s">
        <v>13</v>
      </c>
      <c r="E390" t="s">
        <v>14</v>
      </c>
      <c r="F390" t="s">
        <v>15</v>
      </c>
      <c r="G390" t="s">
        <v>39</v>
      </c>
      <c r="H390" s="2">
        <v>74</v>
      </c>
      <c r="I390">
        <v>263</v>
      </c>
      <c r="J390" s="3">
        <v>1946</v>
      </c>
      <c r="K390" s="4">
        <v>545</v>
      </c>
      <c r="L390" t="s">
        <v>27</v>
      </c>
    </row>
    <row r="391" spans="1:12" x14ac:dyDescent="0.35">
      <c r="A391" t="s">
        <v>18</v>
      </c>
      <c r="B391">
        <v>1197831</v>
      </c>
      <c r="C391" s="1">
        <v>44351</v>
      </c>
      <c r="D391" t="s">
        <v>48</v>
      </c>
      <c r="E391" t="s">
        <v>79</v>
      </c>
      <c r="F391" t="s">
        <v>80</v>
      </c>
      <c r="G391" t="s">
        <v>39</v>
      </c>
      <c r="H391" s="2">
        <v>35</v>
      </c>
      <c r="I391">
        <v>263</v>
      </c>
      <c r="J391">
        <v>921</v>
      </c>
      <c r="K391" s="4">
        <v>377</v>
      </c>
      <c r="L391" t="s">
        <v>27</v>
      </c>
    </row>
    <row r="392" spans="1:12" x14ac:dyDescent="0.35">
      <c r="A392" t="s">
        <v>42</v>
      </c>
      <c r="B392">
        <v>1185732</v>
      </c>
      <c r="C392" s="1">
        <v>44365</v>
      </c>
      <c r="D392" t="s">
        <v>19</v>
      </c>
      <c r="E392" t="s">
        <v>37</v>
      </c>
      <c r="F392" t="s">
        <v>38</v>
      </c>
      <c r="G392" t="s">
        <v>26</v>
      </c>
      <c r="H392" s="2">
        <v>31</v>
      </c>
      <c r="I392">
        <v>263</v>
      </c>
      <c r="J392">
        <v>815</v>
      </c>
      <c r="K392" s="4">
        <v>359</v>
      </c>
      <c r="L392" t="s">
        <v>27</v>
      </c>
    </row>
    <row r="393" spans="1:12" x14ac:dyDescent="0.35">
      <c r="A393" t="s">
        <v>42</v>
      </c>
      <c r="B393">
        <v>1185732</v>
      </c>
      <c r="C393" s="1">
        <v>43838</v>
      </c>
      <c r="D393" t="s">
        <v>43</v>
      </c>
      <c r="E393" t="s">
        <v>44</v>
      </c>
      <c r="F393" t="s">
        <v>44</v>
      </c>
      <c r="G393" t="s">
        <v>39</v>
      </c>
      <c r="H393" s="2">
        <v>46</v>
      </c>
      <c r="I393">
        <v>261</v>
      </c>
      <c r="J393" s="3">
        <v>1201</v>
      </c>
      <c r="K393" s="4">
        <v>528</v>
      </c>
      <c r="L393" t="s">
        <v>17</v>
      </c>
    </row>
    <row r="394" spans="1:12" x14ac:dyDescent="0.35">
      <c r="A394" t="s">
        <v>42</v>
      </c>
      <c r="B394">
        <v>1185732</v>
      </c>
      <c r="C394" s="1">
        <v>43869</v>
      </c>
      <c r="D394" t="s">
        <v>43</v>
      </c>
      <c r="E394" t="s">
        <v>44</v>
      </c>
      <c r="F394" t="s">
        <v>44</v>
      </c>
      <c r="G394" t="s">
        <v>32</v>
      </c>
      <c r="H394" s="2">
        <v>46</v>
      </c>
      <c r="I394">
        <v>261</v>
      </c>
      <c r="J394" s="3">
        <v>1201</v>
      </c>
      <c r="K394" s="4">
        <v>564</v>
      </c>
      <c r="L394" t="s">
        <v>17</v>
      </c>
    </row>
    <row r="395" spans="1:12" x14ac:dyDescent="0.35">
      <c r="A395" t="s">
        <v>42</v>
      </c>
      <c r="B395">
        <v>1185732</v>
      </c>
      <c r="C395" s="1">
        <v>43897</v>
      </c>
      <c r="D395" t="s">
        <v>43</v>
      </c>
      <c r="E395" t="s">
        <v>44</v>
      </c>
      <c r="F395" t="s">
        <v>44</v>
      </c>
      <c r="G395" t="s">
        <v>56</v>
      </c>
      <c r="H395" s="2">
        <v>47</v>
      </c>
      <c r="I395">
        <v>261</v>
      </c>
      <c r="J395" s="3">
        <v>1227</v>
      </c>
      <c r="K395" s="4">
        <v>552</v>
      </c>
      <c r="L395" t="s">
        <v>17</v>
      </c>
    </row>
    <row r="396" spans="1:12" x14ac:dyDescent="0.35">
      <c r="A396" t="s">
        <v>12</v>
      </c>
      <c r="B396">
        <v>1185732</v>
      </c>
      <c r="C396" s="1">
        <v>43958</v>
      </c>
      <c r="D396" t="s">
        <v>43</v>
      </c>
      <c r="E396" t="s">
        <v>44</v>
      </c>
      <c r="F396" t="s">
        <v>44</v>
      </c>
      <c r="G396" t="s">
        <v>70</v>
      </c>
      <c r="H396" s="2">
        <v>60</v>
      </c>
      <c r="I396">
        <v>261</v>
      </c>
      <c r="J396" s="3">
        <v>1566</v>
      </c>
      <c r="K396" s="4">
        <v>673</v>
      </c>
      <c r="L396" t="s">
        <v>17</v>
      </c>
    </row>
    <row r="397" spans="1:12" x14ac:dyDescent="0.35">
      <c r="A397" t="s">
        <v>12</v>
      </c>
      <c r="B397">
        <v>1197831</v>
      </c>
      <c r="C397" s="1">
        <v>44135</v>
      </c>
      <c r="D397" t="s">
        <v>19</v>
      </c>
      <c r="E397" t="s">
        <v>59</v>
      </c>
      <c r="F397" t="s">
        <v>60</v>
      </c>
      <c r="G397" t="s">
        <v>16</v>
      </c>
      <c r="H397" s="2">
        <v>53</v>
      </c>
      <c r="I397">
        <v>261</v>
      </c>
      <c r="J397" s="3">
        <v>1383</v>
      </c>
      <c r="K397" s="4">
        <v>858</v>
      </c>
      <c r="L397" t="s">
        <v>17</v>
      </c>
    </row>
    <row r="398" spans="1:12" x14ac:dyDescent="0.35">
      <c r="A398" t="s">
        <v>12</v>
      </c>
      <c r="B398">
        <v>1128299</v>
      </c>
      <c r="C398" s="1">
        <v>44393</v>
      </c>
      <c r="D398" t="s">
        <v>13</v>
      </c>
      <c r="E398" t="s">
        <v>14</v>
      </c>
      <c r="F398" t="s">
        <v>15</v>
      </c>
      <c r="G398" t="s">
        <v>26</v>
      </c>
      <c r="H398" s="2">
        <v>83</v>
      </c>
      <c r="I398">
        <v>261</v>
      </c>
      <c r="J398" s="3">
        <v>2166</v>
      </c>
      <c r="K398" s="4">
        <v>953</v>
      </c>
      <c r="L398" t="s">
        <v>17</v>
      </c>
    </row>
    <row r="399" spans="1:12" x14ac:dyDescent="0.35">
      <c r="A399" t="s">
        <v>18</v>
      </c>
      <c r="B399">
        <v>1185732</v>
      </c>
      <c r="C399" s="1">
        <v>44324</v>
      </c>
      <c r="D399" t="s">
        <v>43</v>
      </c>
      <c r="E399" t="s">
        <v>44</v>
      </c>
      <c r="F399" t="s">
        <v>101</v>
      </c>
      <c r="G399" t="s">
        <v>26</v>
      </c>
      <c r="H399" s="2">
        <v>50</v>
      </c>
      <c r="I399">
        <v>261</v>
      </c>
      <c r="J399" s="3">
        <v>1305</v>
      </c>
      <c r="K399" s="4">
        <v>783</v>
      </c>
      <c r="L399" t="s">
        <v>17</v>
      </c>
    </row>
    <row r="400" spans="1:12" x14ac:dyDescent="0.35">
      <c r="A400" t="s">
        <v>42</v>
      </c>
      <c r="B400">
        <v>1185732</v>
      </c>
      <c r="C400" s="1">
        <v>43832</v>
      </c>
      <c r="D400" t="s">
        <v>43</v>
      </c>
      <c r="E400" t="s">
        <v>44</v>
      </c>
      <c r="F400" t="s">
        <v>44</v>
      </c>
      <c r="G400" t="s">
        <v>39</v>
      </c>
      <c r="H400" s="2">
        <v>47</v>
      </c>
      <c r="I400">
        <v>260</v>
      </c>
      <c r="J400" s="3">
        <v>1222</v>
      </c>
      <c r="K400" s="4">
        <v>513</v>
      </c>
      <c r="L400" t="s">
        <v>17</v>
      </c>
    </row>
    <row r="401" spans="1:12" x14ac:dyDescent="0.35">
      <c r="A401" t="s">
        <v>42</v>
      </c>
      <c r="B401">
        <v>1185732</v>
      </c>
      <c r="C401" s="1">
        <v>43836</v>
      </c>
      <c r="D401" t="s">
        <v>43</v>
      </c>
      <c r="E401" t="s">
        <v>44</v>
      </c>
      <c r="F401" t="s">
        <v>44</v>
      </c>
      <c r="G401" t="s">
        <v>16</v>
      </c>
      <c r="H401" s="2">
        <v>46</v>
      </c>
      <c r="I401">
        <v>260</v>
      </c>
      <c r="J401" s="3">
        <v>1196</v>
      </c>
      <c r="K401" s="4">
        <v>443</v>
      </c>
      <c r="L401" t="s">
        <v>17</v>
      </c>
    </row>
    <row r="402" spans="1:12" x14ac:dyDescent="0.35">
      <c r="A402" t="s">
        <v>42</v>
      </c>
      <c r="B402">
        <v>1185732</v>
      </c>
      <c r="C402" s="1">
        <v>43856</v>
      </c>
      <c r="D402" t="s">
        <v>43</v>
      </c>
      <c r="E402" t="s">
        <v>44</v>
      </c>
      <c r="F402" t="s">
        <v>44</v>
      </c>
      <c r="G402" t="s">
        <v>39</v>
      </c>
      <c r="H402" s="2">
        <v>48</v>
      </c>
      <c r="I402">
        <v>259</v>
      </c>
      <c r="J402" s="3">
        <v>1243</v>
      </c>
      <c r="K402" s="4">
        <v>535</v>
      </c>
      <c r="L402" t="s">
        <v>17</v>
      </c>
    </row>
    <row r="403" spans="1:12" x14ac:dyDescent="0.35">
      <c r="A403" t="s">
        <v>42</v>
      </c>
      <c r="B403">
        <v>1185732</v>
      </c>
      <c r="C403" s="1">
        <v>43868</v>
      </c>
      <c r="D403" t="s">
        <v>43</v>
      </c>
      <c r="E403" t="s">
        <v>44</v>
      </c>
      <c r="F403" t="s">
        <v>44</v>
      </c>
      <c r="G403" t="s">
        <v>39</v>
      </c>
      <c r="H403" s="2">
        <v>50</v>
      </c>
      <c r="I403">
        <v>259</v>
      </c>
      <c r="J403" s="3">
        <v>1295</v>
      </c>
      <c r="K403" s="4">
        <v>518</v>
      </c>
      <c r="L403" t="s">
        <v>17</v>
      </c>
    </row>
    <row r="404" spans="1:12" x14ac:dyDescent="0.35">
      <c r="A404" t="s">
        <v>12</v>
      </c>
      <c r="B404">
        <v>1197831</v>
      </c>
      <c r="C404" s="1">
        <v>44056</v>
      </c>
      <c r="D404" t="s">
        <v>19</v>
      </c>
      <c r="E404" t="s">
        <v>59</v>
      </c>
      <c r="F404" t="s">
        <v>60</v>
      </c>
      <c r="G404" t="s">
        <v>39</v>
      </c>
      <c r="H404" s="2">
        <v>38</v>
      </c>
      <c r="I404">
        <v>259</v>
      </c>
      <c r="J404">
        <v>984</v>
      </c>
      <c r="K404" s="4">
        <v>453</v>
      </c>
      <c r="L404" t="s">
        <v>17</v>
      </c>
    </row>
    <row r="405" spans="1:12" x14ac:dyDescent="0.35">
      <c r="A405" t="s">
        <v>12</v>
      </c>
      <c r="B405">
        <v>1197831</v>
      </c>
      <c r="C405" s="1">
        <v>44074</v>
      </c>
      <c r="D405" t="s">
        <v>19</v>
      </c>
      <c r="E405" t="s">
        <v>59</v>
      </c>
      <c r="F405" t="s">
        <v>60</v>
      </c>
      <c r="G405" t="s">
        <v>39</v>
      </c>
      <c r="H405" s="2">
        <v>41</v>
      </c>
      <c r="I405">
        <v>259</v>
      </c>
      <c r="J405" s="3">
        <v>1062</v>
      </c>
      <c r="K405" s="4">
        <v>478</v>
      </c>
      <c r="L405" t="s">
        <v>17</v>
      </c>
    </row>
    <row r="406" spans="1:12" x14ac:dyDescent="0.35">
      <c r="A406" t="s">
        <v>18</v>
      </c>
      <c r="B406">
        <v>1128299</v>
      </c>
      <c r="C406" s="1">
        <v>44215</v>
      </c>
      <c r="D406" t="s">
        <v>48</v>
      </c>
      <c r="E406" t="s">
        <v>66</v>
      </c>
      <c r="F406" t="s">
        <v>67</v>
      </c>
      <c r="G406" t="s">
        <v>39</v>
      </c>
      <c r="H406" s="2">
        <v>66</v>
      </c>
      <c r="I406">
        <v>259</v>
      </c>
      <c r="J406" s="3">
        <v>1709</v>
      </c>
      <c r="K406" s="4">
        <v>513</v>
      </c>
      <c r="L406" t="s">
        <v>17</v>
      </c>
    </row>
    <row r="407" spans="1:12" x14ac:dyDescent="0.35">
      <c r="A407" t="s">
        <v>18</v>
      </c>
      <c r="B407">
        <v>1185732</v>
      </c>
      <c r="C407" s="1">
        <v>44084</v>
      </c>
      <c r="D407" t="s">
        <v>13</v>
      </c>
      <c r="E407" t="s">
        <v>14</v>
      </c>
      <c r="F407" t="s">
        <v>73</v>
      </c>
      <c r="G407" t="s">
        <v>16</v>
      </c>
      <c r="H407" s="2">
        <v>63</v>
      </c>
      <c r="I407">
        <v>259</v>
      </c>
      <c r="J407" s="3">
        <v>1632</v>
      </c>
      <c r="K407" s="4">
        <v>1061</v>
      </c>
      <c r="L407" t="s">
        <v>17</v>
      </c>
    </row>
    <row r="408" spans="1:12" x14ac:dyDescent="0.35">
      <c r="A408" t="s">
        <v>12</v>
      </c>
      <c r="B408">
        <v>1185732</v>
      </c>
      <c r="C408" s="1">
        <v>43950</v>
      </c>
      <c r="D408" t="s">
        <v>43</v>
      </c>
      <c r="E408" t="s">
        <v>44</v>
      </c>
      <c r="F408" t="s">
        <v>44</v>
      </c>
      <c r="G408" t="s">
        <v>32</v>
      </c>
      <c r="H408" s="2">
        <v>52</v>
      </c>
      <c r="I408">
        <v>258</v>
      </c>
      <c r="J408" s="3">
        <v>1342</v>
      </c>
      <c r="K408" s="4">
        <v>644</v>
      </c>
      <c r="L408" t="s">
        <v>17</v>
      </c>
    </row>
    <row r="409" spans="1:12" x14ac:dyDescent="0.35">
      <c r="A409" t="s">
        <v>42</v>
      </c>
      <c r="B409">
        <v>1185732</v>
      </c>
      <c r="C409" s="1">
        <v>43908</v>
      </c>
      <c r="D409" t="s">
        <v>43</v>
      </c>
      <c r="E409" t="s">
        <v>44</v>
      </c>
      <c r="F409" t="s">
        <v>44</v>
      </c>
      <c r="G409" t="s">
        <v>32</v>
      </c>
      <c r="H409" s="2">
        <v>45</v>
      </c>
      <c r="I409">
        <v>257</v>
      </c>
      <c r="J409" s="3">
        <v>1157</v>
      </c>
      <c r="K409" s="4">
        <v>532</v>
      </c>
      <c r="L409" t="s">
        <v>17</v>
      </c>
    </row>
    <row r="410" spans="1:12" x14ac:dyDescent="0.35">
      <c r="A410" t="s">
        <v>42</v>
      </c>
      <c r="B410">
        <v>1185732</v>
      </c>
      <c r="C410" s="1">
        <v>43945</v>
      </c>
      <c r="D410" t="s">
        <v>13</v>
      </c>
      <c r="E410" t="s">
        <v>14</v>
      </c>
      <c r="F410" t="s">
        <v>73</v>
      </c>
      <c r="G410" t="s">
        <v>26</v>
      </c>
      <c r="H410" s="2">
        <v>42</v>
      </c>
      <c r="I410">
        <v>256</v>
      </c>
      <c r="J410" s="3">
        <v>1075</v>
      </c>
      <c r="K410" s="4">
        <v>624</v>
      </c>
      <c r="L410" t="s">
        <v>17</v>
      </c>
    </row>
    <row r="411" spans="1:12" x14ac:dyDescent="0.35">
      <c r="A411" t="s">
        <v>42</v>
      </c>
      <c r="B411">
        <v>1185732</v>
      </c>
      <c r="C411" s="1">
        <v>44205</v>
      </c>
      <c r="D411" t="s">
        <v>13</v>
      </c>
      <c r="E411" t="s">
        <v>57</v>
      </c>
      <c r="F411" t="s">
        <v>58</v>
      </c>
      <c r="G411" t="s">
        <v>26</v>
      </c>
      <c r="H411" s="2">
        <v>39</v>
      </c>
      <c r="I411">
        <v>256</v>
      </c>
      <c r="J411">
        <v>998</v>
      </c>
      <c r="K411" s="4">
        <v>579</v>
      </c>
      <c r="L411" t="s">
        <v>17</v>
      </c>
    </row>
    <row r="412" spans="1:12" x14ac:dyDescent="0.35">
      <c r="A412" t="s">
        <v>18</v>
      </c>
      <c r="B412">
        <v>1128299</v>
      </c>
      <c r="C412" s="1">
        <v>44203</v>
      </c>
      <c r="D412" t="s">
        <v>48</v>
      </c>
      <c r="E412" t="s">
        <v>66</v>
      </c>
      <c r="F412" t="s">
        <v>67</v>
      </c>
      <c r="G412" t="s">
        <v>39</v>
      </c>
      <c r="H412" s="2">
        <v>50</v>
      </c>
      <c r="I412">
        <v>256</v>
      </c>
      <c r="J412" s="3">
        <v>1280</v>
      </c>
      <c r="K412" s="4">
        <v>384</v>
      </c>
      <c r="L412" t="s">
        <v>27</v>
      </c>
    </row>
    <row r="413" spans="1:12" x14ac:dyDescent="0.35">
      <c r="A413" t="s">
        <v>18</v>
      </c>
      <c r="B413">
        <v>1128299</v>
      </c>
      <c r="C413" s="1">
        <v>44237</v>
      </c>
      <c r="D413" t="s">
        <v>48</v>
      </c>
      <c r="E413" t="s">
        <v>66</v>
      </c>
      <c r="F413" t="s">
        <v>67</v>
      </c>
      <c r="G413" t="s">
        <v>16</v>
      </c>
      <c r="H413" s="2">
        <v>56</v>
      </c>
      <c r="I413">
        <v>256</v>
      </c>
      <c r="J413" s="3">
        <v>1434</v>
      </c>
      <c r="K413" s="4">
        <v>215</v>
      </c>
      <c r="L413" t="s">
        <v>27</v>
      </c>
    </row>
    <row r="414" spans="1:12" x14ac:dyDescent="0.35">
      <c r="A414" t="s">
        <v>18</v>
      </c>
      <c r="B414">
        <v>1128299</v>
      </c>
      <c r="C414" s="1">
        <v>44240</v>
      </c>
      <c r="D414" t="s">
        <v>48</v>
      </c>
      <c r="E414" t="s">
        <v>66</v>
      </c>
      <c r="F414" t="s">
        <v>67</v>
      </c>
      <c r="G414" t="s">
        <v>32</v>
      </c>
      <c r="H414" s="2">
        <v>44</v>
      </c>
      <c r="I414">
        <v>256</v>
      </c>
      <c r="J414" s="3">
        <v>1126</v>
      </c>
      <c r="K414" s="4">
        <v>372</v>
      </c>
      <c r="L414" t="s">
        <v>27</v>
      </c>
    </row>
    <row r="415" spans="1:12" x14ac:dyDescent="0.35">
      <c r="A415" t="s">
        <v>18</v>
      </c>
      <c r="B415">
        <v>1128299</v>
      </c>
      <c r="C415" s="1">
        <v>44243</v>
      </c>
      <c r="D415" t="s">
        <v>48</v>
      </c>
      <c r="E415" t="s">
        <v>66</v>
      </c>
      <c r="F415" t="s">
        <v>67</v>
      </c>
      <c r="G415" t="s">
        <v>16</v>
      </c>
      <c r="H415" s="2">
        <v>50</v>
      </c>
      <c r="I415">
        <v>256</v>
      </c>
      <c r="J415" s="3">
        <v>1280</v>
      </c>
      <c r="K415" s="4">
        <v>218</v>
      </c>
      <c r="L415" t="s">
        <v>27</v>
      </c>
    </row>
    <row r="416" spans="1:12" x14ac:dyDescent="0.35">
      <c r="A416" t="s">
        <v>63</v>
      </c>
      <c r="B416">
        <v>1189833</v>
      </c>
      <c r="C416" s="1">
        <v>44329</v>
      </c>
      <c r="D416" t="s">
        <v>48</v>
      </c>
      <c r="E416" t="s">
        <v>66</v>
      </c>
      <c r="F416" t="s">
        <v>76</v>
      </c>
      <c r="G416" t="s">
        <v>26</v>
      </c>
      <c r="H416" s="2">
        <v>36</v>
      </c>
      <c r="I416">
        <v>256</v>
      </c>
      <c r="J416">
        <v>922</v>
      </c>
      <c r="K416" s="4">
        <v>433</v>
      </c>
      <c r="L416" t="s">
        <v>27</v>
      </c>
    </row>
    <row r="417" spans="1:12" x14ac:dyDescent="0.35">
      <c r="A417" t="s">
        <v>23</v>
      </c>
      <c r="B417">
        <v>1197831</v>
      </c>
      <c r="C417" s="1">
        <v>44449</v>
      </c>
      <c r="D417" t="s">
        <v>19</v>
      </c>
      <c r="E417" t="s">
        <v>59</v>
      </c>
      <c r="F417" t="s">
        <v>68</v>
      </c>
      <c r="G417" t="s">
        <v>26</v>
      </c>
      <c r="H417" s="2">
        <v>30</v>
      </c>
      <c r="I417">
        <v>256</v>
      </c>
      <c r="J417">
        <v>768</v>
      </c>
      <c r="K417" s="4">
        <v>284</v>
      </c>
      <c r="L417" t="s">
        <v>27</v>
      </c>
    </row>
    <row r="418" spans="1:12" x14ac:dyDescent="0.35">
      <c r="A418" t="s">
        <v>23</v>
      </c>
      <c r="B418">
        <v>1197831</v>
      </c>
      <c r="C418" s="1">
        <v>44455</v>
      </c>
      <c r="D418" t="s">
        <v>19</v>
      </c>
      <c r="E418" t="s">
        <v>59</v>
      </c>
      <c r="F418" t="s">
        <v>68</v>
      </c>
      <c r="G418" t="s">
        <v>26</v>
      </c>
      <c r="H418" s="2">
        <v>34</v>
      </c>
      <c r="I418">
        <v>256</v>
      </c>
      <c r="J418">
        <v>870</v>
      </c>
      <c r="K418" s="4">
        <v>366</v>
      </c>
      <c r="L418" t="s">
        <v>27</v>
      </c>
    </row>
    <row r="419" spans="1:12" x14ac:dyDescent="0.35">
      <c r="A419" t="s">
        <v>23</v>
      </c>
      <c r="B419">
        <v>1197831</v>
      </c>
      <c r="C419" s="1">
        <v>44462</v>
      </c>
      <c r="D419" t="s">
        <v>19</v>
      </c>
      <c r="E419" t="s">
        <v>59</v>
      </c>
      <c r="F419" t="s">
        <v>68</v>
      </c>
      <c r="G419" t="s">
        <v>39</v>
      </c>
      <c r="H419" s="2">
        <v>43</v>
      </c>
      <c r="I419">
        <v>256</v>
      </c>
      <c r="J419" s="3">
        <v>1101</v>
      </c>
      <c r="K419" s="4">
        <v>506</v>
      </c>
      <c r="L419" t="s">
        <v>27</v>
      </c>
    </row>
    <row r="420" spans="1:12" x14ac:dyDescent="0.35">
      <c r="A420" t="s">
        <v>23</v>
      </c>
      <c r="B420">
        <v>1197831</v>
      </c>
      <c r="C420" s="1">
        <v>44490</v>
      </c>
      <c r="D420" t="s">
        <v>19</v>
      </c>
      <c r="E420" t="s">
        <v>59</v>
      </c>
      <c r="F420" t="s">
        <v>68</v>
      </c>
      <c r="G420" t="s">
        <v>16</v>
      </c>
      <c r="H420" s="2">
        <v>54</v>
      </c>
      <c r="I420">
        <v>256</v>
      </c>
      <c r="J420" s="3">
        <v>1382</v>
      </c>
      <c r="K420" s="4">
        <v>829</v>
      </c>
      <c r="L420" t="s">
        <v>27</v>
      </c>
    </row>
    <row r="421" spans="1:12" x14ac:dyDescent="0.35">
      <c r="A421" t="s">
        <v>23</v>
      </c>
      <c r="B421">
        <v>1197831</v>
      </c>
      <c r="C421" s="1">
        <v>44295</v>
      </c>
      <c r="D421" t="s">
        <v>19</v>
      </c>
      <c r="E421" t="s">
        <v>74</v>
      </c>
      <c r="F421" t="s">
        <v>75</v>
      </c>
      <c r="G421" t="s">
        <v>26</v>
      </c>
      <c r="H421" s="2">
        <v>28</v>
      </c>
      <c r="I421">
        <v>256</v>
      </c>
      <c r="J421">
        <v>717</v>
      </c>
      <c r="K421" s="4">
        <v>337</v>
      </c>
      <c r="L421" t="s">
        <v>27</v>
      </c>
    </row>
    <row r="422" spans="1:12" x14ac:dyDescent="0.35">
      <c r="A422" t="s">
        <v>23</v>
      </c>
      <c r="B422">
        <v>1197831</v>
      </c>
      <c r="C422" s="1">
        <v>44445</v>
      </c>
      <c r="D422" t="s">
        <v>19</v>
      </c>
      <c r="E422" t="s">
        <v>24</v>
      </c>
      <c r="F422" t="s">
        <v>25</v>
      </c>
      <c r="G422" t="s">
        <v>26</v>
      </c>
      <c r="H422" s="2">
        <v>31</v>
      </c>
      <c r="I422">
        <v>256</v>
      </c>
      <c r="J422">
        <v>794</v>
      </c>
      <c r="K422" s="4">
        <v>421</v>
      </c>
      <c r="L422" t="s">
        <v>27</v>
      </c>
    </row>
    <row r="423" spans="1:12" x14ac:dyDescent="0.35">
      <c r="A423" t="s">
        <v>12</v>
      </c>
      <c r="B423">
        <v>1128299</v>
      </c>
      <c r="C423" s="1">
        <v>44546</v>
      </c>
      <c r="D423" t="s">
        <v>13</v>
      </c>
      <c r="E423" t="s">
        <v>14</v>
      </c>
      <c r="F423" t="s">
        <v>15</v>
      </c>
      <c r="G423" t="s">
        <v>39</v>
      </c>
      <c r="H423" s="2">
        <v>55</v>
      </c>
      <c r="I423">
        <v>256</v>
      </c>
      <c r="J423" s="3">
        <v>1408</v>
      </c>
      <c r="K423" s="4">
        <v>436</v>
      </c>
      <c r="L423" t="s">
        <v>27</v>
      </c>
    </row>
    <row r="424" spans="1:12" x14ac:dyDescent="0.35">
      <c r="A424" t="s">
        <v>23</v>
      </c>
      <c r="B424">
        <v>1185732</v>
      </c>
      <c r="C424" s="1">
        <v>44244</v>
      </c>
      <c r="D424" t="s">
        <v>13</v>
      </c>
      <c r="E424" t="s">
        <v>99</v>
      </c>
      <c r="F424" t="s">
        <v>100</v>
      </c>
      <c r="G424" t="s">
        <v>26</v>
      </c>
      <c r="H424" s="2">
        <v>26</v>
      </c>
      <c r="I424">
        <v>256</v>
      </c>
      <c r="J424">
        <v>666</v>
      </c>
      <c r="K424" s="4">
        <v>366</v>
      </c>
      <c r="L424" t="s">
        <v>27</v>
      </c>
    </row>
    <row r="425" spans="1:12" x14ac:dyDescent="0.35">
      <c r="A425" t="s">
        <v>18</v>
      </c>
      <c r="B425">
        <v>1128299</v>
      </c>
      <c r="C425" s="1">
        <v>44432</v>
      </c>
      <c r="D425" t="s">
        <v>48</v>
      </c>
      <c r="E425" t="s">
        <v>85</v>
      </c>
      <c r="F425" t="s">
        <v>86</v>
      </c>
      <c r="G425" t="s">
        <v>26</v>
      </c>
      <c r="H425" s="2">
        <v>69</v>
      </c>
      <c r="I425">
        <v>256</v>
      </c>
      <c r="J425" s="3">
        <v>1766</v>
      </c>
      <c r="K425" s="4">
        <v>654</v>
      </c>
      <c r="L425" t="s">
        <v>27</v>
      </c>
    </row>
    <row r="426" spans="1:12" x14ac:dyDescent="0.35">
      <c r="A426" t="s">
        <v>18</v>
      </c>
      <c r="B426">
        <v>1128299</v>
      </c>
      <c r="C426" s="1">
        <v>44432</v>
      </c>
      <c r="D426" t="s">
        <v>48</v>
      </c>
      <c r="E426" t="s">
        <v>85</v>
      </c>
      <c r="F426" t="s">
        <v>86</v>
      </c>
      <c r="G426" t="s">
        <v>39</v>
      </c>
      <c r="H426" s="2">
        <v>62</v>
      </c>
      <c r="I426">
        <v>256</v>
      </c>
      <c r="J426" s="3">
        <v>1587</v>
      </c>
      <c r="K426" s="4">
        <v>667</v>
      </c>
      <c r="L426" t="s">
        <v>27</v>
      </c>
    </row>
    <row r="427" spans="1:12" x14ac:dyDescent="0.35">
      <c r="A427" t="s">
        <v>18</v>
      </c>
      <c r="B427">
        <v>1128299</v>
      </c>
      <c r="C427" s="1">
        <v>44364</v>
      </c>
      <c r="D427" t="s">
        <v>19</v>
      </c>
      <c r="E427" t="s">
        <v>20</v>
      </c>
      <c r="F427" t="s">
        <v>21</v>
      </c>
      <c r="G427" t="s">
        <v>26</v>
      </c>
      <c r="H427" s="2">
        <v>47</v>
      </c>
      <c r="I427">
        <v>256</v>
      </c>
      <c r="J427" s="3">
        <v>1203</v>
      </c>
      <c r="K427" s="4">
        <v>566</v>
      </c>
      <c r="L427" t="s">
        <v>27</v>
      </c>
    </row>
    <row r="428" spans="1:12" x14ac:dyDescent="0.35">
      <c r="A428" t="s">
        <v>18</v>
      </c>
      <c r="B428">
        <v>1128299</v>
      </c>
      <c r="C428" s="1">
        <v>44425</v>
      </c>
      <c r="D428" t="s">
        <v>19</v>
      </c>
      <c r="E428" t="s">
        <v>20</v>
      </c>
      <c r="F428" t="s">
        <v>21</v>
      </c>
      <c r="G428" t="s">
        <v>39</v>
      </c>
      <c r="H428" s="2">
        <v>57</v>
      </c>
      <c r="I428">
        <v>256</v>
      </c>
      <c r="J428" s="3">
        <v>1459</v>
      </c>
      <c r="K428" s="4">
        <v>642</v>
      </c>
      <c r="L428" t="s">
        <v>27</v>
      </c>
    </row>
    <row r="429" spans="1:12" x14ac:dyDescent="0.35">
      <c r="A429" t="s">
        <v>42</v>
      </c>
      <c r="B429">
        <v>1185732</v>
      </c>
      <c r="C429" s="1">
        <v>44205</v>
      </c>
      <c r="D429" t="s">
        <v>13</v>
      </c>
      <c r="E429" t="s">
        <v>57</v>
      </c>
      <c r="F429" t="s">
        <v>58</v>
      </c>
      <c r="G429" t="s">
        <v>39</v>
      </c>
      <c r="H429" s="2">
        <v>30</v>
      </c>
      <c r="I429">
        <v>256</v>
      </c>
      <c r="J429">
        <v>768</v>
      </c>
      <c r="K429" s="4">
        <v>307</v>
      </c>
      <c r="L429" t="s">
        <v>27</v>
      </c>
    </row>
    <row r="430" spans="1:12" x14ac:dyDescent="0.35">
      <c r="A430" t="s">
        <v>12</v>
      </c>
      <c r="B430">
        <v>1185732</v>
      </c>
      <c r="C430" s="1">
        <v>44425</v>
      </c>
      <c r="D430" t="s">
        <v>19</v>
      </c>
      <c r="E430" t="s">
        <v>37</v>
      </c>
      <c r="F430" t="s">
        <v>38</v>
      </c>
      <c r="G430" t="s">
        <v>26</v>
      </c>
      <c r="H430" s="2">
        <v>41</v>
      </c>
      <c r="I430">
        <v>256</v>
      </c>
      <c r="J430" s="3">
        <v>1050</v>
      </c>
      <c r="K430" s="4">
        <v>472</v>
      </c>
      <c r="L430" t="s">
        <v>27</v>
      </c>
    </row>
    <row r="431" spans="1:12" x14ac:dyDescent="0.35">
      <c r="A431" t="s">
        <v>23</v>
      </c>
      <c r="B431">
        <v>1185732</v>
      </c>
      <c r="C431" s="1">
        <v>44546</v>
      </c>
      <c r="D431" t="s">
        <v>19</v>
      </c>
      <c r="E431" t="s">
        <v>37</v>
      </c>
      <c r="F431" t="s">
        <v>38</v>
      </c>
      <c r="G431" t="s">
        <v>26</v>
      </c>
      <c r="H431" s="2">
        <v>48</v>
      </c>
      <c r="I431">
        <v>256</v>
      </c>
      <c r="J431" s="3">
        <v>1229</v>
      </c>
      <c r="K431" s="4">
        <v>578</v>
      </c>
      <c r="L431" t="s">
        <v>27</v>
      </c>
    </row>
    <row r="432" spans="1:12" x14ac:dyDescent="0.35">
      <c r="A432" t="s">
        <v>23</v>
      </c>
      <c r="B432">
        <v>1197831</v>
      </c>
      <c r="C432" s="1">
        <v>44038</v>
      </c>
      <c r="D432" t="s">
        <v>19</v>
      </c>
      <c r="E432" t="s">
        <v>59</v>
      </c>
      <c r="F432" t="s">
        <v>60</v>
      </c>
      <c r="G432" t="s">
        <v>39</v>
      </c>
      <c r="H432" s="2">
        <v>33</v>
      </c>
      <c r="I432">
        <v>255</v>
      </c>
      <c r="J432">
        <v>842</v>
      </c>
      <c r="K432" s="4">
        <v>379</v>
      </c>
      <c r="L432" t="s">
        <v>17</v>
      </c>
    </row>
    <row r="433" spans="1:12" x14ac:dyDescent="0.35">
      <c r="A433" t="s">
        <v>12</v>
      </c>
      <c r="B433">
        <v>1197831</v>
      </c>
      <c r="C433" s="1">
        <v>44079</v>
      </c>
      <c r="D433" t="s">
        <v>19</v>
      </c>
      <c r="E433" t="s">
        <v>59</v>
      </c>
      <c r="F433" t="s">
        <v>60</v>
      </c>
      <c r="G433" t="s">
        <v>26</v>
      </c>
      <c r="H433" s="2">
        <v>44</v>
      </c>
      <c r="I433">
        <v>255</v>
      </c>
      <c r="J433" s="3">
        <v>1122</v>
      </c>
      <c r="K433" s="4">
        <v>539</v>
      </c>
      <c r="L433" t="s">
        <v>17</v>
      </c>
    </row>
    <row r="434" spans="1:12" x14ac:dyDescent="0.35">
      <c r="A434" t="s">
        <v>12</v>
      </c>
      <c r="B434">
        <v>1197831</v>
      </c>
      <c r="C434" s="1">
        <v>44132</v>
      </c>
      <c r="D434" t="s">
        <v>19</v>
      </c>
      <c r="E434" t="s">
        <v>59</v>
      </c>
      <c r="F434" t="s">
        <v>60</v>
      </c>
      <c r="G434" t="s">
        <v>32</v>
      </c>
      <c r="H434" s="2">
        <v>47</v>
      </c>
      <c r="I434">
        <v>255</v>
      </c>
      <c r="J434" s="3">
        <v>1199</v>
      </c>
      <c r="K434" s="4">
        <v>587</v>
      </c>
      <c r="L434" t="s">
        <v>17</v>
      </c>
    </row>
    <row r="435" spans="1:12" x14ac:dyDescent="0.35">
      <c r="A435" t="s">
        <v>23</v>
      </c>
      <c r="B435">
        <v>1197831</v>
      </c>
      <c r="C435" s="1">
        <v>44460</v>
      </c>
      <c r="D435" t="s">
        <v>19</v>
      </c>
      <c r="E435" t="s">
        <v>59</v>
      </c>
      <c r="F435" t="s">
        <v>68</v>
      </c>
      <c r="G435" t="s">
        <v>16</v>
      </c>
      <c r="H435" s="2">
        <v>54</v>
      </c>
      <c r="I435">
        <v>255</v>
      </c>
      <c r="J435" s="3">
        <v>1377</v>
      </c>
      <c r="K435" s="4">
        <v>923</v>
      </c>
      <c r="L435" t="s">
        <v>17</v>
      </c>
    </row>
    <row r="436" spans="1:12" x14ac:dyDescent="0.35">
      <c r="A436" t="s">
        <v>42</v>
      </c>
      <c r="B436">
        <v>1185732</v>
      </c>
      <c r="C436" s="1">
        <v>44098</v>
      </c>
      <c r="D436" t="s">
        <v>13</v>
      </c>
      <c r="E436" t="s">
        <v>14</v>
      </c>
      <c r="F436" t="s">
        <v>73</v>
      </c>
      <c r="G436" t="s">
        <v>39</v>
      </c>
      <c r="H436" s="2">
        <v>46</v>
      </c>
      <c r="I436">
        <v>255</v>
      </c>
      <c r="J436" s="3">
        <v>1173</v>
      </c>
      <c r="K436" s="4">
        <v>528</v>
      </c>
      <c r="L436" t="s">
        <v>17</v>
      </c>
    </row>
    <row r="437" spans="1:12" x14ac:dyDescent="0.35">
      <c r="A437" t="s">
        <v>18</v>
      </c>
      <c r="B437">
        <v>1185732</v>
      </c>
      <c r="C437" s="1">
        <v>44208</v>
      </c>
      <c r="D437" t="s">
        <v>13</v>
      </c>
      <c r="E437" t="s">
        <v>14</v>
      </c>
      <c r="F437" t="s">
        <v>15</v>
      </c>
      <c r="G437" t="s">
        <v>26</v>
      </c>
      <c r="H437" s="2">
        <v>41</v>
      </c>
      <c r="I437">
        <v>255</v>
      </c>
      <c r="J437" s="3">
        <v>1046</v>
      </c>
      <c r="K437" s="4">
        <v>575</v>
      </c>
      <c r="L437" t="s">
        <v>17</v>
      </c>
    </row>
    <row r="438" spans="1:12" x14ac:dyDescent="0.35">
      <c r="A438" t="s">
        <v>63</v>
      </c>
      <c r="B438">
        <v>1185732</v>
      </c>
      <c r="C438" s="1">
        <v>44419</v>
      </c>
      <c r="D438" t="s">
        <v>48</v>
      </c>
      <c r="E438" t="s">
        <v>102</v>
      </c>
      <c r="F438" t="s">
        <v>103</v>
      </c>
      <c r="G438" t="s">
        <v>26</v>
      </c>
      <c r="H438" s="2">
        <v>47</v>
      </c>
      <c r="I438">
        <v>255</v>
      </c>
      <c r="J438" s="3">
        <v>1199</v>
      </c>
      <c r="K438" s="4">
        <v>767</v>
      </c>
      <c r="L438" t="s">
        <v>17</v>
      </c>
    </row>
    <row r="439" spans="1:12" x14ac:dyDescent="0.35">
      <c r="A439" t="s">
        <v>42</v>
      </c>
      <c r="B439">
        <v>1128299</v>
      </c>
      <c r="C439" s="1">
        <v>44400</v>
      </c>
      <c r="D439" t="s">
        <v>13</v>
      </c>
      <c r="E439" t="s">
        <v>99</v>
      </c>
      <c r="F439" t="s">
        <v>100</v>
      </c>
      <c r="G439" t="s">
        <v>26</v>
      </c>
      <c r="H439" s="2">
        <v>79</v>
      </c>
      <c r="I439">
        <v>255</v>
      </c>
      <c r="J439" s="3">
        <v>2015</v>
      </c>
      <c r="K439" s="4">
        <v>1007</v>
      </c>
      <c r="L439" t="s">
        <v>17</v>
      </c>
    </row>
    <row r="440" spans="1:12" x14ac:dyDescent="0.35">
      <c r="A440" t="s">
        <v>23</v>
      </c>
      <c r="B440">
        <v>1185732</v>
      </c>
      <c r="C440" s="1">
        <v>44545</v>
      </c>
      <c r="D440" t="s">
        <v>33</v>
      </c>
      <c r="E440" t="s">
        <v>45</v>
      </c>
      <c r="F440" t="s">
        <v>46</v>
      </c>
      <c r="G440" t="s">
        <v>26</v>
      </c>
      <c r="H440" s="2">
        <v>55</v>
      </c>
      <c r="I440">
        <v>255</v>
      </c>
      <c r="J440" s="3">
        <v>1403</v>
      </c>
      <c r="K440" s="4">
        <v>856</v>
      </c>
      <c r="L440" t="s">
        <v>17</v>
      </c>
    </row>
    <row r="441" spans="1:12" x14ac:dyDescent="0.35">
      <c r="A441" t="s">
        <v>18</v>
      </c>
      <c r="B441">
        <v>1128299</v>
      </c>
      <c r="C441" s="1">
        <v>44400</v>
      </c>
      <c r="D441" t="s">
        <v>48</v>
      </c>
      <c r="E441" t="s">
        <v>85</v>
      </c>
      <c r="F441" t="s">
        <v>86</v>
      </c>
      <c r="G441" t="s">
        <v>26</v>
      </c>
      <c r="H441" s="2">
        <v>79</v>
      </c>
      <c r="I441">
        <v>255</v>
      </c>
      <c r="J441" s="3">
        <v>2015</v>
      </c>
      <c r="K441" s="4">
        <v>967</v>
      </c>
      <c r="L441" t="s">
        <v>17</v>
      </c>
    </row>
    <row r="442" spans="1:12" x14ac:dyDescent="0.35">
      <c r="A442" t="s">
        <v>18</v>
      </c>
      <c r="B442">
        <v>1128299</v>
      </c>
      <c r="C442" s="1">
        <v>44425</v>
      </c>
      <c r="D442" t="s">
        <v>19</v>
      </c>
      <c r="E442" t="s">
        <v>20</v>
      </c>
      <c r="F442" t="s">
        <v>21</v>
      </c>
      <c r="G442" t="s">
        <v>26</v>
      </c>
      <c r="H442" s="2">
        <v>86</v>
      </c>
      <c r="I442">
        <v>255</v>
      </c>
      <c r="J442" s="3">
        <v>2193</v>
      </c>
      <c r="K442" s="4">
        <v>1118</v>
      </c>
      <c r="L442" t="s">
        <v>17</v>
      </c>
    </row>
    <row r="443" spans="1:12" x14ac:dyDescent="0.35">
      <c r="A443" t="s">
        <v>23</v>
      </c>
      <c r="B443">
        <v>1197831</v>
      </c>
      <c r="C443" s="1">
        <v>44037</v>
      </c>
      <c r="D443" t="s">
        <v>19</v>
      </c>
      <c r="E443" t="s">
        <v>59</v>
      </c>
      <c r="F443" t="s">
        <v>60</v>
      </c>
      <c r="G443" t="s">
        <v>26</v>
      </c>
      <c r="H443" s="2">
        <v>20</v>
      </c>
      <c r="I443">
        <v>255</v>
      </c>
      <c r="J443">
        <v>510</v>
      </c>
      <c r="K443" s="4">
        <v>209</v>
      </c>
      <c r="L443" t="s">
        <v>27</v>
      </c>
    </row>
    <row r="444" spans="1:12" x14ac:dyDescent="0.35">
      <c r="A444" t="s">
        <v>12</v>
      </c>
      <c r="B444">
        <v>1197831</v>
      </c>
      <c r="C444" s="1">
        <v>44080</v>
      </c>
      <c r="D444" t="s">
        <v>19</v>
      </c>
      <c r="E444" t="s">
        <v>59</v>
      </c>
      <c r="F444" t="s">
        <v>60</v>
      </c>
      <c r="G444" t="s">
        <v>39</v>
      </c>
      <c r="H444" s="2">
        <v>32</v>
      </c>
      <c r="I444">
        <v>255</v>
      </c>
      <c r="J444">
        <v>816</v>
      </c>
      <c r="K444" s="4">
        <v>302</v>
      </c>
      <c r="L444" t="s">
        <v>27</v>
      </c>
    </row>
    <row r="445" spans="1:12" x14ac:dyDescent="0.35">
      <c r="A445" t="s">
        <v>12</v>
      </c>
      <c r="B445">
        <v>1197831</v>
      </c>
      <c r="C445" s="1">
        <v>44087</v>
      </c>
      <c r="D445" t="s">
        <v>19</v>
      </c>
      <c r="E445" t="s">
        <v>59</v>
      </c>
      <c r="F445" t="s">
        <v>60</v>
      </c>
      <c r="G445" t="s">
        <v>32</v>
      </c>
      <c r="H445" s="2">
        <v>39</v>
      </c>
      <c r="I445">
        <v>255</v>
      </c>
      <c r="J445">
        <v>995</v>
      </c>
      <c r="K445" s="4">
        <v>368</v>
      </c>
      <c r="L445" t="s">
        <v>27</v>
      </c>
    </row>
    <row r="446" spans="1:12" x14ac:dyDescent="0.35">
      <c r="A446" t="s">
        <v>18</v>
      </c>
      <c r="B446">
        <v>1128299</v>
      </c>
      <c r="C446" s="1">
        <v>44217</v>
      </c>
      <c r="D446" t="s">
        <v>48</v>
      </c>
      <c r="E446" t="s">
        <v>66</v>
      </c>
      <c r="F446" t="s">
        <v>67</v>
      </c>
      <c r="G446" t="s">
        <v>56</v>
      </c>
      <c r="H446" s="2">
        <v>52</v>
      </c>
      <c r="I446">
        <v>255</v>
      </c>
      <c r="J446" s="3">
        <v>1326</v>
      </c>
      <c r="K446" s="4">
        <v>451</v>
      </c>
      <c r="L446" t="s">
        <v>27</v>
      </c>
    </row>
    <row r="447" spans="1:12" x14ac:dyDescent="0.35">
      <c r="A447" t="s">
        <v>12</v>
      </c>
      <c r="B447">
        <v>1128299</v>
      </c>
      <c r="C447" s="1">
        <v>44425</v>
      </c>
      <c r="D447" t="s">
        <v>13</v>
      </c>
      <c r="E447" t="s">
        <v>14</v>
      </c>
      <c r="F447" t="s">
        <v>15</v>
      </c>
      <c r="G447" t="s">
        <v>26</v>
      </c>
      <c r="H447" s="2">
        <v>68</v>
      </c>
      <c r="I447">
        <v>255</v>
      </c>
      <c r="J447" s="3">
        <v>1734</v>
      </c>
      <c r="K447" s="4">
        <v>624</v>
      </c>
      <c r="L447" t="s">
        <v>27</v>
      </c>
    </row>
    <row r="448" spans="1:12" x14ac:dyDescent="0.35">
      <c r="A448" t="s">
        <v>18</v>
      </c>
      <c r="B448">
        <v>1128299</v>
      </c>
      <c r="C448" s="1">
        <v>44425</v>
      </c>
      <c r="D448" t="s">
        <v>19</v>
      </c>
      <c r="E448" t="s">
        <v>20</v>
      </c>
      <c r="F448" t="s">
        <v>21</v>
      </c>
      <c r="G448" t="s">
        <v>26</v>
      </c>
      <c r="H448" s="2">
        <v>73</v>
      </c>
      <c r="I448">
        <v>255</v>
      </c>
      <c r="J448" s="3">
        <v>1862</v>
      </c>
      <c r="K448" s="4">
        <v>875</v>
      </c>
      <c r="L448" t="s">
        <v>27</v>
      </c>
    </row>
    <row r="449" spans="1:12" x14ac:dyDescent="0.35">
      <c r="A449" t="s">
        <v>42</v>
      </c>
      <c r="B449">
        <v>1197831</v>
      </c>
      <c r="C449" s="1">
        <v>44416</v>
      </c>
      <c r="D449" t="s">
        <v>48</v>
      </c>
      <c r="E449" t="s">
        <v>79</v>
      </c>
      <c r="F449" t="s">
        <v>80</v>
      </c>
      <c r="G449" t="s">
        <v>39</v>
      </c>
      <c r="H449" s="2">
        <v>37</v>
      </c>
      <c r="I449">
        <v>255</v>
      </c>
      <c r="J449">
        <v>944</v>
      </c>
      <c r="K449" s="4">
        <v>406</v>
      </c>
      <c r="L449" t="s">
        <v>27</v>
      </c>
    </row>
    <row r="450" spans="1:12" x14ac:dyDescent="0.35">
      <c r="A450" t="s">
        <v>12</v>
      </c>
      <c r="B450">
        <v>1185732</v>
      </c>
      <c r="C450" s="1">
        <v>43952</v>
      </c>
      <c r="D450" t="s">
        <v>43</v>
      </c>
      <c r="E450" t="s">
        <v>44</v>
      </c>
      <c r="F450" t="s">
        <v>44</v>
      </c>
      <c r="G450" t="s">
        <v>70</v>
      </c>
      <c r="H450" s="2">
        <v>64</v>
      </c>
      <c r="I450">
        <v>254</v>
      </c>
      <c r="J450" s="3">
        <v>1626</v>
      </c>
      <c r="K450" s="4">
        <v>683</v>
      </c>
      <c r="L450" t="s">
        <v>17</v>
      </c>
    </row>
    <row r="451" spans="1:12" x14ac:dyDescent="0.35">
      <c r="A451" t="s">
        <v>23</v>
      </c>
      <c r="B451">
        <v>1197831</v>
      </c>
      <c r="C451" s="1">
        <v>44043</v>
      </c>
      <c r="D451" t="s">
        <v>19</v>
      </c>
      <c r="E451" t="s">
        <v>59</v>
      </c>
      <c r="F451" t="s">
        <v>60</v>
      </c>
      <c r="G451" t="s">
        <v>26</v>
      </c>
      <c r="H451" s="2">
        <v>29</v>
      </c>
      <c r="I451">
        <v>254</v>
      </c>
      <c r="J451">
        <v>737</v>
      </c>
      <c r="K451" s="4">
        <v>331</v>
      </c>
      <c r="L451" t="s">
        <v>17</v>
      </c>
    </row>
    <row r="452" spans="1:12" x14ac:dyDescent="0.35">
      <c r="A452" t="s">
        <v>23</v>
      </c>
      <c r="B452">
        <v>1197831</v>
      </c>
      <c r="C452" s="1">
        <v>44457</v>
      </c>
      <c r="D452" t="s">
        <v>19</v>
      </c>
      <c r="E452" t="s">
        <v>59</v>
      </c>
      <c r="F452" t="s">
        <v>68</v>
      </c>
      <c r="G452" t="s">
        <v>32</v>
      </c>
      <c r="H452" s="2">
        <v>44</v>
      </c>
      <c r="I452">
        <v>254</v>
      </c>
      <c r="J452" s="3">
        <v>1118</v>
      </c>
      <c r="K452" s="4">
        <v>615</v>
      </c>
      <c r="L452" t="s">
        <v>17</v>
      </c>
    </row>
    <row r="453" spans="1:12" x14ac:dyDescent="0.35">
      <c r="A453" t="s">
        <v>23</v>
      </c>
      <c r="B453">
        <v>1185732</v>
      </c>
      <c r="C453" s="1">
        <v>43975</v>
      </c>
      <c r="D453" t="s">
        <v>13</v>
      </c>
      <c r="E453" t="s">
        <v>14</v>
      </c>
      <c r="F453" t="s">
        <v>73</v>
      </c>
      <c r="G453" t="s">
        <v>39</v>
      </c>
      <c r="H453" s="2">
        <v>51</v>
      </c>
      <c r="I453">
        <v>254</v>
      </c>
      <c r="J453" s="3">
        <v>1295</v>
      </c>
      <c r="K453" s="4">
        <v>609</v>
      </c>
      <c r="L453" t="s">
        <v>17</v>
      </c>
    </row>
    <row r="454" spans="1:12" x14ac:dyDescent="0.35">
      <c r="A454" t="s">
        <v>23</v>
      </c>
      <c r="B454">
        <v>1197831</v>
      </c>
      <c r="C454" s="1">
        <v>44447</v>
      </c>
      <c r="D454" t="s">
        <v>19</v>
      </c>
      <c r="E454" t="s">
        <v>24</v>
      </c>
      <c r="F454" t="s">
        <v>25</v>
      </c>
      <c r="G454" t="s">
        <v>32</v>
      </c>
      <c r="H454" s="2">
        <v>41</v>
      </c>
      <c r="I454">
        <v>254</v>
      </c>
      <c r="J454" s="3">
        <v>1041</v>
      </c>
      <c r="K454" s="4">
        <v>656</v>
      </c>
      <c r="L454" t="s">
        <v>17</v>
      </c>
    </row>
    <row r="455" spans="1:12" x14ac:dyDescent="0.35">
      <c r="A455" t="s">
        <v>18</v>
      </c>
      <c r="B455">
        <v>1128299</v>
      </c>
      <c r="C455" s="1">
        <v>44192</v>
      </c>
      <c r="D455" t="s">
        <v>48</v>
      </c>
      <c r="E455" t="s">
        <v>66</v>
      </c>
      <c r="F455" t="s">
        <v>67</v>
      </c>
      <c r="G455" t="s">
        <v>32</v>
      </c>
      <c r="H455" s="2">
        <v>46</v>
      </c>
      <c r="I455">
        <v>254</v>
      </c>
      <c r="J455" s="3">
        <v>1168</v>
      </c>
      <c r="K455" s="4">
        <v>456</v>
      </c>
      <c r="L455" t="s">
        <v>27</v>
      </c>
    </row>
    <row r="456" spans="1:12" x14ac:dyDescent="0.35">
      <c r="A456" t="s">
        <v>18</v>
      </c>
      <c r="B456">
        <v>1128299</v>
      </c>
      <c r="C456" s="1">
        <v>44219</v>
      </c>
      <c r="D456" t="s">
        <v>48</v>
      </c>
      <c r="E456" t="s">
        <v>66</v>
      </c>
      <c r="F456" t="s">
        <v>67</v>
      </c>
      <c r="G456" t="s">
        <v>16</v>
      </c>
      <c r="H456" s="2">
        <v>60</v>
      </c>
      <c r="I456">
        <v>254</v>
      </c>
      <c r="J456" s="3">
        <v>1524</v>
      </c>
      <c r="K456" s="4">
        <v>335</v>
      </c>
      <c r="L456" t="s">
        <v>27</v>
      </c>
    </row>
    <row r="457" spans="1:12" x14ac:dyDescent="0.35">
      <c r="A457" t="s">
        <v>23</v>
      </c>
      <c r="B457">
        <v>1197831</v>
      </c>
      <c r="C457" s="1">
        <v>44469</v>
      </c>
      <c r="D457" t="s">
        <v>19</v>
      </c>
      <c r="E457" t="s">
        <v>59</v>
      </c>
      <c r="F457" t="s">
        <v>68</v>
      </c>
      <c r="G457" t="s">
        <v>32</v>
      </c>
      <c r="H457" s="2">
        <v>47</v>
      </c>
      <c r="I457">
        <v>254</v>
      </c>
      <c r="J457" s="3">
        <v>1194</v>
      </c>
      <c r="K457" s="4">
        <v>537</v>
      </c>
      <c r="L457" t="s">
        <v>27</v>
      </c>
    </row>
    <row r="458" spans="1:12" x14ac:dyDescent="0.35">
      <c r="A458" t="s">
        <v>42</v>
      </c>
      <c r="B458">
        <v>1185732</v>
      </c>
      <c r="C458" s="1">
        <v>43863</v>
      </c>
      <c r="D458" t="s">
        <v>43</v>
      </c>
      <c r="E458" t="s">
        <v>44</v>
      </c>
      <c r="F458" t="s">
        <v>44</v>
      </c>
      <c r="G458" t="s">
        <v>32</v>
      </c>
      <c r="H458" s="2">
        <v>39</v>
      </c>
      <c r="I458">
        <v>252</v>
      </c>
      <c r="J458">
        <v>983</v>
      </c>
      <c r="K458" s="4">
        <v>491</v>
      </c>
      <c r="L458" t="s">
        <v>17</v>
      </c>
    </row>
    <row r="459" spans="1:12" x14ac:dyDescent="0.35">
      <c r="A459" t="s">
        <v>42</v>
      </c>
      <c r="B459">
        <v>1185732</v>
      </c>
      <c r="C459" s="1">
        <v>43898</v>
      </c>
      <c r="D459" t="s">
        <v>43</v>
      </c>
      <c r="E459" t="s">
        <v>44</v>
      </c>
      <c r="F459" t="s">
        <v>44</v>
      </c>
      <c r="G459" t="s">
        <v>70</v>
      </c>
      <c r="H459" s="2">
        <v>55</v>
      </c>
      <c r="I459">
        <v>252</v>
      </c>
      <c r="J459" s="3">
        <v>1386</v>
      </c>
      <c r="K459" s="4">
        <v>624</v>
      </c>
      <c r="L459" t="s">
        <v>17</v>
      </c>
    </row>
    <row r="460" spans="1:12" x14ac:dyDescent="0.35">
      <c r="A460" t="s">
        <v>12</v>
      </c>
      <c r="B460">
        <v>1185732</v>
      </c>
      <c r="C460" s="1">
        <v>43943</v>
      </c>
      <c r="D460" t="s">
        <v>43</v>
      </c>
      <c r="E460" t="s">
        <v>44</v>
      </c>
      <c r="F460" t="s">
        <v>44</v>
      </c>
      <c r="G460" t="s">
        <v>56</v>
      </c>
      <c r="H460" s="2">
        <v>47</v>
      </c>
      <c r="I460">
        <v>252</v>
      </c>
      <c r="J460" s="3">
        <v>1184</v>
      </c>
      <c r="K460" s="4">
        <v>545</v>
      </c>
      <c r="L460" t="s">
        <v>17</v>
      </c>
    </row>
    <row r="461" spans="1:12" x14ac:dyDescent="0.35">
      <c r="A461" t="s">
        <v>12</v>
      </c>
      <c r="B461">
        <v>1185732</v>
      </c>
      <c r="C461" s="1">
        <v>43944</v>
      </c>
      <c r="D461" t="s">
        <v>43</v>
      </c>
      <c r="E461" t="s">
        <v>44</v>
      </c>
      <c r="F461" t="s">
        <v>44</v>
      </c>
      <c r="G461" t="s">
        <v>70</v>
      </c>
      <c r="H461" s="2">
        <v>58</v>
      </c>
      <c r="I461">
        <v>252</v>
      </c>
      <c r="J461" s="3">
        <v>1462</v>
      </c>
      <c r="K461" s="4">
        <v>585</v>
      </c>
      <c r="L461" t="s">
        <v>17</v>
      </c>
    </row>
    <row r="462" spans="1:12" x14ac:dyDescent="0.35">
      <c r="A462" t="s">
        <v>12</v>
      </c>
      <c r="B462">
        <v>1185732</v>
      </c>
      <c r="C462" s="1">
        <v>43951</v>
      </c>
      <c r="D462" t="s">
        <v>43</v>
      </c>
      <c r="E462" t="s">
        <v>44</v>
      </c>
      <c r="F462" t="s">
        <v>44</v>
      </c>
      <c r="G462" t="s">
        <v>56</v>
      </c>
      <c r="H462" s="2">
        <v>50</v>
      </c>
      <c r="I462">
        <v>252</v>
      </c>
      <c r="J462" s="3">
        <v>1260</v>
      </c>
      <c r="K462" s="4">
        <v>617</v>
      </c>
      <c r="L462" t="s">
        <v>17</v>
      </c>
    </row>
    <row r="463" spans="1:12" x14ac:dyDescent="0.35">
      <c r="A463" t="s">
        <v>18</v>
      </c>
      <c r="B463">
        <v>1128299</v>
      </c>
      <c r="C463" s="1">
        <v>44196</v>
      </c>
      <c r="D463" t="s">
        <v>48</v>
      </c>
      <c r="E463" t="s">
        <v>66</v>
      </c>
      <c r="F463" t="s">
        <v>67</v>
      </c>
      <c r="G463" t="s">
        <v>26</v>
      </c>
      <c r="H463" s="2">
        <v>56</v>
      </c>
      <c r="I463">
        <v>252</v>
      </c>
      <c r="J463" s="3">
        <v>1411</v>
      </c>
      <c r="K463" s="4">
        <v>706</v>
      </c>
      <c r="L463" t="s">
        <v>17</v>
      </c>
    </row>
    <row r="464" spans="1:12" x14ac:dyDescent="0.35">
      <c r="A464" t="s">
        <v>63</v>
      </c>
      <c r="B464">
        <v>1189833</v>
      </c>
      <c r="C464" s="1">
        <v>44317</v>
      </c>
      <c r="D464" t="s">
        <v>48</v>
      </c>
      <c r="E464" t="s">
        <v>66</v>
      </c>
      <c r="F464" t="s">
        <v>76</v>
      </c>
      <c r="G464" t="s">
        <v>26</v>
      </c>
      <c r="H464" s="2">
        <v>47</v>
      </c>
      <c r="I464">
        <v>252</v>
      </c>
      <c r="J464" s="3">
        <v>1184</v>
      </c>
      <c r="K464" s="4">
        <v>616</v>
      </c>
      <c r="L464" t="s">
        <v>17</v>
      </c>
    </row>
    <row r="465" spans="1:12" x14ac:dyDescent="0.35">
      <c r="A465" t="s">
        <v>18</v>
      </c>
      <c r="B465">
        <v>1185732</v>
      </c>
      <c r="C465" s="1">
        <v>44092</v>
      </c>
      <c r="D465" t="s">
        <v>13</v>
      </c>
      <c r="E465" t="s">
        <v>14</v>
      </c>
      <c r="F465" t="s">
        <v>73</v>
      </c>
      <c r="G465" t="s">
        <v>39</v>
      </c>
      <c r="H465" s="2">
        <v>55</v>
      </c>
      <c r="I465">
        <v>252</v>
      </c>
      <c r="J465" s="3">
        <v>1386</v>
      </c>
      <c r="K465" s="4">
        <v>624</v>
      </c>
      <c r="L465" t="s">
        <v>17</v>
      </c>
    </row>
    <row r="466" spans="1:12" x14ac:dyDescent="0.35">
      <c r="A466" t="s">
        <v>18</v>
      </c>
      <c r="B466">
        <v>1185732</v>
      </c>
      <c r="C466" s="1">
        <v>44263</v>
      </c>
      <c r="D466" t="s">
        <v>43</v>
      </c>
      <c r="E466" t="s">
        <v>44</v>
      </c>
      <c r="F466" t="s">
        <v>101</v>
      </c>
      <c r="G466" t="s">
        <v>26</v>
      </c>
      <c r="H466" s="2">
        <v>44</v>
      </c>
      <c r="I466">
        <v>252</v>
      </c>
      <c r="J466" s="3">
        <v>1109</v>
      </c>
      <c r="K466" s="4">
        <v>654</v>
      </c>
      <c r="L466" t="s">
        <v>17</v>
      </c>
    </row>
    <row r="467" spans="1:12" x14ac:dyDescent="0.35">
      <c r="A467" t="s">
        <v>51</v>
      </c>
      <c r="B467">
        <v>1185732</v>
      </c>
      <c r="C467" s="1">
        <v>44386</v>
      </c>
      <c r="D467" t="s">
        <v>33</v>
      </c>
      <c r="E467" t="s">
        <v>52</v>
      </c>
      <c r="F467" t="s">
        <v>53</v>
      </c>
      <c r="G467" t="s">
        <v>26</v>
      </c>
      <c r="H467" s="2">
        <v>63</v>
      </c>
      <c r="I467">
        <v>252</v>
      </c>
      <c r="J467" s="3">
        <v>1588</v>
      </c>
      <c r="K467" s="4">
        <v>826</v>
      </c>
      <c r="L467" t="s">
        <v>17</v>
      </c>
    </row>
    <row r="468" spans="1:12" x14ac:dyDescent="0.35">
      <c r="A468" t="s">
        <v>42</v>
      </c>
      <c r="B468">
        <v>1185732</v>
      </c>
      <c r="C468" s="1">
        <v>44122</v>
      </c>
      <c r="D468" t="s">
        <v>13</v>
      </c>
      <c r="E468" t="s">
        <v>14</v>
      </c>
      <c r="F468" t="s">
        <v>73</v>
      </c>
      <c r="G468" t="s">
        <v>39</v>
      </c>
      <c r="H468" s="2">
        <v>35</v>
      </c>
      <c r="I468">
        <v>250</v>
      </c>
      <c r="J468" s="3">
        <v>8750</v>
      </c>
      <c r="K468" s="4">
        <v>2625</v>
      </c>
      <c r="L468" t="s">
        <v>36</v>
      </c>
    </row>
    <row r="469" spans="1:12" x14ac:dyDescent="0.35">
      <c r="A469" t="s">
        <v>42</v>
      </c>
      <c r="B469">
        <v>1185732</v>
      </c>
      <c r="C469" s="1">
        <v>44123</v>
      </c>
      <c r="D469" t="s">
        <v>13</v>
      </c>
      <c r="E469" t="s">
        <v>14</v>
      </c>
      <c r="F469" t="s">
        <v>73</v>
      </c>
      <c r="G469" t="s">
        <v>32</v>
      </c>
      <c r="H469" s="2">
        <v>25</v>
      </c>
      <c r="I469">
        <v>250</v>
      </c>
      <c r="J469" s="3">
        <v>6250</v>
      </c>
      <c r="K469" s="4">
        <v>1875</v>
      </c>
      <c r="L469" t="s">
        <v>36</v>
      </c>
    </row>
    <row r="470" spans="1:12" x14ac:dyDescent="0.35">
      <c r="A470" t="s">
        <v>42</v>
      </c>
      <c r="B470">
        <v>1185732</v>
      </c>
      <c r="C470" s="1">
        <v>44126</v>
      </c>
      <c r="D470" t="s">
        <v>33</v>
      </c>
      <c r="E470" t="s">
        <v>104</v>
      </c>
      <c r="F470" t="s">
        <v>105</v>
      </c>
      <c r="G470" t="s">
        <v>16</v>
      </c>
      <c r="H470" s="2">
        <v>35</v>
      </c>
      <c r="I470">
        <v>250</v>
      </c>
      <c r="J470" s="3">
        <v>8750</v>
      </c>
      <c r="K470" s="4">
        <v>3938</v>
      </c>
      <c r="L470" t="s">
        <v>36</v>
      </c>
    </row>
    <row r="471" spans="1:12" x14ac:dyDescent="0.35">
      <c r="A471" t="s">
        <v>51</v>
      </c>
      <c r="B471">
        <v>1185732</v>
      </c>
      <c r="C471" s="1">
        <v>44483</v>
      </c>
      <c r="D471" t="s">
        <v>19</v>
      </c>
      <c r="E471" t="s">
        <v>24</v>
      </c>
      <c r="F471" t="s">
        <v>25</v>
      </c>
      <c r="G471" t="s">
        <v>32</v>
      </c>
      <c r="H471" s="2">
        <v>30</v>
      </c>
      <c r="I471">
        <v>250</v>
      </c>
      <c r="J471" s="3">
        <v>7500</v>
      </c>
      <c r="K471" s="4">
        <v>3000</v>
      </c>
      <c r="L471" t="s">
        <v>27</v>
      </c>
    </row>
    <row r="472" spans="1:12" x14ac:dyDescent="0.35">
      <c r="A472" t="s">
        <v>42</v>
      </c>
      <c r="B472">
        <v>1185732</v>
      </c>
      <c r="C472" s="1">
        <v>44245</v>
      </c>
      <c r="D472" t="s">
        <v>33</v>
      </c>
      <c r="E472" t="s">
        <v>34</v>
      </c>
      <c r="F472" t="s">
        <v>35</v>
      </c>
      <c r="G472" t="s">
        <v>56</v>
      </c>
      <c r="H472" s="2">
        <v>25</v>
      </c>
      <c r="I472">
        <v>250</v>
      </c>
      <c r="J472" s="3">
        <v>6250</v>
      </c>
      <c r="K472" s="4">
        <v>2500</v>
      </c>
      <c r="L472" t="s">
        <v>36</v>
      </c>
    </row>
    <row r="473" spans="1:12" x14ac:dyDescent="0.35">
      <c r="A473" t="s">
        <v>42</v>
      </c>
      <c r="B473">
        <v>1185732</v>
      </c>
      <c r="C473" s="1">
        <v>44487</v>
      </c>
      <c r="D473" t="s">
        <v>33</v>
      </c>
      <c r="E473" t="s">
        <v>34</v>
      </c>
      <c r="F473" t="s">
        <v>35</v>
      </c>
      <c r="G473" t="s">
        <v>32</v>
      </c>
      <c r="H473" s="2">
        <v>25</v>
      </c>
      <c r="I473">
        <v>250</v>
      </c>
      <c r="J473" s="3">
        <v>6250</v>
      </c>
      <c r="K473" s="4">
        <v>2188</v>
      </c>
      <c r="L473" t="s">
        <v>36</v>
      </c>
    </row>
    <row r="474" spans="1:12" x14ac:dyDescent="0.35">
      <c r="A474" t="s">
        <v>18</v>
      </c>
      <c r="B474">
        <v>1185732</v>
      </c>
      <c r="C474" s="1">
        <v>44265</v>
      </c>
      <c r="D474" t="s">
        <v>48</v>
      </c>
      <c r="E474" t="s">
        <v>49</v>
      </c>
      <c r="F474" t="s">
        <v>50</v>
      </c>
      <c r="G474" t="s">
        <v>56</v>
      </c>
      <c r="H474" s="2">
        <v>25</v>
      </c>
      <c r="I474">
        <v>250</v>
      </c>
      <c r="J474" s="3">
        <v>6250</v>
      </c>
      <c r="K474" s="4">
        <v>2500</v>
      </c>
      <c r="L474" t="s">
        <v>36</v>
      </c>
    </row>
    <row r="475" spans="1:12" x14ac:dyDescent="0.35">
      <c r="A475" t="s">
        <v>18</v>
      </c>
      <c r="B475">
        <v>1185732</v>
      </c>
      <c r="C475" s="1">
        <v>44297</v>
      </c>
      <c r="D475" t="s">
        <v>48</v>
      </c>
      <c r="E475" t="s">
        <v>49</v>
      </c>
      <c r="F475" t="s">
        <v>50</v>
      </c>
      <c r="G475" t="s">
        <v>56</v>
      </c>
      <c r="H475" s="2">
        <v>20</v>
      </c>
      <c r="I475">
        <v>250</v>
      </c>
      <c r="J475" s="3">
        <v>5000</v>
      </c>
      <c r="K475" s="4">
        <v>2000</v>
      </c>
      <c r="L475" t="s">
        <v>36</v>
      </c>
    </row>
    <row r="476" spans="1:12" x14ac:dyDescent="0.35">
      <c r="A476" t="s">
        <v>51</v>
      </c>
      <c r="B476">
        <v>1185732</v>
      </c>
      <c r="C476" s="1">
        <v>44249</v>
      </c>
      <c r="D476" t="s">
        <v>33</v>
      </c>
      <c r="E476" t="s">
        <v>52</v>
      </c>
      <c r="F476" t="s">
        <v>53</v>
      </c>
      <c r="G476" t="s">
        <v>32</v>
      </c>
      <c r="H476" s="2">
        <v>30</v>
      </c>
      <c r="I476">
        <v>250</v>
      </c>
      <c r="J476" s="3">
        <v>7500</v>
      </c>
      <c r="K476" s="4">
        <v>3000</v>
      </c>
      <c r="L476" t="s">
        <v>17</v>
      </c>
    </row>
    <row r="477" spans="1:12" x14ac:dyDescent="0.35">
      <c r="A477" t="s">
        <v>51</v>
      </c>
      <c r="B477">
        <v>1185732</v>
      </c>
      <c r="C477" s="1">
        <v>44276</v>
      </c>
      <c r="D477" t="s">
        <v>13</v>
      </c>
      <c r="E477" t="s">
        <v>106</v>
      </c>
      <c r="F477" t="s">
        <v>107</v>
      </c>
      <c r="G477" t="s">
        <v>32</v>
      </c>
      <c r="H477" s="2">
        <v>35</v>
      </c>
      <c r="I477">
        <v>250</v>
      </c>
      <c r="J477" s="3">
        <v>8750</v>
      </c>
      <c r="K477" s="4">
        <v>3500</v>
      </c>
      <c r="L477" t="s">
        <v>17</v>
      </c>
    </row>
    <row r="478" spans="1:12" x14ac:dyDescent="0.35">
      <c r="A478" t="s">
        <v>12</v>
      </c>
      <c r="B478">
        <v>1197831</v>
      </c>
      <c r="C478" s="1">
        <v>44248</v>
      </c>
      <c r="D478" t="s">
        <v>19</v>
      </c>
      <c r="E478" t="s">
        <v>54</v>
      </c>
      <c r="F478" t="s">
        <v>55</v>
      </c>
      <c r="G478" t="s">
        <v>56</v>
      </c>
      <c r="H478" s="2">
        <v>20</v>
      </c>
      <c r="I478">
        <v>250</v>
      </c>
      <c r="J478" s="3">
        <v>5000</v>
      </c>
      <c r="K478" s="4">
        <v>2000</v>
      </c>
      <c r="L478" t="s">
        <v>17</v>
      </c>
    </row>
    <row r="479" spans="1:12" x14ac:dyDescent="0.35">
      <c r="A479" t="s">
        <v>12</v>
      </c>
      <c r="B479">
        <v>1197831</v>
      </c>
      <c r="C479" s="1">
        <v>44274</v>
      </c>
      <c r="D479" t="s">
        <v>19</v>
      </c>
      <c r="E479" t="s">
        <v>54</v>
      </c>
      <c r="F479" t="s">
        <v>55</v>
      </c>
      <c r="G479" t="s">
        <v>70</v>
      </c>
      <c r="H479" s="2">
        <v>35</v>
      </c>
      <c r="I479">
        <v>250</v>
      </c>
      <c r="J479" s="3">
        <v>8750</v>
      </c>
      <c r="K479" s="4">
        <v>3063</v>
      </c>
      <c r="L479" t="s">
        <v>17</v>
      </c>
    </row>
    <row r="480" spans="1:12" x14ac:dyDescent="0.35">
      <c r="A480" t="s">
        <v>18</v>
      </c>
      <c r="B480">
        <v>1197831</v>
      </c>
      <c r="C480" s="1">
        <v>44248</v>
      </c>
      <c r="D480" t="s">
        <v>19</v>
      </c>
      <c r="E480" t="s">
        <v>61</v>
      </c>
      <c r="F480" t="s">
        <v>62</v>
      </c>
      <c r="G480" t="s">
        <v>70</v>
      </c>
      <c r="H480" s="2">
        <v>35</v>
      </c>
      <c r="I480">
        <v>250</v>
      </c>
      <c r="J480" s="3">
        <v>8750</v>
      </c>
      <c r="K480" s="4">
        <v>3063</v>
      </c>
      <c r="L480" t="s">
        <v>17</v>
      </c>
    </row>
    <row r="481" spans="1:12" x14ac:dyDescent="0.35">
      <c r="A481" t="s">
        <v>18</v>
      </c>
      <c r="B481">
        <v>1197831</v>
      </c>
      <c r="C481" s="1">
        <v>44274</v>
      </c>
      <c r="D481" t="s">
        <v>19</v>
      </c>
      <c r="E481" t="s">
        <v>61</v>
      </c>
      <c r="F481" t="s">
        <v>62</v>
      </c>
      <c r="G481" t="s">
        <v>39</v>
      </c>
      <c r="H481" s="2">
        <v>20</v>
      </c>
      <c r="I481">
        <v>250</v>
      </c>
      <c r="J481" s="3">
        <v>5000</v>
      </c>
      <c r="K481" s="4">
        <v>1750</v>
      </c>
      <c r="L481" t="s">
        <v>17</v>
      </c>
    </row>
    <row r="482" spans="1:12" x14ac:dyDescent="0.35">
      <c r="A482" t="s">
        <v>18</v>
      </c>
      <c r="B482">
        <v>1197831</v>
      </c>
      <c r="C482" s="1">
        <v>44458</v>
      </c>
      <c r="D482" t="s">
        <v>19</v>
      </c>
      <c r="E482" t="s">
        <v>61</v>
      </c>
      <c r="F482" t="s">
        <v>62</v>
      </c>
      <c r="G482" t="s">
        <v>56</v>
      </c>
      <c r="H482" s="2">
        <v>15</v>
      </c>
      <c r="I482">
        <v>250</v>
      </c>
      <c r="J482" s="3">
        <v>3750</v>
      </c>
      <c r="K482" s="4">
        <v>1500</v>
      </c>
      <c r="L482" t="s">
        <v>17</v>
      </c>
    </row>
    <row r="483" spans="1:12" x14ac:dyDescent="0.35">
      <c r="A483" t="s">
        <v>18</v>
      </c>
      <c r="B483">
        <v>1197831</v>
      </c>
      <c r="C483" s="1">
        <v>44458</v>
      </c>
      <c r="D483" t="s">
        <v>19</v>
      </c>
      <c r="E483" t="s">
        <v>61</v>
      </c>
      <c r="F483" t="s">
        <v>62</v>
      </c>
      <c r="G483" t="s">
        <v>70</v>
      </c>
      <c r="H483" s="2">
        <v>25</v>
      </c>
      <c r="I483">
        <v>250</v>
      </c>
      <c r="J483" s="3">
        <v>6250</v>
      </c>
      <c r="K483" s="4">
        <v>2188</v>
      </c>
      <c r="L483" t="s">
        <v>17</v>
      </c>
    </row>
    <row r="484" spans="1:12" x14ac:dyDescent="0.35">
      <c r="A484" t="s">
        <v>63</v>
      </c>
      <c r="B484">
        <v>1197831</v>
      </c>
      <c r="C484" s="1">
        <v>44212</v>
      </c>
      <c r="D484" t="s">
        <v>19</v>
      </c>
      <c r="E484" t="s">
        <v>61</v>
      </c>
      <c r="F484" t="s">
        <v>62</v>
      </c>
      <c r="G484" t="s">
        <v>70</v>
      </c>
      <c r="H484" s="2">
        <v>35</v>
      </c>
      <c r="I484">
        <v>250</v>
      </c>
      <c r="J484" s="3">
        <v>8750</v>
      </c>
      <c r="K484" s="4">
        <v>3063</v>
      </c>
      <c r="L484" t="s">
        <v>17</v>
      </c>
    </row>
    <row r="485" spans="1:12" x14ac:dyDescent="0.35">
      <c r="A485" t="s">
        <v>63</v>
      </c>
      <c r="B485">
        <v>1197831</v>
      </c>
      <c r="C485" s="1">
        <v>44241</v>
      </c>
      <c r="D485" t="s">
        <v>19</v>
      </c>
      <c r="E485" t="s">
        <v>61</v>
      </c>
      <c r="F485" t="s">
        <v>62</v>
      </c>
      <c r="G485" t="s">
        <v>39</v>
      </c>
      <c r="H485" s="2">
        <v>25</v>
      </c>
      <c r="I485">
        <v>250</v>
      </c>
      <c r="J485" s="3">
        <v>6250</v>
      </c>
      <c r="K485" s="4">
        <v>2188</v>
      </c>
      <c r="L485" t="s">
        <v>17</v>
      </c>
    </row>
    <row r="486" spans="1:12" x14ac:dyDescent="0.35">
      <c r="A486" t="s">
        <v>63</v>
      </c>
      <c r="B486">
        <v>1197831</v>
      </c>
      <c r="C486" s="1">
        <v>44267</v>
      </c>
      <c r="D486" t="s">
        <v>33</v>
      </c>
      <c r="E486" t="s">
        <v>71</v>
      </c>
      <c r="F486" t="s">
        <v>72</v>
      </c>
      <c r="G486" t="s">
        <v>32</v>
      </c>
      <c r="H486" s="2">
        <v>10</v>
      </c>
      <c r="I486">
        <v>250</v>
      </c>
      <c r="J486" s="3">
        <v>2500</v>
      </c>
      <c r="K486" s="4">
        <v>875</v>
      </c>
      <c r="L486" t="s">
        <v>17</v>
      </c>
    </row>
    <row r="487" spans="1:12" x14ac:dyDescent="0.35">
      <c r="A487" t="s">
        <v>63</v>
      </c>
      <c r="B487">
        <v>1197831</v>
      </c>
      <c r="C487" s="1">
        <v>44267</v>
      </c>
      <c r="D487" t="s">
        <v>33</v>
      </c>
      <c r="E487" t="s">
        <v>71</v>
      </c>
      <c r="F487" t="s">
        <v>72</v>
      </c>
      <c r="G487" t="s">
        <v>16</v>
      </c>
      <c r="H487" s="2">
        <v>25</v>
      </c>
      <c r="I487">
        <v>250</v>
      </c>
      <c r="J487" s="3">
        <v>6250</v>
      </c>
      <c r="K487" s="4">
        <v>2188</v>
      </c>
      <c r="L487" t="s">
        <v>17</v>
      </c>
    </row>
    <row r="488" spans="1:12" x14ac:dyDescent="0.35">
      <c r="A488" t="s">
        <v>63</v>
      </c>
      <c r="B488">
        <v>1197831</v>
      </c>
      <c r="C488" s="1">
        <v>44328</v>
      </c>
      <c r="D488" t="s">
        <v>33</v>
      </c>
      <c r="E488" t="s">
        <v>71</v>
      </c>
      <c r="F488" t="s">
        <v>72</v>
      </c>
      <c r="G488" t="s">
        <v>32</v>
      </c>
      <c r="H488" s="2">
        <v>35</v>
      </c>
      <c r="I488">
        <v>250</v>
      </c>
      <c r="J488" s="3">
        <v>8750</v>
      </c>
      <c r="K488" s="4">
        <v>3063</v>
      </c>
      <c r="L488" t="s">
        <v>17</v>
      </c>
    </row>
    <row r="489" spans="1:12" x14ac:dyDescent="0.35">
      <c r="A489" t="s">
        <v>63</v>
      </c>
      <c r="B489">
        <v>1197831</v>
      </c>
      <c r="C489" s="1">
        <v>44451</v>
      </c>
      <c r="D489" t="s">
        <v>33</v>
      </c>
      <c r="E489" t="s">
        <v>71</v>
      </c>
      <c r="F489" t="s">
        <v>72</v>
      </c>
      <c r="G489" t="s">
        <v>32</v>
      </c>
      <c r="H489" s="2">
        <v>15</v>
      </c>
      <c r="I489">
        <v>250</v>
      </c>
      <c r="J489" s="3">
        <v>3750</v>
      </c>
      <c r="K489" s="4">
        <v>1313</v>
      </c>
      <c r="L489" t="s">
        <v>17</v>
      </c>
    </row>
    <row r="490" spans="1:12" x14ac:dyDescent="0.35">
      <c r="A490" t="s">
        <v>23</v>
      </c>
      <c r="B490">
        <v>1185732</v>
      </c>
      <c r="C490" s="1">
        <v>44356</v>
      </c>
      <c r="D490" t="s">
        <v>33</v>
      </c>
      <c r="E490" t="s">
        <v>89</v>
      </c>
      <c r="F490" t="s">
        <v>90</v>
      </c>
      <c r="G490" t="s">
        <v>39</v>
      </c>
      <c r="H490" s="2">
        <v>35</v>
      </c>
      <c r="I490">
        <v>250</v>
      </c>
      <c r="J490" s="3">
        <v>8750</v>
      </c>
      <c r="K490" s="4">
        <v>2625</v>
      </c>
      <c r="L490" t="s">
        <v>36</v>
      </c>
    </row>
    <row r="491" spans="1:12" x14ac:dyDescent="0.35">
      <c r="A491" t="s">
        <v>42</v>
      </c>
      <c r="B491">
        <v>1185732</v>
      </c>
      <c r="C491" s="1">
        <v>44202</v>
      </c>
      <c r="D491" t="s">
        <v>33</v>
      </c>
      <c r="E491" t="s">
        <v>89</v>
      </c>
      <c r="F491" t="s">
        <v>90</v>
      </c>
      <c r="G491" t="s">
        <v>39</v>
      </c>
      <c r="H491" s="2">
        <v>30</v>
      </c>
      <c r="I491">
        <v>250</v>
      </c>
      <c r="J491" s="3">
        <v>7500</v>
      </c>
      <c r="K491" s="4">
        <v>2625</v>
      </c>
      <c r="L491" t="s">
        <v>36</v>
      </c>
    </row>
    <row r="492" spans="1:12" x14ac:dyDescent="0.35">
      <c r="A492" t="s">
        <v>42</v>
      </c>
      <c r="B492">
        <v>1185732</v>
      </c>
      <c r="C492" s="1">
        <v>44202</v>
      </c>
      <c r="D492" t="s">
        <v>33</v>
      </c>
      <c r="E492" t="s">
        <v>89</v>
      </c>
      <c r="F492" t="s">
        <v>90</v>
      </c>
      <c r="G492" t="s">
        <v>32</v>
      </c>
      <c r="H492" s="2">
        <v>20</v>
      </c>
      <c r="I492">
        <v>250</v>
      </c>
      <c r="J492" s="3">
        <v>5000</v>
      </c>
      <c r="K492" s="4">
        <v>1500</v>
      </c>
      <c r="L492" t="s">
        <v>36</v>
      </c>
    </row>
    <row r="493" spans="1:12" x14ac:dyDescent="0.35">
      <c r="A493" t="s">
        <v>42</v>
      </c>
      <c r="B493">
        <v>1185732</v>
      </c>
      <c r="C493" s="1">
        <v>44202</v>
      </c>
      <c r="D493" t="s">
        <v>33</v>
      </c>
      <c r="E493" t="s">
        <v>89</v>
      </c>
      <c r="F493" t="s">
        <v>90</v>
      </c>
      <c r="G493" t="s">
        <v>16</v>
      </c>
      <c r="H493" s="2">
        <v>30</v>
      </c>
      <c r="I493">
        <v>250</v>
      </c>
      <c r="J493" s="3">
        <v>7500</v>
      </c>
      <c r="K493" s="4">
        <v>3000</v>
      </c>
      <c r="L493" t="s">
        <v>36</v>
      </c>
    </row>
    <row r="494" spans="1:12" x14ac:dyDescent="0.35">
      <c r="A494" t="s">
        <v>42</v>
      </c>
      <c r="B494">
        <v>1185732</v>
      </c>
      <c r="C494" s="1">
        <v>44233</v>
      </c>
      <c r="D494" t="s">
        <v>33</v>
      </c>
      <c r="E494" t="s">
        <v>91</v>
      </c>
      <c r="F494" t="s">
        <v>92</v>
      </c>
      <c r="G494" t="s">
        <v>16</v>
      </c>
      <c r="H494" s="2">
        <v>15</v>
      </c>
      <c r="I494">
        <v>250</v>
      </c>
      <c r="J494" s="3">
        <v>3750</v>
      </c>
      <c r="K494" s="4">
        <v>1500</v>
      </c>
      <c r="L494" t="s">
        <v>36</v>
      </c>
    </row>
    <row r="495" spans="1:12" x14ac:dyDescent="0.35">
      <c r="A495" t="s">
        <v>42</v>
      </c>
      <c r="B495">
        <v>1185732</v>
      </c>
      <c r="C495" s="1">
        <v>44260</v>
      </c>
      <c r="D495" t="s">
        <v>33</v>
      </c>
      <c r="E495" t="s">
        <v>91</v>
      </c>
      <c r="F495" t="s">
        <v>92</v>
      </c>
      <c r="G495" t="s">
        <v>16</v>
      </c>
      <c r="H495" s="2">
        <v>20</v>
      </c>
      <c r="I495">
        <v>250</v>
      </c>
      <c r="J495" s="3">
        <v>5000</v>
      </c>
      <c r="K495" s="4">
        <v>2000</v>
      </c>
      <c r="L495" t="s">
        <v>36</v>
      </c>
    </row>
    <row r="496" spans="1:12" x14ac:dyDescent="0.35">
      <c r="A496" t="s">
        <v>42</v>
      </c>
      <c r="B496">
        <v>1185732</v>
      </c>
      <c r="C496" s="1">
        <v>44475</v>
      </c>
      <c r="D496" t="s">
        <v>33</v>
      </c>
      <c r="E496" t="s">
        <v>91</v>
      </c>
      <c r="F496" t="s">
        <v>92</v>
      </c>
      <c r="G496" t="s">
        <v>39</v>
      </c>
      <c r="H496" s="2">
        <v>35</v>
      </c>
      <c r="I496">
        <v>250</v>
      </c>
      <c r="J496" s="3">
        <v>8750</v>
      </c>
      <c r="K496" s="4">
        <v>3063</v>
      </c>
      <c r="L496" t="s">
        <v>36</v>
      </c>
    </row>
    <row r="497" spans="1:12" x14ac:dyDescent="0.35">
      <c r="A497" t="s">
        <v>18</v>
      </c>
      <c r="B497">
        <v>1185732</v>
      </c>
      <c r="C497" s="1">
        <v>44199</v>
      </c>
      <c r="D497" t="s">
        <v>33</v>
      </c>
      <c r="E497" t="s">
        <v>91</v>
      </c>
      <c r="F497" t="s">
        <v>92</v>
      </c>
      <c r="G497" t="s">
        <v>39</v>
      </c>
      <c r="H497" s="2">
        <v>30</v>
      </c>
      <c r="I497">
        <v>250</v>
      </c>
      <c r="J497" s="3">
        <v>7500</v>
      </c>
      <c r="K497" s="4">
        <v>2625</v>
      </c>
      <c r="L497" t="s">
        <v>36</v>
      </c>
    </row>
    <row r="498" spans="1:12" x14ac:dyDescent="0.35">
      <c r="A498" t="s">
        <v>18</v>
      </c>
      <c r="B498">
        <v>1185732</v>
      </c>
      <c r="C498" s="1">
        <v>44199</v>
      </c>
      <c r="D498" t="s">
        <v>33</v>
      </c>
      <c r="E498" t="s">
        <v>91</v>
      </c>
      <c r="F498" t="s">
        <v>92</v>
      </c>
      <c r="G498" t="s">
        <v>32</v>
      </c>
      <c r="H498" s="2">
        <v>20</v>
      </c>
      <c r="I498">
        <v>250</v>
      </c>
      <c r="J498" s="3">
        <v>5000</v>
      </c>
      <c r="K498" s="4">
        <v>1500</v>
      </c>
      <c r="L498" t="s">
        <v>36</v>
      </c>
    </row>
    <row r="499" spans="1:12" x14ac:dyDescent="0.35">
      <c r="A499" t="s">
        <v>18</v>
      </c>
      <c r="B499">
        <v>1185732</v>
      </c>
      <c r="C499" s="1">
        <v>44199</v>
      </c>
      <c r="D499" t="s">
        <v>33</v>
      </c>
      <c r="E499" t="s">
        <v>91</v>
      </c>
      <c r="F499" t="s">
        <v>92</v>
      </c>
      <c r="G499" t="s">
        <v>16</v>
      </c>
      <c r="H499" s="2">
        <v>30</v>
      </c>
      <c r="I499">
        <v>250</v>
      </c>
      <c r="J499" s="3">
        <v>7500</v>
      </c>
      <c r="K499" s="4">
        <v>3000</v>
      </c>
      <c r="L499" t="s">
        <v>36</v>
      </c>
    </row>
    <row r="500" spans="1:12" x14ac:dyDescent="0.35">
      <c r="A500" t="s">
        <v>18</v>
      </c>
      <c r="B500">
        <v>1185732</v>
      </c>
      <c r="C500" s="1">
        <v>44230</v>
      </c>
      <c r="D500" t="s">
        <v>33</v>
      </c>
      <c r="E500" t="s">
        <v>40</v>
      </c>
      <c r="F500" t="s">
        <v>41</v>
      </c>
      <c r="G500" t="s">
        <v>16</v>
      </c>
      <c r="H500" s="2">
        <v>15</v>
      </c>
      <c r="I500">
        <v>250</v>
      </c>
      <c r="J500" s="3">
        <v>3750</v>
      </c>
      <c r="K500" s="4">
        <v>1500</v>
      </c>
      <c r="L500" t="s">
        <v>36</v>
      </c>
    </row>
    <row r="501" spans="1:12" x14ac:dyDescent="0.35">
      <c r="A501" t="s">
        <v>18</v>
      </c>
      <c r="B501">
        <v>1185732</v>
      </c>
      <c r="C501" s="1">
        <v>44443</v>
      </c>
      <c r="D501" t="s">
        <v>33</v>
      </c>
      <c r="E501" t="s">
        <v>40</v>
      </c>
      <c r="F501" t="s">
        <v>41</v>
      </c>
      <c r="G501" t="s">
        <v>39</v>
      </c>
      <c r="H501" s="2">
        <v>30</v>
      </c>
      <c r="I501">
        <v>250</v>
      </c>
      <c r="J501" s="3">
        <v>7500</v>
      </c>
      <c r="K501" s="4">
        <v>2625</v>
      </c>
      <c r="L501" t="s">
        <v>36</v>
      </c>
    </row>
    <row r="502" spans="1:12" x14ac:dyDescent="0.35">
      <c r="A502" t="s">
        <v>18</v>
      </c>
      <c r="B502">
        <v>1185732</v>
      </c>
      <c r="C502" s="1">
        <v>44237</v>
      </c>
      <c r="D502" t="s">
        <v>33</v>
      </c>
      <c r="E502" t="s">
        <v>40</v>
      </c>
      <c r="F502" t="s">
        <v>41</v>
      </c>
      <c r="G502" t="s">
        <v>32</v>
      </c>
      <c r="H502" s="2">
        <v>25</v>
      </c>
      <c r="I502">
        <v>250</v>
      </c>
      <c r="J502" s="3">
        <v>6250</v>
      </c>
      <c r="K502" s="4">
        <v>2188</v>
      </c>
      <c r="L502" t="s">
        <v>36</v>
      </c>
    </row>
    <row r="503" spans="1:12" x14ac:dyDescent="0.35">
      <c r="A503" t="s">
        <v>18</v>
      </c>
      <c r="B503">
        <v>1185732</v>
      </c>
      <c r="C503" s="1">
        <v>44479</v>
      </c>
      <c r="D503" t="s">
        <v>33</v>
      </c>
      <c r="E503" t="s">
        <v>81</v>
      </c>
      <c r="F503" t="s">
        <v>82</v>
      </c>
      <c r="G503" t="s">
        <v>39</v>
      </c>
      <c r="H503" s="2">
        <v>35</v>
      </c>
      <c r="I503">
        <v>250</v>
      </c>
      <c r="J503" s="3">
        <v>8750</v>
      </c>
      <c r="K503" s="4">
        <v>3500</v>
      </c>
      <c r="L503" t="s">
        <v>36</v>
      </c>
    </row>
    <row r="504" spans="1:12" x14ac:dyDescent="0.35">
      <c r="A504" t="s">
        <v>18</v>
      </c>
      <c r="B504">
        <v>1185732</v>
      </c>
      <c r="C504" s="1">
        <v>44303</v>
      </c>
      <c r="D504" t="s">
        <v>43</v>
      </c>
      <c r="E504" t="s">
        <v>64</v>
      </c>
      <c r="F504" t="s">
        <v>65</v>
      </c>
      <c r="G504" t="s">
        <v>39</v>
      </c>
      <c r="H504" s="2">
        <v>30</v>
      </c>
      <c r="I504">
        <v>250</v>
      </c>
      <c r="J504" s="3">
        <v>7500</v>
      </c>
      <c r="K504" s="4">
        <v>3000</v>
      </c>
      <c r="L504" t="s">
        <v>36</v>
      </c>
    </row>
    <row r="505" spans="1:12" x14ac:dyDescent="0.35">
      <c r="A505" t="s">
        <v>18</v>
      </c>
      <c r="B505">
        <v>1185732</v>
      </c>
      <c r="C505" s="1">
        <v>44303</v>
      </c>
      <c r="D505" t="s">
        <v>43</v>
      </c>
      <c r="E505" t="s">
        <v>64</v>
      </c>
      <c r="F505" t="s">
        <v>65</v>
      </c>
      <c r="G505" t="s">
        <v>32</v>
      </c>
      <c r="H505" s="2">
        <v>20</v>
      </c>
      <c r="I505">
        <v>250</v>
      </c>
      <c r="J505" s="3">
        <v>5000</v>
      </c>
      <c r="K505" s="4">
        <v>2000</v>
      </c>
      <c r="L505" t="s">
        <v>36</v>
      </c>
    </row>
    <row r="506" spans="1:12" x14ac:dyDescent="0.35">
      <c r="A506" t="s">
        <v>18</v>
      </c>
      <c r="B506">
        <v>1185732</v>
      </c>
      <c r="C506" s="1">
        <v>44457</v>
      </c>
      <c r="D506" t="s">
        <v>43</v>
      </c>
      <c r="E506" t="s">
        <v>64</v>
      </c>
      <c r="F506" t="s">
        <v>65</v>
      </c>
      <c r="G506" t="s">
        <v>32</v>
      </c>
      <c r="H506" s="2">
        <v>25</v>
      </c>
      <c r="I506">
        <v>250</v>
      </c>
      <c r="J506" s="3">
        <v>6250</v>
      </c>
      <c r="K506" s="4">
        <v>2500</v>
      </c>
      <c r="L506" t="s">
        <v>36</v>
      </c>
    </row>
    <row r="507" spans="1:12" x14ac:dyDescent="0.35">
      <c r="A507" t="s">
        <v>63</v>
      </c>
      <c r="B507">
        <v>1185732</v>
      </c>
      <c r="C507" s="1">
        <v>44293</v>
      </c>
      <c r="D507" t="s">
        <v>43</v>
      </c>
      <c r="E507" t="s">
        <v>83</v>
      </c>
      <c r="F507" t="s">
        <v>84</v>
      </c>
      <c r="G507" t="s">
        <v>16</v>
      </c>
      <c r="H507" s="2">
        <v>35</v>
      </c>
      <c r="I507">
        <v>250</v>
      </c>
      <c r="J507" s="3">
        <v>8750</v>
      </c>
      <c r="K507" s="4">
        <v>3500</v>
      </c>
      <c r="L507" t="s">
        <v>36</v>
      </c>
    </row>
    <row r="508" spans="1:12" x14ac:dyDescent="0.35">
      <c r="A508" t="s">
        <v>23</v>
      </c>
      <c r="B508">
        <v>1185732</v>
      </c>
      <c r="C508" s="1">
        <v>44232</v>
      </c>
      <c r="D508" t="s">
        <v>43</v>
      </c>
      <c r="E508" t="s">
        <v>83</v>
      </c>
      <c r="F508" t="s">
        <v>84</v>
      </c>
      <c r="G508" t="s">
        <v>32</v>
      </c>
      <c r="H508" s="2">
        <v>30</v>
      </c>
      <c r="I508">
        <v>250</v>
      </c>
      <c r="J508" s="3">
        <v>7500</v>
      </c>
      <c r="K508" s="4">
        <v>2250</v>
      </c>
      <c r="L508" t="s">
        <v>36</v>
      </c>
    </row>
    <row r="509" spans="1:12" x14ac:dyDescent="0.35">
      <c r="A509" t="s">
        <v>23</v>
      </c>
      <c r="B509">
        <v>1185732</v>
      </c>
      <c r="C509" s="1">
        <v>44258</v>
      </c>
      <c r="D509" t="s">
        <v>43</v>
      </c>
      <c r="E509" t="s">
        <v>108</v>
      </c>
      <c r="F509" t="s">
        <v>109</v>
      </c>
      <c r="G509" t="s">
        <v>32</v>
      </c>
      <c r="H509" s="2">
        <v>30</v>
      </c>
      <c r="I509">
        <v>250</v>
      </c>
      <c r="J509" s="3">
        <v>7500</v>
      </c>
      <c r="K509" s="4">
        <v>2250</v>
      </c>
      <c r="L509" t="s">
        <v>36</v>
      </c>
    </row>
    <row r="510" spans="1:12" x14ac:dyDescent="0.35">
      <c r="A510" t="s">
        <v>23</v>
      </c>
      <c r="B510">
        <v>1185732</v>
      </c>
      <c r="C510" s="1">
        <v>44213</v>
      </c>
      <c r="D510" t="s">
        <v>43</v>
      </c>
      <c r="E510" t="s">
        <v>110</v>
      </c>
      <c r="F510" t="s">
        <v>111</v>
      </c>
      <c r="G510" t="s">
        <v>32</v>
      </c>
      <c r="H510" s="2">
        <v>30</v>
      </c>
      <c r="I510">
        <v>250</v>
      </c>
      <c r="J510" s="3">
        <v>7500</v>
      </c>
      <c r="K510" s="4">
        <v>1875</v>
      </c>
      <c r="L510" t="s">
        <v>36</v>
      </c>
    </row>
    <row r="511" spans="1:12" x14ac:dyDescent="0.35">
      <c r="A511" t="s">
        <v>23</v>
      </c>
      <c r="B511">
        <v>1185732</v>
      </c>
      <c r="C511" s="1">
        <v>44242</v>
      </c>
      <c r="D511" t="s">
        <v>43</v>
      </c>
      <c r="E511" t="s">
        <v>112</v>
      </c>
      <c r="F511" t="s">
        <v>113</v>
      </c>
      <c r="G511" t="s">
        <v>56</v>
      </c>
      <c r="H511" s="2">
        <v>35</v>
      </c>
      <c r="I511">
        <v>250</v>
      </c>
      <c r="J511" s="3">
        <v>8750</v>
      </c>
      <c r="K511" s="4">
        <v>2188</v>
      </c>
      <c r="L511" t="s">
        <v>36</v>
      </c>
    </row>
    <row r="512" spans="1:12" x14ac:dyDescent="0.35">
      <c r="A512" t="s">
        <v>42</v>
      </c>
      <c r="B512">
        <v>1185732</v>
      </c>
      <c r="C512" s="1">
        <v>43833</v>
      </c>
      <c r="D512" t="s">
        <v>43</v>
      </c>
      <c r="E512" t="s">
        <v>44</v>
      </c>
      <c r="F512" t="s">
        <v>44</v>
      </c>
      <c r="G512" t="s">
        <v>32</v>
      </c>
      <c r="H512" s="2">
        <v>36</v>
      </c>
      <c r="I512">
        <v>250</v>
      </c>
      <c r="J512">
        <v>900</v>
      </c>
      <c r="K512" s="4">
        <v>414</v>
      </c>
      <c r="L512" t="s">
        <v>17</v>
      </c>
    </row>
    <row r="513" spans="1:12" x14ac:dyDescent="0.35">
      <c r="A513" t="s">
        <v>12</v>
      </c>
      <c r="B513">
        <v>1197831</v>
      </c>
      <c r="C513" s="1">
        <v>44066</v>
      </c>
      <c r="D513" t="s">
        <v>19</v>
      </c>
      <c r="E513" t="s">
        <v>59</v>
      </c>
      <c r="F513" t="s">
        <v>60</v>
      </c>
      <c r="G513" t="s">
        <v>16</v>
      </c>
      <c r="H513" s="2">
        <v>47</v>
      </c>
      <c r="I513">
        <v>250</v>
      </c>
      <c r="J513" s="3">
        <v>1175</v>
      </c>
      <c r="K513" s="4">
        <v>752</v>
      </c>
      <c r="L513" t="s">
        <v>17</v>
      </c>
    </row>
    <row r="514" spans="1:12" x14ac:dyDescent="0.35">
      <c r="A514" t="s">
        <v>18</v>
      </c>
      <c r="B514">
        <v>1185732</v>
      </c>
      <c r="C514" s="1">
        <v>44417</v>
      </c>
      <c r="D514" t="s">
        <v>43</v>
      </c>
      <c r="E514" t="s">
        <v>44</v>
      </c>
      <c r="F514" t="s">
        <v>101</v>
      </c>
      <c r="G514" t="s">
        <v>26</v>
      </c>
      <c r="H514" s="2">
        <v>62</v>
      </c>
      <c r="I514">
        <v>250</v>
      </c>
      <c r="J514" s="3">
        <v>1550</v>
      </c>
      <c r="K514" s="4">
        <v>868</v>
      </c>
      <c r="L514" t="s">
        <v>17</v>
      </c>
    </row>
    <row r="515" spans="1:12" x14ac:dyDescent="0.35">
      <c r="A515" t="s">
        <v>42</v>
      </c>
      <c r="B515">
        <v>1197831</v>
      </c>
      <c r="C515" s="1">
        <v>44416</v>
      </c>
      <c r="D515" t="s">
        <v>48</v>
      </c>
      <c r="E515" t="s">
        <v>79</v>
      </c>
      <c r="F515" t="s">
        <v>80</v>
      </c>
      <c r="G515" t="s">
        <v>32</v>
      </c>
      <c r="H515" s="2">
        <v>46</v>
      </c>
      <c r="I515">
        <v>250</v>
      </c>
      <c r="J515" s="3">
        <v>1150</v>
      </c>
      <c r="K515" s="4">
        <v>610</v>
      </c>
      <c r="L515" t="s">
        <v>17</v>
      </c>
    </row>
    <row r="516" spans="1:12" x14ac:dyDescent="0.35">
      <c r="A516" t="s">
        <v>42</v>
      </c>
      <c r="B516">
        <v>1185732</v>
      </c>
      <c r="C516" s="1">
        <v>44354</v>
      </c>
      <c r="D516" t="s">
        <v>13</v>
      </c>
      <c r="E516" t="s">
        <v>69</v>
      </c>
      <c r="F516" t="s">
        <v>65</v>
      </c>
      <c r="G516" t="s">
        <v>16</v>
      </c>
      <c r="H516" s="2">
        <v>65</v>
      </c>
      <c r="I516">
        <v>250</v>
      </c>
      <c r="J516" s="3">
        <v>1625</v>
      </c>
      <c r="K516" s="4">
        <v>1040</v>
      </c>
      <c r="L516" t="s">
        <v>17</v>
      </c>
    </row>
    <row r="517" spans="1:12" x14ac:dyDescent="0.35">
      <c r="A517" t="s">
        <v>23</v>
      </c>
      <c r="B517">
        <v>1185732</v>
      </c>
      <c r="C517" s="1">
        <v>44441</v>
      </c>
      <c r="D517" t="s">
        <v>13</v>
      </c>
      <c r="E517" t="s">
        <v>77</v>
      </c>
      <c r="F517" t="s">
        <v>78</v>
      </c>
      <c r="G517" t="s">
        <v>26</v>
      </c>
      <c r="H517" s="2">
        <v>53</v>
      </c>
      <c r="I517">
        <v>250</v>
      </c>
      <c r="J517" s="3">
        <v>1325</v>
      </c>
      <c r="K517" s="4">
        <v>689</v>
      </c>
      <c r="L517" t="s">
        <v>17</v>
      </c>
    </row>
    <row r="518" spans="1:12" x14ac:dyDescent="0.35">
      <c r="A518" t="s">
        <v>18</v>
      </c>
      <c r="B518">
        <v>1128299</v>
      </c>
      <c r="C518" s="1">
        <v>44203</v>
      </c>
      <c r="D518" t="s">
        <v>48</v>
      </c>
      <c r="E518" t="s">
        <v>66</v>
      </c>
      <c r="F518" t="s">
        <v>67</v>
      </c>
      <c r="G518" t="s">
        <v>39</v>
      </c>
      <c r="H518" s="2">
        <v>63</v>
      </c>
      <c r="I518">
        <v>248</v>
      </c>
      <c r="J518" s="3">
        <v>1562</v>
      </c>
      <c r="K518" s="4">
        <v>578</v>
      </c>
      <c r="L518" t="s">
        <v>17</v>
      </c>
    </row>
    <row r="519" spans="1:12" x14ac:dyDescent="0.35">
      <c r="A519" t="s">
        <v>18</v>
      </c>
      <c r="B519">
        <v>1128299</v>
      </c>
      <c r="C519" s="1">
        <v>44210</v>
      </c>
      <c r="D519" t="s">
        <v>48</v>
      </c>
      <c r="E519" t="s">
        <v>66</v>
      </c>
      <c r="F519" t="s">
        <v>67</v>
      </c>
      <c r="G519" t="s">
        <v>32</v>
      </c>
      <c r="H519" s="2">
        <v>62</v>
      </c>
      <c r="I519">
        <v>248</v>
      </c>
      <c r="J519" s="3">
        <v>1538</v>
      </c>
      <c r="K519" s="4">
        <v>707</v>
      </c>
      <c r="L519" t="s">
        <v>17</v>
      </c>
    </row>
    <row r="520" spans="1:12" x14ac:dyDescent="0.35">
      <c r="A520" t="s">
        <v>18</v>
      </c>
      <c r="B520">
        <v>1185732</v>
      </c>
      <c r="C520" s="1">
        <v>43945</v>
      </c>
      <c r="D520" t="s">
        <v>13</v>
      </c>
      <c r="E520" t="s">
        <v>14</v>
      </c>
      <c r="F520" t="s">
        <v>73</v>
      </c>
      <c r="G520" t="s">
        <v>16</v>
      </c>
      <c r="H520" s="2">
        <v>64</v>
      </c>
      <c r="I520">
        <v>248</v>
      </c>
      <c r="J520" s="3">
        <v>1587</v>
      </c>
      <c r="K520" s="4">
        <v>1016</v>
      </c>
      <c r="L520" t="s">
        <v>17</v>
      </c>
    </row>
    <row r="521" spans="1:12" x14ac:dyDescent="0.35">
      <c r="A521" t="s">
        <v>23</v>
      </c>
      <c r="B521">
        <v>1185732</v>
      </c>
      <c r="C521" s="1">
        <v>43975</v>
      </c>
      <c r="D521" t="s">
        <v>13</v>
      </c>
      <c r="E521" t="s">
        <v>14</v>
      </c>
      <c r="F521" t="s">
        <v>73</v>
      </c>
      <c r="G521" t="s">
        <v>32</v>
      </c>
      <c r="H521" s="2">
        <v>52</v>
      </c>
      <c r="I521">
        <v>248</v>
      </c>
      <c r="J521" s="3">
        <v>1290</v>
      </c>
      <c r="K521" s="4">
        <v>477</v>
      </c>
      <c r="L521" t="s">
        <v>17</v>
      </c>
    </row>
    <row r="522" spans="1:12" x14ac:dyDescent="0.35">
      <c r="A522" t="s">
        <v>18</v>
      </c>
      <c r="B522">
        <v>1185732</v>
      </c>
      <c r="C522" s="1">
        <v>44295</v>
      </c>
      <c r="D522" t="s">
        <v>43</v>
      </c>
      <c r="E522" t="s">
        <v>44</v>
      </c>
      <c r="F522" t="s">
        <v>101</v>
      </c>
      <c r="G522" t="s">
        <v>26</v>
      </c>
      <c r="H522" s="2">
        <v>42</v>
      </c>
      <c r="I522">
        <v>248</v>
      </c>
      <c r="J522" s="3">
        <v>1042</v>
      </c>
      <c r="K522" s="4">
        <v>583</v>
      </c>
      <c r="L522" t="s">
        <v>17</v>
      </c>
    </row>
    <row r="523" spans="1:12" x14ac:dyDescent="0.35">
      <c r="A523" t="s">
        <v>18</v>
      </c>
      <c r="B523">
        <v>1128299</v>
      </c>
      <c r="C523" s="1">
        <v>44364</v>
      </c>
      <c r="D523" t="s">
        <v>19</v>
      </c>
      <c r="E523" t="s">
        <v>20</v>
      </c>
      <c r="F523" t="s">
        <v>21</v>
      </c>
      <c r="G523" t="s">
        <v>26</v>
      </c>
      <c r="H523" s="2">
        <v>58</v>
      </c>
      <c r="I523">
        <v>248</v>
      </c>
      <c r="J523" s="3">
        <v>1438</v>
      </c>
      <c r="K523" s="4">
        <v>734</v>
      </c>
      <c r="L523" t="s">
        <v>17</v>
      </c>
    </row>
    <row r="524" spans="1:12" x14ac:dyDescent="0.35">
      <c r="A524" t="s">
        <v>42</v>
      </c>
      <c r="B524">
        <v>1185732</v>
      </c>
      <c r="C524" s="1">
        <v>44205</v>
      </c>
      <c r="D524" t="s">
        <v>13</v>
      </c>
      <c r="E524" t="s">
        <v>57</v>
      </c>
      <c r="F524" t="s">
        <v>58</v>
      </c>
      <c r="G524" t="s">
        <v>32</v>
      </c>
      <c r="H524" s="2">
        <v>29</v>
      </c>
      <c r="I524">
        <v>248</v>
      </c>
      <c r="J524">
        <v>719</v>
      </c>
      <c r="K524" s="4">
        <v>280</v>
      </c>
      <c r="L524" t="s">
        <v>17</v>
      </c>
    </row>
    <row r="525" spans="1:12" x14ac:dyDescent="0.35">
      <c r="A525" t="s">
        <v>42</v>
      </c>
      <c r="B525">
        <v>1185732</v>
      </c>
      <c r="C525" s="1">
        <v>44382</v>
      </c>
      <c r="D525" t="s">
        <v>13</v>
      </c>
      <c r="E525" t="s">
        <v>69</v>
      </c>
      <c r="F525" t="s">
        <v>65</v>
      </c>
      <c r="G525" t="s">
        <v>32</v>
      </c>
      <c r="H525" s="2">
        <v>51</v>
      </c>
      <c r="I525">
        <v>248</v>
      </c>
      <c r="J525" s="3">
        <v>1265</v>
      </c>
      <c r="K525" s="4">
        <v>455</v>
      </c>
      <c r="L525" t="s">
        <v>17</v>
      </c>
    </row>
    <row r="526" spans="1:12" x14ac:dyDescent="0.35">
      <c r="A526" t="s">
        <v>42</v>
      </c>
      <c r="B526">
        <v>1185732</v>
      </c>
      <c r="C526" s="1">
        <v>43852</v>
      </c>
      <c r="D526" t="s">
        <v>43</v>
      </c>
      <c r="E526" t="s">
        <v>44</v>
      </c>
      <c r="F526" t="s">
        <v>44</v>
      </c>
      <c r="G526" t="s">
        <v>56</v>
      </c>
      <c r="H526" s="2">
        <v>32</v>
      </c>
      <c r="I526">
        <v>248</v>
      </c>
      <c r="J526">
        <v>794</v>
      </c>
      <c r="K526" s="4">
        <v>302</v>
      </c>
      <c r="L526" t="s">
        <v>27</v>
      </c>
    </row>
    <row r="527" spans="1:12" x14ac:dyDescent="0.35">
      <c r="A527" t="s">
        <v>12</v>
      </c>
      <c r="B527">
        <v>1197831</v>
      </c>
      <c r="C527" s="1">
        <v>44086</v>
      </c>
      <c r="D527" t="s">
        <v>19</v>
      </c>
      <c r="E527" t="s">
        <v>59</v>
      </c>
      <c r="F527" t="s">
        <v>60</v>
      </c>
      <c r="G527" t="s">
        <v>39</v>
      </c>
      <c r="H527" s="2">
        <v>29</v>
      </c>
      <c r="I527">
        <v>248</v>
      </c>
      <c r="J527">
        <v>719</v>
      </c>
      <c r="K527" s="4">
        <v>280</v>
      </c>
      <c r="L527" t="s">
        <v>27</v>
      </c>
    </row>
    <row r="528" spans="1:12" x14ac:dyDescent="0.35">
      <c r="A528" t="s">
        <v>18</v>
      </c>
      <c r="B528">
        <v>1128299</v>
      </c>
      <c r="C528" s="1">
        <v>44137</v>
      </c>
      <c r="D528" t="s">
        <v>19</v>
      </c>
      <c r="E528" t="s">
        <v>59</v>
      </c>
      <c r="F528" t="s">
        <v>60</v>
      </c>
      <c r="G528" t="s">
        <v>39</v>
      </c>
      <c r="H528" s="2">
        <v>33</v>
      </c>
      <c r="I528">
        <v>248</v>
      </c>
      <c r="J528">
        <v>818</v>
      </c>
      <c r="K528" s="4">
        <v>188</v>
      </c>
      <c r="L528" t="s">
        <v>27</v>
      </c>
    </row>
    <row r="529" spans="1:12" x14ac:dyDescent="0.35">
      <c r="A529" t="s">
        <v>18</v>
      </c>
      <c r="B529">
        <v>1128299</v>
      </c>
      <c r="C529" s="1">
        <v>44216</v>
      </c>
      <c r="D529" t="s">
        <v>48</v>
      </c>
      <c r="E529" t="s">
        <v>66</v>
      </c>
      <c r="F529" t="s">
        <v>67</v>
      </c>
      <c r="G529" t="s">
        <v>32</v>
      </c>
      <c r="H529" s="2">
        <v>51</v>
      </c>
      <c r="I529">
        <v>248</v>
      </c>
      <c r="J529" s="3">
        <v>1265</v>
      </c>
      <c r="K529" s="4">
        <v>493</v>
      </c>
      <c r="L529" t="s">
        <v>27</v>
      </c>
    </row>
    <row r="530" spans="1:12" x14ac:dyDescent="0.35">
      <c r="A530" t="s">
        <v>18</v>
      </c>
      <c r="B530">
        <v>1128299</v>
      </c>
      <c r="C530" s="1">
        <v>44222</v>
      </c>
      <c r="D530" t="s">
        <v>48</v>
      </c>
      <c r="E530" t="s">
        <v>66</v>
      </c>
      <c r="F530" t="s">
        <v>67</v>
      </c>
      <c r="G530" t="s">
        <v>32</v>
      </c>
      <c r="H530" s="2">
        <v>39</v>
      </c>
      <c r="I530">
        <v>248</v>
      </c>
      <c r="J530">
        <v>967</v>
      </c>
      <c r="K530" s="4">
        <v>329</v>
      </c>
      <c r="L530" t="s">
        <v>27</v>
      </c>
    </row>
    <row r="531" spans="1:12" x14ac:dyDescent="0.35">
      <c r="A531" t="s">
        <v>63</v>
      </c>
      <c r="B531">
        <v>1189833</v>
      </c>
      <c r="C531" s="1">
        <v>44293</v>
      </c>
      <c r="D531" t="s">
        <v>48</v>
      </c>
      <c r="E531" t="s">
        <v>66</v>
      </c>
      <c r="F531" t="s">
        <v>76</v>
      </c>
      <c r="G531" t="s">
        <v>26</v>
      </c>
      <c r="H531" s="2">
        <v>31</v>
      </c>
      <c r="I531">
        <v>248</v>
      </c>
      <c r="J531">
        <v>769</v>
      </c>
      <c r="K531" s="4">
        <v>354</v>
      </c>
      <c r="L531" t="s">
        <v>27</v>
      </c>
    </row>
    <row r="532" spans="1:12" x14ac:dyDescent="0.35">
      <c r="A532" t="s">
        <v>23</v>
      </c>
      <c r="B532">
        <v>1197831</v>
      </c>
      <c r="C532" s="1">
        <v>44444</v>
      </c>
      <c r="D532" t="s">
        <v>19</v>
      </c>
      <c r="E532" t="s">
        <v>59</v>
      </c>
      <c r="F532" t="s">
        <v>68</v>
      </c>
      <c r="G532" t="s">
        <v>39</v>
      </c>
      <c r="H532" s="2">
        <v>22</v>
      </c>
      <c r="I532">
        <v>248</v>
      </c>
      <c r="J532">
        <v>546</v>
      </c>
      <c r="K532" s="4">
        <v>229</v>
      </c>
      <c r="L532" t="s">
        <v>27</v>
      </c>
    </row>
    <row r="533" spans="1:12" x14ac:dyDescent="0.35">
      <c r="A533" t="s">
        <v>23</v>
      </c>
      <c r="B533">
        <v>1197831</v>
      </c>
      <c r="C533" s="1">
        <v>44461</v>
      </c>
      <c r="D533" t="s">
        <v>19</v>
      </c>
      <c r="E533" t="s">
        <v>59</v>
      </c>
      <c r="F533" t="s">
        <v>68</v>
      </c>
      <c r="G533" t="s">
        <v>26</v>
      </c>
      <c r="H533" s="2">
        <v>34</v>
      </c>
      <c r="I533">
        <v>248</v>
      </c>
      <c r="J533">
        <v>843</v>
      </c>
      <c r="K533" s="4">
        <v>363</v>
      </c>
      <c r="L533" t="s">
        <v>27</v>
      </c>
    </row>
    <row r="534" spans="1:12" x14ac:dyDescent="0.35">
      <c r="A534" t="s">
        <v>23</v>
      </c>
      <c r="B534">
        <v>1197831</v>
      </c>
      <c r="C534" s="1">
        <v>44486</v>
      </c>
      <c r="D534" t="s">
        <v>19</v>
      </c>
      <c r="E534" t="s">
        <v>59</v>
      </c>
      <c r="F534" t="s">
        <v>68</v>
      </c>
      <c r="G534" t="s">
        <v>39</v>
      </c>
      <c r="H534" s="2">
        <v>39</v>
      </c>
      <c r="I534">
        <v>248</v>
      </c>
      <c r="J534">
        <v>967</v>
      </c>
      <c r="K534" s="4">
        <v>406</v>
      </c>
      <c r="L534" t="s">
        <v>27</v>
      </c>
    </row>
    <row r="535" spans="1:12" x14ac:dyDescent="0.35">
      <c r="A535" t="s">
        <v>23</v>
      </c>
      <c r="B535">
        <v>1197831</v>
      </c>
      <c r="C535" s="1">
        <v>44331</v>
      </c>
      <c r="D535" t="s">
        <v>19</v>
      </c>
      <c r="E535" t="s">
        <v>74</v>
      </c>
      <c r="F535" t="s">
        <v>75</v>
      </c>
      <c r="G535" t="s">
        <v>26</v>
      </c>
      <c r="H535" s="2">
        <v>39</v>
      </c>
      <c r="I535">
        <v>248</v>
      </c>
      <c r="J535">
        <v>967</v>
      </c>
      <c r="K535" s="4">
        <v>464</v>
      </c>
      <c r="L535" t="s">
        <v>27</v>
      </c>
    </row>
    <row r="536" spans="1:12" x14ac:dyDescent="0.35">
      <c r="A536" t="s">
        <v>23</v>
      </c>
      <c r="B536">
        <v>1197831</v>
      </c>
      <c r="C536" s="1">
        <v>44476</v>
      </c>
      <c r="D536" t="s">
        <v>19</v>
      </c>
      <c r="E536" t="s">
        <v>24</v>
      </c>
      <c r="F536" t="s">
        <v>25</v>
      </c>
      <c r="G536" t="s">
        <v>39</v>
      </c>
      <c r="H536" s="2">
        <v>40</v>
      </c>
      <c r="I536">
        <v>248</v>
      </c>
      <c r="J536">
        <v>992</v>
      </c>
      <c r="K536" s="4">
        <v>526</v>
      </c>
      <c r="L536" t="s">
        <v>27</v>
      </c>
    </row>
    <row r="537" spans="1:12" x14ac:dyDescent="0.35">
      <c r="A537" t="s">
        <v>12</v>
      </c>
      <c r="B537">
        <v>1128299</v>
      </c>
      <c r="C537" s="1">
        <v>44364</v>
      </c>
      <c r="D537" t="s">
        <v>13</v>
      </c>
      <c r="E537" t="s">
        <v>14</v>
      </c>
      <c r="F537" t="s">
        <v>15</v>
      </c>
      <c r="G537" t="s">
        <v>16</v>
      </c>
      <c r="H537" s="2">
        <v>74</v>
      </c>
      <c r="I537">
        <v>248</v>
      </c>
      <c r="J537" s="3">
        <v>1835</v>
      </c>
      <c r="K537" s="4">
        <v>863</v>
      </c>
      <c r="L537" t="s">
        <v>27</v>
      </c>
    </row>
    <row r="538" spans="1:12" x14ac:dyDescent="0.35">
      <c r="A538" t="s">
        <v>42</v>
      </c>
      <c r="B538">
        <v>1128299</v>
      </c>
      <c r="C538" s="1">
        <v>44553</v>
      </c>
      <c r="D538" t="s">
        <v>13</v>
      </c>
      <c r="E538" t="s">
        <v>99</v>
      </c>
      <c r="F538" t="s">
        <v>100</v>
      </c>
      <c r="G538" t="s">
        <v>26</v>
      </c>
      <c r="H538" s="2">
        <v>49</v>
      </c>
      <c r="I538">
        <v>248</v>
      </c>
      <c r="J538" s="3">
        <v>1215</v>
      </c>
      <c r="K538" s="4">
        <v>486</v>
      </c>
      <c r="L538" t="s">
        <v>27</v>
      </c>
    </row>
    <row r="539" spans="1:12" x14ac:dyDescent="0.35">
      <c r="A539" t="s">
        <v>18</v>
      </c>
      <c r="B539">
        <v>1185732</v>
      </c>
      <c r="C539" s="1">
        <v>44387</v>
      </c>
      <c r="D539" t="s">
        <v>48</v>
      </c>
      <c r="E539" t="s">
        <v>49</v>
      </c>
      <c r="F539" t="s">
        <v>50</v>
      </c>
      <c r="G539" t="s">
        <v>26</v>
      </c>
      <c r="H539" s="2">
        <v>28</v>
      </c>
      <c r="I539">
        <v>248</v>
      </c>
      <c r="J539">
        <v>694</v>
      </c>
      <c r="K539" s="4">
        <v>299</v>
      </c>
      <c r="L539" t="s">
        <v>27</v>
      </c>
    </row>
    <row r="540" spans="1:12" x14ac:dyDescent="0.35">
      <c r="A540" t="s">
        <v>18</v>
      </c>
      <c r="B540">
        <v>1185732</v>
      </c>
      <c r="C540" s="1">
        <v>44419</v>
      </c>
      <c r="D540" t="s">
        <v>48</v>
      </c>
      <c r="E540" t="s">
        <v>49</v>
      </c>
      <c r="F540" t="s">
        <v>50</v>
      </c>
      <c r="G540" t="s">
        <v>26</v>
      </c>
      <c r="H540" s="2">
        <v>27</v>
      </c>
      <c r="I540">
        <v>248</v>
      </c>
      <c r="J540">
        <v>670</v>
      </c>
      <c r="K540" s="4">
        <v>315</v>
      </c>
      <c r="L540" t="s">
        <v>27</v>
      </c>
    </row>
    <row r="541" spans="1:12" x14ac:dyDescent="0.35">
      <c r="A541" t="s">
        <v>18</v>
      </c>
      <c r="B541">
        <v>1128299</v>
      </c>
      <c r="C541" s="1">
        <v>44364</v>
      </c>
      <c r="D541" t="s">
        <v>19</v>
      </c>
      <c r="E541" t="s">
        <v>20</v>
      </c>
      <c r="F541" t="s">
        <v>21</v>
      </c>
      <c r="G541" t="s">
        <v>16</v>
      </c>
      <c r="H541" s="2">
        <v>80</v>
      </c>
      <c r="I541">
        <v>248</v>
      </c>
      <c r="J541" s="3">
        <v>1984</v>
      </c>
      <c r="K541" s="4">
        <v>813</v>
      </c>
      <c r="L541" t="s">
        <v>27</v>
      </c>
    </row>
    <row r="542" spans="1:12" x14ac:dyDescent="0.35">
      <c r="A542" t="s">
        <v>18</v>
      </c>
      <c r="B542">
        <v>1128299</v>
      </c>
      <c r="C542" s="1">
        <v>44393</v>
      </c>
      <c r="D542" t="s">
        <v>19</v>
      </c>
      <c r="E542" t="s">
        <v>20</v>
      </c>
      <c r="F542" t="s">
        <v>21</v>
      </c>
      <c r="G542" t="s">
        <v>39</v>
      </c>
      <c r="H542" s="2">
        <v>67</v>
      </c>
      <c r="I542">
        <v>248</v>
      </c>
      <c r="J542" s="3">
        <v>1662</v>
      </c>
      <c r="K542" s="4">
        <v>764</v>
      </c>
      <c r="L542" t="s">
        <v>27</v>
      </c>
    </row>
    <row r="543" spans="1:12" x14ac:dyDescent="0.35">
      <c r="A543" t="s">
        <v>18</v>
      </c>
      <c r="B543">
        <v>1128299</v>
      </c>
      <c r="C543" s="1">
        <v>44546</v>
      </c>
      <c r="D543" t="s">
        <v>19</v>
      </c>
      <c r="E543" t="s">
        <v>20</v>
      </c>
      <c r="F543" t="s">
        <v>21</v>
      </c>
      <c r="G543" t="s">
        <v>39</v>
      </c>
      <c r="H543" s="2">
        <v>52</v>
      </c>
      <c r="I543">
        <v>248</v>
      </c>
      <c r="J543" s="3">
        <v>1290</v>
      </c>
      <c r="K543" s="4">
        <v>567</v>
      </c>
      <c r="L543" t="s">
        <v>27</v>
      </c>
    </row>
    <row r="544" spans="1:12" x14ac:dyDescent="0.35">
      <c r="A544" t="s">
        <v>18</v>
      </c>
      <c r="B544">
        <v>1197831</v>
      </c>
      <c r="C544" s="1">
        <v>44351</v>
      </c>
      <c r="D544" t="s">
        <v>48</v>
      </c>
      <c r="E544" t="s">
        <v>79</v>
      </c>
      <c r="F544" t="s">
        <v>80</v>
      </c>
      <c r="G544" t="s">
        <v>16</v>
      </c>
      <c r="H544" s="2">
        <v>39</v>
      </c>
      <c r="I544">
        <v>248</v>
      </c>
      <c r="J544">
        <v>967</v>
      </c>
      <c r="K544" s="4">
        <v>532</v>
      </c>
      <c r="L544" t="s">
        <v>27</v>
      </c>
    </row>
    <row r="545" spans="1:12" x14ac:dyDescent="0.35">
      <c r="A545" t="s">
        <v>63</v>
      </c>
      <c r="B545">
        <v>1128299</v>
      </c>
      <c r="C545" s="1">
        <v>44402</v>
      </c>
      <c r="D545" t="s">
        <v>48</v>
      </c>
      <c r="E545" t="s">
        <v>114</v>
      </c>
      <c r="F545" t="s">
        <v>115</v>
      </c>
      <c r="G545" t="s">
        <v>26</v>
      </c>
      <c r="H545" s="2">
        <v>41</v>
      </c>
      <c r="I545">
        <v>248</v>
      </c>
      <c r="J545" s="3">
        <v>1017</v>
      </c>
      <c r="K545" s="4">
        <v>397</v>
      </c>
      <c r="L545" t="s">
        <v>27</v>
      </c>
    </row>
    <row r="546" spans="1:12" x14ac:dyDescent="0.35">
      <c r="A546" t="s">
        <v>42</v>
      </c>
      <c r="B546">
        <v>1185732</v>
      </c>
      <c r="C546" s="1">
        <v>44234</v>
      </c>
      <c r="D546" t="s">
        <v>13</v>
      </c>
      <c r="E546" t="s">
        <v>57</v>
      </c>
      <c r="F546" t="s">
        <v>58</v>
      </c>
      <c r="G546" t="s">
        <v>32</v>
      </c>
      <c r="H546" s="2">
        <v>21</v>
      </c>
      <c r="I546">
        <v>248</v>
      </c>
      <c r="J546">
        <v>521</v>
      </c>
      <c r="K546" s="4">
        <v>156</v>
      </c>
      <c r="L546" t="s">
        <v>27</v>
      </c>
    </row>
    <row r="547" spans="1:12" x14ac:dyDescent="0.35">
      <c r="A547" t="s">
        <v>42</v>
      </c>
      <c r="B547">
        <v>1185732</v>
      </c>
      <c r="C547" s="1">
        <v>43834</v>
      </c>
      <c r="D547" t="s">
        <v>43</v>
      </c>
      <c r="E547" t="s">
        <v>44</v>
      </c>
      <c r="F547" t="s">
        <v>44</v>
      </c>
      <c r="G547" t="s">
        <v>56</v>
      </c>
      <c r="H547" s="2">
        <v>41</v>
      </c>
      <c r="I547">
        <v>247</v>
      </c>
      <c r="J547" s="3">
        <v>1013</v>
      </c>
      <c r="K547" s="4">
        <v>466</v>
      </c>
      <c r="L547" t="s">
        <v>17</v>
      </c>
    </row>
    <row r="548" spans="1:12" x14ac:dyDescent="0.35">
      <c r="A548" t="s">
        <v>42</v>
      </c>
      <c r="B548">
        <v>1185732</v>
      </c>
      <c r="C548" s="1">
        <v>43857</v>
      </c>
      <c r="D548" t="s">
        <v>43</v>
      </c>
      <c r="E548" t="s">
        <v>44</v>
      </c>
      <c r="F548" t="s">
        <v>44</v>
      </c>
      <c r="G548" t="s">
        <v>32</v>
      </c>
      <c r="H548" s="2">
        <v>39</v>
      </c>
      <c r="I548">
        <v>247</v>
      </c>
      <c r="J548">
        <v>963</v>
      </c>
      <c r="K548" s="4">
        <v>472</v>
      </c>
      <c r="L548" t="s">
        <v>17</v>
      </c>
    </row>
    <row r="549" spans="1:12" x14ac:dyDescent="0.35">
      <c r="A549" t="s">
        <v>42</v>
      </c>
      <c r="B549">
        <v>1185732</v>
      </c>
      <c r="C549" s="1">
        <v>43902</v>
      </c>
      <c r="D549" t="s">
        <v>43</v>
      </c>
      <c r="E549" t="s">
        <v>44</v>
      </c>
      <c r="F549" t="s">
        <v>44</v>
      </c>
      <c r="G549" t="s">
        <v>32</v>
      </c>
      <c r="H549" s="2">
        <v>46</v>
      </c>
      <c r="I549">
        <v>247</v>
      </c>
      <c r="J549" s="3">
        <v>1136</v>
      </c>
      <c r="K549" s="4">
        <v>511</v>
      </c>
      <c r="L549" t="s">
        <v>17</v>
      </c>
    </row>
    <row r="550" spans="1:12" x14ac:dyDescent="0.35">
      <c r="A550" t="s">
        <v>12</v>
      </c>
      <c r="B550">
        <v>1197831</v>
      </c>
      <c r="C550" s="1">
        <v>44129</v>
      </c>
      <c r="D550" t="s">
        <v>19</v>
      </c>
      <c r="E550" t="s">
        <v>59</v>
      </c>
      <c r="F550" t="s">
        <v>60</v>
      </c>
      <c r="G550" t="s">
        <v>16</v>
      </c>
      <c r="H550" s="2">
        <v>51</v>
      </c>
      <c r="I550">
        <v>247</v>
      </c>
      <c r="J550" s="3">
        <v>1260</v>
      </c>
      <c r="K550" s="4">
        <v>781</v>
      </c>
      <c r="L550" t="s">
        <v>17</v>
      </c>
    </row>
    <row r="551" spans="1:12" x14ac:dyDescent="0.35">
      <c r="A551" t="s">
        <v>63</v>
      </c>
      <c r="B551">
        <v>1189833</v>
      </c>
      <c r="C551" s="1">
        <v>44324</v>
      </c>
      <c r="D551" t="s">
        <v>48</v>
      </c>
      <c r="E551" t="s">
        <v>66</v>
      </c>
      <c r="F551" t="s">
        <v>76</v>
      </c>
      <c r="G551" t="s">
        <v>39</v>
      </c>
      <c r="H551" s="2">
        <v>50</v>
      </c>
      <c r="I551">
        <v>247</v>
      </c>
      <c r="J551" s="3">
        <v>1235</v>
      </c>
      <c r="K551" s="4">
        <v>457</v>
      </c>
      <c r="L551" t="s">
        <v>17</v>
      </c>
    </row>
    <row r="552" spans="1:12" x14ac:dyDescent="0.35">
      <c r="A552" t="s">
        <v>42</v>
      </c>
      <c r="B552">
        <v>1185732</v>
      </c>
      <c r="C552" s="1">
        <v>44054</v>
      </c>
      <c r="D552" t="s">
        <v>13</v>
      </c>
      <c r="E552" t="s">
        <v>14</v>
      </c>
      <c r="F552" t="s">
        <v>73</v>
      </c>
      <c r="G552" t="s">
        <v>16</v>
      </c>
      <c r="H552" s="2">
        <v>41</v>
      </c>
      <c r="I552">
        <v>247</v>
      </c>
      <c r="J552" s="3">
        <v>1013</v>
      </c>
      <c r="K552" s="4">
        <v>628</v>
      </c>
      <c r="L552" t="s">
        <v>17</v>
      </c>
    </row>
    <row r="553" spans="1:12" x14ac:dyDescent="0.35">
      <c r="A553" t="s">
        <v>18</v>
      </c>
      <c r="B553">
        <v>1185732</v>
      </c>
      <c r="C553" s="1">
        <v>44385</v>
      </c>
      <c r="D553" t="s">
        <v>43</v>
      </c>
      <c r="E553" t="s">
        <v>44</v>
      </c>
      <c r="F553" t="s">
        <v>101</v>
      </c>
      <c r="G553" t="s">
        <v>26</v>
      </c>
      <c r="H553" s="2">
        <v>59</v>
      </c>
      <c r="I553">
        <v>247</v>
      </c>
      <c r="J553" s="3">
        <v>1457</v>
      </c>
      <c r="K553" s="4">
        <v>802</v>
      </c>
      <c r="L553" t="s">
        <v>17</v>
      </c>
    </row>
    <row r="554" spans="1:12" x14ac:dyDescent="0.35">
      <c r="A554" t="s">
        <v>63</v>
      </c>
      <c r="B554">
        <v>1185732</v>
      </c>
      <c r="C554" s="1">
        <v>44359</v>
      </c>
      <c r="D554" t="s">
        <v>48</v>
      </c>
      <c r="E554" t="s">
        <v>102</v>
      </c>
      <c r="F554" t="s">
        <v>103</v>
      </c>
      <c r="G554" t="s">
        <v>26</v>
      </c>
      <c r="H554" s="2">
        <v>46</v>
      </c>
      <c r="I554">
        <v>247</v>
      </c>
      <c r="J554" s="3">
        <v>1136</v>
      </c>
      <c r="K554" s="4">
        <v>716</v>
      </c>
      <c r="L554" t="s">
        <v>17</v>
      </c>
    </row>
    <row r="555" spans="1:12" x14ac:dyDescent="0.35">
      <c r="A555" t="s">
        <v>18</v>
      </c>
      <c r="B555">
        <v>1128299</v>
      </c>
      <c r="C555" s="1">
        <v>44144</v>
      </c>
      <c r="D555" t="s">
        <v>48</v>
      </c>
      <c r="E555" t="s">
        <v>66</v>
      </c>
      <c r="F555" t="s">
        <v>67</v>
      </c>
      <c r="G555" t="s">
        <v>32</v>
      </c>
      <c r="H555" s="2">
        <v>40</v>
      </c>
      <c r="I555">
        <v>247</v>
      </c>
      <c r="J555">
        <v>988</v>
      </c>
      <c r="K555" s="4">
        <v>405</v>
      </c>
      <c r="L555" t="s">
        <v>27</v>
      </c>
    </row>
    <row r="556" spans="1:12" x14ac:dyDescent="0.35">
      <c r="A556" t="s">
        <v>18</v>
      </c>
      <c r="B556">
        <v>1128299</v>
      </c>
      <c r="C556" s="1">
        <v>44211</v>
      </c>
      <c r="D556" t="s">
        <v>48</v>
      </c>
      <c r="E556" t="s">
        <v>66</v>
      </c>
      <c r="F556" t="s">
        <v>67</v>
      </c>
      <c r="G556" t="s">
        <v>56</v>
      </c>
      <c r="H556" s="2">
        <v>46</v>
      </c>
      <c r="I556">
        <v>247</v>
      </c>
      <c r="J556" s="3">
        <v>1136</v>
      </c>
      <c r="K556" s="4">
        <v>409</v>
      </c>
      <c r="L556" t="s">
        <v>27</v>
      </c>
    </row>
    <row r="557" spans="1:12" x14ac:dyDescent="0.35">
      <c r="A557" t="s">
        <v>18</v>
      </c>
      <c r="B557">
        <v>1128299</v>
      </c>
      <c r="C557" s="1">
        <v>44223</v>
      </c>
      <c r="D557" t="s">
        <v>48</v>
      </c>
      <c r="E557" t="s">
        <v>66</v>
      </c>
      <c r="F557" t="s">
        <v>67</v>
      </c>
      <c r="G557" t="s">
        <v>56</v>
      </c>
      <c r="H557" s="2">
        <v>39</v>
      </c>
      <c r="I557">
        <v>247</v>
      </c>
      <c r="J557">
        <v>963</v>
      </c>
      <c r="K557" s="4">
        <v>260</v>
      </c>
      <c r="L557" t="s">
        <v>27</v>
      </c>
    </row>
    <row r="558" spans="1:12" x14ac:dyDescent="0.35">
      <c r="A558" t="s">
        <v>18</v>
      </c>
      <c r="B558">
        <v>1128299</v>
      </c>
      <c r="C558" s="1">
        <v>44234</v>
      </c>
      <c r="D558" t="s">
        <v>48</v>
      </c>
      <c r="E558" t="s">
        <v>66</v>
      </c>
      <c r="F558" t="s">
        <v>67</v>
      </c>
      <c r="G558" t="s">
        <v>32</v>
      </c>
      <c r="H558" s="2">
        <v>40</v>
      </c>
      <c r="I558">
        <v>247</v>
      </c>
      <c r="J558">
        <v>988</v>
      </c>
      <c r="K558" s="4">
        <v>336</v>
      </c>
      <c r="L558" t="s">
        <v>27</v>
      </c>
    </row>
    <row r="559" spans="1:12" x14ac:dyDescent="0.35">
      <c r="A559" t="s">
        <v>23</v>
      </c>
      <c r="B559">
        <v>1197831</v>
      </c>
      <c r="C559" s="1">
        <v>44289</v>
      </c>
      <c r="D559" t="s">
        <v>19</v>
      </c>
      <c r="E559" t="s">
        <v>74</v>
      </c>
      <c r="F559" t="s">
        <v>75</v>
      </c>
      <c r="G559" t="s">
        <v>26</v>
      </c>
      <c r="H559" s="2">
        <v>12</v>
      </c>
      <c r="I559">
        <v>247</v>
      </c>
      <c r="J559">
        <v>296</v>
      </c>
      <c r="K559" s="4">
        <v>133</v>
      </c>
      <c r="L559" t="s">
        <v>27</v>
      </c>
    </row>
    <row r="560" spans="1:12" x14ac:dyDescent="0.35">
      <c r="A560" t="s">
        <v>18</v>
      </c>
      <c r="B560">
        <v>1197831</v>
      </c>
      <c r="C560" s="1">
        <v>44321</v>
      </c>
      <c r="D560" t="s">
        <v>48</v>
      </c>
      <c r="E560" t="s">
        <v>79</v>
      </c>
      <c r="F560" t="s">
        <v>80</v>
      </c>
      <c r="G560" t="s">
        <v>39</v>
      </c>
      <c r="H560" s="2">
        <v>22</v>
      </c>
      <c r="I560">
        <v>247</v>
      </c>
      <c r="J560">
        <v>543</v>
      </c>
      <c r="K560" s="4">
        <v>223</v>
      </c>
      <c r="L560" t="s">
        <v>27</v>
      </c>
    </row>
    <row r="561" spans="1:12" x14ac:dyDescent="0.35">
      <c r="A561" t="s">
        <v>42</v>
      </c>
      <c r="B561">
        <v>1185732</v>
      </c>
      <c r="C561" s="1">
        <v>44205</v>
      </c>
      <c r="D561" t="s">
        <v>13</v>
      </c>
      <c r="E561" t="s">
        <v>57</v>
      </c>
      <c r="F561" t="s">
        <v>58</v>
      </c>
      <c r="G561" t="s">
        <v>70</v>
      </c>
      <c r="H561" s="2">
        <v>35</v>
      </c>
      <c r="I561">
        <v>247</v>
      </c>
      <c r="J561">
        <v>865</v>
      </c>
      <c r="K561" s="4">
        <v>337</v>
      </c>
      <c r="L561" t="s">
        <v>27</v>
      </c>
    </row>
    <row r="562" spans="1:12" x14ac:dyDescent="0.35">
      <c r="A562" t="s">
        <v>42</v>
      </c>
      <c r="B562">
        <v>1185732</v>
      </c>
      <c r="C562" s="1">
        <v>44234</v>
      </c>
      <c r="D562" t="s">
        <v>13</v>
      </c>
      <c r="E562" t="s">
        <v>57</v>
      </c>
      <c r="F562" t="s">
        <v>58</v>
      </c>
      <c r="G562" t="s">
        <v>39</v>
      </c>
      <c r="H562" s="2">
        <v>27</v>
      </c>
      <c r="I562">
        <v>247</v>
      </c>
      <c r="J562">
        <v>667</v>
      </c>
      <c r="K562" s="4">
        <v>253</v>
      </c>
      <c r="L562" t="s">
        <v>27</v>
      </c>
    </row>
    <row r="563" spans="1:12" x14ac:dyDescent="0.35">
      <c r="A563" t="s">
        <v>63</v>
      </c>
      <c r="B563">
        <v>1185732</v>
      </c>
      <c r="C563" s="1">
        <v>44265</v>
      </c>
      <c r="D563" t="s">
        <v>48</v>
      </c>
      <c r="E563" t="s">
        <v>102</v>
      </c>
      <c r="F563" t="s">
        <v>103</v>
      </c>
      <c r="G563" t="s">
        <v>26</v>
      </c>
      <c r="H563" s="2">
        <v>38</v>
      </c>
      <c r="I563">
        <v>246</v>
      </c>
      <c r="J563">
        <v>935</v>
      </c>
      <c r="K563" s="4">
        <v>561</v>
      </c>
      <c r="L563" t="s">
        <v>17</v>
      </c>
    </row>
    <row r="564" spans="1:12" x14ac:dyDescent="0.35">
      <c r="A564" t="s">
        <v>63</v>
      </c>
      <c r="B564">
        <v>1185732</v>
      </c>
      <c r="C564" s="1">
        <v>44326</v>
      </c>
      <c r="D564" t="s">
        <v>48</v>
      </c>
      <c r="E564" t="s">
        <v>102</v>
      </c>
      <c r="F564" t="s">
        <v>103</v>
      </c>
      <c r="G564" t="s">
        <v>26</v>
      </c>
      <c r="H564" s="2">
        <v>45</v>
      </c>
      <c r="I564">
        <v>246</v>
      </c>
      <c r="J564" s="3">
        <v>1107</v>
      </c>
      <c r="K564" s="4">
        <v>720</v>
      </c>
      <c r="L564" t="s">
        <v>17</v>
      </c>
    </row>
    <row r="565" spans="1:12" x14ac:dyDescent="0.35">
      <c r="A565" t="s">
        <v>23</v>
      </c>
      <c r="B565">
        <v>1185732</v>
      </c>
      <c r="C565" s="1">
        <v>44318</v>
      </c>
      <c r="D565" t="s">
        <v>13</v>
      </c>
      <c r="E565" t="s">
        <v>77</v>
      </c>
      <c r="F565" t="s">
        <v>78</v>
      </c>
      <c r="G565" t="s">
        <v>26</v>
      </c>
      <c r="H565" s="2">
        <v>41</v>
      </c>
      <c r="I565">
        <v>246</v>
      </c>
      <c r="J565" s="3">
        <v>1009</v>
      </c>
      <c r="K565" s="4">
        <v>555</v>
      </c>
      <c r="L565" t="s">
        <v>17</v>
      </c>
    </row>
    <row r="566" spans="1:12" x14ac:dyDescent="0.35">
      <c r="A566" t="s">
        <v>63</v>
      </c>
      <c r="B566">
        <v>1197831</v>
      </c>
      <c r="C566" s="1">
        <v>44520</v>
      </c>
      <c r="D566" t="s">
        <v>19</v>
      </c>
      <c r="E566" t="s">
        <v>61</v>
      </c>
      <c r="F566" t="s">
        <v>62</v>
      </c>
      <c r="G566" t="s">
        <v>32</v>
      </c>
      <c r="H566" s="2">
        <v>25</v>
      </c>
      <c r="I566">
        <v>245</v>
      </c>
      <c r="J566" s="3">
        <v>6125</v>
      </c>
      <c r="K566" s="4">
        <v>2450</v>
      </c>
      <c r="L566" t="s">
        <v>17</v>
      </c>
    </row>
    <row r="567" spans="1:12" x14ac:dyDescent="0.35">
      <c r="A567" t="s">
        <v>18</v>
      </c>
      <c r="B567">
        <v>1185732</v>
      </c>
      <c r="C567" s="1">
        <v>44503</v>
      </c>
      <c r="D567" t="s">
        <v>33</v>
      </c>
      <c r="E567" t="s">
        <v>40</v>
      </c>
      <c r="F567" t="s">
        <v>41</v>
      </c>
      <c r="G567" t="s">
        <v>32</v>
      </c>
      <c r="H567" s="2">
        <v>35</v>
      </c>
      <c r="I567">
        <v>245</v>
      </c>
      <c r="J567" s="3">
        <v>8575</v>
      </c>
      <c r="K567" s="4">
        <v>2573</v>
      </c>
      <c r="L567" t="s">
        <v>36</v>
      </c>
    </row>
    <row r="568" spans="1:12" x14ac:dyDescent="0.35">
      <c r="A568" t="s">
        <v>42</v>
      </c>
      <c r="B568">
        <v>1185732</v>
      </c>
      <c r="C568" s="1">
        <v>43871</v>
      </c>
      <c r="D568" t="s">
        <v>43</v>
      </c>
      <c r="E568" t="s">
        <v>44</v>
      </c>
      <c r="F568" t="s">
        <v>44</v>
      </c>
      <c r="G568" t="s">
        <v>70</v>
      </c>
      <c r="H568" s="2">
        <v>59</v>
      </c>
      <c r="I568">
        <v>245</v>
      </c>
      <c r="J568" s="3">
        <v>1446</v>
      </c>
      <c r="K568" s="4">
        <v>650</v>
      </c>
      <c r="L568" t="s">
        <v>17</v>
      </c>
    </row>
    <row r="569" spans="1:12" x14ac:dyDescent="0.35">
      <c r="A569" t="s">
        <v>18</v>
      </c>
      <c r="B569">
        <v>1128299</v>
      </c>
      <c r="C569" s="1">
        <v>44209</v>
      </c>
      <c r="D569" t="s">
        <v>48</v>
      </c>
      <c r="E569" t="s">
        <v>66</v>
      </c>
      <c r="F569" t="s">
        <v>67</v>
      </c>
      <c r="G569" t="s">
        <v>39</v>
      </c>
      <c r="H569" s="2">
        <v>59</v>
      </c>
      <c r="I569">
        <v>245</v>
      </c>
      <c r="J569" s="3">
        <v>1446</v>
      </c>
      <c r="K569" s="4">
        <v>491</v>
      </c>
      <c r="L569" t="s">
        <v>17</v>
      </c>
    </row>
    <row r="570" spans="1:12" x14ac:dyDescent="0.35">
      <c r="A570" t="s">
        <v>23</v>
      </c>
      <c r="B570">
        <v>1197831</v>
      </c>
      <c r="C570" s="1">
        <v>44444</v>
      </c>
      <c r="D570" t="s">
        <v>19</v>
      </c>
      <c r="E570" t="s">
        <v>24</v>
      </c>
      <c r="F570" t="s">
        <v>25</v>
      </c>
      <c r="G570" t="s">
        <v>16</v>
      </c>
      <c r="H570" s="2">
        <v>50</v>
      </c>
      <c r="I570">
        <v>245</v>
      </c>
      <c r="J570" s="3">
        <v>1225</v>
      </c>
      <c r="K570" s="4">
        <v>882</v>
      </c>
      <c r="L570" t="s">
        <v>17</v>
      </c>
    </row>
    <row r="571" spans="1:12" x14ac:dyDescent="0.35">
      <c r="A571" t="s">
        <v>18</v>
      </c>
      <c r="B571">
        <v>1185732</v>
      </c>
      <c r="C571" s="1">
        <v>44538</v>
      </c>
      <c r="D571" t="s">
        <v>43</v>
      </c>
      <c r="E571" t="s">
        <v>44</v>
      </c>
      <c r="F571" t="s">
        <v>101</v>
      </c>
      <c r="G571" t="s">
        <v>26</v>
      </c>
      <c r="H571" s="2">
        <v>59</v>
      </c>
      <c r="I571">
        <v>245</v>
      </c>
      <c r="J571" s="3">
        <v>1446</v>
      </c>
      <c r="K571" s="4">
        <v>838</v>
      </c>
      <c r="L571" t="s">
        <v>17</v>
      </c>
    </row>
    <row r="572" spans="1:12" x14ac:dyDescent="0.35">
      <c r="A572" t="s">
        <v>23</v>
      </c>
      <c r="B572">
        <v>1185732</v>
      </c>
      <c r="C572" s="1">
        <v>44473</v>
      </c>
      <c r="D572" t="s">
        <v>13</v>
      </c>
      <c r="E572" t="s">
        <v>77</v>
      </c>
      <c r="F572" t="s">
        <v>78</v>
      </c>
      <c r="G572" t="s">
        <v>26</v>
      </c>
      <c r="H572" s="2">
        <v>42</v>
      </c>
      <c r="I572">
        <v>245</v>
      </c>
      <c r="J572" s="3">
        <v>1029</v>
      </c>
      <c r="K572" s="4">
        <v>556</v>
      </c>
      <c r="L572" t="s">
        <v>17</v>
      </c>
    </row>
    <row r="573" spans="1:12" x14ac:dyDescent="0.35">
      <c r="A573" t="s">
        <v>12</v>
      </c>
      <c r="B573">
        <v>1197831</v>
      </c>
      <c r="C573" s="1">
        <v>44058</v>
      </c>
      <c r="D573" t="s">
        <v>19</v>
      </c>
      <c r="E573" t="s">
        <v>59</v>
      </c>
      <c r="F573" t="s">
        <v>60</v>
      </c>
      <c r="G573" t="s">
        <v>56</v>
      </c>
      <c r="H573" s="2">
        <v>31</v>
      </c>
      <c r="I573">
        <v>245</v>
      </c>
      <c r="J573">
        <v>760</v>
      </c>
      <c r="K573" s="4">
        <v>387</v>
      </c>
      <c r="L573" t="s">
        <v>27</v>
      </c>
    </row>
    <row r="574" spans="1:12" x14ac:dyDescent="0.35">
      <c r="A574" t="s">
        <v>18</v>
      </c>
      <c r="B574">
        <v>1128299</v>
      </c>
      <c r="C574" s="1">
        <v>44189</v>
      </c>
      <c r="D574" t="s">
        <v>48</v>
      </c>
      <c r="E574" t="s">
        <v>66</v>
      </c>
      <c r="F574" t="s">
        <v>67</v>
      </c>
      <c r="G574" t="s">
        <v>16</v>
      </c>
      <c r="H574" s="2">
        <v>41</v>
      </c>
      <c r="I574">
        <v>245</v>
      </c>
      <c r="J574" s="3">
        <v>1005</v>
      </c>
      <c r="K574" s="4">
        <v>201</v>
      </c>
      <c r="L574" t="s">
        <v>27</v>
      </c>
    </row>
    <row r="575" spans="1:12" x14ac:dyDescent="0.35">
      <c r="A575" t="s">
        <v>18</v>
      </c>
      <c r="B575">
        <v>1128299</v>
      </c>
      <c r="C575" s="1">
        <v>44195</v>
      </c>
      <c r="D575" t="s">
        <v>48</v>
      </c>
      <c r="E575" t="s">
        <v>66</v>
      </c>
      <c r="F575" t="s">
        <v>67</v>
      </c>
      <c r="G575" t="s">
        <v>16</v>
      </c>
      <c r="H575" s="2">
        <v>62</v>
      </c>
      <c r="I575">
        <v>245</v>
      </c>
      <c r="J575" s="3">
        <v>1519</v>
      </c>
      <c r="K575" s="4">
        <v>289</v>
      </c>
      <c r="L575" t="s">
        <v>27</v>
      </c>
    </row>
    <row r="576" spans="1:12" x14ac:dyDescent="0.35">
      <c r="A576" t="s">
        <v>18</v>
      </c>
      <c r="B576">
        <v>1128299</v>
      </c>
      <c r="C576" s="1">
        <v>44242</v>
      </c>
      <c r="D576" t="s">
        <v>48</v>
      </c>
      <c r="E576" t="s">
        <v>66</v>
      </c>
      <c r="F576" t="s">
        <v>67</v>
      </c>
      <c r="G576" t="s">
        <v>70</v>
      </c>
      <c r="H576" s="2">
        <v>43</v>
      </c>
      <c r="I576">
        <v>245</v>
      </c>
      <c r="J576" s="3">
        <v>1054</v>
      </c>
      <c r="K576" s="4">
        <v>548</v>
      </c>
      <c r="L576" t="s">
        <v>27</v>
      </c>
    </row>
    <row r="577" spans="1:12" x14ac:dyDescent="0.35">
      <c r="A577" t="s">
        <v>18</v>
      </c>
      <c r="B577">
        <v>1128299</v>
      </c>
      <c r="C577" s="1">
        <v>43862</v>
      </c>
      <c r="D577" t="s">
        <v>48</v>
      </c>
      <c r="E577" t="s">
        <v>116</v>
      </c>
      <c r="F577" t="s">
        <v>117</v>
      </c>
      <c r="G577" t="s">
        <v>26</v>
      </c>
      <c r="H577" s="2">
        <v>47</v>
      </c>
      <c r="I577">
        <v>245</v>
      </c>
      <c r="J577" s="3">
        <v>1152</v>
      </c>
      <c r="K577" s="4">
        <v>576</v>
      </c>
      <c r="L577" t="s">
        <v>27</v>
      </c>
    </row>
    <row r="578" spans="1:12" x14ac:dyDescent="0.35">
      <c r="A578" t="s">
        <v>18</v>
      </c>
      <c r="B578">
        <v>1185732</v>
      </c>
      <c r="C578" s="1">
        <v>44090</v>
      </c>
      <c r="D578" t="s">
        <v>13</v>
      </c>
      <c r="E578" t="s">
        <v>14</v>
      </c>
      <c r="F578" t="s">
        <v>73</v>
      </c>
      <c r="G578" t="s">
        <v>16</v>
      </c>
      <c r="H578" s="2">
        <v>67</v>
      </c>
      <c r="I578">
        <v>244</v>
      </c>
      <c r="J578" s="3">
        <v>1635</v>
      </c>
      <c r="K578" s="4">
        <v>1063</v>
      </c>
      <c r="L578" t="s">
        <v>17</v>
      </c>
    </row>
    <row r="579" spans="1:12" x14ac:dyDescent="0.35">
      <c r="A579" t="s">
        <v>23</v>
      </c>
      <c r="B579">
        <v>1185732</v>
      </c>
      <c r="C579" s="1">
        <v>44109</v>
      </c>
      <c r="D579" t="s">
        <v>13</v>
      </c>
      <c r="E579" t="s">
        <v>14</v>
      </c>
      <c r="F579" t="s">
        <v>73</v>
      </c>
      <c r="G579" t="s">
        <v>26</v>
      </c>
      <c r="H579" s="2">
        <v>56</v>
      </c>
      <c r="I579">
        <v>244</v>
      </c>
      <c r="J579" s="3">
        <v>1366</v>
      </c>
      <c r="K579" s="4">
        <v>793</v>
      </c>
      <c r="L579" t="s">
        <v>17</v>
      </c>
    </row>
    <row r="580" spans="1:12" x14ac:dyDescent="0.35">
      <c r="A580" t="s">
        <v>42</v>
      </c>
      <c r="B580">
        <v>1185732</v>
      </c>
      <c r="C580" s="1">
        <v>44382</v>
      </c>
      <c r="D580" t="s">
        <v>13</v>
      </c>
      <c r="E580" t="s">
        <v>69</v>
      </c>
      <c r="F580" t="s">
        <v>65</v>
      </c>
      <c r="G580" t="s">
        <v>16</v>
      </c>
      <c r="H580" s="2">
        <v>66</v>
      </c>
      <c r="I580">
        <v>244</v>
      </c>
      <c r="J580" s="3">
        <v>1610</v>
      </c>
      <c r="K580" s="4">
        <v>1047</v>
      </c>
      <c r="L580" t="s">
        <v>17</v>
      </c>
    </row>
    <row r="581" spans="1:12" x14ac:dyDescent="0.35">
      <c r="A581" t="s">
        <v>42</v>
      </c>
      <c r="B581">
        <v>1185732</v>
      </c>
      <c r="C581" s="1">
        <v>44476</v>
      </c>
      <c r="D581" t="s">
        <v>13</v>
      </c>
      <c r="E581" t="s">
        <v>69</v>
      </c>
      <c r="F581" t="s">
        <v>65</v>
      </c>
      <c r="G581" t="s">
        <v>26</v>
      </c>
      <c r="H581" s="2">
        <v>50</v>
      </c>
      <c r="I581">
        <v>244</v>
      </c>
      <c r="J581" s="3">
        <v>1220</v>
      </c>
      <c r="K581" s="4">
        <v>732</v>
      </c>
      <c r="L581" t="s">
        <v>17</v>
      </c>
    </row>
    <row r="582" spans="1:12" x14ac:dyDescent="0.35">
      <c r="A582" t="s">
        <v>23</v>
      </c>
      <c r="B582">
        <v>1185732</v>
      </c>
      <c r="C582" s="1">
        <v>44532</v>
      </c>
      <c r="D582" t="s">
        <v>13</v>
      </c>
      <c r="E582" t="s">
        <v>77</v>
      </c>
      <c r="F582" t="s">
        <v>78</v>
      </c>
      <c r="G582" t="s">
        <v>26</v>
      </c>
      <c r="H582" s="2">
        <v>64</v>
      </c>
      <c r="I582">
        <v>244</v>
      </c>
      <c r="J582" s="3">
        <v>1562</v>
      </c>
      <c r="K582" s="4">
        <v>796</v>
      </c>
      <c r="L582" t="s">
        <v>17</v>
      </c>
    </row>
    <row r="583" spans="1:12" x14ac:dyDescent="0.35">
      <c r="A583" t="s">
        <v>42</v>
      </c>
      <c r="B583">
        <v>1185732</v>
      </c>
      <c r="C583" s="1">
        <v>43853</v>
      </c>
      <c r="D583" t="s">
        <v>43</v>
      </c>
      <c r="E583" t="s">
        <v>44</v>
      </c>
      <c r="F583" t="s">
        <v>44</v>
      </c>
      <c r="G583" t="s">
        <v>70</v>
      </c>
      <c r="H583" s="2">
        <v>58</v>
      </c>
      <c r="I583">
        <v>243</v>
      </c>
      <c r="J583" s="3">
        <v>1409</v>
      </c>
      <c r="K583" s="4">
        <v>606</v>
      </c>
      <c r="L583" t="s">
        <v>17</v>
      </c>
    </row>
    <row r="584" spans="1:12" x14ac:dyDescent="0.35">
      <c r="A584" t="s">
        <v>42</v>
      </c>
      <c r="B584">
        <v>1185732</v>
      </c>
      <c r="C584" s="1">
        <v>43903</v>
      </c>
      <c r="D584" t="s">
        <v>43</v>
      </c>
      <c r="E584" t="s">
        <v>44</v>
      </c>
      <c r="F584" t="s">
        <v>44</v>
      </c>
      <c r="G584" t="s">
        <v>56</v>
      </c>
      <c r="H584" s="2">
        <v>46</v>
      </c>
      <c r="I584">
        <v>243</v>
      </c>
      <c r="J584" s="3">
        <v>1118</v>
      </c>
      <c r="K584" s="4">
        <v>514</v>
      </c>
      <c r="L584" t="s">
        <v>17</v>
      </c>
    </row>
    <row r="585" spans="1:12" x14ac:dyDescent="0.35">
      <c r="A585" t="s">
        <v>12</v>
      </c>
      <c r="B585">
        <v>1197831</v>
      </c>
      <c r="C585" s="1">
        <v>44125</v>
      </c>
      <c r="D585" t="s">
        <v>19</v>
      </c>
      <c r="E585" t="s">
        <v>59</v>
      </c>
      <c r="F585" t="s">
        <v>60</v>
      </c>
      <c r="G585" t="s">
        <v>39</v>
      </c>
      <c r="H585" s="2">
        <v>43</v>
      </c>
      <c r="I585">
        <v>243</v>
      </c>
      <c r="J585" s="3">
        <v>1045</v>
      </c>
      <c r="K585" s="4">
        <v>512</v>
      </c>
      <c r="L585" t="s">
        <v>17</v>
      </c>
    </row>
    <row r="586" spans="1:12" x14ac:dyDescent="0.35">
      <c r="A586" t="s">
        <v>63</v>
      </c>
      <c r="B586">
        <v>1189833</v>
      </c>
      <c r="C586" s="1">
        <v>44342</v>
      </c>
      <c r="D586" t="s">
        <v>48</v>
      </c>
      <c r="E586" t="s">
        <v>66</v>
      </c>
      <c r="F586" t="s">
        <v>76</v>
      </c>
      <c r="G586" t="s">
        <v>39</v>
      </c>
      <c r="H586" s="2">
        <v>50</v>
      </c>
      <c r="I586">
        <v>243</v>
      </c>
      <c r="J586" s="3">
        <v>1215</v>
      </c>
      <c r="K586" s="4">
        <v>462</v>
      </c>
      <c r="L586" t="s">
        <v>17</v>
      </c>
    </row>
    <row r="587" spans="1:12" x14ac:dyDescent="0.35">
      <c r="A587" t="s">
        <v>42</v>
      </c>
      <c r="B587">
        <v>1185732</v>
      </c>
      <c r="C587" s="1">
        <v>44414</v>
      </c>
      <c r="D587" t="s">
        <v>13</v>
      </c>
      <c r="E587" t="s">
        <v>69</v>
      </c>
      <c r="F587" t="s">
        <v>65</v>
      </c>
      <c r="G587" t="s">
        <v>39</v>
      </c>
      <c r="H587" s="2">
        <v>54</v>
      </c>
      <c r="I587">
        <v>243</v>
      </c>
      <c r="J587" s="3">
        <v>1312</v>
      </c>
      <c r="K587" s="4">
        <v>643</v>
      </c>
      <c r="L587" t="s">
        <v>17</v>
      </c>
    </row>
    <row r="588" spans="1:12" x14ac:dyDescent="0.35">
      <c r="A588" t="s">
        <v>42</v>
      </c>
      <c r="B588">
        <v>1185732</v>
      </c>
      <c r="C588" s="1">
        <v>43921</v>
      </c>
      <c r="D588" t="s">
        <v>43</v>
      </c>
      <c r="E588" t="s">
        <v>44</v>
      </c>
      <c r="F588" t="s">
        <v>44</v>
      </c>
      <c r="G588" t="s">
        <v>56</v>
      </c>
      <c r="H588" s="2">
        <v>47</v>
      </c>
      <c r="I588">
        <v>241</v>
      </c>
      <c r="J588" s="3">
        <v>1133</v>
      </c>
      <c r="K588" s="4">
        <v>532</v>
      </c>
      <c r="L588" t="s">
        <v>17</v>
      </c>
    </row>
    <row r="589" spans="1:12" x14ac:dyDescent="0.35">
      <c r="A589" t="s">
        <v>18</v>
      </c>
      <c r="B589">
        <v>1128299</v>
      </c>
      <c r="C589" s="1">
        <v>44220</v>
      </c>
      <c r="D589" t="s">
        <v>48</v>
      </c>
      <c r="E589" t="s">
        <v>66</v>
      </c>
      <c r="F589" t="s">
        <v>67</v>
      </c>
      <c r="G589" t="s">
        <v>26</v>
      </c>
      <c r="H589" s="2">
        <v>51</v>
      </c>
      <c r="I589">
        <v>241</v>
      </c>
      <c r="J589" s="3">
        <v>1229</v>
      </c>
      <c r="K589" s="4">
        <v>516</v>
      </c>
      <c r="L589" t="s">
        <v>17</v>
      </c>
    </row>
    <row r="590" spans="1:12" x14ac:dyDescent="0.35">
      <c r="A590" t="s">
        <v>18</v>
      </c>
      <c r="B590">
        <v>1197831</v>
      </c>
      <c r="C590" s="1">
        <v>44383</v>
      </c>
      <c r="D590" t="s">
        <v>48</v>
      </c>
      <c r="E590" t="s">
        <v>79</v>
      </c>
      <c r="F590" t="s">
        <v>80</v>
      </c>
      <c r="G590" t="s">
        <v>32</v>
      </c>
      <c r="H590" s="2">
        <v>46</v>
      </c>
      <c r="I590">
        <v>241</v>
      </c>
      <c r="J590" s="3">
        <v>1109</v>
      </c>
      <c r="K590" s="4">
        <v>610</v>
      </c>
      <c r="L590" t="s">
        <v>17</v>
      </c>
    </row>
    <row r="591" spans="1:12" x14ac:dyDescent="0.35">
      <c r="A591" t="s">
        <v>12</v>
      </c>
      <c r="B591">
        <v>1197831</v>
      </c>
      <c r="C591" s="1">
        <v>44085</v>
      </c>
      <c r="D591" t="s">
        <v>19</v>
      </c>
      <c r="E591" t="s">
        <v>59</v>
      </c>
      <c r="F591" t="s">
        <v>60</v>
      </c>
      <c r="G591" t="s">
        <v>26</v>
      </c>
      <c r="H591" s="2">
        <v>44</v>
      </c>
      <c r="I591">
        <v>240</v>
      </c>
      <c r="J591" s="3">
        <v>1056</v>
      </c>
      <c r="K591" s="4">
        <v>528</v>
      </c>
      <c r="L591" t="s">
        <v>17</v>
      </c>
    </row>
    <row r="592" spans="1:12" x14ac:dyDescent="0.35">
      <c r="A592" t="s">
        <v>63</v>
      </c>
      <c r="B592">
        <v>1189833</v>
      </c>
      <c r="C592" s="1">
        <v>44293</v>
      </c>
      <c r="D592" t="s">
        <v>48</v>
      </c>
      <c r="E592" t="s">
        <v>66</v>
      </c>
      <c r="F592" t="s">
        <v>76</v>
      </c>
      <c r="G592" t="s">
        <v>26</v>
      </c>
      <c r="H592" s="2">
        <v>43</v>
      </c>
      <c r="I592">
        <v>240</v>
      </c>
      <c r="J592" s="3">
        <v>1032</v>
      </c>
      <c r="K592" s="4">
        <v>516</v>
      </c>
      <c r="L592" t="s">
        <v>17</v>
      </c>
    </row>
    <row r="593" spans="1:12" x14ac:dyDescent="0.35">
      <c r="A593" t="s">
        <v>42</v>
      </c>
      <c r="B593">
        <v>1185732</v>
      </c>
      <c r="C593" s="1">
        <v>44057</v>
      </c>
      <c r="D593" t="s">
        <v>13</v>
      </c>
      <c r="E593" t="s">
        <v>14</v>
      </c>
      <c r="F593" t="s">
        <v>73</v>
      </c>
      <c r="G593" t="s">
        <v>32</v>
      </c>
      <c r="H593" s="2">
        <v>32</v>
      </c>
      <c r="I593">
        <v>240</v>
      </c>
      <c r="J593">
        <v>768</v>
      </c>
      <c r="K593" s="4">
        <v>292</v>
      </c>
      <c r="L593" t="s">
        <v>17</v>
      </c>
    </row>
    <row r="594" spans="1:12" x14ac:dyDescent="0.35">
      <c r="A594" t="s">
        <v>23</v>
      </c>
      <c r="B594">
        <v>1197831</v>
      </c>
      <c r="C594" s="1">
        <v>44332</v>
      </c>
      <c r="D594" t="s">
        <v>19</v>
      </c>
      <c r="E594" t="s">
        <v>74</v>
      </c>
      <c r="F594" t="s">
        <v>75</v>
      </c>
      <c r="G594" t="s">
        <v>39</v>
      </c>
      <c r="H594" s="2">
        <v>51</v>
      </c>
      <c r="I594">
        <v>240</v>
      </c>
      <c r="J594" s="3">
        <v>1224</v>
      </c>
      <c r="K594" s="4">
        <v>673</v>
      </c>
      <c r="L594" t="s">
        <v>17</v>
      </c>
    </row>
    <row r="595" spans="1:12" x14ac:dyDescent="0.35">
      <c r="A595" t="s">
        <v>23</v>
      </c>
      <c r="B595">
        <v>1197831</v>
      </c>
      <c r="C595" s="1">
        <v>44450</v>
      </c>
      <c r="D595" t="s">
        <v>19</v>
      </c>
      <c r="E595" t="s">
        <v>24</v>
      </c>
      <c r="F595" t="s">
        <v>25</v>
      </c>
      <c r="G595" t="s">
        <v>16</v>
      </c>
      <c r="H595" s="2">
        <v>56</v>
      </c>
      <c r="I595">
        <v>240</v>
      </c>
      <c r="J595" s="3">
        <v>1344</v>
      </c>
      <c r="K595" s="4">
        <v>1075</v>
      </c>
      <c r="L595" t="s">
        <v>17</v>
      </c>
    </row>
    <row r="596" spans="1:12" x14ac:dyDescent="0.35">
      <c r="A596" t="s">
        <v>42</v>
      </c>
      <c r="B596">
        <v>1128299</v>
      </c>
      <c r="C596" s="1">
        <v>44432</v>
      </c>
      <c r="D596" t="s">
        <v>13</v>
      </c>
      <c r="E596" t="s">
        <v>99</v>
      </c>
      <c r="F596" t="s">
        <v>100</v>
      </c>
      <c r="G596" t="s">
        <v>26</v>
      </c>
      <c r="H596" s="2">
        <v>83</v>
      </c>
      <c r="I596">
        <v>240</v>
      </c>
      <c r="J596" s="3">
        <v>1992</v>
      </c>
      <c r="K596" s="4">
        <v>896</v>
      </c>
      <c r="L596" t="s">
        <v>17</v>
      </c>
    </row>
    <row r="597" spans="1:12" x14ac:dyDescent="0.35">
      <c r="A597" t="s">
        <v>18</v>
      </c>
      <c r="B597">
        <v>1128299</v>
      </c>
      <c r="C597" s="1">
        <v>44546</v>
      </c>
      <c r="D597" t="s">
        <v>19</v>
      </c>
      <c r="E597" t="s">
        <v>20</v>
      </c>
      <c r="F597" t="s">
        <v>21</v>
      </c>
      <c r="G597" t="s">
        <v>26</v>
      </c>
      <c r="H597" s="2">
        <v>69</v>
      </c>
      <c r="I597">
        <v>240</v>
      </c>
      <c r="J597" s="3">
        <v>1656</v>
      </c>
      <c r="K597" s="4">
        <v>861</v>
      </c>
      <c r="L597" t="s">
        <v>17</v>
      </c>
    </row>
    <row r="598" spans="1:12" x14ac:dyDescent="0.35">
      <c r="A598" t="s">
        <v>42</v>
      </c>
      <c r="B598">
        <v>1185732</v>
      </c>
      <c r="C598" s="1">
        <v>44382</v>
      </c>
      <c r="D598" t="s">
        <v>13</v>
      </c>
      <c r="E598" t="s">
        <v>69</v>
      </c>
      <c r="F598" t="s">
        <v>65</v>
      </c>
      <c r="G598" t="s">
        <v>70</v>
      </c>
      <c r="H598" s="2">
        <v>64</v>
      </c>
      <c r="I598">
        <v>240</v>
      </c>
      <c r="J598" s="3">
        <v>1536</v>
      </c>
      <c r="K598" s="4">
        <v>691</v>
      </c>
      <c r="L598" t="s">
        <v>17</v>
      </c>
    </row>
    <row r="599" spans="1:12" x14ac:dyDescent="0.35">
      <c r="A599" t="s">
        <v>42</v>
      </c>
      <c r="B599">
        <v>1185732</v>
      </c>
      <c r="C599" s="1">
        <v>43858</v>
      </c>
      <c r="D599" t="s">
        <v>43</v>
      </c>
      <c r="E599" t="s">
        <v>44</v>
      </c>
      <c r="F599" t="s">
        <v>44</v>
      </c>
      <c r="G599" t="s">
        <v>56</v>
      </c>
      <c r="H599" s="2">
        <v>31</v>
      </c>
      <c r="I599">
        <v>240</v>
      </c>
      <c r="J599">
        <v>744</v>
      </c>
      <c r="K599" s="4">
        <v>298</v>
      </c>
      <c r="L599" t="s">
        <v>27</v>
      </c>
    </row>
    <row r="600" spans="1:12" x14ac:dyDescent="0.35">
      <c r="A600" t="s">
        <v>12</v>
      </c>
      <c r="B600">
        <v>1197831</v>
      </c>
      <c r="C600" s="1">
        <v>44057</v>
      </c>
      <c r="D600" t="s">
        <v>19</v>
      </c>
      <c r="E600" t="s">
        <v>59</v>
      </c>
      <c r="F600" t="s">
        <v>60</v>
      </c>
      <c r="G600" t="s">
        <v>32</v>
      </c>
      <c r="H600" s="2">
        <v>23</v>
      </c>
      <c r="I600">
        <v>240</v>
      </c>
      <c r="J600">
        <v>552</v>
      </c>
      <c r="K600" s="4">
        <v>204</v>
      </c>
      <c r="L600" t="s">
        <v>27</v>
      </c>
    </row>
    <row r="601" spans="1:12" x14ac:dyDescent="0.35">
      <c r="A601" t="s">
        <v>18</v>
      </c>
      <c r="B601">
        <v>1128299</v>
      </c>
      <c r="C601" s="1">
        <v>44212</v>
      </c>
      <c r="D601" t="s">
        <v>48</v>
      </c>
      <c r="E601" t="s">
        <v>66</v>
      </c>
      <c r="F601" t="s">
        <v>67</v>
      </c>
      <c r="G601" t="s">
        <v>70</v>
      </c>
      <c r="H601" s="2">
        <v>44</v>
      </c>
      <c r="I601">
        <v>240</v>
      </c>
      <c r="J601" s="3">
        <v>1056</v>
      </c>
      <c r="K601" s="4">
        <v>591</v>
      </c>
      <c r="L601" t="s">
        <v>27</v>
      </c>
    </row>
    <row r="602" spans="1:12" x14ac:dyDescent="0.35">
      <c r="A602" t="s">
        <v>63</v>
      </c>
      <c r="B602">
        <v>1189833</v>
      </c>
      <c r="C602" s="1">
        <v>44268</v>
      </c>
      <c r="D602" t="s">
        <v>48</v>
      </c>
      <c r="E602" t="s">
        <v>66</v>
      </c>
      <c r="F602" t="s">
        <v>76</v>
      </c>
      <c r="G602" t="s">
        <v>26</v>
      </c>
      <c r="H602" s="2">
        <v>28</v>
      </c>
      <c r="I602">
        <v>240</v>
      </c>
      <c r="J602">
        <v>672</v>
      </c>
      <c r="K602" s="4">
        <v>309</v>
      </c>
      <c r="L602" t="s">
        <v>27</v>
      </c>
    </row>
    <row r="603" spans="1:12" x14ac:dyDescent="0.35">
      <c r="A603" t="s">
        <v>63</v>
      </c>
      <c r="B603">
        <v>1189833</v>
      </c>
      <c r="C603" s="1">
        <v>44299</v>
      </c>
      <c r="D603" t="s">
        <v>48</v>
      </c>
      <c r="E603" t="s">
        <v>66</v>
      </c>
      <c r="F603" t="s">
        <v>76</v>
      </c>
      <c r="G603" t="s">
        <v>26</v>
      </c>
      <c r="H603" s="2">
        <v>32</v>
      </c>
      <c r="I603">
        <v>240</v>
      </c>
      <c r="J603">
        <v>768</v>
      </c>
      <c r="K603" s="4">
        <v>361</v>
      </c>
      <c r="L603" t="s">
        <v>27</v>
      </c>
    </row>
    <row r="604" spans="1:12" x14ac:dyDescent="0.35">
      <c r="A604" t="s">
        <v>63</v>
      </c>
      <c r="B604">
        <v>1189833</v>
      </c>
      <c r="C604" s="1">
        <v>44313</v>
      </c>
      <c r="D604" t="s">
        <v>48</v>
      </c>
      <c r="E604" t="s">
        <v>66</v>
      </c>
      <c r="F604" t="s">
        <v>76</v>
      </c>
      <c r="G604" t="s">
        <v>32</v>
      </c>
      <c r="H604" s="2">
        <v>33</v>
      </c>
      <c r="I604">
        <v>240</v>
      </c>
      <c r="J604">
        <v>792</v>
      </c>
      <c r="K604" s="4">
        <v>364</v>
      </c>
      <c r="L604" t="s">
        <v>27</v>
      </c>
    </row>
    <row r="605" spans="1:12" x14ac:dyDescent="0.35">
      <c r="A605" t="s">
        <v>23</v>
      </c>
      <c r="B605">
        <v>1197831</v>
      </c>
      <c r="C605" s="1">
        <v>44466</v>
      </c>
      <c r="D605" t="s">
        <v>19</v>
      </c>
      <c r="E605" t="s">
        <v>59</v>
      </c>
      <c r="F605" t="s">
        <v>68</v>
      </c>
      <c r="G605" t="s">
        <v>16</v>
      </c>
      <c r="H605" s="2">
        <v>43</v>
      </c>
      <c r="I605">
        <v>240</v>
      </c>
      <c r="J605" s="3">
        <v>1032</v>
      </c>
      <c r="K605" s="4">
        <v>619</v>
      </c>
      <c r="L605" t="s">
        <v>27</v>
      </c>
    </row>
    <row r="606" spans="1:12" x14ac:dyDescent="0.35">
      <c r="A606" t="s">
        <v>23</v>
      </c>
      <c r="B606">
        <v>1197831</v>
      </c>
      <c r="C606" s="1">
        <v>44290</v>
      </c>
      <c r="D606" t="s">
        <v>19</v>
      </c>
      <c r="E606" t="s">
        <v>74</v>
      </c>
      <c r="F606" t="s">
        <v>75</v>
      </c>
      <c r="G606" t="s">
        <v>39</v>
      </c>
      <c r="H606" s="2">
        <v>20</v>
      </c>
      <c r="I606">
        <v>240</v>
      </c>
      <c r="J606">
        <v>480</v>
      </c>
      <c r="K606" s="4">
        <v>211</v>
      </c>
      <c r="L606" t="s">
        <v>27</v>
      </c>
    </row>
    <row r="607" spans="1:12" x14ac:dyDescent="0.35">
      <c r="A607" t="s">
        <v>23</v>
      </c>
      <c r="B607">
        <v>1197831</v>
      </c>
      <c r="C607" s="1">
        <v>44296</v>
      </c>
      <c r="D607" t="s">
        <v>19</v>
      </c>
      <c r="E607" t="s">
        <v>74</v>
      </c>
      <c r="F607" t="s">
        <v>75</v>
      </c>
      <c r="G607" t="s">
        <v>39</v>
      </c>
      <c r="H607" s="2">
        <v>32</v>
      </c>
      <c r="I607">
        <v>240</v>
      </c>
      <c r="J607">
        <v>768</v>
      </c>
      <c r="K607" s="4">
        <v>361</v>
      </c>
      <c r="L607" t="s">
        <v>27</v>
      </c>
    </row>
    <row r="608" spans="1:12" x14ac:dyDescent="0.35">
      <c r="A608" t="s">
        <v>23</v>
      </c>
      <c r="B608">
        <v>1197831</v>
      </c>
      <c r="C608" s="1">
        <v>44475</v>
      </c>
      <c r="D608" t="s">
        <v>19</v>
      </c>
      <c r="E608" t="s">
        <v>24</v>
      </c>
      <c r="F608" t="s">
        <v>25</v>
      </c>
      <c r="G608" t="s">
        <v>26</v>
      </c>
      <c r="H608" s="2">
        <v>46</v>
      </c>
      <c r="I608">
        <v>240</v>
      </c>
      <c r="J608" s="3">
        <v>1104</v>
      </c>
      <c r="K608" s="4">
        <v>618</v>
      </c>
      <c r="L608" t="s">
        <v>27</v>
      </c>
    </row>
    <row r="609" spans="1:12" x14ac:dyDescent="0.35">
      <c r="A609" t="s">
        <v>42</v>
      </c>
      <c r="B609">
        <v>1128299</v>
      </c>
      <c r="C609" s="1">
        <v>44432</v>
      </c>
      <c r="D609" t="s">
        <v>13</v>
      </c>
      <c r="E609" t="s">
        <v>99</v>
      </c>
      <c r="F609" t="s">
        <v>100</v>
      </c>
      <c r="G609" t="s">
        <v>39</v>
      </c>
      <c r="H609" s="2">
        <v>53</v>
      </c>
      <c r="I609">
        <v>240</v>
      </c>
      <c r="J609" s="3">
        <v>1272</v>
      </c>
      <c r="K609" s="4">
        <v>534</v>
      </c>
      <c r="L609" t="s">
        <v>27</v>
      </c>
    </row>
    <row r="610" spans="1:12" x14ac:dyDescent="0.35">
      <c r="A610" t="s">
        <v>18</v>
      </c>
      <c r="B610">
        <v>1128299</v>
      </c>
      <c r="C610" s="1">
        <v>44371</v>
      </c>
      <c r="D610" t="s">
        <v>48</v>
      </c>
      <c r="E610" t="s">
        <v>85</v>
      </c>
      <c r="F610" t="s">
        <v>86</v>
      </c>
      <c r="G610" t="s">
        <v>26</v>
      </c>
      <c r="H610" s="2">
        <v>43</v>
      </c>
      <c r="I610">
        <v>240</v>
      </c>
      <c r="J610" s="3">
        <v>1032</v>
      </c>
      <c r="K610" s="4">
        <v>392</v>
      </c>
      <c r="L610" t="s">
        <v>27</v>
      </c>
    </row>
    <row r="611" spans="1:12" x14ac:dyDescent="0.35">
      <c r="A611" t="s">
        <v>18</v>
      </c>
      <c r="B611">
        <v>1197831</v>
      </c>
      <c r="C611" s="1">
        <v>44321</v>
      </c>
      <c r="D611" t="s">
        <v>48</v>
      </c>
      <c r="E611" t="s">
        <v>79</v>
      </c>
      <c r="F611" t="s">
        <v>80</v>
      </c>
      <c r="G611" t="s">
        <v>16</v>
      </c>
      <c r="H611" s="2">
        <v>33</v>
      </c>
      <c r="I611">
        <v>240</v>
      </c>
      <c r="J611">
        <v>792</v>
      </c>
      <c r="K611" s="4">
        <v>436</v>
      </c>
      <c r="L611" t="s">
        <v>27</v>
      </c>
    </row>
    <row r="612" spans="1:12" x14ac:dyDescent="0.35">
      <c r="A612" t="s">
        <v>42</v>
      </c>
      <c r="B612">
        <v>1197831</v>
      </c>
      <c r="C612" s="1">
        <v>44534</v>
      </c>
      <c r="D612" t="s">
        <v>48</v>
      </c>
      <c r="E612" t="s">
        <v>79</v>
      </c>
      <c r="F612" t="s">
        <v>80</v>
      </c>
      <c r="G612" t="s">
        <v>26</v>
      </c>
      <c r="H612" s="2">
        <v>40</v>
      </c>
      <c r="I612">
        <v>240</v>
      </c>
      <c r="J612">
        <v>960</v>
      </c>
      <c r="K612" s="4">
        <v>432</v>
      </c>
      <c r="L612" t="s">
        <v>27</v>
      </c>
    </row>
    <row r="613" spans="1:12" x14ac:dyDescent="0.35">
      <c r="A613" t="s">
        <v>42</v>
      </c>
      <c r="B613">
        <v>1197831</v>
      </c>
      <c r="C613" s="1">
        <v>44534</v>
      </c>
      <c r="D613" t="s">
        <v>48</v>
      </c>
      <c r="E613" t="s">
        <v>79</v>
      </c>
      <c r="F613" t="s">
        <v>80</v>
      </c>
      <c r="G613" t="s">
        <v>39</v>
      </c>
      <c r="H613" s="2">
        <v>41</v>
      </c>
      <c r="I613">
        <v>240</v>
      </c>
      <c r="J613">
        <v>984</v>
      </c>
      <c r="K613" s="4">
        <v>453</v>
      </c>
      <c r="L613" t="s">
        <v>27</v>
      </c>
    </row>
    <row r="614" spans="1:12" x14ac:dyDescent="0.35">
      <c r="A614" t="s">
        <v>42</v>
      </c>
      <c r="B614">
        <v>1185732</v>
      </c>
      <c r="C614" s="1">
        <v>43864</v>
      </c>
      <c r="D614" t="s">
        <v>43</v>
      </c>
      <c r="E614" t="s">
        <v>44</v>
      </c>
      <c r="F614" t="s">
        <v>44</v>
      </c>
      <c r="G614" t="s">
        <v>56</v>
      </c>
      <c r="H614" s="2">
        <v>41</v>
      </c>
      <c r="I614">
        <v>239</v>
      </c>
      <c r="J614">
        <v>980</v>
      </c>
      <c r="K614" s="4">
        <v>480</v>
      </c>
      <c r="L614" t="s">
        <v>17</v>
      </c>
    </row>
    <row r="615" spans="1:12" x14ac:dyDescent="0.35">
      <c r="A615" t="s">
        <v>18</v>
      </c>
      <c r="B615">
        <v>1128299</v>
      </c>
      <c r="C615" s="1">
        <v>44013</v>
      </c>
      <c r="D615" t="s">
        <v>48</v>
      </c>
      <c r="E615" t="s">
        <v>97</v>
      </c>
      <c r="F615" t="s">
        <v>98</v>
      </c>
      <c r="G615" t="s">
        <v>26</v>
      </c>
      <c r="H615" s="2">
        <v>73</v>
      </c>
      <c r="I615">
        <v>239</v>
      </c>
      <c r="J615" s="3">
        <v>1745</v>
      </c>
      <c r="K615" s="4">
        <v>698</v>
      </c>
      <c r="L615" t="s">
        <v>17</v>
      </c>
    </row>
    <row r="616" spans="1:12" x14ac:dyDescent="0.35">
      <c r="A616" t="s">
        <v>18</v>
      </c>
      <c r="B616">
        <v>1128299</v>
      </c>
      <c r="C616" s="1">
        <v>44425</v>
      </c>
      <c r="D616" t="s">
        <v>19</v>
      </c>
      <c r="E616" t="s">
        <v>20</v>
      </c>
      <c r="F616" t="s">
        <v>21</v>
      </c>
      <c r="G616" t="s">
        <v>39</v>
      </c>
      <c r="H616" s="2">
        <v>77</v>
      </c>
      <c r="I616">
        <v>239</v>
      </c>
      <c r="J616" s="3">
        <v>1840</v>
      </c>
      <c r="K616" s="4">
        <v>939</v>
      </c>
      <c r="L616" t="s">
        <v>17</v>
      </c>
    </row>
    <row r="617" spans="1:12" x14ac:dyDescent="0.35">
      <c r="A617" t="s">
        <v>42</v>
      </c>
      <c r="B617">
        <v>1185732</v>
      </c>
      <c r="C617" s="1">
        <v>44205</v>
      </c>
      <c r="D617" t="s">
        <v>13</v>
      </c>
      <c r="E617" t="s">
        <v>57</v>
      </c>
      <c r="F617" t="s">
        <v>58</v>
      </c>
      <c r="G617" t="s">
        <v>16</v>
      </c>
      <c r="H617" s="2">
        <v>37</v>
      </c>
      <c r="I617">
        <v>239</v>
      </c>
      <c r="J617">
        <v>884</v>
      </c>
      <c r="K617" s="4">
        <v>531</v>
      </c>
      <c r="L617" t="s">
        <v>17</v>
      </c>
    </row>
    <row r="618" spans="1:12" x14ac:dyDescent="0.35">
      <c r="A618" t="s">
        <v>18</v>
      </c>
      <c r="B618">
        <v>1128299</v>
      </c>
      <c r="C618" s="1">
        <v>44143</v>
      </c>
      <c r="D618" t="s">
        <v>48</v>
      </c>
      <c r="E618" t="s">
        <v>66</v>
      </c>
      <c r="F618" t="s">
        <v>67</v>
      </c>
      <c r="G618" t="s">
        <v>39</v>
      </c>
      <c r="H618" s="2">
        <v>36</v>
      </c>
      <c r="I618">
        <v>239</v>
      </c>
      <c r="J618">
        <v>860</v>
      </c>
      <c r="K618" s="4">
        <v>215</v>
      </c>
      <c r="L618" t="s">
        <v>27</v>
      </c>
    </row>
    <row r="619" spans="1:12" x14ac:dyDescent="0.35">
      <c r="A619" t="s">
        <v>23</v>
      </c>
      <c r="B619">
        <v>1197831</v>
      </c>
      <c r="C619" s="1">
        <v>44487</v>
      </c>
      <c r="D619" t="s">
        <v>19</v>
      </c>
      <c r="E619" t="s">
        <v>59</v>
      </c>
      <c r="F619" t="s">
        <v>68</v>
      </c>
      <c r="G619" t="s">
        <v>32</v>
      </c>
      <c r="H619" s="2">
        <v>46</v>
      </c>
      <c r="I619">
        <v>239</v>
      </c>
      <c r="J619" s="3">
        <v>1099</v>
      </c>
      <c r="K619" s="4">
        <v>484</v>
      </c>
      <c r="L619" t="s">
        <v>27</v>
      </c>
    </row>
    <row r="620" spans="1:12" x14ac:dyDescent="0.35">
      <c r="A620" t="s">
        <v>23</v>
      </c>
      <c r="B620">
        <v>1197831</v>
      </c>
      <c r="C620" s="1">
        <v>44416</v>
      </c>
      <c r="D620" t="s">
        <v>48</v>
      </c>
      <c r="E620" t="s">
        <v>79</v>
      </c>
      <c r="F620" t="s">
        <v>80</v>
      </c>
      <c r="G620" t="s">
        <v>16</v>
      </c>
      <c r="H620" s="2">
        <v>44</v>
      </c>
      <c r="I620">
        <v>239</v>
      </c>
      <c r="J620" s="3">
        <v>1052</v>
      </c>
      <c r="K620" s="4">
        <v>641</v>
      </c>
      <c r="L620" t="s">
        <v>27</v>
      </c>
    </row>
    <row r="621" spans="1:12" x14ac:dyDescent="0.35">
      <c r="A621" t="s">
        <v>42</v>
      </c>
      <c r="B621">
        <v>1185732</v>
      </c>
      <c r="C621" s="1">
        <v>43860</v>
      </c>
      <c r="D621" t="s">
        <v>43</v>
      </c>
      <c r="E621" t="s">
        <v>44</v>
      </c>
      <c r="F621" t="s">
        <v>44</v>
      </c>
      <c r="G621" t="s">
        <v>16</v>
      </c>
      <c r="H621" s="2">
        <v>45</v>
      </c>
      <c r="I621">
        <v>238</v>
      </c>
      <c r="J621" s="3">
        <v>1071</v>
      </c>
      <c r="K621" s="4">
        <v>375</v>
      </c>
      <c r="L621" t="s">
        <v>17</v>
      </c>
    </row>
    <row r="622" spans="1:12" x14ac:dyDescent="0.35">
      <c r="A622" t="s">
        <v>42</v>
      </c>
      <c r="B622">
        <v>1185732</v>
      </c>
      <c r="C622" s="1">
        <v>43866</v>
      </c>
      <c r="D622" t="s">
        <v>43</v>
      </c>
      <c r="E622" t="s">
        <v>44</v>
      </c>
      <c r="F622" t="s">
        <v>44</v>
      </c>
      <c r="G622" t="s">
        <v>16</v>
      </c>
      <c r="H622" s="2">
        <v>49</v>
      </c>
      <c r="I622">
        <v>238</v>
      </c>
      <c r="J622" s="3">
        <v>1166</v>
      </c>
      <c r="K622" s="4">
        <v>431</v>
      </c>
      <c r="L622" t="s">
        <v>17</v>
      </c>
    </row>
    <row r="623" spans="1:12" x14ac:dyDescent="0.35">
      <c r="A623" t="s">
        <v>12</v>
      </c>
      <c r="B623">
        <v>1197831</v>
      </c>
      <c r="C623" s="1">
        <v>44061</v>
      </c>
      <c r="D623" t="s">
        <v>19</v>
      </c>
      <c r="E623" t="s">
        <v>59</v>
      </c>
      <c r="F623" t="s">
        <v>60</v>
      </c>
      <c r="G623" t="s">
        <v>26</v>
      </c>
      <c r="H623" s="2">
        <v>39</v>
      </c>
      <c r="I623">
        <v>238</v>
      </c>
      <c r="J623">
        <v>928</v>
      </c>
      <c r="K623" s="4">
        <v>436</v>
      </c>
      <c r="L623" t="s">
        <v>17</v>
      </c>
    </row>
    <row r="624" spans="1:12" x14ac:dyDescent="0.35">
      <c r="A624" t="s">
        <v>12</v>
      </c>
      <c r="B624">
        <v>1197831</v>
      </c>
      <c r="C624" s="1">
        <v>44062</v>
      </c>
      <c r="D624" t="s">
        <v>19</v>
      </c>
      <c r="E624" t="s">
        <v>59</v>
      </c>
      <c r="F624" t="s">
        <v>60</v>
      </c>
      <c r="G624" t="s">
        <v>39</v>
      </c>
      <c r="H624" s="2">
        <v>42</v>
      </c>
      <c r="I624">
        <v>238</v>
      </c>
      <c r="J624" s="3">
        <v>1000</v>
      </c>
      <c r="K624" s="4">
        <v>450</v>
      </c>
      <c r="L624" t="s">
        <v>17</v>
      </c>
    </row>
    <row r="625" spans="1:12" x14ac:dyDescent="0.35">
      <c r="A625" t="s">
        <v>12</v>
      </c>
      <c r="B625">
        <v>1197831</v>
      </c>
      <c r="C625" s="1">
        <v>44067</v>
      </c>
      <c r="D625" t="s">
        <v>19</v>
      </c>
      <c r="E625" t="s">
        <v>59</v>
      </c>
      <c r="F625" t="s">
        <v>60</v>
      </c>
      <c r="G625" t="s">
        <v>26</v>
      </c>
      <c r="H625" s="2">
        <v>37</v>
      </c>
      <c r="I625">
        <v>238</v>
      </c>
      <c r="J625">
        <v>881</v>
      </c>
      <c r="K625" s="4">
        <v>396</v>
      </c>
      <c r="L625" t="s">
        <v>17</v>
      </c>
    </row>
    <row r="626" spans="1:12" x14ac:dyDescent="0.35">
      <c r="A626" t="s">
        <v>12</v>
      </c>
      <c r="B626">
        <v>1197831</v>
      </c>
      <c r="C626" s="1">
        <v>44068</v>
      </c>
      <c r="D626" t="s">
        <v>19</v>
      </c>
      <c r="E626" t="s">
        <v>59</v>
      </c>
      <c r="F626" t="s">
        <v>60</v>
      </c>
      <c r="G626" t="s">
        <v>39</v>
      </c>
      <c r="H626" s="2">
        <v>42</v>
      </c>
      <c r="I626">
        <v>238</v>
      </c>
      <c r="J626" s="3">
        <v>1000</v>
      </c>
      <c r="K626" s="4">
        <v>460</v>
      </c>
      <c r="L626" t="s">
        <v>17</v>
      </c>
    </row>
    <row r="627" spans="1:12" x14ac:dyDescent="0.35">
      <c r="A627" t="s">
        <v>12</v>
      </c>
      <c r="B627">
        <v>1197831</v>
      </c>
      <c r="C627" s="1">
        <v>44130</v>
      </c>
      <c r="D627" t="s">
        <v>19</v>
      </c>
      <c r="E627" t="s">
        <v>59</v>
      </c>
      <c r="F627" t="s">
        <v>60</v>
      </c>
      <c r="G627" t="s">
        <v>26</v>
      </c>
      <c r="H627" s="2">
        <v>41</v>
      </c>
      <c r="I627">
        <v>238</v>
      </c>
      <c r="J627">
        <v>976</v>
      </c>
      <c r="K627" s="4">
        <v>468</v>
      </c>
      <c r="L627" t="s">
        <v>17</v>
      </c>
    </row>
    <row r="628" spans="1:12" x14ac:dyDescent="0.35">
      <c r="A628" t="s">
        <v>63</v>
      </c>
      <c r="B628">
        <v>1189833</v>
      </c>
      <c r="C628" s="1">
        <v>44311</v>
      </c>
      <c r="D628" t="s">
        <v>48</v>
      </c>
      <c r="E628" t="s">
        <v>66</v>
      </c>
      <c r="F628" t="s">
        <v>76</v>
      </c>
      <c r="G628" t="s">
        <v>26</v>
      </c>
      <c r="H628" s="2">
        <v>41</v>
      </c>
      <c r="I628">
        <v>238</v>
      </c>
      <c r="J628">
        <v>976</v>
      </c>
      <c r="K628" s="4">
        <v>498</v>
      </c>
      <c r="L628" t="s">
        <v>17</v>
      </c>
    </row>
    <row r="629" spans="1:12" x14ac:dyDescent="0.35">
      <c r="A629" t="s">
        <v>18</v>
      </c>
      <c r="B629">
        <v>1185732</v>
      </c>
      <c r="C629" s="1">
        <v>44447</v>
      </c>
      <c r="D629" t="s">
        <v>43</v>
      </c>
      <c r="E629" t="s">
        <v>44</v>
      </c>
      <c r="F629" t="s">
        <v>101</v>
      </c>
      <c r="G629" t="s">
        <v>26</v>
      </c>
      <c r="H629" s="2">
        <v>50</v>
      </c>
      <c r="I629">
        <v>238</v>
      </c>
      <c r="J629" s="3">
        <v>1190</v>
      </c>
      <c r="K629" s="4">
        <v>702</v>
      </c>
      <c r="L629" t="s">
        <v>17</v>
      </c>
    </row>
    <row r="630" spans="1:12" x14ac:dyDescent="0.35">
      <c r="A630" t="s">
        <v>63</v>
      </c>
      <c r="B630">
        <v>1185732</v>
      </c>
      <c r="C630" s="1">
        <v>44239</v>
      </c>
      <c r="D630" t="s">
        <v>43</v>
      </c>
      <c r="E630" t="s">
        <v>44</v>
      </c>
      <c r="F630" t="s">
        <v>101</v>
      </c>
      <c r="G630" t="s">
        <v>26</v>
      </c>
      <c r="H630" s="2">
        <v>37</v>
      </c>
      <c r="I630">
        <v>238</v>
      </c>
      <c r="J630">
        <v>881</v>
      </c>
      <c r="K630" s="4">
        <v>537</v>
      </c>
      <c r="L630" t="s">
        <v>17</v>
      </c>
    </row>
    <row r="631" spans="1:12" x14ac:dyDescent="0.35">
      <c r="A631" t="s">
        <v>23</v>
      </c>
      <c r="B631">
        <v>1185732</v>
      </c>
      <c r="C631" s="1">
        <v>44351</v>
      </c>
      <c r="D631" t="s">
        <v>13</v>
      </c>
      <c r="E631" t="s">
        <v>77</v>
      </c>
      <c r="F631" t="s">
        <v>78</v>
      </c>
      <c r="G631" t="s">
        <v>26</v>
      </c>
      <c r="H631" s="2">
        <v>46</v>
      </c>
      <c r="I631">
        <v>238</v>
      </c>
      <c r="J631" s="3">
        <v>1095</v>
      </c>
      <c r="K631" s="4">
        <v>602</v>
      </c>
      <c r="L631" t="s">
        <v>17</v>
      </c>
    </row>
    <row r="632" spans="1:12" x14ac:dyDescent="0.35">
      <c r="A632" t="s">
        <v>23</v>
      </c>
      <c r="B632">
        <v>1197831</v>
      </c>
      <c r="C632" s="1">
        <v>44033</v>
      </c>
      <c r="D632" t="s">
        <v>43</v>
      </c>
      <c r="E632" t="s">
        <v>44</v>
      </c>
      <c r="F632" t="s">
        <v>44</v>
      </c>
      <c r="G632" t="s">
        <v>32</v>
      </c>
      <c r="H632" s="2">
        <v>27</v>
      </c>
      <c r="I632">
        <v>238</v>
      </c>
      <c r="J632">
        <v>643</v>
      </c>
      <c r="K632" s="4">
        <v>251</v>
      </c>
      <c r="L632" t="s">
        <v>27</v>
      </c>
    </row>
    <row r="633" spans="1:12" x14ac:dyDescent="0.35">
      <c r="A633" t="s">
        <v>63</v>
      </c>
      <c r="B633">
        <v>1189833</v>
      </c>
      <c r="C633" s="1">
        <v>44340</v>
      </c>
      <c r="D633" t="s">
        <v>48</v>
      </c>
      <c r="E633" t="s">
        <v>66</v>
      </c>
      <c r="F633" t="s">
        <v>76</v>
      </c>
      <c r="G633" t="s">
        <v>16</v>
      </c>
      <c r="H633" s="2">
        <v>49</v>
      </c>
      <c r="I633">
        <v>238</v>
      </c>
      <c r="J633" s="3">
        <v>1166</v>
      </c>
      <c r="K633" s="4">
        <v>280</v>
      </c>
      <c r="L633" t="s">
        <v>27</v>
      </c>
    </row>
    <row r="634" spans="1:12" x14ac:dyDescent="0.35">
      <c r="A634" t="s">
        <v>18</v>
      </c>
      <c r="B634">
        <v>1128299</v>
      </c>
      <c r="C634" s="1">
        <v>43874</v>
      </c>
      <c r="D634" t="s">
        <v>48</v>
      </c>
      <c r="E634" t="s">
        <v>116</v>
      </c>
      <c r="F634" t="s">
        <v>117</v>
      </c>
      <c r="G634" t="s">
        <v>26</v>
      </c>
      <c r="H634" s="2">
        <v>44</v>
      </c>
      <c r="I634">
        <v>238</v>
      </c>
      <c r="J634" s="3">
        <v>1047</v>
      </c>
      <c r="K634" s="4">
        <v>482</v>
      </c>
      <c r="L634" t="s">
        <v>27</v>
      </c>
    </row>
    <row r="635" spans="1:12" x14ac:dyDescent="0.35">
      <c r="A635" t="s">
        <v>12</v>
      </c>
      <c r="B635">
        <v>1128299</v>
      </c>
      <c r="C635" s="1">
        <v>44364</v>
      </c>
      <c r="D635" t="s">
        <v>13</v>
      </c>
      <c r="E635" t="s">
        <v>14</v>
      </c>
      <c r="F635" t="s">
        <v>15</v>
      </c>
      <c r="G635" t="s">
        <v>32</v>
      </c>
      <c r="H635" s="2">
        <v>60</v>
      </c>
      <c r="I635">
        <v>238</v>
      </c>
      <c r="J635" s="3">
        <v>1428</v>
      </c>
      <c r="K635" s="4">
        <v>471</v>
      </c>
      <c r="L635" t="s">
        <v>27</v>
      </c>
    </row>
    <row r="636" spans="1:12" x14ac:dyDescent="0.35">
      <c r="A636" t="s">
        <v>12</v>
      </c>
      <c r="B636">
        <v>1128299</v>
      </c>
      <c r="C636" s="1">
        <v>44393</v>
      </c>
      <c r="D636" t="s">
        <v>13</v>
      </c>
      <c r="E636" t="s">
        <v>14</v>
      </c>
      <c r="F636" t="s">
        <v>15</v>
      </c>
      <c r="G636" t="s">
        <v>32</v>
      </c>
      <c r="H636" s="2">
        <v>72</v>
      </c>
      <c r="I636">
        <v>238</v>
      </c>
      <c r="J636" s="3">
        <v>1714</v>
      </c>
      <c r="K636" s="4">
        <v>583</v>
      </c>
      <c r="L636" t="s">
        <v>27</v>
      </c>
    </row>
    <row r="637" spans="1:12" x14ac:dyDescent="0.35">
      <c r="A637" t="s">
        <v>63</v>
      </c>
      <c r="B637">
        <v>1128299</v>
      </c>
      <c r="C637" s="1">
        <v>44555</v>
      </c>
      <c r="D637" t="s">
        <v>48</v>
      </c>
      <c r="E637" t="s">
        <v>114</v>
      </c>
      <c r="F637" t="s">
        <v>115</v>
      </c>
      <c r="G637" t="s">
        <v>26</v>
      </c>
      <c r="H637" s="2">
        <v>44</v>
      </c>
      <c r="I637">
        <v>238</v>
      </c>
      <c r="J637" s="3">
        <v>1047</v>
      </c>
      <c r="K637" s="4">
        <v>440</v>
      </c>
      <c r="L637" t="s">
        <v>27</v>
      </c>
    </row>
    <row r="638" spans="1:12" x14ac:dyDescent="0.35">
      <c r="A638" t="s">
        <v>42</v>
      </c>
      <c r="B638">
        <v>1185732</v>
      </c>
      <c r="C638" s="1">
        <v>44332</v>
      </c>
      <c r="D638" t="s">
        <v>19</v>
      </c>
      <c r="E638" t="s">
        <v>37</v>
      </c>
      <c r="F638" t="s">
        <v>38</v>
      </c>
      <c r="G638" t="s">
        <v>26</v>
      </c>
      <c r="H638" s="2">
        <v>27</v>
      </c>
      <c r="I638">
        <v>238</v>
      </c>
      <c r="J638">
        <v>643</v>
      </c>
      <c r="K638" s="4">
        <v>270</v>
      </c>
      <c r="L638" t="s">
        <v>27</v>
      </c>
    </row>
    <row r="639" spans="1:12" x14ac:dyDescent="0.35">
      <c r="A639" t="s">
        <v>18</v>
      </c>
      <c r="B639">
        <v>1197831</v>
      </c>
      <c r="C639" s="1">
        <v>44549</v>
      </c>
      <c r="D639" t="s">
        <v>19</v>
      </c>
      <c r="E639" t="s">
        <v>54</v>
      </c>
      <c r="F639" t="s">
        <v>55</v>
      </c>
      <c r="G639" t="s">
        <v>26</v>
      </c>
      <c r="H639" s="2">
        <v>55</v>
      </c>
      <c r="I639">
        <v>238</v>
      </c>
      <c r="J639" s="3">
        <v>1309</v>
      </c>
      <c r="K639" s="4">
        <v>602</v>
      </c>
      <c r="L639" t="s">
        <v>27</v>
      </c>
    </row>
    <row r="640" spans="1:12" x14ac:dyDescent="0.35">
      <c r="A640" t="s">
        <v>18</v>
      </c>
      <c r="B640">
        <v>1197831</v>
      </c>
      <c r="C640" s="1">
        <v>44396</v>
      </c>
      <c r="D640" t="s">
        <v>19</v>
      </c>
      <c r="E640" t="s">
        <v>61</v>
      </c>
      <c r="F640" t="s">
        <v>62</v>
      </c>
      <c r="G640" t="s">
        <v>26</v>
      </c>
      <c r="H640" s="2">
        <v>43</v>
      </c>
      <c r="I640">
        <v>238</v>
      </c>
      <c r="J640" s="3">
        <v>1023</v>
      </c>
      <c r="K640" s="4">
        <v>430</v>
      </c>
      <c r="L640" t="s">
        <v>27</v>
      </c>
    </row>
    <row r="641" spans="1:12" x14ac:dyDescent="0.35">
      <c r="A641" t="s">
        <v>12</v>
      </c>
      <c r="B641">
        <v>1185732</v>
      </c>
      <c r="C641" s="1">
        <v>43946</v>
      </c>
      <c r="D641" t="s">
        <v>43</v>
      </c>
      <c r="E641" t="s">
        <v>44</v>
      </c>
      <c r="F641" t="s">
        <v>44</v>
      </c>
      <c r="G641" t="s">
        <v>70</v>
      </c>
      <c r="H641" s="2">
        <v>64</v>
      </c>
      <c r="I641">
        <v>236</v>
      </c>
      <c r="J641" s="3">
        <v>1510</v>
      </c>
      <c r="K641" s="4">
        <v>634</v>
      </c>
      <c r="L641" t="s">
        <v>17</v>
      </c>
    </row>
    <row r="642" spans="1:12" x14ac:dyDescent="0.35">
      <c r="A642" t="s">
        <v>23</v>
      </c>
      <c r="B642">
        <v>1197831</v>
      </c>
      <c r="C642" s="1">
        <v>44044</v>
      </c>
      <c r="D642" t="s">
        <v>19</v>
      </c>
      <c r="E642" t="s">
        <v>59</v>
      </c>
      <c r="F642" t="s">
        <v>60</v>
      </c>
      <c r="G642" t="s">
        <v>39</v>
      </c>
      <c r="H642" s="2">
        <v>39</v>
      </c>
      <c r="I642">
        <v>236</v>
      </c>
      <c r="J642">
        <v>920</v>
      </c>
      <c r="K642" s="4">
        <v>414</v>
      </c>
      <c r="L642" t="s">
        <v>17</v>
      </c>
    </row>
    <row r="643" spans="1:12" x14ac:dyDescent="0.35">
      <c r="A643" t="s">
        <v>18</v>
      </c>
      <c r="B643">
        <v>1128299</v>
      </c>
      <c r="C643" s="1">
        <v>44226</v>
      </c>
      <c r="D643" t="s">
        <v>48</v>
      </c>
      <c r="E643" t="s">
        <v>66</v>
      </c>
      <c r="F643" t="s">
        <v>67</v>
      </c>
      <c r="G643" t="s">
        <v>26</v>
      </c>
      <c r="H643" s="2">
        <v>51</v>
      </c>
      <c r="I643">
        <v>236</v>
      </c>
      <c r="J643" s="3">
        <v>1204</v>
      </c>
      <c r="K643" s="4">
        <v>542</v>
      </c>
      <c r="L643" t="s">
        <v>17</v>
      </c>
    </row>
    <row r="644" spans="1:12" x14ac:dyDescent="0.35">
      <c r="A644" t="s">
        <v>18</v>
      </c>
      <c r="B644">
        <v>1128299</v>
      </c>
      <c r="C644" s="1">
        <v>44233</v>
      </c>
      <c r="D644" t="s">
        <v>48</v>
      </c>
      <c r="E644" t="s">
        <v>66</v>
      </c>
      <c r="F644" t="s">
        <v>67</v>
      </c>
      <c r="G644" t="s">
        <v>39</v>
      </c>
      <c r="H644" s="2">
        <v>58</v>
      </c>
      <c r="I644">
        <v>236</v>
      </c>
      <c r="J644" s="3">
        <v>1369</v>
      </c>
      <c r="K644" s="4">
        <v>342</v>
      </c>
      <c r="L644" t="s">
        <v>17</v>
      </c>
    </row>
    <row r="645" spans="1:12" x14ac:dyDescent="0.35">
      <c r="A645" t="s">
        <v>23</v>
      </c>
      <c r="B645">
        <v>1197831</v>
      </c>
      <c r="C645" s="1">
        <v>44300</v>
      </c>
      <c r="D645" t="s">
        <v>19</v>
      </c>
      <c r="E645" t="s">
        <v>74</v>
      </c>
      <c r="F645" t="s">
        <v>75</v>
      </c>
      <c r="G645" t="s">
        <v>16</v>
      </c>
      <c r="H645" s="2">
        <v>49</v>
      </c>
      <c r="I645">
        <v>236</v>
      </c>
      <c r="J645" s="3">
        <v>1156</v>
      </c>
      <c r="K645" s="4">
        <v>752</v>
      </c>
      <c r="L645" t="s">
        <v>17</v>
      </c>
    </row>
    <row r="646" spans="1:12" x14ac:dyDescent="0.35">
      <c r="A646" t="s">
        <v>23</v>
      </c>
      <c r="B646">
        <v>1197831</v>
      </c>
      <c r="C646" s="1">
        <v>44039</v>
      </c>
      <c r="D646" t="s">
        <v>19</v>
      </c>
      <c r="E646" t="s">
        <v>59</v>
      </c>
      <c r="F646" t="s">
        <v>60</v>
      </c>
      <c r="G646" t="s">
        <v>32</v>
      </c>
      <c r="H646" s="2">
        <v>27</v>
      </c>
      <c r="I646">
        <v>236</v>
      </c>
      <c r="J646">
        <v>637</v>
      </c>
      <c r="K646" s="4">
        <v>261</v>
      </c>
      <c r="L646" t="s">
        <v>27</v>
      </c>
    </row>
    <row r="647" spans="1:12" x14ac:dyDescent="0.35">
      <c r="A647" t="s">
        <v>23</v>
      </c>
      <c r="B647">
        <v>1197831</v>
      </c>
      <c r="C647" s="1">
        <v>44432</v>
      </c>
      <c r="D647" t="s">
        <v>19</v>
      </c>
      <c r="E647" t="s">
        <v>59</v>
      </c>
      <c r="F647" t="s">
        <v>68</v>
      </c>
      <c r="G647" t="s">
        <v>39</v>
      </c>
      <c r="H647" s="2">
        <v>31</v>
      </c>
      <c r="I647">
        <v>236</v>
      </c>
      <c r="J647">
        <v>732</v>
      </c>
      <c r="K647" s="4">
        <v>293</v>
      </c>
      <c r="L647" t="s">
        <v>27</v>
      </c>
    </row>
    <row r="648" spans="1:12" x14ac:dyDescent="0.35">
      <c r="A648" t="s">
        <v>23</v>
      </c>
      <c r="B648">
        <v>1197831</v>
      </c>
      <c r="C648" s="1">
        <v>44472</v>
      </c>
      <c r="D648" t="s">
        <v>19</v>
      </c>
      <c r="E648" t="s">
        <v>59</v>
      </c>
      <c r="F648" t="s">
        <v>68</v>
      </c>
      <c r="G648" t="s">
        <v>16</v>
      </c>
      <c r="H648" s="2">
        <v>33</v>
      </c>
      <c r="I648">
        <v>236</v>
      </c>
      <c r="J648">
        <v>779</v>
      </c>
      <c r="K648" s="4">
        <v>459</v>
      </c>
      <c r="L648" t="s">
        <v>27</v>
      </c>
    </row>
    <row r="649" spans="1:12" x14ac:dyDescent="0.35">
      <c r="A649" t="s">
        <v>23</v>
      </c>
      <c r="B649">
        <v>1197831</v>
      </c>
      <c r="C649" s="1">
        <v>44484</v>
      </c>
      <c r="D649" t="s">
        <v>19</v>
      </c>
      <c r="E649" t="s">
        <v>59</v>
      </c>
      <c r="F649" t="s">
        <v>68</v>
      </c>
      <c r="G649" t="s">
        <v>16</v>
      </c>
      <c r="H649" s="2">
        <v>51</v>
      </c>
      <c r="I649">
        <v>236</v>
      </c>
      <c r="J649" s="3">
        <v>1204</v>
      </c>
      <c r="K649" s="4">
        <v>734</v>
      </c>
      <c r="L649" t="s">
        <v>27</v>
      </c>
    </row>
    <row r="650" spans="1:12" x14ac:dyDescent="0.35">
      <c r="A650" t="s">
        <v>12</v>
      </c>
      <c r="B650">
        <v>1197831</v>
      </c>
      <c r="C650" s="1">
        <v>44368</v>
      </c>
      <c r="D650" t="s">
        <v>19</v>
      </c>
      <c r="E650" t="s">
        <v>54</v>
      </c>
      <c r="F650" t="s">
        <v>55</v>
      </c>
      <c r="G650" t="s">
        <v>26</v>
      </c>
      <c r="H650" s="2">
        <v>28</v>
      </c>
      <c r="I650">
        <v>236</v>
      </c>
      <c r="J650">
        <v>661</v>
      </c>
      <c r="K650" s="4">
        <v>291</v>
      </c>
      <c r="L650" t="s">
        <v>27</v>
      </c>
    </row>
    <row r="651" spans="1:12" x14ac:dyDescent="0.35">
      <c r="A651" t="s">
        <v>42</v>
      </c>
      <c r="B651">
        <v>1185732</v>
      </c>
      <c r="C651" s="1">
        <v>43835</v>
      </c>
      <c r="D651" t="s">
        <v>43</v>
      </c>
      <c r="E651" t="s">
        <v>44</v>
      </c>
      <c r="F651" t="s">
        <v>44</v>
      </c>
      <c r="G651" t="s">
        <v>70</v>
      </c>
      <c r="H651" s="2">
        <v>55</v>
      </c>
      <c r="I651">
        <v>234</v>
      </c>
      <c r="J651" s="3">
        <v>1287</v>
      </c>
      <c r="K651" s="4">
        <v>515</v>
      </c>
      <c r="L651" t="s">
        <v>17</v>
      </c>
    </row>
    <row r="652" spans="1:12" x14ac:dyDescent="0.35">
      <c r="A652" t="s">
        <v>42</v>
      </c>
      <c r="B652">
        <v>1185732</v>
      </c>
      <c r="C652" s="1">
        <v>43862</v>
      </c>
      <c r="D652" t="s">
        <v>43</v>
      </c>
      <c r="E652" t="s">
        <v>44</v>
      </c>
      <c r="F652" t="s">
        <v>44</v>
      </c>
      <c r="G652" t="s">
        <v>39</v>
      </c>
      <c r="H652" s="2">
        <v>47</v>
      </c>
      <c r="I652">
        <v>234</v>
      </c>
      <c r="J652" s="3">
        <v>1100</v>
      </c>
      <c r="K652" s="4">
        <v>451</v>
      </c>
      <c r="L652" t="s">
        <v>17</v>
      </c>
    </row>
    <row r="653" spans="1:12" x14ac:dyDescent="0.35">
      <c r="A653" t="s">
        <v>23</v>
      </c>
      <c r="B653">
        <v>1197831</v>
      </c>
      <c r="C653" s="1">
        <v>44031</v>
      </c>
      <c r="D653" t="s">
        <v>43</v>
      </c>
      <c r="E653" t="s">
        <v>44</v>
      </c>
      <c r="F653" t="s">
        <v>44</v>
      </c>
      <c r="G653" t="s">
        <v>26</v>
      </c>
      <c r="H653" s="2">
        <v>24</v>
      </c>
      <c r="I653">
        <v>234</v>
      </c>
      <c r="J653">
        <v>562</v>
      </c>
      <c r="K653" s="4">
        <v>264</v>
      </c>
      <c r="L653" t="s">
        <v>17</v>
      </c>
    </row>
    <row r="654" spans="1:12" x14ac:dyDescent="0.35">
      <c r="A654" t="s">
        <v>23</v>
      </c>
      <c r="B654">
        <v>1197831</v>
      </c>
      <c r="C654" s="1">
        <v>44049</v>
      </c>
      <c r="D654" t="s">
        <v>19</v>
      </c>
      <c r="E654" t="s">
        <v>59</v>
      </c>
      <c r="F654" t="s">
        <v>60</v>
      </c>
      <c r="G654" t="s">
        <v>26</v>
      </c>
      <c r="H654" s="2">
        <v>27</v>
      </c>
      <c r="I654">
        <v>234</v>
      </c>
      <c r="J654">
        <v>632</v>
      </c>
      <c r="K654" s="4">
        <v>303</v>
      </c>
      <c r="L654" t="s">
        <v>17</v>
      </c>
    </row>
    <row r="655" spans="1:12" x14ac:dyDescent="0.35">
      <c r="A655" t="s">
        <v>12</v>
      </c>
      <c r="B655">
        <v>1197831</v>
      </c>
      <c r="C655" s="1">
        <v>44081</v>
      </c>
      <c r="D655" t="s">
        <v>19</v>
      </c>
      <c r="E655" t="s">
        <v>59</v>
      </c>
      <c r="F655" t="s">
        <v>60</v>
      </c>
      <c r="G655" t="s">
        <v>32</v>
      </c>
      <c r="H655" s="2">
        <v>46</v>
      </c>
      <c r="I655">
        <v>234</v>
      </c>
      <c r="J655" s="3">
        <v>1076</v>
      </c>
      <c r="K655" s="4">
        <v>527</v>
      </c>
      <c r="L655" t="s">
        <v>17</v>
      </c>
    </row>
    <row r="656" spans="1:12" x14ac:dyDescent="0.35">
      <c r="A656" t="s">
        <v>12</v>
      </c>
      <c r="B656">
        <v>1197831</v>
      </c>
      <c r="C656" s="1">
        <v>44124</v>
      </c>
      <c r="D656" t="s">
        <v>19</v>
      </c>
      <c r="E656" t="s">
        <v>59</v>
      </c>
      <c r="F656" t="s">
        <v>60</v>
      </c>
      <c r="G656" t="s">
        <v>26</v>
      </c>
      <c r="H656" s="2">
        <v>43</v>
      </c>
      <c r="I656">
        <v>234</v>
      </c>
      <c r="J656" s="3">
        <v>1006</v>
      </c>
      <c r="K656" s="4">
        <v>493</v>
      </c>
      <c r="L656" t="s">
        <v>17</v>
      </c>
    </row>
    <row r="657" spans="1:12" x14ac:dyDescent="0.35">
      <c r="A657" t="s">
        <v>18</v>
      </c>
      <c r="B657">
        <v>1185732</v>
      </c>
      <c r="C657" s="1">
        <v>44237</v>
      </c>
      <c r="D657" t="s">
        <v>13</v>
      </c>
      <c r="E657" t="s">
        <v>14</v>
      </c>
      <c r="F657" t="s">
        <v>15</v>
      </c>
      <c r="G657" t="s">
        <v>26</v>
      </c>
      <c r="H657" s="2">
        <v>44</v>
      </c>
      <c r="I657">
        <v>234</v>
      </c>
      <c r="J657" s="3">
        <v>1030</v>
      </c>
      <c r="K657" s="4">
        <v>566</v>
      </c>
      <c r="L657" t="s">
        <v>17</v>
      </c>
    </row>
    <row r="658" spans="1:12" x14ac:dyDescent="0.35">
      <c r="A658" t="s">
        <v>18</v>
      </c>
      <c r="B658">
        <v>1128299</v>
      </c>
      <c r="C658" s="1">
        <v>44141</v>
      </c>
      <c r="D658" t="s">
        <v>48</v>
      </c>
      <c r="E658" t="s">
        <v>66</v>
      </c>
      <c r="F658" t="s">
        <v>67</v>
      </c>
      <c r="G658" t="s">
        <v>16</v>
      </c>
      <c r="H658" s="2">
        <v>49</v>
      </c>
      <c r="I658">
        <v>233</v>
      </c>
      <c r="J658" s="3">
        <v>1142</v>
      </c>
      <c r="K658" s="4">
        <v>285</v>
      </c>
      <c r="L658" t="s">
        <v>17</v>
      </c>
    </row>
    <row r="659" spans="1:12" x14ac:dyDescent="0.35">
      <c r="A659" t="s">
        <v>18</v>
      </c>
      <c r="B659">
        <v>1128299</v>
      </c>
      <c r="C659" s="1">
        <v>44212</v>
      </c>
      <c r="D659" t="s">
        <v>48</v>
      </c>
      <c r="E659" t="s">
        <v>66</v>
      </c>
      <c r="F659" t="s">
        <v>67</v>
      </c>
      <c r="G659" t="s">
        <v>70</v>
      </c>
      <c r="H659" s="2">
        <v>64</v>
      </c>
      <c r="I659">
        <v>233</v>
      </c>
      <c r="J659" s="3">
        <v>1491</v>
      </c>
      <c r="K659" s="4">
        <v>954</v>
      </c>
      <c r="L659" t="s">
        <v>17</v>
      </c>
    </row>
    <row r="660" spans="1:12" x14ac:dyDescent="0.35">
      <c r="A660" t="s">
        <v>18</v>
      </c>
      <c r="B660">
        <v>1128299</v>
      </c>
      <c r="C660" s="1">
        <v>44213</v>
      </c>
      <c r="D660" t="s">
        <v>48</v>
      </c>
      <c r="E660" t="s">
        <v>66</v>
      </c>
      <c r="F660" t="s">
        <v>67</v>
      </c>
      <c r="G660" t="s">
        <v>16</v>
      </c>
      <c r="H660" s="2">
        <v>72</v>
      </c>
      <c r="I660">
        <v>233</v>
      </c>
      <c r="J660" s="3">
        <v>1678</v>
      </c>
      <c r="K660" s="4">
        <v>487</v>
      </c>
      <c r="L660" t="s">
        <v>17</v>
      </c>
    </row>
    <row r="661" spans="1:12" x14ac:dyDescent="0.35">
      <c r="A661" t="s">
        <v>18</v>
      </c>
      <c r="B661">
        <v>1128299</v>
      </c>
      <c r="C661" s="1">
        <v>44240</v>
      </c>
      <c r="D661" t="s">
        <v>48</v>
      </c>
      <c r="E661" t="s">
        <v>66</v>
      </c>
      <c r="F661" t="s">
        <v>67</v>
      </c>
      <c r="G661" t="s">
        <v>32</v>
      </c>
      <c r="H661" s="2">
        <v>52</v>
      </c>
      <c r="I661">
        <v>233</v>
      </c>
      <c r="J661" s="3">
        <v>1212</v>
      </c>
      <c r="K661" s="4">
        <v>485</v>
      </c>
      <c r="L661" t="s">
        <v>17</v>
      </c>
    </row>
    <row r="662" spans="1:12" x14ac:dyDescent="0.35">
      <c r="A662" t="s">
        <v>23</v>
      </c>
      <c r="B662">
        <v>1197831</v>
      </c>
      <c r="C662" s="1">
        <v>44466</v>
      </c>
      <c r="D662" t="s">
        <v>19</v>
      </c>
      <c r="E662" t="s">
        <v>59</v>
      </c>
      <c r="F662" t="s">
        <v>68</v>
      </c>
      <c r="G662" t="s">
        <v>16</v>
      </c>
      <c r="H662" s="2">
        <v>56</v>
      </c>
      <c r="I662">
        <v>233</v>
      </c>
      <c r="J662" s="3">
        <v>1305</v>
      </c>
      <c r="K662" s="4">
        <v>913</v>
      </c>
      <c r="L662" t="s">
        <v>17</v>
      </c>
    </row>
    <row r="663" spans="1:12" x14ac:dyDescent="0.35">
      <c r="A663" t="s">
        <v>23</v>
      </c>
      <c r="B663">
        <v>1197831</v>
      </c>
      <c r="C663" s="1">
        <v>44490</v>
      </c>
      <c r="D663" t="s">
        <v>19</v>
      </c>
      <c r="E663" t="s">
        <v>59</v>
      </c>
      <c r="F663" t="s">
        <v>68</v>
      </c>
      <c r="G663" t="s">
        <v>16</v>
      </c>
      <c r="H663" s="2">
        <v>65</v>
      </c>
      <c r="I663">
        <v>233</v>
      </c>
      <c r="J663" s="3">
        <v>1515</v>
      </c>
      <c r="K663" s="4">
        <v>1000</v>
      </c>
      <c r="L663" t="s">
        <v>17</v>
      </c>
    </row>
    <row r="664" spans="1:12" x14ac:dyDescent="0.35">
      <c r="A664" t="s">
        <v>18</v>
      </c>
      <c r="B664">
        <v>1185732</v>
      </c>
      <c r="C664" s="1">
        <v>44083</v>
      </c>
      <c r="D664" t="s">
        <v>13</v>
      </c>
      <c r="E664" t="s">
        <v>14</v>
      </c>
      <c r="F664" t="s">
        <v>73</v>
      </c>
      <c r="G664" t="s">
        <v>70</v>
      </c>
      <c r="H664" s="2">
        <v>62</v>
      </c>
      <c r="I664">
        <v>233</v>
      </c>
      <c r="J664" s="3">
        <v>1445</v>
      </c>
      <c r="K664" s="4">
        <v>708</v>
      </c>
      <c r="L664" t="s">
        <v>17</v>
      </c>
    </row>
    <row r="665" spans="1:12" x14ac:dyDescent="0.35">
      <c r="A665" t="s">
        <v>18</v>
      </c>
      <c r="B665">
        <v>1185732</v>
      </c>
      <c r="C665" s="1">
        <v>44088</v>
      </c>
      <c r="D665" t="s">
        <v>13</v>
      </c>
      <c r="E665" t="s">
        <v>14</v>
      </c>
      <c r="F665" t="s">
        <v>73</v>
      </c>
      <c r="G665" t="s">
        <v>56</v>
      </c>
      <c r="H665" s="2">
        <v>53</v>
      </c>
      <c r="I665">
        <v>233</v>
      </c>
      <c r="J665" s="3">
        <v>1235</v>
      </c>
      <c r="K665" s="4">
        <v>531</v>
      </c>
      <c r="L665" t="s">
        <v>17</v>
      </c>
    </row>
    <row r="666" spans="1:12" x14ac:dyDescent="0.35">
      <c r="A666" t="s">
        <v>42</v>
      </c>
      <c r="B666">
        <v>1185732</v>
      </c>
      <c r="C666" s="1">
        <v>44094</v>
      </c>
      <c r="D666" t="s">
        <v>13</v>
      </c>
      <c r="E666" t="s">
        <v>14</v>
      </c>
      <c r="F666" t="s">
        <v>73</v>
      </c>
      <c r="G666" t="s">
        <v>56</v>
      </c>
      <c r="H666" s="2">
        <v>44</v>
      </c>
      <c r="I666">
        <v>233</v>
      </c>
      <c r="J666" s="3">
        <v>1025</v>
      </c>
      <c r="K666" s="4">
        <v>410</v>
      </c>
      <c r="L666" t="s">
        <v>17</v>
      </c>
    </row>
    <row r="667" spans="1:12" x14ac:dyDescent="0.35">
      <c r="A667" t="s">
        <v>23</v>
      </c>
      <c r="B667">
        <v>1197831</v>
      </c>
      <c r="C667" s="1">
        <v>44307</v>
      </c>
      <c r="D667" t="s">
        <v>19</v>
      </c>
      <c r="E667" t="s">
        <v>74</v>
      </c>
      <c r="F667" t="s">
        <v>75</v>
      </c>
      <c r="G667" t="s">
        <v>26</v>
      </c>
      <c r="H667" s="2">
        <v>41</v>
      </c>
      <c r="I667">
        <v>233</v>
      </c>
      <c r="J667">
        <v>955</v>
      </c>
      <c r="K667" s="4">
        <v>545</v>
      </c>
      <c r="L667" t="s">
        <v>17</v>
      </c>
    </row>
    <row r="668" spans="1:12" x14ac:dyDescent="0.35">
      <c r="A668" t="s">
        <v>23</v>
      </c>
      <c r="B668">
        <v>1197831</v>
      </c>
      <c r="C668" s="1">
        <v>44308</v>
      </c>
      <c r="D668" t="s">
        <v>19</v>
      </c>
      <c r="E668" t="s">
        <v>74</v>
      </c>
      <c r="F668" t="s">
        <v>75</v>
      </c>
      <c r="G668" t="s">
        <v>39</v>
      </c>
      <c r="H668" s="2">
        <v>54</v>
      </c>
      <c r="I668">
        <v>233</v>
      </c>
      <c r="J668" s="3">
        <v>1258</v>
      </c>
      <c r="K668" s="4">
        <v>717</v>
      </c>
      <c r="L668" t="s">
        <v>17</v>
      </c>
    </row>
    <row r="669" spans="1:12" x14ac:dyDescent="0.35">
      <c r="A669" t="s">
        <v>23</v>
      </c>
      <c r="B669">
        <v>1197831</v>
      </c>
      <c r="C669" s="1">
        <v>44475</v>
      </c>
      <c r="D669" t="s">
        <v>19</v>
      </c>
      <c r="E669" t="s">
        <v>24</v>
      </c>
      <c r="F669" t="s">
        <v>25</v>
      </c>
      <c r="G669" t="s">
        <v>26</v>
      </c>
      <c r="H669" s="2">
        <v>56</v>
      </c>
      <c r="I669">
        <v>233</v>
      </c>
      <c r="J669" s="3">
        <v>1305</v>
      </c>
      <c r="K669" s="4">
        <v>822</v>
      </c>
      <c r="L669" t="s">
        <v>17</v>
      </c>
    </row>
    <row r="670" spans="1:12" x14ac:dyDescent="0.35">
      <c r="A670" t="s">
        <v>42</v>
      </c>
      <c r="B670">
        <v>1128299</v>
      </c>
      <c r="C670" s="1">
        <v>44371</v>
      </c>
      <c r="D670" t="s">
        <v>13</v>
      </c>
      <c r="E670" t="s">
        <v>99</v>
      </c>
      <c r="F670" t="s">
        <v>100</v>
      </c>
      <c r="G670" t="s">
        <v>26</v>
      </c>
      <c r="H670" s="2">
        <v>53</v>
      </c>
      <c r="I670">
        <v>233</v>
      </c>
      <c r="J670" s="3">
        <v>1235</v>
      </c>
      <c r="K670" s="4">
        <v>580</v>
      </c>
      <c r="L670" t="s">
        <v>17</v>
      </c>
    </row>
    <row r="671" spans="1:12" x14ac:dyDescent="0.35">
      <c r="A671" t="s">
        <v>18</v>
      </c>
      <c r="B671">
        <v>1128299</v>
      </c>
      <c r="C671" s="1">
        <v>44432</v>
      </c>
      <c r="D671" t="s">
        <v>48</v>
      </c>
      <c r="E671" t="s">
        <v>85</v>
      </c>
      <c r="F671" t="s">
        <v>86</v>
      </c>
      <c r="G671" t="s">
        <v>39</v>
      </c>
      <c r="H671" s="2">
        <v>76</v>
      </c>
      <c r="I671">
        <v>233</v>
      </c>
      <c r="J671" s="3">
        <v>1771</v>
      </c>
      <c r="K671" s="4">
        <v>868</v>
      </c>
      <c r="L671" t="s">
        <v>17</v>
      </c>
    </row>
    <row r="672" spans="1:12" x14ac:dyDescent="0.35">
      <c r="A672" t="s">
        <v>42</v>
      </c>
      <c r="B672">
        <v>1197831</v>
      </c>
      <c r="C672" s="1">
        <v>44534</v>
      </c>
      <c r="D672" t="s">
        <v>48</v>
      </c>
      <c r="E672" t="s">
        <v>79</v>
      </c>
      <c r="F672" t="s">
        <v>80</v>
      </c>
      <c r="G672" t="s">
        <v>26</v>
      </c>
      <c r="H672" s="2">
        <v>54</v>
      </c>
      <c r="I672">
        <v>233</v>
      </c>
      <c r="J672" s="3">
        <v>1258</v>
      </c>
      <c r="K672" s="4">
        <v>679</v>
      </c>
      <c r="L672" t="s">
        <v>17</v>
      </c>
    </row>
    <row r="673" spans="1:12" x14ac:dyDescent="0.35">
      <c r="A673" t="s">
        <v>42</v>
      </c>
      <c r="B673">
        <v>1185732</v>
      </c>
      <c r="C673" s="1">
        <v>44414</v>
      </c>
      <c r="D673" t="s">
        <v>13</v>
      </c>
      <c r="E673" t="s">
        <v>69</v>
      </c>
      <c r="F673" t="s">
        <v>65</v>
      </c>
      <c r="G673" t="s">
        <v>56</v>
      </c>
      <c r="H673" s="2">
        <v>44</v>
      </c>
      <c r="I673">
        <v>233</v>
      </c>
      <c r="J673" s="3">
        <v>1025</v>
      </c>
      <c r="K673" s="4">
        <v>420</v>
      </c>
      <c r="L673" t="s">
        <v>17</v>
      </c>
    </row>
    <row r="674" spans="1:12" x14ac:dyDescent="0.35">
      <c r="A674" t="s">
        <v>12</v>
      </c>
      <c r="B674">
        <v>1197831</v>
      </c>
      <c r="C674" s="1">
        <v>44396</v>
      </c>
      <c r="D674" t="s">
        <v>19</v>
      </c>
      <c r="E674" t="s">
        <v>54</v>
      </c>
      <c r="F674" t="s">
        <v>55</v>
      </c>
      <c r="G674" t="s">
        <v>26</v>
      </c>
      <c r="H674" s="2">
        <v>50</v>
      </c>
      <c r="I674">
        <v>233</v>
      </c>
      <c r="J674" s="3">
        <v>1165</v>
      </c>
      <c r="K674" s="4">
        <v>583</v>
      </c>
      <c r="L674" t="s">
        <v>17</v>
      </c>
    </row>
    <row r="675" spans="1:12" x14ac:dyDescent="0.35">
      <c r="A675" t="s">
        <v>12</v>
      </c>
      <c r="B675">
        <v>1197831</v>
      </c>
      <c r="C675" s="1">
        <v>44090</v>
      </c>
      <c r="D675" t="s">
        <v>19</v>
      </c>
      <c r="E675" t="s">
        <v>59</v>
      </c>
      <c r="F675" t="s">
        <v>60</v>
      </c>
      <c r="G675" t="s">
        <v>16</v>
      </c>
      <c r="H675" s="2">
        <v>43</v>
      </c>
      <c r="I675">
        <v>233</v>
      </c>
      <c r="J675" s="3">
        <v>1002</v>
      </c>
      <c r="K675" s="4">
        <v>541</v>
      </c>
      <c r="L675" t="s">
        <v>27</v>
      </c>
    </row>
    <row r="676" spans="1:12" x14ac:dyDescent="0.35">
      <c r="A676" t="s">
        <v>18</v>
      </c>
      <c r="B676">
        <v>1128299</v>
      </c>
      <c r="C676" s="1">
        <v>44141</v>
      </c>
      <c r="D676" t="s">
        <v>48</v>
      </c>
      <c r="E676" t="s">
        <v>66</v>
      </c>
      <c r="F676" t="s">
        <v>67</v>
      </c>
      <c r="G676" t="s">
        <v>16</v>
      </c>
      <c r="H676" s="2">
        <v>36</v>
      </c>
      <c r="I676">
        <v>233</v>
      </c>
      <c r="J676">
        <v>839</v>
      </c>
      <c r="K676" s="4">
        <v>176</v>
      </c>
      <c r="L676" t="s">
        <v>27</v>
      </c>
    </row>
    <row r="677" spans="1:12" x14ac:dyDescent="0.35">
      <c r="A677" t="s">
        <v>18</v>
      </c>
      <c r="B677">
        <v>1128299</v>
      </c>
      <c r="C677" s="1">
        <v>44197</v>
      </c>
      <c r="D677" t="s">
        <v>48</v>
      </c>
      <c r="E677" t="s">
        <v>66</v>
      </c>
      <c r="F677" t="s">
        <v>67</v>
      </c>
      <c r="G677" t="s">
        <v>39</v>
      </c>
      <c r="H677" s="2">
        <v>51</v>
      </c>
      <c r="I677">
        <v>233</v>
      </c>
      <c r="J677" s="3">
        <v>1188</v>
      </c>
      <c r="K677" s="4">
        <v>321</v>
      </c>
      <c r="L677" t="s">
        <v>27</v>
      </c>
    </row>
    <row r="678" spans="1:12" x14ac:dyDescent="0.35">
      <c r="A678" t="s">
        <v>63</v>
      </c>
      <c r="B678">
        <v>1189833</v>
      </c>
      <c r="C678" s="1">
        <v>44307</v>
      </c>
      <c r="D678" t="s">
        <v>48</v>
      </c>
      <c r="E678" t="s">
        <v>66</v>
      </c>
      <c r="F678" t="s">
        <v>76</v>
      </c>
      <c r="G678" t="s">
        <v>32</v>
      </c>
      <c r="H678" s="2">
        <v>35</v>
      </c>
      <c r="I678">
        <v>233</v>
      </c>
      <c r="J678">
        <v>816</v>
      </c>
      <c r="K678" s="4">
        <v>343</v>
      </c>
      <c r="L678" t="s">
        <v>27</v>
      </c>
    </row>
    <row r="679" spans="1:12" x14ac:dyDescent="0.35">
      <c r="A679" t="s">
        <v>23</v>
      </c>
      <c r="B679">
        <v>1197831</v>
      </c>
      <c r="C679" s="1">
        <v>44443</v>
      </c>
      <c r="D679" t="s">
        <v>19</v>
      </c>
      <c r="E679" t="s">
        <v>59</v>
      </c>
      <c r="F679" t="s">
        <v>68</v>
      </c>
      <c r="G679" t="s">
        <v>26</v>
      </c>
      <c r="H679" s="2">
        <v>13</v>
      </c>
      <c r="I679">
        <v>233</v>
      </c>
      <c r="J679">
        <v>303</v>
      </c>
      <c r="K679" s="4">
        <v>115</v>
      </c>
      <c r="L679" t="s">
        <v>27</v>
      </c>
    </row>
    <row r="680" spans="1:12" x14ac:dyDescent="0.35">
      <c r="A680" t="s">
        <v>18</v>
      </c>
      <c r="B680">
        <v>1128299</v>
      </c>
      <c r="C680" s="1">
        <v>43868</v>
      </c>
      <c r="D680" t="s">
        <v>48</v>
      </c>
      <c r="E680" t="s">
        <v>116</v>
      </c>
      <c r="F680" t="s">
        <v>117</v>
      </c>
      <c r="G680" t="s">
        <v>26</v>
      </c>
      <c r="H680" s="2">
        <v>48</v>
      </c>
      <c r="I680">
        <v>233</v>
      </c>
      <c r="J680" s="3">
        <v>1118</v>
      </c>
      <c r="K680" s="4">
        <v>492</v>
      </c>
      <c r="L680" t="s">
        <v>27</v>
      </c>
    </row>
    <row r="681" spans="1:12" x14ac:dyDescent="0.35">
      <c r="A681" t="s">
        <v>23</v>
      </c>
      <c r="B681">
        <v>1197831</v>
      </c>
      <c r="C681" s="1">
        <v>44307</v>
      </c>
      <c r="D681" t="s">
        <v>19</v>
      </c>
      <c r="E681" t="s">
        <v>74</v>
      </c>
      <c r="F681" t="s">
        <v>75</v>
      </c>
      <c r="G681" t="s">
        <v>26</v>
      </c>
      <c r="H681" s="2">
        <v>29</v>
      </c>
      <c r="I681">
        <v>233</v>
      </c>
      <c r="J681">
        <v>676</v>
      </c>
      <c r="K681" s="4">
        <v>345</v>
      </c>
      <c r="L681" t="s">
        <v>27</v>
      </c>
    </row>
    <row r="682" spans="1:12" x14ac:dyDescent="0.35">
      <c r="A682" t="s">
        <v>23</v>
      </c>
      <c r="B682">
        <v>1197831</v>
      </c>
      <c r="C682" s="1">
        <v>44440</v>
      </c>
      <c r="D682" t="s">
        <v>19</v>
      </c>
      <c r="E682" t="s">
        <v>24</v>
      </c>
      <c r="F682" t="s">
        <v>25</v>
      </c>
      <c r="G682" t="s">
        <v>39</v>
      </c>
      <c r="H682" s="2">
        <v>35</v>
      </c>
      <c r="I682">
        <v>233</v>
      </c>
      <c r="J682">
        <v>816</v>
      </c>
      <c r="K682" s="4">
        <v>383</v>
      </c>
      <c r="L682" t="s">
        <v>27</v>
      </c>
    </row>
    <row r="683" spans="1:12" x14ac:dyDescent="0.35">
      <c r="A683" t="s">
        <v>23</v>
      </c>
      <c r="B683">
        <v>1197831</v>
      </c>
      <c r="C683" s="1">
        <v>44451</v>
      </c>
      <c r="D683" t="s">
        <v>19</v>
      </c>
      <c r="E683" t="s">
        <v>24</v>
      </c>
      <c r="F683" t="s">
        <v>25</v>
      </c>
      <c r="G683" t="s">
        <v>26</v>
      </c>
      <c r="H683" s="2">
        <v>27</v>
      </c>
      <c r="I683">
        <v>233</v>
      </c>
      <c r="J683">
        <v>629</v>
      </c>
      <c r="K683" s="4">
        <v>346</v>
      </c>
      <c r="L683" t="s">
        <v>27</v>
      </c>
    </row>
    <row r="684" spans="1:12" x14ac:dyDescent="0.35">
      <c r="A684" t="s">
        <v>23</v>
      </c>
      <c r="B684">
        <v>1197831</v>
      </c>
      <c r="C684" s="1">
        <v>44452</v>
      </c>
      <c r="D684" t="s">
        <v>19</v>
      </c>
      <c r="E684" t="s">
        <v>24</v>
      </c>
      <c r="F684" t="s">
        <v>25</v>
      </c>
      <c r="G684" t="s">
        <v>39</v>
      </c>
      <c r="H684" s="2">
        <v>39</v>
      </c>
      <c r="I684">
        <v>233</v>
      </c>
      <c r="J684">
        <v>909</v>
      </c>
      <c r="K684" s="4">
        <v>491</v>
      </c>
      <c r="L684" t="s">
        <v>27</v>
      </c>
    </row>
    <row r="685" spans="1:12" x14ac:dyDescent="0.35">
      <c r="A685" t="s">
        <v>42</v>
      </c>
      <c r="B685">
        <v>1128299</v>
      </c>
      <c r="C685" s="1">
        <v>44371</v>
      </c>
      <c r="D685" t="s">
        <v>13</v>
      </c>
      <c r="E685" t="s">
        <v>99</v>
      </c>
      <c r="F685" t="s">
        <v>100</v>
      </c>
      <c r="G685" t="s">
        <v>26</v>
      </c>
      <c r="H685" s="2">
        <v>37</v>
      </c>
      <c r="I685">
        <v>233</v>
      </c>
      <c r="J685">
        <v>862</v>
      </c>
      <c r="K685" s="4">
        <v>319</v>
      </c>
      <c r="L685" t="s">
        <v>27</v>
      </c>
    </row>
    <row r="686" spans="1:12" x14ac:dyDescent="0.35">
      <c r="A686" t="s">
        <v>23</v>
      </c>
      <c r="B686">
        <v>1185732</v>
      </c>
      <c r="C686" s="1">
        <v>44215</v>
      </c>
      <c r="D686" t="s">
        <v>13</v>
      </c>
      <c r="E686" t="s">
        <v>99</v>
      </c>
      <c r="F686" t="s">
        <v>100</v>
      </c>
      <c r="G686" t="s">
        <v>26</v>
      </c>
      <c r="H686" s="2">
        <v>23</v>
      </c>
      <c r="I686">
        <v>233</v>
      </c>
      <c r="J686">
        <v>536</v>
      </c>
      <c r="K686" s="4">
        <v>279</v>
      </c>
      <c r="L686" t="s">
        <v>27</v>
      </c>
    </row>
    <row r="687" spans="1:12" x14ac:dyDescent="0.35">
      <c r="A687" t="s">
        <v>18</v>
      </c>
      <c r="B687">
        <v>1128299</v>
      </c>
      <c r="C687" s="1">
        <v>44553</v>
      </c>
      <c r="D687" t="s">
        <v>48</v>
      </c>
      <c r="E687" t="s">
        <v>85</v>
      </c>
      <c r="F687" t="s">
        <v>86</v>
      </c>
      <c r="G687" t="s">
        <v>39</v>
      </c>
      <c r="H687" s="2">
        <v>56</v>
      </c>
      <c r="I687">
        <v>233</v>
      </c>
      <c r="J687" s="3">
        <v>1305</v>
      </c>
      <c r="K687" s="4">
        <v>522</v>
      </c>
      <c r="L687" t="s">
        <v>27</v>
      </c>
    </row>
    <row r="688" spans="1:12" x14ac:dyDescent="0.35">
      <c r="A688" t="s">
        <v>18</v>
      </c>
      <c r="B688">
        <v>1197831</v>
      </c>
      <c r="C688" s="1">
        <v>44351</v>
      </c>
      <c r="D688" t="s">
        <v>48</v>
      </c>
      <c r="E688" t="s">
        <v>79</v>
      </c>
      <c r="F688" t="s">
        <v>80</v>
      </c>
      <c r="G688" t="s">
        <v>26</v>
      </c>
      <c r="H688" s="2">
        <v>31</v>
      </c>
      <c r="I688">
        <v>233</v>
      </c>
      <c r="J688">
        <v>722</v>
      </c>
      <c r="K688" s="4">
        <v>274</v>
      </c>
      <c r="L688" t="s">
        <v>27</v>
      </c>
    </row>
    <row r="689" spans="1:12" x14ac:dyDescent="0.35">
      <c r="A689" t="s">
        <v>42</v>
      </c>
      <c r="B689">
        <v>1197831</v>
      </c>
      <c r="C689" s="1">
        <v>44416</v>
      </c>
      <c r="D689" t="s">
        <v>48</v>
      </c>
      <c r="E689" t="s">
        <v>79</v>
      </c>
      <c r="F689" t="s">
        <v>80</v>
      </c>
      <c r="G689" t="s">
        <v>26</v>
      </c>
      <c r="H689" s="2">
        <v>38</v>
      </c>
      <c r="I689">
        <v>233</v>
      </c>
      <c r="J689">
        <v>885</v>
      </c>
      <c r="K689" s="4">
        <v>372</v>
      </c>
      <c r="L689" t="s">
        <v>27</v>
      </c>
    </row>
    <row r="690" spans="1:12" x14ac:dyDescent="0.35">
      <c r="A690" t="s">
        <v>12</v>
      </c>
      <c r="B690">
        <v>1197831</v>
      </c>
      <c r="C690" s="1">
        <v>44428</v>
      </c>
      <c r="D690" t="s">
        <v>19</v>
      </c>
      <c r="E690" t="s">
        <v>54</v>
      </c>
      <c r="F690" t="s">
        <v>55</v>
      </c>
      <c r="G690" t="s">
        <v>26</v>
      </c>
      <c r="H690" s="2">
        <v>43</v>
      </c>
      <c r="I690">
        <v>233</v>
      </c>
      <c r="J690" s="3">
        <v>1002</v>
      </c>
      <c r="K690" s="4">
        <v>451</v>
      </c>
      <c r="L690" t="s">
        <v>27</v>
      </c>
    </row>
    <row r="691" spans="1:12" x14ac:dyDescent="0.35">
      <c r="A691" t="s">
        <v>12</v>
      </c>
      <c r="B691">
        <v>1197831</v>
      </c>
      <c r="C691" s="1">
        <v>44054</v>
      </c>
      <c r="D691" t="s">
        <v>19</v>
      </c>
      <c r="E691" t="s">
        <v>59</v>
      </c>
      <c r="F691" t="s">
        <v>60</v>
      </c>
      <c r="G691" t="s">
        <v>16</v>
      </c>
      <c r="H691" s="2">
        <v>39</v>
      </c>
      <c r="I691">
        <v>232</v>
      </c>
      <c r="J691">
        <v>905</v>
      </c>
      <c r="K691" s="4">
        <v>552</v>
      </c>
      <c r="L691" t="s">
        <v>17</v>
      </c>
    </row>
    <row r="692" spans="1:12" x14ac:dyDescent="0.35">
      <c r="A692" t="s">
        <v>12</v>
      </c>
      <c r="B692">
        <v>1197831</v>
      </c>
      <c r="C692" s="1">
        <v>44063</v>
      </c>
      <c r="D692" t="s">
        <v>19</v>
      </c>
      <c r="E692" t="s">
        <v>59</v>
      </c>
      <c r="F692" t="s">
        <v>60</v>
      </c>
      <c r="G692" t="s">
        <v>32</v>
      </c>
      <c r="H692" s="2">
        <v>37</v>
      </c>
      <c r="I692">
        <v>232</v>
      </c>
      <c r="J692">
        <v>858</v>
      </c>
      <c r="K692" s="4">
        <v>421</v>
      </c>
      <c r="L692" t="s">
        <v>17</v>
      </c>
    </row>
    <row r="693" spans="1:12" x14ac:dyDescent="0.35">
      <c r="A693" t="s">
        <v>63</v>
      </c>
      <c r="B693">
        <v>1189833</v>
      </c>
      <c r="C693" s="1">
        <v>44330</v>
      </c>
      <c r="D693" t="s">
        <v>48</v>
      </c>
      <c r="E693" t="s">
        <v>66</v>
      </c>
      <c r="F693" t="s">
        <v>76</v>
      </c>
      <c r="G693" t="s">
        <v>39</v>
      </c>
      <c r="H693" s="2">
        <v>51</v>
      </c>
      <c r="I693">
        <v>232</v>
      </c>
      <c r="J693" s="3">
        <v>1183</v>
      </c>
      <c r="K693" s="4">
        <v>426</v>
      </c>
      <c r="L693" t="s">
        <v>17</v>
      </c>
    </row>
    <row r="694" spans="1:12" x14ac:dyDescent="0.35">
      <c r="A694" t="s">
        <v>23</v>
      </c>
      <c r="B694">
        <v>1185732</v>
      </c>
      <c r="C694" s="1">
        <v>44454</v>
      </c>
      <c r="D694" t="s">
        <v>33</v>
      </c>
      <c r="E694" t="s">
        <v>45</v>
      </c>
      <c r="F694" t="s">
        <v>46</v>
      </c>
      <c r="G694" t="s">
        <v>26</v>
      </c>
      <c r="H694" s="2">
        <v>42</v>
      </c>
      <c r="I694">
        <v>232</v>
      </c>
      <c r="J694">
        <v>974</v>
      </c>
      <c r="K694" s="4">
        <v>614</v>
      </c>
      <c r="L694" t="s">
        <v>17</v>
      </c>
    </row>
    <row r="695" spans="1:12" x14ac:dyDescent="0.35">
      <c r="A695" t="s">
        <v>42</v>
      </c>
      <c r="B695">
        <v>1185732</v>
      </c>
      <c r="C695" s="1">
        <v>44444</v>
      </c>
      <c r="D695" t="s">
        <v>13</v>
      </c>
      <c r="E695" t="s">
        <v>69</v>
      </c>
      <c r="F695" t="s">
        <v>65</v>
      </c>
      <c r="G695" t="s">
        <v>16</v>
      </c>
      <c r="H695" s="2">
        <v>52</v>
      </c>
      <c r="I695">
        <v>232</v>
      </c>
      <c r="J695" s="3">
        <v>1206</v>
      </c>
      <c r="K695" s="4">
        <v>724</v>
      </c>
      <c r="L695" t="s">
        <v>17</v>
      </c>
    </row>
    <row r="696" spans="1:12" x14ac:dyDescent="0.35">
      <c r="A696" t="s">
        <v>51</v>
      </c>
      <c r="B696">
        <v>1185732</v>
      </c>
      <c r="C696" s="1">
        <v>44358</v>
      </c>
      <c r="D696" t="s">
        <v>33</v>
      </c>
      <c r="E696" t="s">
        <v>52</v>
      </c>
      <c r="F696" t="s">
        <v>53</v>
      </c>
      <c r="G696" t="s">
        <v>26</v>
      </c>
      <c r="H696" s="2">
        <v>49</v>
      </c>
      <c r="I696">
        <v>232</v>
      </c>
      <c r="J696" s="3">
        <v>1137</v>
      </c>
      <c r="K696" s="4">
        <v>603</v>
      </c>
      <c r="L696" t="s">
        <v>17</v>
      </c>
    </row>
    <row r="697" spans="1:12" x14ac:dyDescent="0.35">
      <c r="A697" t="s">
        <v>23</v>
      </c>
      <c r="B697">
        <v>1197831</v>
      </c>
      <c r="C697" s="1">
        <v>44051</v>
      </c>
      <c r="D697" t="s">
        <v>19</v>
      </c>
      <c r="E697" t="s">
        <v>59</v>
      </c>
      <c r="F697" t="s">
        <v>60</v>
      </c>
      <c r="G697" t="s">
        <v>32</v>
      </c>
      <c r="H697" s="2">
        <v>24</v>
      </c>
      <c r="I697">
        <v>232</v>
      </c>
      <c r="J697">
        <v>557</v>
      </c>
      <c r="K697" s="4">
        <v>206</v>
      </c>
      <c r="L697" t="s">
        <v>27</v>
      </c>
    </row>
    <row r="698" spans="1:12" x14ac:dyDescent="0.35">
      <c r="A698" t="s">
        <v>63</v>
      </c>
      <c r="B698">
        <v>1189833</v>
      </c>
      <c r="C698" s="1">
        <v>44319</v>
      </c>
      <c r="D698" t="s">
        <v>48</v>
      </c>
      <c r="E698" t="s">
        <v>66</v>
      </c>
      <c r="F698" t="s">
        <v>76</v>
      </c>
      <c r="G698" t="s">
        <v>32</v>
      </c>
      <c r="H698" s="2">
        <v>34</v>
      </c>
      <c r="I698">
        <v>232</v>
      </c>
      <c r="J698">
        <v>789</v>
      </c>
      <c r="K698" s="4">
        <v>347</v>
      </c>
      <c r="L698" t="s">
        <v>27</v>
      </c>
    </row>
    <row r="699" spans="1:12" x14ac:dyDescent="0.35">
      <c r="A699" t="s">
        <v>63</v>
      </c>
      <c r="B699">
        <v>1189833</v>
      </c>
      <c r="C699" s="1">
        <v>44346</v>
      </c>
      <c r="D699" t="s">
        <v>48</v>
      </c>
      <c r="E699" t="s">
        <v>66</v>
      </c>
      <c r="F699" t="s">
        <v>76</v>
      </c>
      <c r="G699" t="s">
        <v>16</v>
      </c>
      <c r="H699" s="2">
        <v>44</v>
      </c>
      <c r="I699">
        <v>232</v>
      </c>
      <c r="J699" s="3">
        <v>1021</v>
      </c>
      <c r="K699" s="4">
        <v>255</v>
      </c>
      <c r="L699" t="s">
        <v>27</v>
      </c>
    </row>
    <row r="700" spans="1:12" x14ac:dyDescent="0.35">
      <c r="A700" t="s">
        <v>23</v>
      </c>
      <c r="B700">
        <v>1197831</v>
      </c>
      <c r="C700" s="1">
        <v>44467</v>
      </c>
      <c r="D700" t="s">
        <v>19</v>
      </c>
      <c r="E700" t="s">
        <v>59</v>
      </c>
      <c r="F700" t="s">
        <v>68</v>
      </c>
      <c r="G700" t="s">
        <v>26</v>
      </c>
      <c r="H700" s="2">
        <v>38</v>
      </c>
      <c r="I700">
        <v>232</v>
      </c>
      <c r="J700">
        <v>882</v>
      </c>
      <c r="K700" s="4">
        <v>406</v>
      </c>
      <c r="L700" t="s">
        <v>27</v>
      </c>
    </row>
    <row r="701" spans="1:12" x14ac:dyDescent="0.35">
      <c r="A701" t="s">
        <v>23</v>
      </c>
      <c r="B701">
        <v>1197831</v>
      </c>
      <c r="C701" s="1">
        <v>44312</v>
      </c>
      <c r="D701" t="s">
        <v>19</v>
      </c>
      <c r="E701" t="s">
        <v>74</v>
      </c>
      <c r="F701" t="s">
        <v>75</v>
      </c>
      <c r="G701" t="s">
        <v>16</v>
      </c>
      <c r="H701" s="2">
        <v>40</v>
      </c>
      <c r="I701">
        <v>232</v>
      </c>
      <c r="J701">
        <v>928</v>
      </c>
      <c r="K701" s="4">
        <v>622</v>
      </c>
      <c r="L701" t="s">
        <v>27</v>
      </c>
    </row>
    <row r="702" spans="1:12" x14ac:dyDescent="0.35">
      <c r="A702" t="s">
        <v>42</v>
      </c>
      <c r="B702">
        <v>1197831</v>
      </c>
      <c r="C702" s="1">
        <v>44534</v>
      </c>
      <c r="D702" t="s">
        <v>48</v>
      </c>
      <c r="E702" t="s">
        <v>79</v>
      </c>
      <c r="F702" t="s">
        <v>80</v>
      </c>
      <c r="G702" t="s">
        <v>16</v>
      </c>
      <c r="H702" s="2">
        <v>47</v>
      </c>
      <c r="I702">
        <v>232</v>
      </c>
      <c r="J702" s="3">
        <v>1090</v>
      </c>
      <c r="K702" s="4">
        <v>665</v>
      </c>
      <c r="L702" t="s">
        <v>27</v>
      </c>
    </row>
    <row r="703" spans="1:12" x14ac:dyDescent="0.35">
      <c r="A703" t="s">
        <v>12</v>
      </c>
      <c r="B703">
        <v>1185732</v>
      </c>
      <c r="C703" s="1">
        <v>44455</v>
      </c>
      <c r="D703" t="s">
        <v>19</v>
      </c>
      <c r="E703" t="s">
        <v>37</v>
      </c>
      <c r="F703" t="s">
        <v>38</v>
      </c>
      <c r="G703" t="s">
        <v>26</v>
      </c>
      <c r="H703" s="2">
        <v>40</v>
      </c>
      <c r="I703">
        <v>232</v>
      </c>
      <c r="J703">
        <v>928</v>
      </c>
      <c r="K703" s="4">
        <v>408</v>
      </c>
      <c r="L703" t="s">
        <v>27</v>
      </c>
    </row>
    <row r="704" spans="1:12" x14ac:dyDescent="0.35">
      <c r="A704" t="s">
        <v>42</v>
      </c>
      <c r="B704">
        <v>1185732</v>
      </c>
      <c r="C704" s="1">
        <v>43904</v>
      </c>
      <c r="D704" t="s">
        <v>43</v>
      </c>
      <c r="E704" t="s">
        <v>44</v>
      </c>
      <c r="F704" t="s">
        <v>44</v>
      </c>
      <c r="G704" t="s">
        <v>70</v>
      </c>
      <c r="H704" s="2">
        <v>58</v>
      </c>
      <c r="I704">
        <v>231</v>
      </c>
      <c r="J704" s="3">
        <v>1340</v>
      </c>
      <c r="K704" s="4">
        <v>576</v>
      </c>
      <c r="L704" t="s">
        <v>17</v>
      </c>
    </row>
    <row r="705" spans="1:12" x14ac:dyDescent="0.35">
      <c r="A705" t="s">
        <v>63</v>
      </c>
      <c r="B705">
        <v>1189833</v>
      </c>
      <c r="C705" s="1">
        <v>44335</v>
      </c>
      <c r="D705" t="s">
        <v>48</v>
      </c>
      <c r="E705" t="s">
        <v>66</v>
      </c>
      <c r="F705" t="s">
        <v>76</v>
      </c>
      <c r="G705" t="s">
        <v>26</v>
      </c>
      <c r="H705" s="2">
        <v>49</v>
      </c>
      <c r="I705">
        <v>231</v>
      </c>
      <c r="J705" s="3">
        <v>1132</v>
      </c>
      <c r="K705" s="4">
        <v>566</v>
      </c>
      <c r="L705" t="s">
        <v>17</v>
      </c>
    </row>
    <row r="706" spans="1:12" x14ac:dyDescent="0.35">
      <c r="A706" t="s">
        <v>23</v>
      </c>
      <c r="B706">
        <v>1197831</v>
      </c>
      <c r="C706" s="1">
        <v>44455</v>
      </c>
      <c r="D706" t="s">
        <v>19</v>
      </c>
      <c r="E706" t="s">
        <v>59</v>
      </c>
      <c r="F706" t="s">
        <v>68</v>
      </c>
      <c r="G706" t="s">
        <v>26</v>
      </c>
      <c r="H706" s="2">
        <v>41</v>
      </c>
      <c r="I706">
        <v>231</v>
      </c>
      <c r="J706">
        <v>947</v>
      </c>
      <c r="K706" s="4">
        <v>492</v>
      </c>
      <c r="L706" t="s">
        <v>17</v>
      </c>
    </row>
    <row r="707" spans="1:12" x14ac:dyDescent="0.35">
      <c r="A707" t="s">
        <v>23</v>
      </c>
      <c r="B707">
        <v>1197831</v>
      </c>
      <c r="C707" s="1">
        <v>44486</v>
      </c>
      <c r="D707" t="s">
        <v>19</v>
      </c>
      <c r="E707" t="s">
        <v>59</v>
      </c>
      <c r="F707" t="s">
        <v>68</v>
      </c>
      <c r="G707" t="s">
        <v>39</v>
      </c>
      <c r="H707" s="2">
        <v>56</v>
      </c>
      <c r="I707">
        <v>231</v>
      </c>
      <c r="J707" s="3">
        <v>1294</v>
      </c>
      <c r="K707" s="4">
        <v>673</v>
      </c>
      <c r="L707" t="s">
        <v>17</v>
      </c>
    </row>
    <row r="708" spans="1:12" x14ac:dyDescent="0.35">
      <c r="A708" t="s">
        <v>18</v>
      </c>
      <c r="B708">
        <v>1185732</v>
      </c>
      <c r="C708" s="1">
        <v>44093</v>
      </c>
      <c r="D708" t="s">
        <v>13</v>
      </c>
      <c r="E708" t="s">
        <v>14</v>
      </c>
      <c r="F708" t="s">
        <v>73</v>
      </c>
      <c r="G708" t="s">
        <v>32</v>
      </c>
      <c r="H708" s="2">
        <v>53</v>
      </c>
      <c r="I708">
        <v>231</v>
      </c>
      <c r="J708" s="3">
        <v>1224</v>
      </c>
      <c r="K708" s="4">
        <v>453</v>
      </c>
      <c r="L708" t="s">
        <v>17</v>
      </c>
    </row>
    <row r="709" spans="1:12" x14ac:dyDescent="0.35">
      <c r="A709" t="s">
        <v>18</v>
      </c>
      <c r="B709">
        <v>1197831</v>
      </c>
      <c r="C709" s="1">
        <v>44351</v>
      </c>
      <c r="D709" t="s">
        <v>48</v>
      </c>
      <c r="E709" t="s">
        <v>79</v>
      </c>
      <c r="F709" t="s">
        <v>80</v>
      </c>
      <c r="G709" t="s">
        <v>16</v>
      </c>
      <c r="H709" s="2">
        <v>55</v>
      </c>
      <c r="I709">
        <v>231</v>
      </c>
      <c r="J709" s="3">
        <v>1271</v>
      </c>
      <c r="K709" s="4">
        <v>775</v>
      </c>
      <c r="L709" t="s">
        <v>17</v>
      </c>
    </row>
    <row r="710" spans="1:12" x14ac:dyDescent="0.35">
      <c r="A710" t="s">
        <v>42</v>
      </c>
      <c r="B710">
        <v>1185732</v>
      </c>
      <c r="C710" s="1">
        <v>44414</v>
      </c>
      <c r="D710" t="s">
        <v>13</v>
      </c>
      <c r="E710" t="s">
        <v>69</v>
      </c>
      <c r="F710" t="s">
        <v>65</v>
      </c>
      <c r="G710" t="s">
        <v>32</v>
      </c>
      <c r="H710" s="2">
        <v>50</v>
      </c>
      <c r="I710">
        <v>231</v>
      </c>
      <c r="J710" s="3">
        <v>1155</v>
      </c>
      <c r="K710" s="4">
        <v>462</v>
      </c>
      <c r="L710" t="s">
        <v>17</v>
      </c>
    </row>
    <row r="711" spans="1:12" x14ac:dyDescent="0.35">
      <c r="A711" t="s">
        <v>23</v>
      </c>
      <c r="B711">
        <v>1185732</v>
      </c>
      <c r="C711" s="1">
        <v>44202</v>
      </c>
      <c r="D711" t="s">
        <v>13</v>
      </c>
      <c r="E711" t="s">
        <v>69</v>
      </c>
      <c r="F711" t="s">
        <v>65</v>
      </c>
      <c r="G711" t="s">
        <v>26</v>
      </c>
      <c r="H711" s="2">
        <v>33</v>
      </c>
      <c r="I711">
        <v>231</v>
      </c>
      <c r="J711">
        <v>762</v>
      </c>
      <c r="K711" s="4">
        <v>381</v>
      </c>
      <c r="L711" t="s">
        <v>17</v>
      </c>
    </row>
    <row r="712" spans="1:12" x14ac:dyDescent="0.35">
      <c r="A712" t="s">
        <v>23</v>
      </c>
      <c r="B712">
        <v>1185732</v>
      </c>
      <c r="C712" s="1">
        <v>44351</v>
      </c>
      <c r="D712" t="s">
        <v>13</v>
      </c>
      <c r="E712" t="s">
        <v>77</v>
      </c>
      <c r="F712" t="s">
        <v>78</v>
      </c>
      <c r="G712" t="s">
        <v>16</v>
      </c>
      <c r="H712" s="2">
        <v>67</v>
      </c>
      <c r="I712">
        <v>231</v>
      </c>
      <c r="J712" s="3">
        <v>1548</v>
      </c>
      <c r="K712" s="4">
        <v>929</v>
      </c>
      <c r="L712" t="s">
        <v>17</v>
      </c>
    </row>
    <row r="713" spans="1:12" x14ac:dyDescent="0.35">
      <c r="A713" t="s">
        <v>23</v>
      </c>
      <c r="B713">
        <v>1185732</v>
      </c>
      <c r="C713" s="1">
        <v>44411</v>
      </c>
      <c r="D713" t="s">
        <v>13</v>
      </c>
      <c r="E713" t="s">
        <v>77</v>
      </c>
      <c r="F713" t="s">
        <v>78</v>
      </c>
      <c r="G713" t="s">
        <v>16</v>
      </c>
      <c r="H713" s="2">
        <v>54</v>
      </c>
      <c r="I713">
        <v>231</v>
      </c>
      <c r="J713" s="3">
        <v>1247</v>
      </c>
      <c r="K713" s="4">
        <v>798</v>
      </c>
      <c r="L713" t="s">
        <v>17</v>
      </c>
    </row>
    <row r="714" spans="1:12" x14ac:dyDescent="0.35">
      <c r="A714" t="s">
        <v>51</v>
      </c>
      <c r="B714">
        <v>1185732</v>
      </c>
      <c r="C714" s="1">
        <v>44238</v>
      </c>
      <c r="D714" t="s">
        <v>13</v>
      </c>
      <c r="E714" t="s">
        <v>77</v>
      </c>
      <c r="F714" t="s">
        <v>78</v>
      </c>
      <c r="G714" t="s">
        <v>26</v>
      </c>
      <c r="H714" s="2">
        <v>32</v>
      </c>
      <c r="I714">
        <v>231</v>
      </c>
      <c r="J714">
        <v>739</v>
      </c>
      <c r="K714" s="4">
        <v>370</v>
      </c>
      <c r="L714" t="s">
        <v>17</v>
      </c>
    </row>
    <row r="715" spans="1:12" x14ac:dyDescent="0.35">
      <c r="A715" t="s">
        <v>51</v>
      </c>
      <c r="B715">
        <v>1185732</v>
      </c>
      <c r="C715" s="1">
        <v>44264</v>
      </c>
      <c r="D715" t="s">
        <v>33</v>
      </c>
      <c r="E715" t="s">
        <v>52</v>
      </c>
      <c r="F715" t="s">
        <v>53</v>
      </c>
      <c r="G715" t="s">
        <v>26</v>
      </c>
      <c r="H715" s="2">
        <v>27</v>
      </c>
      <c r="I715">
        <v>231</v>
      </c>
      <c r="J715">
        <v>624</v>
      </c>
      <c r="K715" s="4">
        <v>324</v>
      </c>
      <c r="L715" t="s">
        <v>17</v>
      </c>
    </row>
    <row r="716" spans="1:12" x14ac:dyDescent="0.35">
      <c r="A716" t="s">
        <v>51</v>
      </c>
      <c r="B716">
        <v>1185732</v>
      </c>
      <c r="C716" s="1">
        <v>44539</v>
      </c>
      <c r="D716" t="s">
        <v>33</v>
      </c>
      <c r="E716" t="s">
        <v>52</v>
      </c>
      <c r="F716" t="s">
        <v>53</v>
      </c>
      <c r="G716" t="s">
        <v>26</v>
      </c>
      <c r="H716" s="2">
        <v>70</v>
      </c>
      <c r="I716">
        <v>231</v>
      </c>
      <c r="J716" s="3">
        <v>1617</v>
      </c>
      <c r="K716" s="4">
        <v>809</v>
      </c>
      <c r="L716" t="s">
        <v>17</v>
      </c>
    </row>
    <row r="717" spans="1:12" x14ac:dyDescent="0.35">
      <c r="A717" t="s">
        <v>23</v>
      </c>
      <c r="B717">
        <v>1197831</v>
      </c>
      <c r="C717" s="1">
        <v>44042</v>
      </c>
      <c r="D717" t="s">
        <v>19</v>
      </c>
      <c r="E717" t="s">
        <v>59</v>
      </c>
      <c r="F717" t="s">
        <v>60</v>
      </c>
      <c r="G717" t="s">
        <v>16</v>
      </c>
      <c r="H717" s="2">
        <v>26</v>
      </c>
      <c r="I717">
        <v>231</v>
      </c>
      <c r="J717">
        <v>601</v>
      </c>
      <c r="K717" s="4">
        <v>330</v>
      </c>
      <c r="L717" t="s">
        <v>27</v>
      </c>
    </row>
    <row r="718" spans="1:12" x14ac:dyDescent="0.35">
      <c r="A718" t="s">
        <v>18</v>
      </c>
      <c r="B718">
        <v>1128299</v>
      </c>
      <c r="C718" s="1">
        <v>44149</v>
      </c>
      <c r="D718" t="s">
        <v>48</v>
      </c>
      <c r="E718" t="s">
        <v>66</v>
      </c>
      <c r="F718" t="s">
        <v>67</v>
      </c>
      <c r="G718" t="s">
        <v>39</v>
      </c>
      <c r="H718" s="2">
        <v>39</v>
      </c>
      <c r="I718">
        <v>231</v>
      </c>
      <c r="J718">
        <v>901</v>
      </c>
      <c r="K718" s="4">
        <v>207</v>
      </c>
      <c r="L718" t="s">
        <v>27</v>
      </c>
    </row>
    <row r="719" spans="1:12" x14ac:dyDescent="0.35">
      <c r="A719" t="s">
        <v>63</v>
      </c>
      <c r="B719">
        <v>1189833</v>
      </c>
      <c r="C719" s="1">
        <v>44343</v>
      </c>
      <c r="D719" t="s">
        <v>48</v>
      </c>
      <c r="E719" t="s">
        <v>66</v>
      </c>
      <c r="F719" t="s">
        <v>76</v>
      </c>
      <c r="G719" t="s">
        <v>32</v>
      </c>
      <c r="H719" s="2">
        <v>39</v>
      </c>
      <c r="I719">
        <v>231</v>
      </c>
      <c r="J719">
        <v>901</v>
      </c>
      <c r="K719" s="4">
        <v>414</v>
      </c>
      <c r="L719" t="s">
        <v>27</v>
      </c>
    </row>
    <row r="720" spans="1:12" x14ac:dyDescent="0.35">
      <c r="A720" t="s">
        <v>23</v>
      </c>
      <c r="B720">
        <v>1197831</v>
      </c>
      <c r="C720" s="1">
        <v>44437</v>
      </c>
      <c r="D720" t="s">
        <v>19</v>
      </c>
      <c r="E720" t="s">
        <v>59</v>
      </c>
      <c r="F720" t="s">
        <v>68</v>
      </c>
      <c r="G720" t="s">
        <v>26</v>
      </c>
      <c r="H720" s="2">
        <v>13</v>
      </c>
      <c r="I720">
        <v>231</v>
      </c>
      <c r="J720">
        <v>300</v>
      </c>
      <c r="K720" s="4">
        <v>120</v>
      </c>
      <c r="L720" t="s">
        <v>27</v>
      </c>
    </row>
    <row r="721" spans="1:12" x14ac:dyDescent="0.35">
      <c r="A721" t="s">
        <v>12</v>
      </c>
      <c r="B721">
        <v>1128299</v>
      </c>
      <c r="C721" s="1">
        <v>44425</v>
      </c>
      <c r="D721" t="s">
        <v>13</v>
      </c>
      <c r="E721" t="s">
        <v>14</v>
      </c>
      <c r="F721" t="s">
        <v>15</v>
      </c>
      <c r="G721" t="s">
        <v>32</v>
      </c>
      <c r="H721" s="2">
        <v>62</v>
      </c>
      <c r="I721">
        <v>231</v>
      </c>
      <c r="J721" s="3">
        <v>1432</v>
      </c>
      <c r="K721" s="4">
        <v>473</v>
      </c>
      <c r="L721" t="s">
        <v>27</v>
      </c>
    </row>
    <row r="722" spans="1:12" x14ac:dyDescent="0.35">
      <c r="A722" t="s">
        <v>12</v>
      </c>
      <c r="B722">
        <v>1128299</v>
      </c>
      <c r="C722" s="1">
        <v>44517</v>
      </c>
      <c r="D722" t="s">
        <v>13</v>
      </c>
      <c r="E722" t="s">
        <v>14</v>
      </c>
      <c r="F722" t="s">
        <v>15</v>
      </c>
      <c r="G722" t="s">
        <v>39</v>
      </c>
      <c r="H722" s="2">
        <v>46</v>
      </c>
      <c r="I722">
        <v>231</v>
      </c>
      <c r="J722" s="3">
        <v>1063</v>
      </c>
      <c r="K722" s="4">
        <v>340</v>
      </c>
      <c r="L722" t="s">
        <v>27</v>
      </c>
    </row>
    <row r="723" spans="1:12" x14ac:dyDescent="0.35">
      <c r="A723" t="s">
        <v>42</v>
      </c>
      <c r="B723">
        <v>1128299</v>
      </c>
      <c r="C723" s="1">
        <v>44371</v>
      </c>
      <c r="D723" t="s">
        <v>13</v>
      </c>
      <c r="E723" t="s">
        <v>99</v>
      </c>
      <c r="F723" t="s">
        <v>100</v>
      </c>
      <c r="G723" t="s">
        <v>16</v>
      </c>
      <c r="H723" s="2">
        <v>82</v>
      </c>
      <c r="I723">
        <v>231</v>
      </c>
      <c r="J723" s="3">
        <v>1894</v>
      </c>
      <c r="K723" s="4">
        <v>701</v>
      </c>
      <c r="L723" t="s">
        <v>27</v>
      </c>
    </row>
    <row r="724" spans="1:12" x14ac:dyDescent="0.35">
      <c r="A724" t="s">
        <v>18</v>
      </c>
      <c r="B724">
        <v>1185732</v>
      </c>
      <c r="C724" s="1">
        <v>44540</v>
      </c>
      <c r="D724" t="s">
        <v>48</v>
      </c>
      <c r="E724" t="s">
        <v>49</v>
      </c>
      <c r="F724" t="s">
        <v>50</v>
      </c>
      <c r="G724" t="s">
        <v>26</v>
      </c>
      <c r="H724" s="2">
        <v>29</v>
      </c>
      <c r="I724">
        <v>231</v>
      </c>
      <c r="J724">
        <v>670</v>
      </c>
      <c r="K724" s="4">
        <v>308</v>
      </c>
      <c r="L724" t="s">
        <v>27</v>
      </c>
    </row>
    <row r="725" spans="1:12" x14ac:dyDescent="0.35">
      <c r="A725" t="s">
        <v>18</v>
      </c>
      <c r="B725">
        <v>1128299</v>
      </c>
      <c r="C725" s="1">
        <v>44371</v>
      </c>
      <c r="D725" t="s">
        <v>48</v>
      </c>
      <c r="E725" t="s">
        <v>85</v>
      </c>
      <c r="F725" t="s">
        <v>86</v>
      </c>
      <c r="G725" t="s">
        <v>16</v>
      </c>
      <c r="H725" s="2">
        <v>74</v>
      </c>
      <c r="I725">
        <v>231</v>
      </c>
      <c r="J725" s="3">
        <v>1709</v>
      </c>
      <c r="K725" s="4">
        <v>564</v>
      </c>
      <c r="L725" t="s">
        <v>27</v>
      </c>
    </row>
    <row r="726" spans="1:12" x14ac:dyDescent="0.35">
      <c r="A726" t="s">
        <v>42</v>
      </c>
      <c r="B726">
        <v>1185732</v>
      </c>
      <c r="C726" s="1">
        <v>43859</v>
      </c>
      <c r="D726" t="s">
        <v>43</v>
      </c>
      <c r="E726" t="s">
        <v>44</v>
      </c>
      <c r="F726" t="s">
        <v>44</v>
      </c>
      <c r="G726" t="s">
        <v>70</v>
      </c>
      <c r="H726" s="2">
        <v>59</v>
      </c>
      <c r="I726">
        <v>230</v>
      </c>
      <c r="J726" s="3">
        <v>1357</v>
      </c>
      <c r="K726" s="4">
        <v>570</v>
      </c>
      <c r="L726" t="s">
        <v>17</v>
      </c>
    </row>
    <row r="727" spans="1:12" x14ac:dyDescent="0.35">
      <c r="A727" t="s">
        <v>42</v>
      </c>
      <c r="B727">
        <v>1185732</v>
      </c>
      <c r="C727" s="1">
        <v>43870</v>
      </c>
      <c r="D727" t="s">
        <v>43</v>
      </c>
      <c r="E727" t="s">
        <v>44</v>
      </c>
      <c r="F727" t="s">
        <v>44</v>
      </c>
      <c r="G727" t="s">
        <v>56</v>
      </c>
      <c r="H727" s="2">
        <v>46</v>
      </c>
      <c r="I727">
        <v>230</v>
      </c>
      <c r="J727" s="3">
        <v>1058</v>
      </c>
      <c r="K727" s="4">
        <v>508</v>
      </c>
      <c r="L727" t="s">
        <v>17</v>
      </c>
    </row>
    <row r="728" spans="1:12" x14ac:dyDescent="0.35">
      <c r="A728" t="s">
        <v>18</v>
      </c>
      <c r="B728">
        <v>1128299</v>
      </c>
      <c r="C728" s="1">
        <v>44148</v>
      </c>
      <c r="D728" t="s">
        <v>48</v>
      </c>
      <c r="E728" t="s">
        <v>66</v>
      </c>
      <c r="F728" t="s">
        <v>67</v>
      </c>
      <c r="G728" t="s">
        <v>26</v>
      </c>
      <c r="H728" s="2">
        <v>49</v>
      </c>
      <c r="I728">
        <v>230</v>
      </c>
      <c r="J728" s="3">
        <v>1127</v>
      </c>
      <c r="K728" s="4">
        <v>507</v>
      </c>
      <c r="L728" t="s">
        <v>17</v>
      </c>
    </row>
    <row r="729" spans="1:12" x14ac:dyDescent="0.35">
      <c r="A729" t="s">
        <v>42</v>
      </c>
      <c r="B729">
        <v>1185732</v>
      </c>
      <c r="C729" s="1">
        <v>44051</v>
      </c>
      <c r="D729" t="s">
        <v>48</v>
      </c>
      <c r="E729" t="s">
        <v>97</v>
      </c>
      <c r="F729" t="s">
        <v>98</v>
      </c>
      <c r="G729" t="s">
        <v>32</v>
      </c>
      <c r="H729" s="2">
        <v>34</v>
      </c>
      <c r="I729">
        <v>230</v>
      </c>
      <c r="J729">
        <v>782</v>
      </c>
      <c r="K729" s="4">
        <v>305</v>
      </c>
      <c r="L729" t="s">
        <v>17</v>
      </c>
    </row>
    <row r="730" spans="1:12" x14ac:dyDescent="0.35">
      <c r="A730" t="s">
        <v>12</v>
      </c>
      <c r="B730">
        <v>1197831</v>
      </c>
      <c r="C730" s="1">
        <v>44127</v>
      </c>
      <c r="D730" t="s">
        <v>19</v>
      </c>
      <c r="E730" t="s">
        <v>59</v>
      </c>
      <c r="F730" t="s">
        <v>60</v>
      </c>
      <c r="G730" t="s">
        <v>56</v>
      </c>
      <c r="H730" s="2">
        <v>36</v>
      </c>
      <c r="I730">
        <v>230</v>
      </c>
      <c r="J730">
        <v>828</v>
      </c>
      <c r="K730" s="4">
        <v>414</v>
      </c>
      <c r="L730" t="s">
        <v>27</v>
      </c>
    </row>
    <row r="731" spans="1:12" x14ac:dyDescent="0.35">
      <c r="A731" t="s">
        <v>63</v>
      </c>
      <c r="B731">
        <v>1189833</v>
      </c>
      <c r="C731" s="1">
        <v>44321</v>
      </c>
      <c r="D731" t="s">
        <v>48</v>
      </c>
      <c r="E731" t="s">
        <v>66</v>
      </c>
      <c r="F731" t="s">
        <v>76</v>
      </c>
      <c r="G731" t="s">
        <v>70</v>
      </c>
      <c r="H731" s="2">
        <v>43</v>
      </c>
      <c r="I731">
        <v>230</v>
      </c>
      <c r="J731">
        <v>989</v>
      </c>
      <c r="K731" s="4">
        <v>613</v>
      </c>
      <c r="L731" t="s">
        <v>27</v>
      </c>
    </row>
    <row r="732" spans="1:12" x14ac:dyDescent="0.35">
      <c r="A732" t="s">
        <v>23</v>
      </c>
      <c r="B732">
        <v>1197831</v>
      </c>
      <c r="C732" s="1">
        <v>44425</v>
      </c>
      <c r="D732" t="s">
        <v>19</v>
      </c>
      <c r="E732" t="s">
        <v>59</v>
      </c>
      <c r="F732" t="s">
        <v>68</v>
      </c>
      <c r="G732" t="s">
        <v>26</v>
      </c>
      <c r="H732" s="2">
        <v>19</v>
      </c>
      <c r="I732">
        <v>230</v>
      </c>
      <c r="J732">
        <v>437</v>
      </c>
      <c r="K732" s="4">
        <v>140</v>
      </c>
      <c r="L732" t="s">
        <v>27</v>
      </c>
    </row>
    <row r="733" spans="1:12" x14ac:dyDescent="0.35">
      <c r="A733" t="s">
        <v>23</v>
      </c>
      <c r="B733">
        <v>1197831</v>
      </c>
      <c r="C733" s="1">
        <v>44444</v>
      </c>
      <c r="D733" t="s">
        <v>48</v>
      </c>
      <c r="E733" t="s">
        <v>79</v>
      </c>
      <c r="F733" t="s">
        <v>80</v>
      </c>
      <c r="G733" t="s">
        <v>26</v>
      </c>
      <c r="H733" s="2">
        <v>41</v>
      </c>
      <c r="I733">
        <v>230</v>
      </c>
      <c r="J733">
        <v>943</v>
      </c>
      <c r="K733" s="4">
        <v>434</v>
      </c>
      <c r="L733" t="s">
        <v>27</v>
      </c>
    </row>
    <row r="734" spans="1:12" x14ac:dyDescent="0.35">
      <c r="A734" t="s">
        <v>18</v>
      </c>
      <c r="B734">
        <v>1197831</v>
      </c>
      <c r="C734" s="1">
        <v>44428</v>
      </c>
      <c r="D734" t="s">
        <v>19</v>
      </c>
      <c r="E734" t="s">
        <v>61</v>
      </c>
      <c r="F734" t="s">
        <v>62</v>
      </c>
      <c r="G734" t="s">
        <v>26</v>
      </c>
      <c r="H734" s="2">
        <v>41</v>
      </c>
      <c r="I734">
        <v>230</v>
      </c>
      <c r="J734">
        <v>943</v>
      </c>
      <c r="K734" s="4">
        <v>396</v>
      </c>
      <c r="L734" t="s">
        <v>27</v>
      </c>
    </row>
    <row r="735" spans="1:12" x14ac:dyDescent="0.35">
      <c r="A735" t="s">
        <v>18</v>
      </c>
      <c r="B735">
        <v>1128299</v>
      </c>
      <c r="C735" s="1">
        <v>44190</v>
      </c>
      <c r="D735" t="s">
        <v>48</v>
      </c>
      <c r="E735" t="s">
        <v>66</v>
      </c>
      <c r="F735" t="s">
        <v>67</v>
      </c>
      <c r="G735" t="s">
        <v>26</v>
      </c>
      <c r="H735" s="2">
        <v>56</v>
      </c>
      <c r="I735">
        <v>228</v>
      </c>
      <c r="J735" s="3">
        <v>1277</v>
      </c>
      <c r="K735" s="4">
        <v>600</v>
      </c>
      <c r="L735" t="s">
        <v>17</v>
      </c>
    </row>
    <row r="736" spans="1:12" x14ac:dyDescent="0.35">
      <c r="A736" t="s">
        <v>63</v>
      </c>
      <c r="B736">
        <v>1185732</v>
      </c>
      <c r="C736" s="1">
        <v>44387</v>
      </c>
      <c r="D736" t="s">
        <v>48</v>
      </c>
      <c r="E736" t="s">
        <v>102</v>
      </c>
      <c r="F736" t="s">
        <v>103</v>
      </c>
      <c r="G736" t="s">
        <v>26</v>
      </c>
      <c r="H736" s="2">
        <v>48</v>
      </c>
      <c r="I736">
        <v>228</v>
      </c>
      <c r="J736" s="3">
        <v>1094</v>
      </c>
      <c r="K736" s="4">
        <v>700</v>
      </c>
      <c r="L736" t="s">
        <v>17</v>
      </c>
    </row>
    <row r="737" spans="1:12" x14ac:dyDescent="0.35">
      <c r="A737" t="s">
        <v>23</v>
      </c>
      <c r="B737">
        <v>1185732</v>
      </c>
      <c r="C737" s="1">
        <v>44535</v>
      </c>
      <c r="D737" t="s">
        <v>13</v>
      </c>
      <c r="E737" t="s">
        <v>69</v>
      </c>
      <c r="F737" t="s">
        <v>65</v>
      </c>
      <c r="G737" t="s">
        <v>16</v>
      </c>
      <c r="H737" s="2">
        <v>68</v>
      </c>
      <c r="I737">
        <v>228</v>
      </c>
      <c r="J737" s="3">
        <v>1550</v>
      </c>
      <c r="K737" s="4">
        <v>930</v>
      </c>
      <c r="L737" t="s">
        <v>17</v>
      </c>
    </row>
    <row r="738" spans="1:12" x14ac:dyDescent="0.35">
      <c r="A738" t="s">
        <v>51</v>
      </c>
      <c r="B738">
        <v>1185732</v>
      </c>
      <c r="C738" s="1">
        <v>44418</v>
      </c>
      <c r="D738" t="s">
        <v>33</v>
      </c>
      <c r="E738" t="s">
        <v>52</v>
      </c>
      <c r="F738" t="s">
        <v>53</v>
      </c>
      <c r="G738" t="s">
        <v>26</v>
      </c>
      <c r="H738" s="2">
        <v>61</v>
      </c>
      <c r="I738">
        <v>228</v>
      </c>
      <c r="J738" s="3">
        <v>1391</v>
      </c>
      <c r="K738" s="4">
        <v>695</v>
      </c>
      <c r="L738" t="s">
        <v>17</v>
      </c>
    </row>
    <row r="739" spans="1:12" x14ac:dyDescent="0.35">
      <c r="A739" t="s">
        <v>23</v>
      </c>
      <c r="B739">
        <v>1197831</v>
      </c>
      <c r="C739" s="1">
        <v>44048</v>
      </c>
      <c r="D739" t="s">
        <v>19</v>
      </c>
      <c r="E739" t="s">
        <v>59</v>
      </c>
      <c r="F739" t="s">
        <v>60</v>
      </c>
      <c r="G739" t="s">
        <v>16</v>
      </c>
      <c r="H739" s="2">
        <v>29</v>
      </c>
      <c r="I739">
        <v>228</v>
      </c>
      <c r="J739">
        <v>661</v>
      </c>
      <c r="K739" s="4">
        <v>364</v>
      </c>
      <c r="L739" t="s">
        <v>27</v>
      </c>
    </row>
    <row r="740" spans="1:12" x14ac:dyDescent="0.35">
      <c r="A740" t="s">
        <v>12</v>
      </c>
      <c r="B740">
        <v>1197831</v>
      </c>
      <c r="C740" s="1">
        <v>44077</v>
      </c>
      <c r="D740" t="s">
        <v>19</v>
      </c>
      <c r="E740" t="s">
        <v>59</v>
      </c>
      <c r="F740" t="s">
        <v>60</v>
      </c>
      <c r="G740" t="s">
        <v>70</v>
      </c>
      <c r="H740" s="2">
        <v>35</v>
      </c>
      <c r="I740">
        <v>228</v>
      </c>
      <c r="J740">
        <v>798</v>
      </c>
      <c r="K740" s="4">
        <v>271</v>
      </c>
      <c r="L740" t="s">
        <v>27</v>
      </c>
    </row>
    <row r="741" spans="1:12" x14ac:dyDescent="0.35">
      <c r="A741" t="s">
        <v>18</v>
      </c>
      <c r="B741">
        <v>1128299</v>
      </c>
      <c r="C741" s="1">
        <v>44199</v>
      </c>
      <c r="D741" t="s">
        <v>48</v>
      </c>
      <c r="E741" t="s">
        <v>66</v>
      </c>
      <c r="F741" t="s">
        <v>67</v>
      </c>
      <c r="G741" t="s">
        <v>56</v>
      </c>
      <c r="H741" s="2">
        <v>42</v>
      </c>
      <c r="I741">
        <v>228</v>
      </c>
      <c r="J741">
        <v>958</v>
      </c>
      <c r="K741" s="4">
        <v>402</v>
      </c>
      <c r="L741" t="s">
        <v>27</v>
      </c>
    </row>
    <row r="742" spans="1:12" x14ac:dyDescent="0.35">
      <c r="A742" t="s">
        <v>18</v>
      </c>
      <c r="B742">
        <v>1128299</v>
      </c>
      <c r="C742" s="1">
        <v>44236</v>
      </c>
      <c r="D742" t="s">
        <v>48</v>
      </c>
      <c r="E742" t="s">
        <v>66</v>
      </c>
      <c r="F742" t="s">
        <v>67</v>
      </c>
      <c r="G742" t="s">
        <v>70</v>
      </c>
      <c r="H742" s="2">
        <v>51</v>
      </c>
      <c r="I742">
        <v>228</v>
      </c>
      <c r="J742" s="3">
        <v>1163</v>
      </c>
      <c r="K742" s="4">
        <v>547</v>
      </c>
      <c r="L742" t="s">
        <v>27</v>
      </c>
    </row>
    <row r="743" spans="1:12" x14ac:dyDescent="0.35">
      <c r="A743" t="s">
        <v>63</v>
      </c>
      <c r="B743">
        <v>1189833</v>
      </c>
      <c r="C743" s="1">
        <v>44275</v>
      </c>
      <c r="D743" t="s">
        <v>48</v>
      </c>
      <c r="E743" t="s">
        <v>66</v>
      </c>
      <c r="F743" t="s">
        <v>76</v>
      </c>
      <c r="G743" t="s">
        <v>39</v>
      </c>
      <c r="H743" s="2">
        <v>36</v>
      </c>
      <c r="I743">
        <v>228</v>
      </c>
      <c r="J743">
        <v>821</v>
      </c>
      <c r="K743" s="4">
        <v>230</v>
      </c>
      <c r="L743" t="s">
        <v>27</v>
      </c>
    </row>
    <row r="744" spans="1:12" x14ac:dyDescent="0.35">
      <c r="A744" t="s">
        <v>63</v>
      </c>
      <c r="B744">
        <v>1189833</v>
      </c>
      <c r="C744" s="1">
        <v>44314</v>
      </c>
      <c r="D744" t="s">
        <v>48</v>
      </c>
      <c r="E744" t="s">
        <v>66</v>
      </c>
      <c r="F744" t="s">
        <v>76</v>
      </c>
      <c r="G744" t="s">
        <v>56</v>
      </c>
      <c r="H744" s="2">
        <v>29</v>
      </c>
      <c r="I744">
        <v>228</v>
      </c>
      <c r="J744">
        <v>661</v>
      </c>
      <c r="K744" s="4">
        <v>264</v>
      </c>
      <c r="L744" t="s">
        <v>27</v>
      </c>
    </row>
    <row r="745" spans="1:12" x14ac:dyDescent="0.35">
      <c r="A745" t="s">
        <v>23</v>
      </c>
      <c r="B745">
        <v>1197831</v>
      </c>
      <c r="C745" s="1">
        <v>44481</v>
      </c>
      <c r="D745" t="s">
        <v>19</v>
      </c>
      <c r="E745" t="s">
        <v>59</v>
      </c>
      <c r="F745" t="s">
        <v>68</v>
      </c>
      <c r="G745" t="s">
        <v>32</v>
      </c>
      <c r="H745" s="2">
        <v>51</v>
      </c>
      <c r="I745">
        <v>228</v>
      </c>
      <c r="J745" s="3">
        <v>1163</v>
      </c>
      <c r="K745" s="4">
        <v>512</v>
      </c>
      <c r="L745" t="s">
        <v>27</v>
      </c>
    </row>
    <row r="746" spans="1:12" x14ac:dyDescent="0.35">
      <c r="A746" t="s">
        <v>23</v>
      </c>
      <c r="B746">
        <v>1197831</v>
      </c>
      <c r="C746" s="1">
        <v>44441</v>
      </c>
      <c r="D746" t="s">
        <v>19</v>
      </c>
      <c r="E746" t="s">
        <v>24</v>
      </c>
      <c r="F746" t="s">
        <v>25</v>
      </c>
      <c r="G746" t="s">
        <v>32</v>
      </c>
      <c r="H746" s="2">
        <v>35</v>
      </c>
      <c r="I746">
        <v>228</v>
      </c>
      <c r="J746">
        <v>798</v>
      </c>
      <c r="K746" s="4">
        <v>407</v>
      </c>
      <c r="L746" t="s">
        <v>27</v>
      </c>
    </row>
    <row r="747" spans="1:12" x14ac:dyDescent="0.35">
      <c r="A747" t="s">
        <v>18</v>
      </c>
      <c r="B747">
        <v>1185732</v>
      </c>
      <c r="C747" s="1">
        <v>44265</v>
      </c>
      <c r="D747" t="s">
        <v>48</v>
      </c>
      <c r="E747" t="s">
        <v>49</v>
      </c>
      <c r="F747" t="s">
        <v>50</v>
      </c>
      <c r="G747" t="s">
        <v>26</v>
      </c>
      <c r="H747" s="2">
        <v>20</v>
      </c>
      <c r="I747">
        <v>228</v>
      </c>
      <c r="J747">
        <v>456</v>
      </c>
      <c r="K747" s="4">
        <v>196</v>
      </c>
      <c r="L747" t="s">
        <v>27</v>
      </c>
    </row>
    <row r="748" spans="1:12" x14ac:dyDescent="0.35">
      <c r="A748" t="s">
        <v>18</v>
      </c>
      <c r="B748">
        <v>1185732</v>
      </c>
      <c r="C748" s="1">
        <v>44328</v>
      </c>
      <c r="D748" t="s">
        <v>48</v>
      </c>
      <c r="E748" t="s">
        <v>49</v>
      </c>
      <c r="F748" t="s">
        <v>50</v>
      </c>
      <c r="G748" t="s">
        <v>26</v>
      </c>
      <c r="H748" s="2">
        <v>27</v>
      </c>
      <c r="I748">
        <v>228</v>
      </c>
      <c r="J748">
        <v>616</v>
      </c>
      <c r="K748" s="4">
        <v>265</v>
      </c>
      <c r="L748" t="s">
        <v>27</v>
      </c>
    </row>
    <row r="749" spans="1:12" x14ac:dyDescent="0.35">
      <c r="A749" t="s">
        <v>18</v>
      </c>
      <c r="B749">
        <v>1185732</v>
      </c>
      <c r="C749" s="1">
        <v>44451</v>
      </c>
      <c r="D749" t="s">
        <v>48</v>
      </c>
      <c r="E749" t="s">
        <v>49</v>
      </c>
      <c r="F749" t="s">
        <v>50</v>
      </c>
      <c r="G749" t="s">
        <v>26</v>
      </c>
      <c r="H749" s="2">
        <v>23</v>
      </c>
      <c r="I749">
        <v>228</v>
      </c>
      <c r="J749">
        <v>524</v>
      </c>
      <c r="K749" s="4">
        <v>236</v>
      </c>
      <c r="L749" t="s">
        <v>27</v>
      </c>
    </row>
    <row r="750" spans="1:12" x14ac:dyDescent="0.35">
      <c r="A750" t="s">
        <v>12</v>
      </c>
      <c r="B750">
        <v>1197831</v>
      </c>
      <c r="C750" s="1">
        <v>44335</v>
      </c>
      <c r="D750" t="s">
        <v>19</v>
      </c>
      <c r="E750" t="s">
        <v>54</v>
      </c>
      <c r="F750" t="s">
        <v>55</v>
      </c>
      <c r="G750" t="s">
        <v>26</v>
      </c>
      <c r="H750" s="2">
        <v>26</v>
      </c>
      <c r="I750">
        <v>228</v>
      </c>
      <c r="J750">
        <v>593</v>
      </c>
      <c r="K750" s="4">
        <v>273</v>
      </c>
      <c r="L750" t="s">
        <v>27</v>
      </c>
    </row>
    <row r="751" spans="1:12" x14ac:dyDescent="0.35">
      <c r="A751" t="s">
        <v>42</v>
      </c>
      <c r="B751">
        <v>1185732</v>
      </c>
      <c r="C751" s="1">
        <v>44355</v>
      </c>
      <c r="D751" t="s">
        <v>33</v>
      </c>
      <c r="E751" t="s">
        <v>118</v>
      </c>
      <c r="F751" t="s">
        <v>119</v>
      </c>
      <c r="G751" t="s">
        <v>32</v>
      </c>
      <c r="H751" s="2">
        <v>35</v>
      </c>
      <c r="I751">
        <v>225</v>
      </c>
      <c r="J751" s="3">
        <v>7875</v>
      </c>
      <c r="K751" s="4">
        <v>2756</v>
      </c>
      <c r="L751" t="s">
        <v>27</v>
      </c>
    </row>
    <row r="752" spans="1:12" x14ac:dyDescent="0.35">
      <c r="A752" t="s">
        <v>42</v>
      </c>
      <c r="B752">
        <v>1185732</v>
      </c>
      <c r="C752" s="1">
        <v>44361</v>
      </c>
      <c r="D752" t="s">
        <v>33</v>
      </c>
      <c r="E752" t="s">
        <v>118</v>
      </c>
      <c r="F752" t="s">
        <v>119</v>
      </c>
      <c r="G752" t="s">
        <v>32</v>
      </c>
      <c r="H752" s="2">
        <v>40</v>
      </c>
      <c r="I752">
        <v>225</v>
      </c>
      <c r="J752" s="3">
        <v>9000</v>
      </c>
      <c r="K752" s="4">
        <v>3150</v>
      </c>
      <c r="L752" t="s">
        <v>27</v>
      </c>
    </row>
    <row r="753" spans="1:12" x14ac:dyDescent="0.35">
      <c r="A753" t="s">
        <v>42</v>
      </c>
      <c r="B753">
        <v>1185732</v>
      </c>
      <c r="C753" s="1">
        <v>44392</v>
      </c>
      <c r="D753" t="s">
        <v>33</v>
      </c>
      <c r="E753" t="s">
        <v>118</v>
      </c>
      <c r="F753" t="s">
        <v>119</v>
      </c>
      <c r="G753" t="s">
        <v>56</v>
      </c>
      <c r="H753" s="2">
        <v>40</v>
      </c>
      <c r="I753">
        <v>225</v>
      </c>
      <c r="J753" s="3">
        <v>9000</v>
      </c>
      <c r="K753" s="4">
        <v>3600</v>
      </c>
      <c r="L753" t="s">
        <v>27</v>
      </c>
    </row>
    <row r="754" spans="1:12" x14ac:dyDescent="0.35">
      <c r="A754" t="s">
        <v>42</v>
      </c>
      <c r="B754">
        <v>1185732</v>
      </c>
      <c r="C754" s="1">
        <v>44493</v>
      </c>
      <c r="D754" t="s">
        <v>19</v>
      </c>
      <c r="E754" t="s">
        <v>59</v>
      </c>
      <c r="F754" t="s">
        <v>68</v>
      </c>
      <c r="G754" t="s">
        <v>32</v>
      </c>
      <c r="H754" s="2">
        <v>35</v>
      </c>
      <c r="I754">
        <v>225</v>
      </c>
      <c r="J754" s="3">
        <v>7875</v>
      </c>
      <c r="K754" s="4">
        <v>3150</v>
      </c>
      <c r="L754" t="s">
        <v>27</v>
      </c>
    </row>
    <row r="755" spans="1:12" x14ac:dyDescent="0.35">
      <c r="A755" t="s">
        <v>42</v>
      </c>
      <c r="B755">
        <v>1185732</v>
      </c>
      <c r="C755" s="1">
        <v>44132</v>
      </c>
      <c r="D755" t="s">
        <v>33</v>
      </c>
      <c r="E755" t="s">
        <v>104</v>
      </c>
      <c r="F755" t="s">
        <v>105</v>
      </c>
      <c r="G755" t="s">
        <v>16</v>
      </c>
      <c r="H755" s="2">
        <v>35</v>
      </c>
      <c r="I755">
        <v>225</v>
      </c>
      <c r="J755" s="3">
        <v>7875</v>
      </c>
      <c r="K755" s="4">
        <v>3544</v>
      </c>
      <c r="L755" t="s">
        <v>36</v>
      </c>
    </row>
    <row r="756" spans="1:12" x14ac:dyDescent="0.35">
      <c r="A756" t="s">
        <v>42</v>
      </c>
      <c r="B756">
        <v>1185732</v>
      </c>
      <c r="C756" s="1">
        <v>44159</v>
      </c>
      <c r="D756" t="s">
        <v>33</v>
      </c>
      <c r="E756" t="s">
        <v>104</v>
      </c>
      <c r="F756" t="s">
        <v>105</v>
      </c>
      <c r="G756" t="s">
        <v>32</v>
      </c>
      <c r="H756" s="2">
        <v>40</v>
      </c>
      <c r="I756">
        <v>225</v>
      </c>
      <c r="J756" s="3">
        <v>9000</v>
      </c>
      <c r="K756" s="4">
        <v>2700</v>
      </c>
      <c r="L756" t="s">
        <v>27</v>
      </c>
    </row>
    <row r="757" spans="1:12" x14ac:dyDescent="0.35">
      <c r="A757" t="s">
        <v>42</v>
      </c>
      <c r="B757">
        <v>1185732</v>
      </c>
      <c r="C757" s="1">
        <v>44165</v>
      </c>
      <c r="D757" t="s">
        <v>33</v>
      </c>
      <c r="E757" t="s">
        <v>104</v>
      </c>
      <c r="F757" t="s">
        <v>105</v>
      </c>
      <c r="G757" t="s">
        <v>32</v>
      </c>
      <c r="H757" s="2">
        <v>40</v>
      </c>
      <c r="I757">
        <v>225</v>
      </c>
      <c r="J757" s="3">
        <v>9000</v>
      </c>
      <c r="K757" s="4">
        <v>2700</v>
      </c>
      <c r="L757" t="s">
        <v>27</v>
      </c>
    </row>
    <row r="758" spans="1:12" x14ac:dyDescent="0.35">
      <c r="A758" t="s">
        <v>42</v>
      </c>
      <c r="B758">
        <v>1185732</v>
      </c>
      <c r="C758" s="1">
        <v>44338</v>
      </c>
      <c r="D758" t="s">
        <v>19</v>
      </c>
      <c r="E758" t="s">
        <v>74</v>
      </c>
      <c r="F758" t="s">
        <v>75</v>
      </c>
      <c r="G758" t="s">
        <v>39</v>
      </c>
      <c r="H758" s="2">
        <v>35</v>
      </c>
      <c r="I758">
        <v>225</v>
      </c>
      <c r="J758" s="3">
        <v>7875</v>
      </c>
      <c r="K758" s="4">
        <v>2756</v>
      </c>
      <c r="L758" t="s">
        <v>27</v>
      </c>
    </row>
    <row r="759" spans="1:12" x14ac:dyDescent="0.35">
      <c r="A759" t="s">
        <v>42</v>
      </c>
      <c r="B759">
        <v>1185732</v>
      </c>
      <c r="C759" s="1">
        <v>44339</v>
      </c>
      <c r="D759" t="s">
        <v>19</v>
      </c>
      <c r="E759" t="s">
        <v>74</v>
      </c>
      <c r="F759" t="s">
        <v>75</v>
      </c>
      <c r="G759" t="s">
        <v>32</v>
      </c>
      <c r="H759" s="2">
        <v>25</v>
      </c>
      <c r="I759">
        <v>225</v>
      </c>
      <c r="J759" s="3">
        <v>5625</v>
      </c>
      <c r="K759" s="4">
        <v>1969</v>
      </c>
      <c r="L759" t="s">
        <v>27</v>
      </c>
    </row>
    <row r="760" spans="1:12" x14ac:dyDescent="0.35">
      <c r="A760" t="s">
        <v>42</v>
      </c>
      <c r="B760">
        <v>1185732</v>
      </c>
      <c r="C760" s="1">
        <v>44342</v>
      </c>
      <c r="D760" t="s">
        <v>33</v>
      </c>
      <c r="E760" t="s">
        <v>120</v>
      </c>
      <c r="F760" t="s">
        <v>121</v>
      </c>
      <c r="G760" t="s">
        <v>16</v>
      </c>
      <c r="H760" s="2">
        <v>35</v>
      </c>
      <c r="I760">
        <v>225</v>
      </c>
      <c r="J760" s="3">
        <v>7875</v>
      </c>
      <c r="K760" s="4">
        <v>3938</v>
      </c>
      <c r="L760" t="s">
        <v>27</v>
      </c>
    </row>
    <row r="761" spans="1:12" x14ac:dyDescent="0.35">
      <c r="A761" t="s">
        <v>42</v>
      </c>
      <c r="B761">
        <v>1185732</v>
      </c>
      <c r="C761" s="1">
        <v>44375</v>
      </c>
      <c r="D761" t="s">
        <v>33</v>
      </c>
      <c r="E761" t="s">
        <v>120</v>
      </c>
      <c r="F761" t="s">
        <v>121</v>
      </c>
      <c r="G761" t="s">
        <v>32</v>
      </c>
      <c r="H761" s="2">
        <v>35</v>
      </c>
      <c r="I761">
        <v>225</v>
      </c>
      <c r="J761" s="3">
        <v>7875</v>
      </c>
      <c r="K761" s="4">
        <v>2756</v>
      </c>
      <c r="L761" t="s">
        <v>27</v>
      </c>
    </row>
    <row r="762" spans="1:12" x14ac:dyDescent="0.35">
      <c r="A762" t="s">
        <v>51</v>
      </c>
      <c r="B762">
        <v>1185732</v>
      </c>
      <c r="C762" s="1">
        <v>44504</v>
      </c>
      <c r="D762" t="s">
        <v>43</v>
      </c>
      <c r="E762" t="s">
        <v>122</v>
      </c>
      <c r="F762" t="s">
        <v>86</v>
      </c>
      <c r="G762" t="s">
        <v>16</v>
      </c>
      <c r="H762" s="2">
        <v>40</v>
      </c>
      <c r="I762">
        <v>225</v>
      </c>
      <c r="J762" s="3">
        <v>9000</v>
      </c>
      <c r="K762" s="4">
        <v>3600</v>
      </c>
      <c r="L762" t="s">
        <v>27</v>
      </c>
    </row>
    <row r="763" spans="1:12" x14ac:dyDescent="0.35">
      <c r="A763" t="s">
        <v>42</v>
      </c>
      <c r="B763">
        <v>1185732</v>
      </c>
      <c r="C763" s="1">
        <v>44304</v>
      </c>
      <c r="D763" t="s">
        <v>33</v>
      </c>
      <c r="E763" t="s">
        <v>34</v>
      </c>
      <c r="F763" t="s">
        <v>35</v>
      </c>
      <c r="G763" t="s">
        <v>70</v>
      </c>
      <c r="H763" s="2">
        <v>40</v>
      </c>
      <c r="I763">
        <v>225</v>
      </c>
      <c r="J763" s="3">
        <v>9000</v>
      </c>
      <c r="K763" s="4">
        <v>3150</v>
      </c>
      <c r="L763" t="s">
        <v>36</v>
      </c>
    </row>
    <row r="764" spans="1:12" x14ac:dyDescent="0.35">
      <c r="A764" t="s">
        <v>42</v>
      </c>
      <c r="B764">
        <v>1185732</v>
      </c>
      <c r="C764" s="1">
        <v>44335</v>
      </c>
      <c r="D764" t="s">
        <v>33</v>
      </c>
      <c r="E764" t="s">
        <v>34</v>
      </c>
      <c r="F764" t="s">
        <v>35</v>
      </c>
      <c r="G764" t="s">
        <v>56</v>
      </c>
      <c r="H764" s="2">
        <v>30</v>
      </c>
      <c r="I764">
        <v>225</v>
      </c>
      <c r="J764" s="3">
        <v>6750</v>
      </c>
      <c r="K764" s="4">
        <v>2700</v>
      </c>
      <c r="L764" t="s">
        <v>36</v>
      </c>
    </row>
    <row r="765" spans="1:12" x14ac:dyDescent="0.35">
      <c r="A765" t="s">
        <v>42</v>
      </c>
      <c r="B765">
        <v>1185732</v>
      </c>
      <c r="C765" s="1">
        <v>44487</v>
      </c>
      <c r="D765" t="s">
        <v>33</v>
      </c>
      <c r="E765" t="s">
        <v>34</v>
      </c>
      <c r="F765" t="s">
        <v>35</v>
      </c>
      <c r="G765" t="s">
        <v>56</v>
      </c>
      <c r="H765" s="2">
        <v>25</v>
      </c>
      <c r="I765">
        <v>225</v>
      </c>
      <c r="J765" s="3">
        <v>5625</v>
      </c>
      <c r="K765" s="4">
        <v>2250</v>
      </c>
      <c r="L765" t="s">
        <v>36</v>
      </c>
    </row>
    <row r="766" spans="1:12" x14ac:dyDescent="0.35">
      <c r="A766" t="s">
        <v>42</v>
      </c>
      <c r="B766">
        <v>1185732</v>
      </c>
      <c r="C766" s="1">
        <v>44487</v>
      </c>
      <c r="D766" t="s">
        <v>33</v>
      </c>
      <c r="E766" t="s">
        <v>34</v>
      </c>
      <c r="F766" t="s">
        <v>35</v>
      </c>
      <c r="G766" t="s">
        <v>70</v>
      </c>
      <c r="H766" s="2">
        <v>35</v>
      </c>
      <c r="I766">
        <v>225</v>
      </c>
      <c r="J766" s="3">
        <v>7875</v>
      </c>
      <c r="K766" s="4">
        <v>2756</v>
      </c>
      <c r="L766" t="s">
        <v>36</v>
      </c>
    </row>
    <row r="767" spans="1:12" x14ac:dyDescent="0.35">
      <c r="A767" t="s">
        <v>18</v>
      </c>
      <c r="B767">
        <v>1128299</v>
      </c>
      <c r="C767" s="1">
        <v>44334</v>
      </c>
      <c r="D767" t="s">
        <v>19</v>
      </c>
      <c r="E767" t="s">
        <v>20</v>
      </c>
      <c r="F767" t="s">
        <v>21</v>
      </c>
      <c r="G767" t="s">
        <v>70</v>
      </c>
      <c r="H767" s="2">
        <v>40</v>
      </c>
      <c r="I767">
        <v>225</v>
      </c>
      <c r="J767" s="3">
        <v>9000</v>
      </c>
      <c r="K767" s="4">
        <v>4050</v>
      </c>
      <c r="L767" t="s">
        <v>36</v>
      </c>
    </row>
    <row r="768" spans="1:12" x14ac:dyDescent="0.35">
      <c r="A768" t="s">
        <v>42</v>
      </c>
      <c r="B768">
        <v>1128299</v>
      </c>
      <c r="C768" s="1">
        <v>44250</v>
      </c>
      <c r="D768" t="s">
        <v>48</v>
      </c>
      <c r="E768" t="s">
        <v>123</v>
      </c>
      <c r="F768" t="s">
        <v>124</v>
      </c>
      <c r="G768" t="s">
        <v>56</v>
      </c>
      <c r="H768" s="2">
        <v>40</v>
      </c>
      <c r="I768">
        <v>225</v>
      </c>
      <c r="J768" s="3">
        <v>9000</v>
      </c>
      <c r="K768" s="4">
        <v>3150</v>
      </c>
      <c r="L768" t="s">
        <v>17</v>
      </c>
    </row>
    <row r="769" spans="1:12" x14ac:dyDescent="0.35">
      <c r="A769" t="s">
        <v>51</v>
      </c>
      <c r="B769">
        <v>1185732</v>
      </c>
      <c r="C769" s="1">
        <v>44369</v>
      </c>
      <c r="D769" t="s">
        <v>13</v>
      </c>
      <c r="E769" t="s">
        <v>106</v>
      </c>
      <c r="F769" t="s">
        <v>107</v>
      </c>
      <c r="G769" t="s">
        <v>32</v>
      </c>
      <c r="H769" s="2">
        <v>30</v>
      </c>
      <c r="I769">
        <v>225</v>
      </c>
      <c r="J769" s="3">
        <v>6750</v>
      </c>
      <c r="K769" s="4">
        <v>2700</v>
      </c>
      <c r="L769" t="s">
        <v>17</v>
      </c>
    </row>
    <row r="770" spans="1:12" x14ac:dyDescent="0.35">
      <c r="A770" t="s">
        <v>51</v>
      </c>
      <c r="B770">
        <v>1185732</v>
      </c>
      <c r="C770" s="1">
        <v>44398</v>
      </c>
      <c r="D770" t="s">
        <v>13</v>
      </c>
      <c r="E770" t="s">
        <v>106</v>
      </c>
      <c r="F770" t="s">
        <v>107</v>
      </c>
      <c r="G770" t="s">
        <v>56</v>
      </c>
      <c r="H770" s="2">
        <v>40</v>
      </c>
      <c r="I770">
        <v>225</v>
      </c>
      <c r="J770" s="3">
        <v>9000</v>
      </c>
      <c r="K770" s="4">
        <v>3600</v>
      </c>
      <c r="L770" t="s">
        <v>17</v>
      </c>
    </row>
    <row r="771" spans="1:12" x14ac:dyDescent="0.35">
      <c r="A771" t="s">
        <v>51</v>
      </c>
      <c r="B771">
        <v>1185732</v>
      </c>
      <c r="C771" s="1">
        <v>44462</v>
      </c>
      <c r="D771" t="s">
        <v>13</v>
      </c>
      <c r="E771" t="s">
        <v>106</v>
      </c>
      <c r="F771" t="s">
        <v>107</v>
      </c>
      <c r="G771" t="s">
        <v>32</v>
      </c>
      <c r="H771" s="2">
        <v>35</v>
      </c>
      <c r="I771">
        <v>225</v>
      </c>
      <c r="J771" s="3">
        <v>7875</v>
      </c>
      <c r="K771" s="4">
        <v>3150</v>
      </c>
      <c r="L771" t="s">
        <v>17</v>
      </c>
    </row>
    <row r="772" spans="1:12" x14ac:dyDescent="0.35">
      <c r="A772" t="s">
        <v>12</v>
      </c>
      <c r="B772">
        <v>1197831</v>
      </c>
      <c r="C772" s="1">
        <v>44306</v>
      </c>
      <c r="D772" t="s">
        <v>19</v>
      </c>
      <c r="E772" t="s">
        <v>54</v>
      </c>
      <c r="F772" t="s">
        <v>55</v>
      </c>
      <c r="G772" t="s">
        <v>56</v>
      </c>
      <c r="H772" s="2">
        <v>20</v>
      </c>
      <c r="I772">
        <v>225</v>
      </c>
      <c r="J772" s="3">
        <v>4500</v>
      </c>
      <c r="K772" s="4">
        <v>1800</v>
      </c>
      <c r="L772" t="s">
        <v>17</v>
      </c>
    </row>
    <row r="773" spans="1:12" x14ac:dyDescent="0.35">
      <c r="A773" t="s">
        <v>18</v>
      </c>
      <c r="B773">
        <v>1197831</v>
      </c>
      <c r="C773" s="1">
        <v>44219</v>
      </c>
      <c r="D773" t="s">
        <v>19</v>
      </c>
      <c r="E773" t="s">
        <v>54</v>
      </c>
      <c r="F773" t="s">
        <v>55</v>
      </c>
      <c r="G773" t="s">
        <v>56</v>
      </c>
      <c r="H773" s="2">
        <v>20</v>
      </c>
      <c r="I773">
        <v>225</v>
      </c>
      <c r="J773" s="3">
        <v>4500</v>
      </c>
      <c r="K773" s="4">
        <v>1800</v>
      </c>
      <c r="L773" t="s">
        <v>17</v>
      </c>
    </row>
    <row r="774" spans="1:12" x14ac:dyDescent="0.35">
      <c r="A774" t="s">
        <v>18</v>
      </c>
      <c r="B774">
        <v>1197831</v>
      </c>
      <c r="C774" s="1">
        <v>44306</v>
      </c>
      <c r="D774" t="s">
        <v>19</v>
      </c>
      <c r="E774" t="s">
        <v>61</v>
      </c>
      <c r="F774" t="s">
        <v>62</v>
      </c>
      <c r="G774" t="s">
        <v>39</v>
      </c>
      <c r="H774" s="2">
        <v>25</v>
      </c>
      <c r="I774">
        <v>225</v>
      </c>
      <c r="J774" s="3">
        <v>5625</v>
      </c>
      <c r="K774" s="4">
        <v>1969</v>
      </c>
      <c r="L774" t="s">
        <v>17</v>
      </c>
    </row>
    <row r="775" spans="1:12" x14ac:dyDescent="0.35">
      <c r="A775" t="s">
        <v>18</v>
      </c>
      <c r="B775">
        <v>1197831</v>
      </c>
      <c r="C775" s="1">
        <v>44306</v>
      </c>
      <c r="D775" t="s">
        <v>19</v>
      </c>
      <c r="E775" t="s">
        <v>61</v>
      </c>
      <c r="F775" t="s">
        <v>62</v>
      </c>
      <c r="G775" t="s">
        <v>32</v>
      </c>
      <c r="H775" s="2">
        <v>15</v>
      </c>
      <c r="I775">
        <v>225</v>
      </c>
      <c r="J775" s="3">
        <v>3375</v>
      </c>
      <c r="K775" s="4">
        <v>1350</v>
      </c>
      <c r="L775" t="s">
        <v>17</v>
      </c>
    </row>
    <row r="776" spans="1:12" x14ac:dyDescent="0.35">
      <c r="A776" t="s">
        <v>18</v>
      </c>
      <c r="B776">
        <v>1197831</v>
      </c>
      <c r="C776" s="1">
        <v>44335</v>
      </c>
      <c r="D776" t="s">
        <v>19</v>
      </c>
      <c r="E776" t="s">
        <v>61</v>
      </c>
      <c r="F776" t="s">
        <v>62</v>
      </c>
      <c r="G776" t="s">
        <v>56</v>
      </c>
      <c r="H776" s="2">
        <v>35</v>
      </c>
      <c r="I776">
        <v>225</v>
      </c>
      <c r="J776" s="3">
        <v>7875</v>
      </c>
      <c r="K776" s="4">
        <v>3150</v>
      </c>
      <c r="L776" t="s">
        <v>17</v>
      </c>
    </row>
    <row r="777" spans="1:12" x14ac:dyDescent="0.35">
      <c r="A777" t="s">
        <v>18</v>
      </c>
      <c r="B777">
        <v>1197831</v>
      </c>
      <c r="C777" s="1">
        <v>44490</v>
      </c>
      <c r="D777" t="s">
        <v>19</v>
      </c>
      <c r="E777" t="s">
        <v>61</v>
      </c>
      <c r="F777" t="s">
        <v>62</v>
      </c>
      <c r="G777" t="s">
        <v>32</v>
      </c>
      <c r="H777" s="2">
        <v>20</v>
      </c>
      <c r="I777">
        <v>225</v>
      </c>
      <c r="J777" s="3">
        <v>4500</v>
      </c>
      <c r="K777" s="4">
        <v>1800</v>
      </c>
      <c r="L777" t="s">
        <v>17</v>
      </c>
    </row>
    <row r="778" spans="1:12" x14ac:dyDescent="0.35">
      <c r="A778" t="s">
        <v>63</v>
      </c>
      <c r="B778">
        <v>1197831</v>
      </c>
      <c r="C778" s="1">
        <v>44241</v>
      </c>
      <c r="D778" t="s">
        <v>33</v>
      </c>
      <c r="E778" t="s">
        <v>71</v>
      </c>
      <c r="F778" t="s">
        <v>72</v>
      </c>
      <c r="G778" t="s">
        <v>70</v>
      </c>
      <c r="H778" s="2">
        <v>35</v>
      </c>
      <c r="I778">
        <v>225</v>
      </c>
      <c r="J778" s="3">
        <v>7875</v>
      </c>
      <c r="K778" s="4">
        <v>2756</v>
      </c>
      <c r="L778" t="s">
        <v>17</v>
      </c>
    </row>
    <row r="779" spans="1:12" x14ac:dyDescent="0.35">
      <c r="A779" t="s">
        <v>63</v>
      </c>
      <c r="B779">
        <v>1197831</v>
      </c>
      <c r="C779" s="1">
        <v>44267</v>
      </c>
      <c r="D779" t="s">
        <v>33</v>
      </c>
      <c r="E779" t="s">
        <v>71</v>
      </c>
      <c r="F779" t="s">
        <v>72</v>
      </c>
      <c r="G779" t="s">
        <v>39</v>
      </c>
      <c r="H779" s="2">
        <v>20</v>
      </c>
      <c r="I779">
        <v>225</v>
      </c>
      <c r="J779" s="3">
        <v>4500</v>
      </c>
      <c r="K779" s="4">
        <v>1575</v>
      </c>
      <c r="L779" t="s">
        <v>17</v>
      </c>
    </row>
    <row r="780" spans="1:12" x14ac:dyDescent="0.35">
      <c r="A780" t="s">
        <v>63</v>
      </c>
      <c r="B780">
        <v>1197831</v>
      </c>
      <c r="C780" s="1">
        <v>44451</v>
      </c>
      <c r="D780" t="s">
        <v>33</v>
      </c>
      <c r="E780" t="s">
        <v>71</v>
      </c>
      <c r="F780" t="s">
        <v>72</v>
      </c>
      <c r="G780" t="s">
        <v>56</v>
      </c>
      <c r="H780" s="2">
        <v>15</v>
      </c>
      <c r="I780">
        <v>225</v>
      </c>
      <c r="J780" s="3">
        <v>3375</v>
      </c>
      <c r="K780" s="4">
        <v>1181</v>
      </c>
      <c r="L780" t="s">
        <v>17</v>
      </c>
    </row>
    <row r="781" spans="1:12" x14ac:dyDescent="0.35">
      <c r="A781" t="s">
        <v>63</v>
      </c>
      <c r="B781">
        <v>1197831</v>
      </c>
      <c r="C781" s="1">
        <v>44451</v>
      </c>
      <c r="D781" t="s">
        <v>33</v>
      </c>
      <c r="E781" t="s">
        <v>71</v>
      </c>
      <c r="F781" t="s">
        <v>72</v>
      </c>
      <c r="G781" t="s">
        <v>70</v>
      </c>
      <c r="H781" s="2">
        <v>25</v>
      </c>
      <c r="I781">
        <v>225</v>
      </c>
      <c r="J781" s="3">
        <v>5625</v>
      </c>
      <c r="K781" s="4">
        <v>1969</v>
      </c>
      <c r="L781" t="s">
        <v>17</v>
      </c>
    </row>
    <row r="782" spans="1:12" x14ac:dyDescent="0.35">
      <c r="A782" t="s">
        <v>42</v>
      </c>
      <c r="B782">
        <v>1185732</v>
      </c>
      <c r="C782" s="1">
        <v>44239</v>
      </c>
      <c r="D782" t="s">
        <v>33</v>
      </c>
      <c r="E782" t="s">
        <v>71</v>
      </c>
      <c r="F782" t="s">
        <v>72</v>
      </c>
      <c r="G782" t="s">
        <v>32</v>
      </c>
      <c r="H782" s="2">
        <v>30</v>
      </c>
      <c r="I782">
        <v>225</v>
      </c>
      <c r="J782" s="3">
        <v>6750</v>
      </c>
      <c r="K782" s="4">
        <v>2025</v>
      </c>
      <c r="L782" t="s">
        <v>17</v>
      </c>
    </row>
    <row r="783" spans="1:12" x14ac:dyDescent="0.35">
      <c r="A783" t="s">
        <v>42</v>
      </c>
      <c r="B783">
        <v>1185732</v>
      </c>
      <c r="C783" s="1">
        <v>44266</v>
      </c>
      <c r="D783" t="s">
        <v>33</v>
      </c>
      <c r="E783" t="s">
        <v>87</v>
      </c>
      <c r="F783" t="s">
        <v>88</v>
      </c>
      <c r="G783" t="s">
        <v>32</v>
      </c>
      <c r="H783" s="2">
        <v>30</v>
      </c>
      <c r="I783">
        <v>225</v>
      </c>
      <c r="J783" s="3">
        <v>6750</v>
      </c>
      <c r="K783" s="4">
        <v>2025</v>
      </c>
      <c r="L783" t="s">
        <v>17</v>
      </c>
    </row>
    <row r="784" spans="1:12" x14ac:dyDescent="0.35">
      <c r="A784" t="s">
        <v>42</v>
      </c>
      <c r="B784">
        <v>1185732</v>
      </c>
      <c r="C784" s="1">
        <v>44266</v>
      </c>
      <c r="D784" t="s">
        <v>33</v>
      </c>
      <c r="E784" t="s">
        <v>87</v>
      </c>
      <c r="F784" t="s">
        <v>88</v>
      </c>
      <c r="G784" t="s">
        <v>16</v>
      </c>
      <c r="H784" s="2">
        <v>40</v>
      </c>
      <c r="I784">
        <v>225</v>
      </c>
      <c r="J784" s="3">
        <v>9000</v>
      </c>
      <c r="K784" s="4">
        <v>3600</v>
      </c>
      <c r="L784" t="s">
        <v>17</v>
      </c>
    </row>
    <row r="785" spans="1:12" x14ac:dyDescent="0.35">
      <c r="A785" t="s">
        <v>42</v>
      </c>
      <c r="B785">
        <v>1185732</v>
      </c>
      <c r="C785" s="1">
        <v>44388</v>
      </c>
      <c r="D785" t="s">
        <v>33</v>
      </c>
      <c r="E785" t="s">
        <v>87</v>
      </c>
      <c r="F785" t="s">
        <v>88</v>
      </c>
      <c r="G785" t="s">
        <v>32</v>
      </c>
      <c r="H785" s="2">
        <v>40</v>
      </c>
      <c r="I785">
        <v>225</v>
      </c>
      <c r="J785" s="3">
        <v>9000</v>
      </c>
      <c r="K785" s="4">
        <v>2700</v>
      </c>
      <c r="L785" t="s">
        <v>17</v>
      </c>
    </row>
    <row r="786" spans="1:12" x14ac:dyDescent="0.35">
      <c r="A786" t="s">
        <v>42</v>
      </c>
      <c r="B786">
        <v>1185732</v>
      </c>
      <c r="C786" s="1">
        <v>44420</v>
      </c>
      <c r="D786" t="s">
        <v>33</v>
      </c>
      <c r="E786" t="s">
        <v>87</v>
      </c>
      <c r="F786" t="s">
        <v>88</v>
      </c>
      <c r="G786" t="s">
        <v>32</v>
      </c>
      <c r="H786" s="2">
        <v>40</v>
      </c>
      <c r="I786">
        <v>225</v>
      </c>
      <c r="J786" s="3">
        <v>9000</v>
      </c>
      <c r="K786" s="4">
        <v>2700</v>
      </c>
      <c r="L786" t="s">
        <v>17</v>
      </c>
    </row>
    <row r="787" spans="1:12" x14ac:dyDescent="0.35">
      <c r="A787" t="s">
        <v>23</v>
      </c>
      <c r="B787">
        <v>1185732</v>
      </c>
      <c r="C787" s="1">
        <v>44236</v>
      </c>
      <c r="D787" t="s">
        <v>33</v>
      </c>
      <c r="E787" t="s">
        <v>87</v>
      </c>
      <c r="F787" t="s">
        <v>88</v>
      </c>
      <c r="G787" t="s">
        <v>32</v>
      </c>
      <c r="H787" s="2">
        <v>25</v>
      </c>
      <c r="I787">
        <v>225</v>
      </c>
      <c r="J787" s="3">
        <v>5625</v>
      </c>
      <c r="K787" s="4">
        <v>1688</v>
      </c>
      <c r="L787" t="s">
        <v>17</v>
      </c>
    </row>
    <row r="788" spans="1:12" x14ac:dyDescent="0.35">
      <c r="A788" t="s">
        <v>23</v>
      </c>
      <c r="B788">
        <v>1185732</v>
      </c>
      <c r="C788" s="1">
        <v>44263</v>
      </c>
      <c r="D788" t="s">
        <v>33</v>
      </c>
      <c r="E788" t="s">
        <v>89</v>
      </c>
      <c r="F788" t="s">
        <v>90</v>
      </c>
      <c r="G788" t="s">
        <v>32</v>
      </c>
      <c r="H788" s="2">
        <v>20</v>
      </c>
      <c r="I788">
        <v>225</v>
      </c>
      <c r="J788" s="3">
        <v>4500</v>
      </c>
      <c r="K788" s="4">
        <v>1350</v>
      </c>
      <c r="L788" t="s">
        <v>17</v>
      </c>
    </row>
    <row r="789" spans="1:12" x14ac:dyDescent="0.35">
      <c r="A789" t="s">
        <v>23</v>
      </c>
      <c r="B789">
        <v>1185732</v>
      </c>
      <c r="C789" s="1">
        <v>44263</v>
      </c>
      <c r="D789" t="s">
        <v>33</v>
      </c>
      <c r="E789" t="s">
        <v>89</v>
      </c>
      <c r="F789" t="s">
        <v>90</v>
      </c>
      <c r="G789" t="s">
        <v>16</v>
      </c>
      <c r="H789" s="2">
        <v>30</v>
      </c>
      <c r="I789">
        <v>225</v>
      </c>
      <c r="J789" s="3">
        <v>6750</v>
      </c>
      <c r="K789" s="4">
        <v>2700</v>
      </c>
      <c r="L789" t="s">
        <v>17</v>
      </c>
    </row>
    <row r="790" spans="1:12" x14ac:dyDescent="0.35">
      <c r="A790" t="s">
        <v>23</v>
      </c>
      <c r="B790">
        <v>1185732</v>
      </c>
      <c r="C790" s="1">
        <v>44385</v>
      </c>
      <c r="D790" t="s">
        <v>33</v>
      </c>
      <c r="E790" t="s">
        <v>89</v>
      </c>
      <c r="F790" t="s">
        <v>90</v>
      </c>
      <c r="G790" t="s">
        <v>32</v>
      </c>
      <c r="H790" s="2">
        <v>40</v>
      </c>
      <c r="I790">
        <v>225</v>
      </c>
      <c r="J790" s="3">
        <v>9000</v>
      </c>
      <c r="K790" s="4">
        <v>2700</v>
      </c>
      <c r="L790" t="s">
        <v>36</v>
      </c>
    </row>
    <row r="791" spans="1:12" x14ac:dyDescent="0.35">
      <c r="A791" t="s">
        <v>23</v>
      </c>
      <c r="B791">
        <v>1185732</v>
      </c>
      <c r="C791" s="1">
        <v>44417</v>
      </c>
      <c r="D791" t="s">
        <v>33</v>
      </c>
      <c r="E791" t="s">
        <v>89</v>
      </c>
      <c r="F791" t="s">
        <v>90</v>
      </c>
      <c r="G791" t="s">
        <v>32</v>
      </c>
      <c r="H791" s="2">
        <v>40</v>
      </c>
      <c r="I791">
        <v>225</v>
      </c>
      <c r="J791" s="3">
        <v>9000</v>
      </c>
      <c r="K791" s="4">
        <v>2700</v>
      </c>
      <c r="L791" t="s">
        <v>36</v>
      </c>
    </row>
    <row r="792" spans="1:12" x14ac:dyDescent="0.35">
      <c r="A792" t="s">
        <v>42</v>
      </c>
      <c r="B792">
        <v>1185732</v>
      </c>
      <c r="C792" s="1">
        <v>44260</v>
      </c>
      <c r="D792" t="s">
        <v>33</v>
      </c>
      <c r="E792" t="s">
        <v>91</v>
      </c>
      <c r="F792" t="s">
        <v>92</v>
      </c>
      <c r="G792" t="s">
        <v>32</v>
      </c>
      <c r="H792" s="2">
        <v>10</v>
      </c>
      <c r="I792">
        <v>225</v>
      </c>
      <c r="J792" s="3">
        <v>2250</v>
      </c>
      <c r="K792" s="4">
        <v>675</v>
      </c>
      <c r="L792" t="s">
        <v>36</v>
      </c>
    </row>
    <row r="793" spans="1:12" x14ac:dyDescent="0.35">
      <c r="A793" t="s">
        <v>42</v>
      </c>
      <c r="B793">
        <v>1185732</v>
      </c>
      <c r="C793" s="1">
        <v>44323</v>
      </c>
      <c r="D793" t="s">
        <v>33</v>
      </c>
      <c r="E793" t="s">
        <v>91</v>
      </c>
      <c r="F793" t="s">
        <v>92</v>
      </c>
      <c r="G793" t="s">
        <v>39</v>
      </c>
      <c r="H793" s="2">
        <v>40</v>
      </c>
      <c r="I793">
        <v>225</v>
      </c>
      <c r="J793" s="3">
        <v>9000</v>
      </c>
      <c r="K793" s="4">
        <v>3150</v>
      </c>
      <c r="L793" t="s">
        <v>36</v>
      </c>
    </row>
    <row r="794" spans="1:12" x14ac:dyDescent="0.35">
      <c r="A794" t="s">
        <v>42</v>
      </c>
      <c r="B794">
        <v>1185732</v>
      </c>
      <c r="C794" s="1">
        <v>44382</v>
      </c>
      <c r="D794" t="s">
        <v>33</v>
      </c>
      <c r="E794" t="s">
        <v>91</v>
      </c>
      <c r="F794" t="s">
        <v>92</v>
      </c>
      <c r="G794" t="s">
        <v>32</v>
      </c>
      <c r="H794" s="2">
        <v>40</v>
      </c>
      <c r="I794">
        <v>225</v>
      </c>
      <c r="J794" s="3">
        <v>9000</v>
      </c>
      <c r="K794" s="4">
        <v>2700</v>
      </c>
      <c r="L794" t="s">
        <v>36</v>
      </c>
    </row>
    <row r="795" spans="1:12" x14ac:dyDescent="0.35">
      <c r="A795" t="s">
        <v>42</v>
      </c>
      <c r="B795">
        <v>1185732</v>
      </c>
      <c r="C795" s="1">
        <v>44414</v>
      </c>
      <c r="D795" t="s">
        <v>33</v>
      </c>
      <c r="E795" t="s">
        <v>91</v>
      </c>
      <c r="F795" t="s">
        <v>92</v>
      </c>
      <c r="G795" t="s">
        <v>32</v>
      </c>
      <c r="H795" s="2">
        <v>40</v>
      </c>
      <c r="I795">
        <v>225</v>
      </c>
      <c r="J795" s="3">
        <v>9000</v>
      </c>
      <c r="K795" s="4">
        <v>2700</v>
      </c>
      <c r="L795" t="s">
        <v>36</v>
      </c>
    </row>
    <row r="796" spans="1:12" x14ac:dyDescent="0.35">
      <c r="A796" t="s">
        <v>42</v>
      </c>
      <c r="B796">
        <v>1185732</v>
      </c>
      <c r="C796" s="1">
        <v>44446</v>
      </c>
      <c r="D796" t="s">
        <v>33</v>
      </c>
      <c r="E796" t="s">
        <v>91</v>
      </c>
      <c r="F796" t="s">
        <v>92</v>
      </c>
      <c r="G796" t="s">
        <v>16</v>
      </c>
      <c r="H796" s="2">
        <v>40</v>
      </c>
      <c r="I796">
        <v>225</v>
      </c>
      <c r="J796" s="3">
        <v>9000</v>
      </c>
      <c r="K796" s="4">
        <v>3600</v>
      </c>
      <c r="L796" t="s">
        <v>36</v>
      </c>
    </row>
    <row r="797" spans="1:12" x14ac:dyDescent="0.35">
      <c r="A797" t="s">
        <v>18</v>
      </c>
      <c r="B797">
        <v>1185732</v>
      </c>
      <c r="C797" s="1">
        <v>44257</v>
      </c>
      <c r="D797" t="s">
        <v>33</v>
      </c>
      <c r="E797" t="s">
        <v>40</v>
      </c>
      <c r="F797" t="s">
        <v>41</v>
      </c>
      <c r="G797" t="s">
        <v>32</v>
      </c>
      <c r="H797" s="2">
        <v>10</v>
      </c>
      <c r="I797">
        <v>225</v>
      </c>
      <c r="J797" s="3">
        <v>2250</v>
      </c>
      <c r="K797" s="4">
        <v>675</v>
      </c>
      <c r="L797" t="s">
        <v>36</v>
      </c>
    </row>
    <row r="798" spans="1:12" x14ac:dyDescent="0.35">
      <c r="A798" t="s">
        <v>18</v>
      </c>
      <c r="B798">
        <v>1185732</v>
      </c>
      <c r="C798" s="1">
        <v>44257</v>
      </c>
      <c r="D798" t="s">
        <v>33</v>
      </c>
      <c r="E798" t="s">
        <v>40</v>
      </c>
      <c r="F798" t="s">
        <v>41</v>
      </c>
      <c r="G798" t="s">
        <v>16</v>
      </c>
      <c r="H798" s="2">
        <v>20</v>
      </c>
      <c r="I798">
        <v>225</v>
      </c>
      <c r="J798" s="3">
        <v>4500</v>
      </c>
      <c r="K798" s="4">
        <v>1800</v>
      </c>
      <c r="L798" t="s">
        <v>36</v>
      </c>
    </row>
    <row r="799" spans="1:12" x14ac:dyDescent="0.35">
      <c r="A799" t="s">
        <v>18</v>
      </c>
      <c r="B799">
        <v>1185732</v>
      </c>
      <c r="C799" s="1">
        <v>44379</v>
      </c>
      <c r="D799" t="s">
        <v>33</v>
      </c>
      <c r="E799" t="s">
        <v>40</v>
      </c>
      <c r="F799" t="s">
        <v>41</v>
      </c>
      <c r="G799" t="s">
        <v>32</v>
      </c>
      <c r="H799" s="2">
        <v>40</v>
      </c>
      <c r="I799">
        <v>225</v>
      </c>
      <c r="J799" s="3">
        <v>9000</v>
      </c>
      <c r="K799" s="4">
        <v>2700</v>
      </c>
      <c r="L799" t="s">
        <v>36</v>
      </c>
    </row>
    <row r="800" spans="1:12" x14ac:dyDescent="0.35">
      <c r="A800" t="s">
        <v>18</v>
      </c>
      <c r="B800">
        <v>1185732</v>
      </c>
      <c r="C800" s="1">
        <v>44411</v>
      </c>
      <c r="D800" t="s">
        <v>33</v>
      </c>
      <c r="E800" t="s">
        <v>40</v>
      </c>
      <c r="F800" t="s">
        <v>41</v>
      </c>
      <c r="G800" t="s">
        <v>32</v>
      </c>
      <c r="H800" s="2">
        <v>40</v>
      </c>
      <c r="I800">
        <v>225</v>
      </c>
      <c r="J800" s="3">
        <v>9000</v>
      </c>
      <c r="K800" s="4">
        <v>2700</v>
      </c>
      <c r="L800" t="s">
        <v>36</v>
      </c>
    </row>
    <row r="801" spans="1:12" x14ac:dyDescent="0.35">
      <c r="A801" t="s">
        <v>18</v>
      </c>
      <c r="B801">
        <v>1185732</v>
      </c>
      <c r="C801" s="1">
        <v>44472</v>
      </c>
      <c r="D801" t="s">
        <v>33</v>
      </c>
      <c r="E801" t="s">
        <v>40</v>
      </c>
      <c r="F801" t="s">
        <v>41</v>
      </c>
      <c r="G801" t="s">
        <v>39</v>
      </c>
      <c r="H801" s="2">
        <v>35</v>
      </c>
      <c r="I801">
        <v>225</v>
      </c>
      <c r="J801" s="3">
        <v>7875</v>
      </c>
      <c r="K801" s="4">
        <v>2756</v>
      </c>
      <c r="L801" t="s">
        <v>36</v>
      </c>
    </row>
    <row r="802" spans="1:12" x14ac:dyDescent="0.35">
      <c r="A802" t="s">
        <v>18</v>
      </c>
      <c r="B802">
        <v>1185732</v>
      </c>
      <c r="C802" s="1">
        <v>44503</v>
      </c>
      <c r="D802" t="s">
        <v>33</v>
      </c>
      <c r="E802" t="s">
        <v>40</v>
      </c>
      <c r="F802" t="s">
        <v>41</v>
      </c>
      <c r="G802" t="s">
        <v>56</v>
      </c>
      <c r="H802" s="2">
        <v>35</v>
      </c>
      <c r="I802">
        <v>225</v>
      </c>
      <c r="J802" s="3">
        <v>7875</v>
      </c>
      <c r="K802" s="4">
        <v>2363</v>
      </c>
      <c r="L802" t="s">
        <v>36</v>
      </c>
    </row>
    <row r="803" spans="1:12" x14ac:dyDescent="0.35">
      <c r="A803" t="s">
        <v>18</v>
      </c>
      <c r="B803">
        <v>1185732</v>
      </c>
      <c r="C803" s="1">
        <v>44264</v>
      </c>
      <c r="D803" t="s">
        <v>33</v>
      </c>
      <c r="E803" t="s">
        <v>81</v>
      </c>
      <c r="F803" t="s">
        <v>82</v>
      </c>
      <c r="G803" t="s">
        <v>39</v>
      </c>
      <c r="H803" s="2">
        <v>25</v>
      </c>
      <c r="I803">
        <v>225</v>
      </c>
      <c r="J803" s="3">
        <v>5625</v>
      </c>
      <c r="K803" s="4">
        <v>2250</v>
      </c>
      <c r="L803" t="s">
        <v>36</v>
      </c>
    </row>
    <row r="804" spans="1:12" x14ac:dyDescent="0.35">
      <c r="A804" t="s">
        <v>18</v>
      </c>
      <c r="B804">
        <v>1185732</v>
      </c>
      <c r="C804" s="1">
        <v>44327</v>
      </c>
      <c r="D804" t="s">
        <v>33</v>
      </c>
      <c r="E804" t="s">
        <v>81</v>
      </c>
      <c r="F804" t="s">
        <v>82</v>
      </c>
      <c r="G804" t="s">
        <v>32</v>
      </c>
      <c r="H804" s="2">
        <v>35</v>
      </c>
      <c r="I804">
        <v>225</v>
      </c>
      <c r="J804" s="3">
        <v>7875</v>
      </c>
      <c r="K804" s="4">
        <v>2756</v>
      </c>
      <c r="L804" t="s">
        <v>36</v>
      </c>
    </row>
    <row r="805" spans="1:12" x14ac:dyDescent="0.35">
      <c r="A805" t="s">
        <v>18</v>
      </c>
      <c r="B805">
        <v>1185732</v>
      </c>
      <c r="C805" s="1">
        <v>44418</v>
      </c>
      <c r="D805" t="s">
        <v>33</v>
      </c>
      <c r="E805" t="s">
        <v>81</v>
      </c>
      <c r="F805" t="s">
        <v>82</v>
      </c>
      <c r="G805" t="s">
        <v>32</v>
      </c>
      <c r="H805" s="2">
        <v>40</v>
      </c>
      <c r="I805">
        <v>225</v>
      </c>
      <c r="J805" s="3">
        <v>9000</v>
      </c>
      <c r="K805" s="4">
        <v>3150</v>
      </c>
      <c r="L805" t="s">
        <v>36</v>
      </c>
    </row>
    <row r="806" spans="1:12" x14ac:dyDescent="0.35">
      <c r="A806" t="s">
        <v>18</v>
      </c>
      <c r="B806">
        <v>1185732</v>
      </c>
      <c r="C806" s="1">
        <v>44450</v>
      </c>
      <c r="D806" t="s">
        <v>33</v>
      </c>
      <c r="E806" t="s">
        <v>81</v>
      </c>
      <c r="F806" t="s">
        <v>82</v>
      </c>
      <c r="G806" t="s">
        <v>16</v>
      </c>
      <c r="H806" s="2">
        <v>40</v>
      </c>
      <c r="I806">
        <v>225</v>
      </c>
      <c r="J806" s="3">
        <v>9000</v>
      </c>
      <c r="K806" s="4">
        <v>3600</v>
      </c>
      <c r="L806" t="s">
        <v>36</v>
      </c>
    </row>
    <row r="807" spans="1:12" x14ac:dyDescent="0.35">
      <c r="A807" t="s">
        <v>18</v>
      </c>
      <c r="B807">
        <v>1185732</v>
      </c>
      <c r="C807" s="1">
        <v>44271</v>
      </c>
      <c r="D807" t="s">
        <v>43</v>
      </c>
      <c r="E807" t="s">
        <v>64</v>
      </c>
      <c r="F807" t="s">
        <v>65</v>
      </c>
      <c r="G807" t="s">
        <v>70</v>
      </c>
      <c r="H807" s="2">
        <v>40</v>
      </c>
      <c r="I807">
        <v>225</v>
      </c>
      <c r="J807" s="3">
        <v>9000</v>
      </c>
      <c r="K807" s="4">
        <v>3600</v>
      </c>
      <c r="L807" t="s">
        <v>36</v>
      </c>
    </row>
    <row r="808" spans="1:12" x14ac:dyDescent="0.35">
      <c r="A808" t="s">
        <v>18</v>
      </c>
      <c r="B808">
        <v>1185732</v>
      </c>
      <c r="C808" s="1">
        <v>44457</v>
      </c>
      <c r="D808" t="s">
        <v>43</v>
      </c>
      <c r="E808" t="s">
        <v>64</v>
      </c>
      <c r="F808" t="s">
        <v>65</v>
      </c>
      <c r="G808" t="s">
        <v>56</v>
      </c>
      <c r="H808" s="2">
        <v>25</v>
      </c>
      <c r="I808">
        <v>225</v>
      </c>
      <c r="J808" s="3">
        <v>5625</v>
      </c>
      <c r="K808" s="4">
        <v>2250</v>
      </c>
      <c r="L808" t="s">
        <v>36</v>
      </c>
    </row>
    <row r="809" spans="1:12" x14ac:dyDescent="0.35">
      <c r="A809" t="s">
        <v>18</v>
      </c>
      <c r="B809">
        <v>1185732</v>
      </c>
      <c r="C809" s="1">
        <v>44457</v>
      </c>
      <c r="D809" t="s">
        <v>43</v>
      </c>
      <c r="E809" t="s">
        <v>64</v>
      </c>
      <c r="F809" t="s">
        <v>65</v>
      </c>
      <c r="G809" t="s">
        <v>70</v>
      </c>
      <c r="H809" s="2">
        <v>35</v>
      </c>
      <c r="I809">
        <v>225</v>
      </c>
      <c r="J809" s="3">
        <v>7875</v>
      </c>
      <c r="K809" s="4">
        <v>3150</v>
      </c>
      <c r="L809" t="s">
        <v>36</v>
      </c>
    </row>
    <row r="810" spans="1:12" x14ac:dyDescent="0.35">
      <c r="A810" t="s">
        <v>42</v>
      </c>
      <c r="B810">
        <v>1185732</v>
      </c>
      <c r="C810" s="1">
        <v>44220</v>
      </c>
      <c r="D810" t="s">
        <v>43</v>
      </c>
      <c r="E810" t="s">
        <v>64</v>
      </c>
      <c r="F810" t="s">
        <v>65</v>
      </c>
      <c r="G810" t="s">
        <v>39</v>
      </c>
      <c r="H810" s="2">
        <v>35</v>
      </c>
      <c r="I810">
        <v>225</v>
      </c>
      <c r="J810" s="3">
        <v>7875</v>
      </c>
      <c r="K810" s="4">
        <v>2756</v>
      </c>
      <c r="L810" t="s">
        <v>36</v>
      </c>
    </row>
    <row r="811" spans="1:12" x14ac:dyDescent="0.35">
      <c r="A811" t="s">
        <v>42</v>
      </c>
      <c r="B811">
        <v>1185732</v>
      </c>
      <c r="C811" s="1">
        <v>44220</v>
      </c>
      <c r="D811" t="s">
        <v>43</v>
      </c>
      <c r="E811" t="s">
        <v>64</v>
      </c>
      <c r="F811" t="s">
        <v>65</v>
      </c>
      <c r="G811" t="s">
        <v>32</v>
      </c>
      <c r="H811" s="2">
        <v>25</v>
      </c>
      <c r="I811">
        <v>225</v>
      </c>
      <c r="J811" s="3">
        <v>5625</v>
      </c>
      <c r="K811" s="4">
        <v>1969</v>
      </c>
      <c r="L811" t="s">
        <v>36</v>
      </c>
    </row>
    <row r="812" spans="1:12" x14ac:dyDescent="0.35">
      <c r="A812" t="s">
        <v>42</v>
      </c>
      <c r="B812">
        <v>1185732</v>
      </c>
      <c r="C812" s="1">
        <v>44220</v>
      </c>
      <c r="D812" t="s">
        <v>43</v>
      </c>
      <c r="E812" t="s">
        <v>64</v>
      </c>
      <c r="F812" t="s">
        <v>65</v>
      </c>
      <c r="G812" t="s">
        <v>16</v>
      </c>
      <c r="H812" s="2">
        <v>35</v>
      </c>
      <c r="I812">
        <v>225</v>
      </c>
      <c r="J812" s="3">
        <v>7875</v>
      </c>
      <c r="K812" s="4">
        <v>2363</v>
      </c>
      <c r="L812" t="s">
        <v>36</v>
      </c>
    </row>
    <row r="813" spans="1:12" x14ac:dyDescent="0.35">
      <c r="A813" t="s">
        <v>18</v>
      </c>
      <c r="B813">
        <v>1185732</v>
      </c>
      <c r="C813" s="1">
        <v>44249</v>
      </c>
      <c r="D813" t="s">
        <v>43</v>
      </c>
      <c r="E813" t="s">
        <v>93</v>
      </c>
      <c r="F813" t="s">
        <v>94</v>
      </c>
      <c r="G813" t="s">
        <v>16</v>
      </c>
      <c r="H813" s="2">
        <v>35</v>
      </c>
      <c r="I813">
        <v>225</v>
      </c>
      <c r="J813" s="3">
        <v>7875</v>
      </c>
      <c r="K813" s="4">
        <v>2363</v>
      </c>
      <c r="L813" t="s">
        <v>36</v>
      </c>
    </row>
    <row r="814" spans="1:12" x14ac:dyDescent="0.35">
      <c r="A814" t="s">
        <v>42</v>
      </c>
      <c r="B814">
        <v>1185732</v>
      </c>
      <c r="C814" s="1">
        <v>44242</v>
      </c>
      <c r="D814" t="s">
        <v>43</v>
      </c>
      <c r="E814" t="s">
        <v>93</v>
      </c>
      <c r="F814" t="s">
        <v>94</v>
      </c>
      <c r="G814" t="s">
        <v>39</v>
      </c>
      <c r="H814" s="2">
        <v>40</v>
      </c>
      <c r="I814">
        <v>225</v>
      </c>
      <c r="J814" s="3">
        <v>9000</v>
      </c>
      <c r="K814" s="4">
        <v>3150</v>
      </c>
      <c r="L814" t="s">
        <v>36</v>
      </c>
    </row>
    <row r="815" spans="1:12" x14ac:dyDescent="0.35">
      <c r="A815" t="s">
        <v>42</v>
      </c>
      <c r="B815">
        <v>1185732</v>
      </c>
      <c r="C815" s="1">
        <v>44300</v>
      </c>
      <c r="D815" t="s">
        <v>43</v>
      </c>
      <c r="E815" t="s">
        <v>95</v>
      </c>
      <c r="F815" t="s">
        <v>96</v>
      </c>
      <c r="G815" t="s">
        <v>39</v>
      </c>
      <c r="H815" s="2">
        <v>40</v>
      </c>
      <c r="I815">
        <v>225</v>
      </c>
      <c r="J815" s="3">
        <v>9000</v>
      </c>
      <c r="K815" s="4">
        <v>3150</v>
      </c>
      <c r="L815" t="s">
        <v>36</v>
      </c>
    </row>
    <row r="816" spans="1:12" x14ac:dyDescent="0.35">
      <c r="A816" t="s">
        <v>42</v>
      </c>
      <c r="B816">
        <v>1185732</v>
      </c>
      <c r="C816" s="1">
        <v>44300</v>
      </c>
      <c r="D816" t="s">
        <v>43</v>
      </c>
      <c r="E816" t="s">
        <v>95</v>
      </c>
      <c r="F816" t="s">
        <v>96</v>
      </c>
      <c r="G816" t="s">
        <v>32</v>
      </c>
      <c r="H816" s="2">
        <v>30</v>
      </c>
      <c r="I816">
        <v>225</v>
      </c>
      <c r="J816" s="3">
        <v>6750</v>
      </c>
      <c r="K816" s="4">
        <v>2700</v>
      </c>
      <c r="L816" t="s">
        <v>36</v>
      </c>
    </row>
    <row r="817" spans="1:12" x14ac:dyDescent="0.35">
      <c r="A817" t="s">
        <v>63</v>
      </c>
      <c r="B817">
        <v>1185732</v>
      </c>
      <c r="C817" s="1">
        <v>44235</v>
      </c>
      <c r="D817" t="s">
        <v>43</v>
      </c>
      <c r="E817" t="s">
        <v>95</v>
      </c>
      <c r="F817" t="s">
        <v>96</v>
      </c>
      <c r="G817" t="s">
        <v>32</v>
      </c>
      <c r="H817" s="2">
        <v>25</v>
      </c>
      <c r="I817">
        <v>225</v>
      </c>
      <c r="J817" s="3">
        <v>5625</v>
      </c>
      <c r="K817" s="4">
        <v>2250</v>
      </c>
      <c r="L817" t="s">
        <v>36</v>
      </c>
    </row>
    <row r="818" spans="1:12" x14ac:dyDescent="0.35">
      <c r="A818" t="s">
        <v>63</v>
      </c>
      <c r="B818">
        <v>1185732</v>
      </c>
      <c r="C818" s="1">
        <v>44261</v>
      </c>
      <c r="D818" t="s">
        <v>43</v>
      </c>
      <c r="E818" t="s">
        <v>83</v>
      </c>
      <c r="F818" t="s">
        <v>84</v>
      </c>
      <c r="G818" t="s">
        <v>32</v>
      </c>
      <c r="H818" s="2">
        <v>25</v>
      </c>
      <c r="I818">
        <v>225</v>
      </c>
      <c r="J818" s="3">
        <v>5625</v>
      </c>
      <c r="K818" s="4">
        <v>2250</v>
      </c>
      <c r="L818" t="s">
        <v>36</v>
      </c>
    </row>
    <row r="819" spans="1:12" x14ac:dyDescent="0.35">
      <c r="A819" t="s">
        <v>63</v>
      </c>
      <c r="B819">
        <v>1185732</v>
      </c>
      <c r="C819" s="1">
        <v>44261</v>
      </c>
      <c r="D819" t="s">
        <v>43</v>
      </c>
      <c r="E819" t="s">
        <v>83</v>
      </c>
      <c r="F819" t="s">
        <v>84</v>
      </c>
      <c r="G819" t="s">
        <v>16</v>
      </c>
      <c r="H819" s="2">
        <v>35</v>
      </c>
      <c r="I819">
        <v>225</v>
      </c>
      <c r="J819" s="3">
        <v>7875</v>
      </c>
      <c r="K819" s="4">
        <v>3150</v>
      </c>
      <c r="L819" t="s">
        <v>36</v>
      </c>
    </row>
    <row r="820" spans="1:12" x14ac:dyDescent="0.35">
      <c r="A820" t="s">
        <v>23</v>
      </c>
      <c r="B820">
        <v>1185732</v>
      </c>
      <c r="C820" s="1">
        <v>44258</v>
      </c>
      <c r="D820" t="s">
        <v>43</v>
      </c>
      <c r="E820" t="s">
        <v>108</v>
      </c>
      <c r="F820" t="s">
        <v>109</v>
      </c>
      <c r="G820" t="s">
        <v>39</v>
      </c>
      <c r="H820" s="2">
        <v>40</v>
      </c>
      <c r="I820">
        <v>225</v>
      </c>
      <c r="J820" s="3">
        <v>9000</v>
      </c>
      <c r="K820" s="4">
        <v>3600</v>
      </c>
      <c r="L820" t="s">
        <v>36</v>
      </c>
    </row>
    <row r="821" spans="1:12" x14ac:dyDescent="0.35">
      <c r="A821" t="s">
        <v>42</v>
      </c>
      <c r="B821">
        <v>1185732</v>
      </c>
      <c r="C821" s="1">
        <v>44206</v>
      </c>
      <c r="D821" t="s">
        <v>43</v>
      </c>
      <c r="E821" t="s">
        <v>108</v>
      </c>
      <c r="F821" t="s">
        <v>109</v>
      </c>
      <c r="G821" t="s">
        <v>39</v>
      </c>
      <c r="H821" s="2">
        <v>35</v>
      </c>
      <c r="I821">
        <v>225</v>
      </c>
      <c r="J821" s="3">
        <v>7875</v>
      </c>
      <c r="K821" s="4">
        <v>2756</v>
      </c>
      <c r="L821" t="s">
        <v>36</v>
      </c>
    </row>
    <row r="822" spans="1:12" x14ac:dyDescent="0.35">
      <c r="A822" t="s">
        <v>42</v>
      </c>
      <c r="B822">
        <v>1185732</v>
      </c>
      <c r="C822" s="1">
        <v>44206</v>
      </c>
      <c r="D822" t="s">
        <v>43</v>
      </c>
      <c r="E822" t="s">
        <v>108</v>
      </c>
      <c r="F822" t="s">
        <v>109</v>
      </c>
      <c r="G822" t="s">
        <v>32</v>
      </c>
      <c r="H822" s="2">
        <v>25</v>
      </c>
      <c r="I822">
        <v>225</v>
      </c>
      <c r="J822" s="3">
        <v>5625</v>
      </c>
      <c r="K822" s="4">
        <v>2250</v>
      </c>
      <c r="L822" t="s">
        <v>36</v>
      </c>
    </row>
    <row r="823" spans="1:12" x14ac:dyDescent="0.35">
      <c r="A823" t="s">
        <v>42</v>
      </c>
      <c r="B823">
        <v>1185732</v>
      </c>
      <c r="C823" s="1">
        <v>44206</v>
      </c>
      <c r="D823" t="s">
        <v>43</v>
      </c>
      <c r="E823" t="s">
        <v>108</v>
      </c>
      <c r="F823" t="s">
        <v>109</v>
      </c>
      <c r="G823" t="s">
        <v>16</v>
      </c>
      <c r="H823" s="2">
        <v>35</v>
      </c>
      <c r="I823">
        <v>225</v>
      </c>
      <c r="J823" s="3">
        <v>7875</v>
      </c>
      <c r="K823" s="4">
        <v>3150</v>
      </c>
      <c r="L823" t="s">
        <v>36</v>
      </c>
    </row>
    <row r="824" spans="1:12" x14ac:dyDescent="0.35">
      <c r="A824" t="s">
        <v>42</v>
      </c>
      <c r="B824">
        <v>1185732</v>
      </c>
      <c r="C824" s="1">
        <v>44235</v>
      </c>
      <c r="D824" t="s">
        <v>43</v>
      </c>
      <c r="E824" t="s">
        <v>110</v>
      </c>
      <c r="F824" t="s">
        <v>111</v>
      </c>
      <c r="G824" t="s">
        <v>16</v>
      </c>
      <c r="H824" s="2">
        <v>35</v>
      </c>
      <c r="I824">
        <v>225</v>
      </c>
      <c r="J824" s="3">
        <v>7875</v>
      </c>
      <c r="K824" s="4">
        <v>3150</v>
      </c>
      <c r="L824" t="s">
        <v>36</v>
      </c>
    </row>
    <row r="825" spans="1:12" x14ac:dyDescent="0.35">
      <c r="A825" t="s">
        <v>42</v>
      </c>
      <c r="B825">
        <v>1185732</v>
      </c>
      <c r="C825" s="1">
        <v>44355</v>
      </c>
      <c r="D825" t="s">
        <v>43</v>
      </c>
      <c r="E825" t="s">
        <v>110</v>
      </c>
      <c r="F825" t="s">
        <v>111</v>
      </c>
      <c r="G825" t="s">
        <v>32</v>
      </c>
      <c r="H825" s="2">
        <v>40</v>
      </c>
      <c r="I825">
        <v>225</v>
      </c>
      <c r="J825" s="3">
        <v>9000</v>
      </c>
      <c r="K825" s="4">
        <v>3600</v>
      </c>
      <c r="L825" t="s">
        <v>36</v>
      </c>
    </row>
    <row r="826" spans="1:12" x14ac:dyDescent="0.35">
      <c r="A826" t="s">
        <v>51</v>
      </c>
      <c r="B826">
        <v>1185732</v>
      </c>
      <c r="C826" s="1">
        <v>44297</v>
      </c>
      <c r="D826" t="s">
        <v>43</v>
      </c>
      <c r="E826" t="s">
        <v>125</v>
      </c>
      <c r="F826" t="s">
        <v>126</v>
      </c>
      <c r="G826" t="s">
        <v>32</v>
      </c>
      <c r="H826" s="2">
        <v>35</v>
      </c>
      <c r="I826">
        <v>225</v>
      </c>
      <c r="J826" s="3">
        <v>7875</v>
      </c>
      <c r="K826" s="4">
        <v>2756</v>
      </c>
      <c r="L826" t="s">
        <v>36</v>
      </c>
    </row>
    <row r="827" spans="1:12" x14ac:dyDescent="0.35">
      <c r="A827" t="s">
        <v>12</v>
      </c>
      <c r="B827">
        <v>1185732</v>
      </c>
      <c r="C827" s="1">
        <v>43957</v>
      </c>
      <c r="D827" t="s">
        <v>43</v>
      </c>
      <c r="E827" t="s">
        <v>44</v>
      </c>
      <c r="F827" t="s">
        <v>44</v>
      </c>
      <c r="G827" t="s">
        <v>56</v>
      </c>
      <c r="H827" s="2">
        <v>54</v>
      </c>
      <c r="I827">
        <v>225</v>
      </c>
      <c r="J827" s="3">
        <v>1215</v>
      </c>
      <c r="K827" s="4">
        <v>559</v>
      </c>
      <c r="L827" t="s">
        <v>17</v>
      </c>
    </row>
    <row r="828" spans="1:12" x14ac:dyDescent="0.35">
      <c r="A828" t="s">
        <v>23</v>
      </c>
      <c r="B828">
        <v>1197831</v>
      </c>
      <c r="C828" s="1">
        <v>44032</v>
      </c>
      <c r="D828" t="s">
        <v>43</v>
      </c>
      <c r="E828" t="s">
        <v>44</v>
      </c>
      <c r="F828" t="s">
        <v>44</v>
      </c>
      <c r="G828" t="s">
        <v>39</v>
      </c>
      <c r="H828" s="2">
        <v>34</v>
      </c>
      <c r="I828">
        <v>225</v>
      </c>
      <c r="J828">
        <v>765</v>
      </c>
      <c r="K828" s="4">
        <v>375</v>
      </c>
      <c r="L828" t="s">
        <v>17</v>
      </c>
    </row>
    <row r="829" spans="1:12" x14ac:dyDescent="0.35">
      <c r="A829" t="s">
        <v>23</v>
      </c>
      <c r="B829">
        <v>1197831</v>
      </c>
      <c r="C829" s="1">
        <v>44050</v>
      </c>
      <c r="D829" t="s">
        <v>19</v>
      </c>
      <c r="E829" t="s">
        <v>59</v>
      </c>
      <c r="F829" t="s">
        <v>60</v>
      </c>
      <c r="G829" t="s">
        <v>39</v>
      </c>
      <c r="H829" s="2">
        <v>38</v>
      </c>
      <c r="I829">
        <v>225</v>
      </c>
      <c r="J829">
        <v>855</v>
      </c>
      <c r="K829" s="4">
        <v>385</v>
      </c>
      <c r="L829" t="s">
        <v>17</v>
      </c>
    </row>
    <row r="830" spans="1:12" x14ac:dyDescent="0.35">
      <c r="A830" t="s">
        <v>12</v>
      </c>
      <c r="B830">
        <v>1197831</v>
      </c>
      <c r="C830" s="1">
        <v>44057</v>
      </c>
      <c r="D830" t="s">
        <v>19</v>
      </c>
      <c r="E830" t="s">
        <v>59</v>
      </c>
      <c r="F830" t="s">
        <v>60</v>
      </c>
      <c r="G830" t="s">
        <v>32</v>
      </c>
      <c r="H830" s="2">
        <v>33</v>
      </c>
      <c r="I830">
        <v>225</v>
      </c>
      <c r="J830">
        <v>743</v>
      </c>
      <c r="K830" s="4">
        <v>356</v>
      </c>
      <c r="L830" t="s">
        <v>17</v>
      </c>
    </row>
    <row r="831" spans="1:12" x14ac:dyDescent="0.35">
      <c r="A831" t="s">
        <v>12</v>
      </c>
      <c r="B831">
        <v>1197831</v>
      </c>
      <c r="C831" s="1">
        <v>44078</v>
      </c>
      <c r="D831" t="s">
        <v>19</v>
      </c>
      <c r="E831" t="s">
        <v>59</v>
      </c>
      <c r="F831" t="s">
        <v>60</v>
      </c>
      <c r="G831" t="s">
        <v>16</v>
      </c>
      <c r="H831" s="2">
        <v>46</v>
      </c>
      <c r="I831">
        <v>225</v>
      </c>
      <c r="J831" s="3">
        <v>1035</v>
      </c>
      <c r="K831" s="4">
        <v>673</v>
      </c>
      <c r="L831" t="s">
        <v>17</v>
      </c>
    </row>
    <row r="832" spans="1:12" x14ac:dyDescent="0.35">
      <c r="A832" t="s">
        <v>18</v>
      </c>
      <c r="B832">
        <v>1128299</v>
      </c>
      <c r="C832" s="1">
        <v>44197</v>
      </c>
      <c r="D832" t="s">
        <v>48</v>
      </c>
      <c r="E832" t="s">
        <v>66</v>
      </c>
      <c r="F832" t="s">
        <v>67</v>
      </c>
      <c r="G832" t="s">
        <v>39</v>
      </c>
      <c r="H832" s="2">
        <v>64</v>
      </c>
      <c r="I832">
        <v>225</v>
      </c>
      <c r="J832" s="3">
        <v>1440</v>
      </c>
      <c r="K832" s="4">
        <v>518</v>
      </c>
      <c r="L832" t="s">
        <v>17</v>
      </c>
    </row>
    <row r="833" spans="1:12" x14ac:dyDescent="0.35">
      <c r="A833" t="s">
        <v>18</v>
      </c>
      <c r="B833">
        <v>1128299</v>
      </c>
      <c r="C833" s="1">
        <v>44222</v>
      </c>
      <c r="D833" t="s">
        <v>48</v>
      </c>
      <c r="E833" t="s">
        <v>66</v>
      </c>
      <c r="F833" t="s">
        <v>67</v>
      </c>
      <c r="G833" t="s">
        <v>32</v>
      </c>
      <c r="H833" s="2">
        <v>52</v>
      </c>
      <c r="I833">
        <v>225</v>
      </c>
      <c r="J833" s="3">
        <v>1170</v>
      </c>
      <c r="K833" s="4">
        <v>468</v>
      </c>
      <c r="L833" t="s">
        <v>17</v>
      </c>
    </row>
    <row r="834" spans="1:12" x14ac:dyDescent="0.35">
      <c r="A834" t="s">
        <v>63</v>
      </c>
      <c r="B834">
        <v>1189833</v>
      </c>
      <c r="C834" s="1">
        <v>44268</v>
      </c>
      <c r="D834" t="s">
        <v>48</v>
      </c>
      <c r="E834" t="s">
        <v>66</v>
      </c>
      <c r="F834" t="s">
        <v>76</v>
      </c>
      <c r="G834" t="s">
        <v>26</v>
      </c>
      <c r="H834" s="2">
        <v>34</v>
      </c>
      <c r="I834">
        <v>225</v>
      </c>
      <c r="J834">
        <v>765</v>
      </c>
      <c r="K834" s="4">
        <v>405</v>
      </c>
      <c r="L834" t="s">
        <v>17</v>
      </c>
    </row>
    <row r="835" spans="1:12" x14ac:dyDescent="0.35">
      <c r="A835" t="s">
        <v>63</v>
      </c>
      <c r="B835">
        <v>1189833</v>
      </c>
      <c r="C835" s="1">
        <v>44306</v>
      </c>
      <c r="D835" t="s">
        <v>48</v>
      </c>
      <c r="E835" t="s">
        <v>66</v>
      </c>
      <c r="F835" t="s">
        <v>76</v>
      </c>
      <c r="G835" t="s">
        <v>39</v>
      </c>
      <c r="H835" s="2">
        <v>47</v>
      </c>
      <c r="I835">
        <v>225</v>
      </c>
      <c r="J835" s="3">
        <v>1058</v>
      </c>
      <c r="K835" s="4">
        <v>370</v>
      </c>
      <c r="L835" t="s">
        <v>17</v>
      </c>
    </row>
    <row r="836" spans="1:12" x14ac:dyDescent="0.35">
      <c r="A836" t="s">
        <v>63</v>
      </c>
      <c r="B836">
        <v>1189833</v>
      </c>
      <c r="C836" s="1">
        <v>44341</v>
      </c>
      <c r="D836" t="s">
        <v>48</v>
      </c>
      <c r="E836" t="s">
        <v>66</v>
      </c>
      <c r="F836" t="s">
        <v>76</v>
      </c>
      <c r="G836" t="s">
        <v>26</v>
      </c>
      <c r="H836" s="2">
        <v>49</v>
      </c>
      <c r="I836">
        <v>225</v>
      </c>
      <c r="J836" s="3">
        <v>1103</v>
      </c>
      <c r="K836" s="4">
        <v>562</v>
      </c>
      <c r="L836" t="s">
        <v>17</v>
      </c>
    </row>
    <row r="837" spans="1:12" x14ac:dyDescent="0.35">
      <c r="A837" t="s">
        <v>42</v>
      </c>
      <c r="B837">
        <v>1185732</v>
      </c>
      <c r="C837" s="1">
        <v>44062</v>
      </c>
      <c r="D837" t="s">
        <v>13</v>
      </c>
      <c r="E837" t="s">
        <v>14</v>
      </c>
      <c r="F837" t="s">
        <v>73</v>
      </c>
      <c r="G837" t="s">
        <v>39</v>
      </c>
      <c r="H837" s="2">
        <v>42</v>
      </c>
      <c r="I837">
        <v>225</v>
      </c>
      <c r="J837">
        <v>945</v>
      </c>
      <c r="K837" s="4">
        <v>454</v>
      </c>
      <c r="L837" t="s">
        <v>17</v>
      </c>
    </row>
    <row r="838" spans="1:12" x14ac:dyDescent="0.35">
      <c r="A838" t="s">
        <v>42</v>
      </c>
      <c r="B838">
        <v>1185732</v>
      </c>
      <c r="C838" s="1">
        <v>44066</v>
      </c>
      <c r="D838" t="s">
        <v>13</v>
      </c>
      <c r="E838" t="s">
        <v>14</v>
      </c>
      <c r="F838" t="s">
        <v>73</v>
      </c>
      <c r="G838" t="s">
        <v>16</v>
      </c>
      <c r="H838" s="2">
        <v>42</v>
      </c>
      <c r="I838">
        <v>225</v>
      </c>
      <c r="J838">
        <v>945</v>
      </c>
      <c r="K838" s="4">
        <v>605</v>
      </c>
      <c r="L838" t="s">
        <v>17</v>
      </c>
    </row>
    <row r="839" spans="1:12" x14ac:dyDescent="0.35">
      <c r="A839" t="s">
        <v>18</v>
      </c>
      <c r="B839">
        <v>1185732</v>
      </c>
      <c r="C839" s="1">
        <v>44086</v>
      </c>
      <c r="D839" t="s">
        <v>13</v>
      </c>
      <c r="E839" t="s">
        <v>14</v>
      </c>
      <c r="F839" t="s">
        <v>73</v>
      </c>
      <c r="G839" t="s">
        <v>39</v>
      </c>
      <c r="H839" s="2">
        <v>57</v>
      </c>
      <c r="I839">
        <v>225</v>
      </c>
      <c r="J839" s="3">
        <v>1283</v>
      </c>
      <c r="K839" s="4">
        <v>590</v>
      </c>
      <c r="L839" t="s">
        <v>17</v>
      </c>
    </row>
    <row r="840" spans="1:12" x14ac:dyDescent="0.35">
      <c r="A840" t="s">
        <v>42</v>
      </c>
      <c r="B840">
        <v>1185732</v>
      </c>
      <c r="C840" s="1">
        <v>44095</v>
      </c>
      <c r="D840" t="s">
        <v>13</v>
      </c>
      <c r="E840" t="s">
        <v>14</v>
      </c>
      <c r="F840" t="s">
        <v>73</v>
      </c>
      <c r="G840" t="s">
        <v>70</v>
      </c>
      <c r="H840" s="2">
        <v>52</v>
      </c>
      <c r="I840">
        <v>225</v>
      </c>
      <c r="J840" s="3">
        <v>1170</v>
      </c>
      <c r="K840" s="4">
        <v>527</v>
      </c>
      <c r="L840" t="s">
        <v>17</v>
      </c>
    </row>
    <row r="841" spans="1:12" x14ac:dyDescent="0.35">
      <c r="A841" t="s">
        <v>23</v>
      </c>
      <c r="B841">
        <v>1185732</v>
      </c>
      <c r="C841" s="1">
        <v>44099</v>
      </c>
      <c r="D841" t="s">
        <v>13</v>
      </c>
      <c r="E841" t="s">
        <v>14</v>
      </c>
      <c r="F841" t="s">
        <v>73</v>
      </c>
      <c r="G841" t="s">
        <v>32</v>
      </c>
      <c r="H841" s="2">
        <v>41</v>
      </c>
      <c r="I841">
        <v>225</v>
      </c>
      <c r="J841">
        <v>923</v>
      </c>
      <c r="K841" s="4">
        <v>341</v>
      </c>
      <c r="L841" t="s">
        <v>17</v>
      </c>
    </row>
    <row r="842" spans="1:12" x14ac:dyDescent="0.35">
      <c r="A842" t="s">
        <v>23</v>
      </c>
      <c r="B842">
        <v>1197831</v>
      </c>
      <c r="C842" s="1">
        <v>44336</v>
      </c>
      <c r="D842" t="s">
        <v>19</v>
      </c>
      <c r="E842" t="s">
        <v>74</v>
      </c>
      <c r="F842" t="s">
        <v>75</v>
      </c>
      <c r="G842" t="s">
        <v>16</v>
      </c>
      <c r="H842" s="2">
        <v>61</v>
      </c>
      <c r="I842">
        <v>225</v>
      </c>
      <c r="J842" s="3">
        <v>1373</v>
      </c>
      <c r="K842" s="4">
        <v>1016</v>
      </c>
      <c r="L842" t="s">
        <v>17</v>
      </c>
    </row>
    <row r="843" spans="1:12" x14ac:dyDescent="0.35">
      <c r="A843" t="s">
        <v>23</v>
      </c>
      <c r="B843">
        <v>1197831</v>
      </c>
      <c r="C843" s="1">
        <v>44451</v>
      </c>
      <c r="D843" t="s">
        <v>19</v>
      </c>
      <c r="E843" t="s">
        <v>24</v>
      </c>
      <c r="F843" t="s">
        <v>25</v>
      </c>
      <c r="G843" t="s">
        <v>26</v>
      </c>
      <c r="H843" s="2">
        <v>38</v>
      </c>
      <c r="I843">
        <v>225</v>
      </c>
      <c r="J843">
        <v>855</v>
      </c>
      <c r="K843" s="4">
        <v>522</v>
      </c>
      <c r="L843" t="s">
        <v>17</v>
      </c>
    </row>
    <row r="844" spans="1:12" x14ac:dyDescent="0.35">
      <c r="A844" t="s">
        <v>23</v>
      </c>
      <c r="B844">
        <v>1197831</v>
      </c>
      <c r="C844" s="1">
        <v>44476</v>
      </c>
      <c r="D844" t="s">
        <v>19</v>
      </c>
      <c r="E844" t="s">
        <v>24</v>
      </c>
      <c r="F844" t="s">
        <v>25</v>
      </c>
      <c r="G844" t="s">
        <v>39</v>
      </c>
      <c r="H844" s="2">
        <v>58</v>
      </c>
      <c r="I844">
        <v>225</v>
      </c>
      <c r="J844" s="3">
        <v>1305</v>
      </c>
      <c r="K844" s="4">
        <v>835</v>
      </c>
      <c r="L844" t="s">
        <v>17</v>
      </c>
    </row>
    <row r="845" spans="1:12" x14ac:dyDescent="0.35">
      <c r="A845" t="s">
        <v>12</v>
      </c>
      <c r="B845">
        <v>1128299</v>
      </c>
      <c r="C845" s="1">
        <v>44393</v>
      </c>
      <c r="D845" t="s">
        <v>13</v>
      </c>
      <c r="E845" t="s">
        <v>14</v>
      </c>
      <c r="F845" t="s">
        <v>15</v>
      </c>
      <c r="G845" t="s">
        <v>39</v>
      </c>
      <c r="H845" s="2">
        <v>88</v>
      </c>
      <c r="I845">
        <v>225</v>
      </c>
      <c r="J845" s="3">
        <v>1980</v>
      </c>
      <c r="K845" s="4">
        <v>792</v>
      </c>
      <c r="L845" t="s">
        <v>17</v>
      </c>
    </row>
    <row r="846" spans="1:12" x14ac:dyDescent="0.35">
      <c r="A846" t="s">
        <v>42</v>
      </c>
      <c r="B846">
        <v>1128299</v>
      </c>
      <c r="C846" s="1">
        <v>44553</v>
      </c>
      <c r="D846" t="s">
        <v>13</v>
      </c>
      <c r="E846" t="s">
        <v>99</v>
      </c>
      <c r="F846" t="s">
        <v>100</v>
      </c>
      <c r="G846" t="s">
        <v>26</v>
      </c>
      <c r="H846" s="2">
        <v>60</v>
      </c>
      <c r="I846">
        <v>225</v>
      </c>
      <c r="J846" s="3">
        <v>1350</v>
      </c>
      <c r="K846" s="4">
        <v>635</v>
      </c>
      <c r="L846" t="s">
        <v>17</v>
      </c>
    </row>
    <row r="847" spans="1:12" x14ac:dyDescent="0.35">
      <c r="A847" t="s">
        <v>42</v>
      </c>
      <c r="B847">
        <v>1128299</v>
      </c>
      <c r="C847" s="1">
        <v>44553</v>
      </c>
      <c r="D847" t="s">
        <v>13</v>
      </c>
      <c r="E847" t="s">
        <v>99</v>
      </c>
      <c r="F847" t="s">
        <v>100</v>
      </c>
      <c r="G847" t="s">
        <v>39</v>
      </c>
      <c r="H847" s="2">
        <v>74</v>
      </c>
      <c r="I847">
        <v>225</v>
      </c>
      <c r="J847" s="3">
        <v>1665</v>
      </c>
      <c r="K847" s="4">
        <v>749</v>
      </c>
      <c r="L847" t="s">
        <v>17</v>
      </c>
    </row>
    <row r="848" spans="1:12" x14ac:dyDescent="0.35">
      <c r="A848" t="s">
        <v>23</v>
      </c>
      <c r="B848">
        <v>1185732</v>
      </c>
      <c r="C848" s="1">
        <v>44392</v>
      </c>
      <c r="D848" t="s">
        <v>33</v>
      </c>
      <c r="E848" t="s">
        <v>45</v>
      </c>
      <c r="F848" t="s">
        <v>46</v>
      </c>
      <c r="G848" t="s">
        <v>26</v>
      </c>
      <c r="H848" s="2">
        <v>57</v>
      </c>
      <c r="I848">
        <v>225</v>
      </c>
      <c r="J848" s="3">
        <v>1283</v>
      </c>
      <c r="K848" s="4">
        <v>770</v>
      </c>
      <c r="L848" t="s">
        <v>17</v>
      </c>
    </row>
    <row r="849" spans="1:12" x14ac:dyDescent="0.35">
      <c r="A849" t="s">
        <v>23</v>
      </c>
      <c r="B849">
        <v>1185732</v>
      </c>
      <c r="C849" s="1">
        <v>44486</v>
      </c>
      <c r="D849" t="s">
        <v>33</v>
      </c>
      <c r="E849" t="s">
        <v>45</v>
      </c>
      <c r="F849" t="s">
        <v>46</v>
      </c>
      <c r="G849" t="s">
        <v>26</v>
      </c>
      <c r="H849" s="2">
        <v>49</v>
      </c>
      <c r="I849">
        <v>225</v>
      </c>
      <c r="J849" s="3">
        <v>1103</v>
      </c>
      <c r="K849" s="4">
        <v>673</v>
      </c>
      <c r="L849" t="s">
        <v>17</v>
      </c>
    </row>
    <row r="850" spans="1:12" x14ac:dyDescent="0.35">
      <c r="A850" t="s">
        <v>18</v>
      </c>
      <c r="B850">
        <v>1128299</v>
      </c>
      <c r="C850" s="1">
        <v>44371</v>
      </c>
      <c r="D850" t="s">
        <v>48</v>
      </c>
      <c r="E850" t="s">
        <v>85</v>
      </c>
      <c r="F850" t="s">
        <v>86</v>
      </c>
      <c r="G850" t="s">
        <v>26</v>
      </c>
      <c r="H850" s="2">
        <v>51</v>
      </c>
      <c r="I850">
        <v>225</v>
      </c>
      <c r="J850" s="3">
        <v>1148</v>
      </c>
      <c r="K850" s="4">
        <v>562</v>
      </c>
      <c r="L850" t="s">
        <v>17</v>
      </c>
    </row>
    <row r="851" spans="1:12" x14ac:dyDescent="0.35">
      <c r="A851" t="s">
        <v>42</v>
      </c>
      <c r="B851">
        <v>1185732</v>
      </c>
      <c r="C851" s="1">
        <v>44414</v>
      </c>
      <c r="D851" t="s">
        <v>13</v>
      </c>
      <c r="E851" t="s">
        <v>69</v>
      </c>
      <c r="F851" t="s">
        <v>65</v>
      </c>
      <c r="G851" t="s">
        <v>70</v>
      </c>
      <c r="H851" s="2">
        <v>51</v>
      </c>
      <c r="I851">
        <v>225</v>
      </c>
      <c r="J851" s="3">
        <v>1148</v>
      </c>
      <c r="K851" s="4">
        <v>528</v>
      </c>
      <c r="L851" t="s">
        <v>17</v>
      </c>
    </row>
    <row r="852" spans="1:12" x14ac:dyDescent="0.35">
      <c r="A852" t="s">
        <v>42</v>
      </c>
      <c r="B852">
        <v>1185732</v>
      </c>
      <c r="C852" s="1">
        <v>44476</v>
      </c>
      <c r="D852" t="s">
        <v>13</v>
      </c>
      <c r="E852" t="s">
        <v>69</v>
      </c>
      <c r="F852" t="s">
        <v>65</v>
      </c>
      <c r="G852" t="s">
        <v>16</v>
      </c>
      <c r="H852" s="2">
        <v>56</v>
      </c>
      <c r="I852">
        <v>225</v>
      </c>
      <c r="J852" s="3">
        <v>1260</v>
      </c>
      <c r="K852" s="4">
        <v>819</v>
      </c>
      <c r="L852" t="s">
        <v>17</v>
      </c>
    </row>
    <row r="853" spans="1:12" x14ac:dyDescent="0.35">
      <c r="A853" t="s">
        <v>42</v>
      </c>
      <c r="B853">
        <v>1185732</v>
      </c>
      <c r="C853" s="1">
        <v>44506</v>
      </c>
      <c r="D853" t="s">
        <v>13</v>
      </c>
      <c r="E853" t="s">
        <v>69</v>
      </c>
      <c r="F853" t="s">
        <v>65</v>
      </c>
      <c r="G853" t="s">
        <v>56</v>
      </c>
      <c r="H853" s="2">
        <v>53</v>
      </c>
      <c r="I853">
        <v>225</v>
      </c>
      <c r="J853" s="3">
        <v>1193</v>
      </c>
      <c r="K853" s="4">
        <v>501</v>
      </c>
      <c r="L853" t="s">
        <v>17</v>
      </c>
    </row>
    <row r="854" spans="1:12" x14ac:dyDescent="0.35">
      <c r="A854" t="s">
        <v>23</v>
      </c>
      <c r="B854">
        <v>1185732</v>
      </c>
      <c r="C854" s="1">
        <v>44535</v>
      </c>
      <c r="D854" t="s">
        <v>13</v>
      </c>
      <c r="E854" t="s">
        <v>69</v>
      </c>
      <c r="F854" t="s">
        <v>65</v>
      </c>
      <c r="G854" t="s">
        <v>70</v>
      </c>
      <c r="H854" s="2">
        <v>66</v>
      </c>
      <c r="I854">
        <v>225</v>
      </c>
      <c r="J854" s="3">
        <v>1485</v>
      </c>
      <c r="K854" s="4">
        <v>668</v>
      </c>
      <c r="L854" t="s">
        <v>17</v>
      </c>
    </row>
    <row r="855" spans="1:12" x14ac:dyDescent="0.35">
      <c r="A855" t="s">
        <v>51</v>
      </c>
      <c r="B855">
        <v>1185732</v>
      </c>
      <c r="C855" s="1">
        <v>44532</v>
      </c>
      <c r="D855" t="s">
        <v>13</v>
      </c>
      <c r="E855" t="s">
        <v>77</v>
      </c>
      <c r="F855" t="s">
        <v>78</v>
      </c>
      <c r="G855" t="s">
        <v>16</v>
      </c>
      <c r="H855" s="2">
        <v>69</v>
      </c>
      <c r="I855">
        <v>225</v>
      </c>
      <c r="J855" s="3">
        <v>1553</v>
      </c>
      <c r="K855" s="4">
        <v>1009</v>
      </c>
      <c r="L855" t="s">
        <v>17</v>
      </c>
    </row>
    <row r="856" spans="1:12" x14ac:dyDescent="0.35">
      <c r="A856" t="s">
        <v>51</v>
      </c>
      <c r="B856">
        <v>1185732</v>
      </c>
      <c r="C856" s="1">
        <v>44448</v>
      </c>
      <c r="D856" t="s">
        <v>33</v>
      </c>
      <c r="E856" t="s">
        <v>52</v>
      </c>
      <c r="F856" t="s">
        <v>53</v>
      </c>
      <c r="G856" t="s">
        <v>26</v>
      </c>
      <c r="H856" s="2">
        <v>50</v>
      </c>
      <c r="I856">
        <v>225</v>
      </c>
      <c r="J856" s="3">
        <v>1125</v>
      </c>
      <c r="K856" s="4">
        <v>608</v>
      </c>
      <c r="L856" t="s">
        <v>17</v>
      </c>
    </row>
    <row r="857" spans="1:12" x14ac:dyDescent="0.35">
      <c r="A857" t="s">
        <v>42</v>
      </c>
      <c r="B857">
        <v>1185732</v>
      </c>
      <c r="C857" s="1">
        <v>44245</v>
      </c>
      <c r="D857" t="s">
        <v>13</v>
      </c>
      <c r="E857" t="s">
        <v>106</v>
      </c>
      <c r="F857" t="s">
        <v>107</v>
      </c>
      <c r="G857" t="s">
        <v>26</v>
      </c>
      <c r="H857" s="2">
        <v>28</v>
      </c>
      <c r="I857">
        <v>225</v>
      </c>
      <c r="J857">
        <v>630</v>
      </c>
      <c r="K857" s="4">
        <v>328</v>
      </c>
      <c r="L857" t="s">
        <v>17</v>
      </c>
    </row>
    <row r="858" spans="1:12" x14ac:dyDescent="0.35">
      <c r="A858" t="s">
        <v>18</v>
      </c>
      <c r="B858">
        <v>1128299</v>
      </c>
      <c r="C858" s="1">
        <v>44198</v>
      </c>
      <c r="D858" t="s">
        <v>48</v>
      </c>
      <c r="E858" t="s">
        <v>66</v>
      </c>
      <c r="F858" t="s">
        <v>67</v>
      </c>
      <c r="G858" t="s">
        <v>32</v>
      </c>
      <c r="H858" s="2">
        <v>46</v>
      </c>
      <c r="I858">
        <v>225</v>
      </c>
      <c r="J858" s="3">
        <v>1035</v>
      </c>
      <c r="K858" s="4">
        <v>455</v>
      </c>
      <c r="L858" t="s">
        <v>27</v>
      </c>
    </row>
    <row r="859" spans="1:12" x14ac:dyDescent="0.35">
      <c r="A859" t="s">
        <v>18</v>
      </c>
      <c r="B859">
        <v>1128299</v>
      </c>
      <c r="C859" s="1">
        <v>44201</v>
      </c>
      <c r="D859" t="s">
        <v>48</v>
      </c>
      <c r="E859" t="s">
        <v>66</v>
      </c>
      <c r="F859" t="s">
        <v>67</v>
      </c>
      <c r="G859" t="s">
        <v>16</v>
      </c>
      <c r="H859" s="2">
        <v>58</v>
      </c>
      <c r="I859">
        <v>225</v>
      </c>
      <c r="J859" s="3">
        <v>1305</v>
      </c>
      <c r="K859" s="4">
        <v>300</v>
      </c>
      <c r="L859" t="s">
        <v>27</v>
      </c>
    </row>
    <row r="860" spans="1:12" x14ac:dyDescent="0.35">
      <c r="A860" t="s">
        <v>18</v>
      </c>
      <c r="B860">
        <v>1128299</v>
      </c>
      <c r="C860" s="1">
        <v>44224</v>
      </c>
      <c r="D860" t="s">
        <v>48</v>
      </c>
      <c r="E860" t="s">
        <v>66</v>
      </c>
      <c r="F860" t="s">
        <v>67</v>
      </c>
      <c r="G860" t="s">
        <v>70</v>
      </c>
      <c r="H860" s="2">
        <v>43</v>
      </c>
      <c r="I860">
        <v>225</v>
      </c>
      <c r="J860">
        <v>968</v>
      </c>
      <c r="K860" s="4">
        <v>464</v>
      </c>
      <c r="L860" t="s">
        <v>27</v>
      </c>
    </row>
    <row r="861" spans="1:12" x14ac:dyDescent="0.35">
      <c r="A861" t="s">
        <v>63</v>
      </c>
      <c r="B861">
        <v>1189833</v>
      </c>
      <c r="C861" s="1">
        <v>44306</v>
      </c>
      <c r="D861" t="s">
        <v>48</v>
      </c>
      <c r="E861" t="s">
        <v>66</v>
      </c>
      <c r="F861" t="s">
        <v>76</v>
      </c>
      <c r="G861" t="s">
        <v>39</v>
      </c>
      <c r="H861" s="2">
        <v>35</v>
      </c>
      <c r="I861">
        <v>225</v>
      </c>
      <c r="J861">
        <v>788</v>
      </c>
      <c r="K861" s="4">
        <v>236</v>
      </c>
      <c r="L861" t="s">
        <v>27</v>
      </c>
    </row>
    <row r="862" spans="1:12" x14ac:dyDescent="0.35">
      <c r="A862" t="s">
        <v>23</v>
      </c>
      <c r="B862">
        <v>1197831</v>
      </c>
      <c r="C862" s="1">
        <v>44479</v>
      </c>
      <c r="D862" t="s">
        <v>19</v>
      </c>
      <c r="E862" t="s">
        <v>59</v>
      </c>
      <c r="F862" t="s">
        <v>68</v>
      </c>
      <c r="G862" t="s">
        <v>26</v>
      </c>
      <c r="H862" s="2">
        <v>31</v>
      </c>
      <c r="I862">
        <v>225</v>
      </c>
      <c r="J862">
        <v>698</v>
      </c>
      <c r="K862" s="4">
        <v>300</v>
      </c>
      <c r="L862" t="s">
        <v>27</v>
      </c>
    </row>
    <row r="863" spans="1:12" x14ac:dyDescent="0.35">
      <c r="A863" t="s">
        <v>23</v>
      </c>
      <c r="B863">
        <v>1197831</v>
      </c>
      <c r="C863" s="1">
        <v>44336</v>
      </c>
      <c r="D863" t="s">
        <v>19</v>
      </c>
      <c r="E863" t="s">
        <v>74</v>
      </c>
      <c r="F863" t="s">
        <v>75</v>
      </c>
      <c r="G863" t="s">
        <v>16</v>
      </c>
      <c r="H863" s="2">
        <v>49</v>
      </c>
      <c r="I863">
        <v>225</v>
      </c>
      <c r="J863" s="3">
        <v>1103</v>
      </c>
      <c r="K863" s="4">
        <v>695</v>
      </c>
      <c r="L863" t="s">
        <v>27</v>
      </c>
    </row>
    <row r="864" spans="1:12" x14ac:dyDescent="0.35">
      <c r="A864" t="s">
        <v>23</v>
      </c>
      <c r="B864">
        <v>1197831</v>
      </c>
      <c r="C864" s="1">
        <v>44439</v>
      </c>
      <c r="D864" t="s">
        <v>19</v>
      </c>
      <c r="E864" t="s">
        <v>24</v>
      </c>
      <c r="F864" t="s">
        <v>25</v>
      </c>
      <c r="G864" t="s">
        <v>26</v>
      </c>
      <c r="H864" s="2">
        <v>30</v>
      </c>
      <c r="I864">
        <v>225</v>
      </c>
      <c r="J864">
        <v>675</v>
      </c>
      <c r="K864" s="4">
        <v>324</v>
      </c>
      <c r="L864" t="s">
        <v>27</v>
      </c>
    </row>
    <row r="865" spans="1:12" x14ac:dyDescent="0.35">
      <c r="A865" t="s">
        <v>23</v>
      </c>
      <c r="B865">
        <v>1197831</v>
      </c>
      <c r="C865" s="1">
        <v>44480</v>
      </c>
      <c r="D865" t="s">
        <v>19</v>
      </c>
      <c r="E865" t="s">
        <v>24</v>
      </c>
      <c r="F865" t="s">
        <v>25</v>
      </c>
      <c r="G865" t="s">
        <v>16</v>
      </c>
      <c r="H865" s="2">
        <v>56</v>
      </c>
      <c r="I865">
        <v>225</v>
      </c>
      <c r="J865" s="3">
        <v>1260</v>
      </c>
      <c r="K865" s="4">
        <v>907</v>
      </c>
      <c r="L865" t="s">
        <v>27</v>
      </c>
    </row>
    <row r="866" spans="1:12" x14ac:dyDescent="0.35">
      <c r="A866" t="s">
        <v>42</v>
      </c>
      <c r="B866">
        <v>1128299</v>
      </c>
      <c r="C866" s="1">
        <v>44553</v>
      </c>
      <c r="D866" t="s">
        <v>13</v>
      </c>
      <c r="E866" t="s">
        <v>99</v>
      </c>
      <c r="F866" t="s">
        <v>100</v>
      </c>
      <c r="G866" t="s">
        <v>39</v>
      </c>
      <c r="H866" s="2">
        <v>54</v>
      </c>
      <c r="I866">
        <v>225</v>
      </c>
      <c r="J866" s="3">
        <v>1215</v>
      </c>
      <c r="K866" s="4">
        <v>498</v>
      </c>
      <c r="L866" t="s">
        <v>27</v>
      </c>
    </row>
    <row r="867" spans="1:12" x14ac:dyDescent="0.35">
      <c r="A867" t="s">
        <v>18</v>
      </c>
      <c r="B867">
        <v>1128299</v>
      </c>
      <c r="C867" s="1">
        <v>44553</v>
      </c>
      <c r="D867" t="s">
        <v>48</v>
      </c>
      <c r="E867" t="s">
        <v>85</v>
      </c>
      <c r="F867" t="s">
        <v>86</v>
      </c>
      <c r="G867" t="s">
        <v>26</v>
      </c>
      <c r="H867" s="2">
        <v>51</v>
      </c>
      <c r="I867">
        <v>225</v>
      </c>
      <c r="J867" s="3">
        <v>1148</v>
      </c>
      <c r="K867" s="4">
        <v>482</v>
      </c>
      <c r="L867" t="s">
        <v>27</v>
      </c>
    </row>
    <row r="868" spans="1:12" x14ac:dyDescent="0.35">
      <c r="A868" t="s">
        <v>63</v>
      </c>
      <c r="B868">
        <v>1189833</v>
      </c>
      <c r="C868" s="1">
        <v>44329</v>
      </c>
      <c r="D868" t="s">
        <v>48</v>
      </c>
      <c r="E868" t="s">
        <v>66</v>
      </c>
      <c r="F868" t="s">
        <v>76</v>
      </c>
      <c r="G868" t="s">
        <v>26</v>
      </c>
      <c r="H868" s="2">
        <v>49</v>
      </c>
      <c r="I868">
        <v>224</v>
      </c>
      <c r="J868" s="3">
        <v>1098</v>
      </c>
      <c r="K868" s="4">
        <v>549</v>
      </c>
      <c r="L868" t="s">
        <v>17</v>
      </c>
    </row>
    <row r="869" spans="1:12" x14ac:dyDescent="0.35">
      <c r="A869" t="s">
        <v>23</v>
      </c>
      <c r="B869">
        <v>1197831</v>
      </c>
      <c r="C869" s="1">
        <v>44448</v>
      </c>
      <c r="D869" t="s">
        <v>19</v>
      </c>
      <c r="E869" t="s">
        <v>59</v>
      </c>
      <c r="F869" t="s">
        <v>68</v>
      </c>
      <c r="G869" t="s">
        <v>16</v>
      </c>
      <c r="H869" s="2">
        <v>43</v>
      </c>
      <c r="I869">
        <v>224</v>
      </c>
      <c r="J869">
        <v>963</v>
      </c>
      <c r="K869" s="4">
        <v>626</v>
      </c>
      <c r="L869" t="s">
        <v>17</v>
      </c>
    </row>
    <row r="870" spans="1:12" x14ac:dyDescent="0.35">
      <c r="A870" t="s">
        <v>23</v>
      </c>
      <c r="B870">
        <v>1197831</v>
      </c>
      <c r="C870" s="1">
        <v>44449</v>
      </c>
      <c r="D870" t="s">
        <v>19</v>
      </c>
      <c r="E870" t="s">
        <v>59</v>
      </c>
      <c r="F870" t="s">
        <v>68</v>
      </c>
      <c r="G870" t="s">
        <v>26</v>
      </c>
      <c r="H870" s="2">
        <v>41</v>
      </c>
      <c r="I870">
        <v>224</v>
      </c>
      <c r="J870">
        <v>918</v>
      </c>
      <c r="K870" s="4">
        <v>413</v>
      </c>
      <c r="L870" t="s">
        <v>17</v>
      </c>
    </row>
    <row r="871" spans="1:12" x14ac:dyDescent="0.35">
      <c r="A871" t="s">
        <v>23</v>
      </c>
      <c r="B871">
        <v>1185732</v>
      </c>
      <c r="C871" s="1">
        <v>44110</v>
      </c>
      <c r="D871" t="s">
        <v>13</v>
      </c>
      <c r="E871" t="s">
        <v>14</v>
      </c>
      <c r="F871" t="s">
        <v>73</v>
      </c>
      <c r="G871" t="s">
        <v>39</v>
      </c>
      <c r="H871" s="2">
        <v>49</v>
      </c>
      <c r="I871">
        <v>224</v>
      </c>
      <c r="J871" s="3">
        <v>1098</v>
      </c>
      <c r="K871" s="4">
        <v>527</v>
      </c>
      <c r="L871" t="s">
        <v>17</v>
      </c>
    </row>
    <row r="872" spans="1:12" x14ac:dyDescent="0.35">
      <c r="A872" t="s">
        <v>23</v>
      </c>
      <c r="B872">
        <v>1185732</v>
      </c>
      <c r="C872" s="1">
        <v>44111</v>
      </c>
      <c r="D872" t="s">
        <v>13</v>
      </c>
      <c r="E872" t="s">
        <v>14</v>
      </c>
      <c r="F872" t="s">
        <v>73</v>
      </c>
      <c r="G872" t="s">
        <v>32</v>
      </c>
      <c r="H872" s="2">
        <v>46</v>
      </c>
      <c r="I872">
        <v>224</v>
      </c>
      <c r="J872" s="3">
        <v>1030</v>
      </c>
      <c r="K872" s="4">
        <v>381</v>
      </c>
      <c r="L872" t="s">
        <v>17</v>
      </c>
    </row>
    <row r="873" spans="1:12" x14ac:dyDescent="0.35">
      <c r="A873" t="s">
        <v>63</v>
      </c>
      <c r="B873">
        <v>1185732</v>
      </c>
      <c r="C873" s="1">
        <v>44540</v>
      </c>
      <c r="D873" t="s">
        <v>48</v>
      </c>
      <c r="E873" t="s">
        <v>102</v>
      </c>
      <c r="F873" t="s">
        <v>103</v>
      </c>
      <c r="G873" t="s">
        <v>26</v>
      </c>
      <c r="H873" s="2">
        <v>52</v>
      </c>
      <c r="I873">
        <v>224</v>
      </c>
      <c r="J873" s="3">
        <v>1165</v>
      </c>
      <c r="K873" s="4">
        <v>711</v>
      </c>
      <c r="L873" t="s">
        <v>17</v>
      </c>
    </row>
    <row r="874" spans="1:12" x14ac:dyDescent="0.35">
      <c r="A874" t="s">
        <v>18</v>
      </c>
      <c r="B874">
        <v>1185732</v>
      </c>
      <c r="C874" s="1">
        <v>44387</v>
      </c>
      <c r="D874" t="s">
        <v>48</v>
      </c>
      <c r="E874" t="s">
        <v>49</v>
      </c>
      <c r="F874" t="s">
        <v>50</v>
      </c>
      <c r="G874" t="s">
        <v>26</v>
      </c>
      <c r="H874" s="2">
        <v>34</v>
      </c>
      <c r="I874">
        <v>224</v>
      </c>
      <c r="J874">
        <v>762</v>
      </c>
      <c r="K874" s="4">
        <v>396</v>
      </c>
      <c r="L874" t="s">
        <v>17</v>
      </c>
    </row>
    <row r="875" spans="1:12" x14ac:dyDescent="0.35">
      <c r="A875" t="s">
        <v>23</v>
      </c>
      <c r="B875">
        <v>1185732</v>
      </c>
      <c r="C875" s="1">
        <v>44379</v>
      </c>
      <c r="D875" t="s">
        <v>13</v>
      </c>
      <c r="E875" t="s">
        <v>77</v>
      </c>
      <c r="F875" t="s">
        <v>78</v>
      </c>
      <c r="G875" t="s">
        <v>39</v>
      </c>
      <c r="H875" s="2">
        <v>58</v>
      </c>
      <c r="I875">
        <v>224</v>
      </c>
      <c r="J875" s="3">
        <v>1299</v>
      </c>
      <c r="K875" s="4">
        <v>650</v>
      </c>
      <c r="L875" t="s">
        <v>17</v>
      </c>
    </row>
    <row r="876" spans="1:12" x14ac:dyDescent="0.35">
      <c r="A876" t="s">
        <v>23</v>
      </c>
      <c r="B876">
        <v>1197831</v>
      </c>
      <c r="C876" s="1">
        <v>44036</v>
      </c>
      <c r="D876" t="s">
        <v>19</v>
      </c>
      <c r="E876" t="s">
        <v>59</v>
      </c>
      <c r="F876" t="s">
        <v>60</v>
      </c>
      <c r="G876" t="s">
        <v>16</v>
      </c>
      <c r="H876" s="2">
        <v>25</v>
      </c>
      <c r="I876">
        <v>224</v>
      </c>
      <c r="J876">
        <v>560</v>
      </c>
      <c r="K876" s="4">
        <v>314</v>
      </c>
      <c r="L876" t="s">
        <v>27</v>
      </c>
    </row>
    <row r="877" spans="1:12" x14ac:dyDescent="0.35">
      <c r="A877" t="s">
        <v>23</v>
      </c>
      <c r="B877">
        <v>1197831</v>
      </c>
      <c r="C877" s="1">
        <v>44045</v>
      </c>
      <c r="D877" t="s">
        <v>19</v>
      </c>
      <c r="E877" t="s">
        <v>59</v>
      </c>
      <c r="F877" t="s">
        <v>60</v>
      </c>
      <c r="G877" t="s">
        <v>32</v>
      </c>
      <c r="H877" s="2">
        <v>23</v>
      </c>
      <c r="I877">
        <v>224</v>
      </c>
      <c r="J877">
        <v>515</v>
      </c>
      <c r="K877" s="4">
        <v>216</v>
      </c>
      <c r="L877" t="s">
        <v>27</v>
      </c>
    </row>
    <row r="878" spans="1:12" x14ac:dyDescent="0.35">
      <c r="A878" t="s">
        <v>12</v>
      </c>
      <c r="B878">
        <v>1197831</v>
      </c>
      <c r="C878" s="1">
        <v>44070</v>
      </c>
      <c r="D878" t="s">
        <v>19</v>
      </c>
      <c r="E878" t="s">
        <v>59</v>
      </c>
      <c r="F878" t="s">
        <v>60</v>
      </c>
      <c r="G878" t="s">
        <v>56</v>
      </c>
      <c r="H878" s="2">
        <v>28</v>
      </c>
      <c r="I878">
        <v>224</v>
      </c>
      <c r="J878">
        <v>627</v>
      </c>
      <c r="K878" s="4">
        <v>326</v>
      </c>
      <c r="L878" t="s">
        <v>27</v>
      </c>
    </row>
    <row r="879" spans="1:12" x14ac:dyDescent="0.35">
      <c r="A879" t="s">
        <v>18</v>
      </c>
      <c r="B879">
        <v>1128299</v>
      </c>
      <c r="C879" s="1">
        <v>44205</v>
      </c>
      <c r="D879" t="s">
        <v>48</v>
      </c>
      <c r="E879" t="s">
        <v>66</v>
      </c>
      <c r="F879" t="s">
        <v>67</v>
      </c>
      <c r="G879" t="s">
        <v>56</v>
      </c>
      <c r="H879" s="2">
        <v>41</v>
      </c>
      <c r="I879">
        <v>224</v>
      </c>
      <c r="J879">
        <v>918</v>
      </c>
      <c r="K879" s="4">
        <v>377</v>
      </c>
      <c r="L879" t="s">
        <v>27</v>
      </c>
    </row>
    <row r="880" spans="1:12" x14ac:dyDescent="0.35">
      <c r="A880" t="s">
        <v>18</v>
      </c>
      <c r="B880">
        <v>1128299</v>
      </c>
      <c r="C880" s="1">
        <v>44231</v>
      </c>
      <c r="D880" t="s">
        <v>48</v>
      </c>
      <c r="E880" t="s">
        <v>66</v>
      </c>
      <c r="F880" t="s">
        <v>67</v>
      </c>
      <c r="G880" t="s">
        <v>16</v>
      </c>
      <c r="H880" s="2">
        <v>46</v>
      </c>
      <c r="I880">
        <v>224</v>
      </c>
      <c r="J880" s="3">
        <v>1030</v>
      </c>
      <c r="K880" s="4">
        <v>124</v>
      </c>
      <c r="L880" t="s">
        <v>27</v>
      </c>
    </row>
    <row r="881" spans="1:12" x14ac:dyDescent="0.35">
      <c r="A881" t="s">
        <v>63</v>
      </c>
      <c r="B881">
        <v>1189833</v>
      </c>
      <c r="C881" s="1">
        <v>44244</v>
      </c>
      <c r="D881" t="s">
        <v>48</v>
      </c>
      <c r="E881" t="s">
        <v>66</v>
      </c>
      <c r="F881" t="s">
        <v>67</v>
      </c>
      <c r="G881" t="s">
        <v>26</v>
      </c>
      <c r="H881" s="2">
        <v>26</v>
      </c>
      <c r="I881">
        <v>224</v>
      </c>
      <c r="J881">
        <v>582</v>
      </c>
      <c r="K881" s="4">
        <v>250</v>
      </c>
      <c r="L881" t="s">
        <v>27</v>
      </c>
    </row>
    <row r="882" spans="1:12" x14ac:dyDescent="0.35">
      <c r="A882" t="s">
        <v>63</v>
      </c>
      <c r="B882">
        <v>1189833</v>
      </c>
      <c r="C882" s="1">
        <v>44245</v>
      </c>
      <c r="D882" t="s">
        <v>48</v>
      </c>
      <c r="E882" t="s">
        <v>66</v>
      </c>
      <c r="F882" t="s">
        <v>67</v>
      </c>
      <c r="G882" t="s">
        <v>39</v>
      </c>
      <c r="H882" s="2">
        <v>35</v>
      </c>
      <c r="I882">
        <v>224</v>
      </c>
      <c r="J882">
        <v>784</v>
      </c>
      <c r="K882" s="4">
        <v>235</v>
      </c>
      <c r="L882" t="s">
        <v>27</v>
      </c>
    </row>
    <row r="883" spans="1:12" x14ac:dyDescent="0.35">
      <c r="A883" t="s">
        <v>63</v>
      </c>
      <c r="B883">
        <v>1189833</v>
      </c>
      <c r="C883" s="1">
        <v>44315</v>
      </c>
      <c r="D883" t="s">
        <v>48</v>
      </c>
      <c r="E883" t="s">
        <v>66</v>
      </c>
      <c r="F883" t="s">
        <v>76</v>
      </c>
      <c r="G883" t="s">
        <v>70</v>
      </c>
      <c r="H883" s="2">
        <v>38</v>
      </c>
      <c r="I883">
        <v>224</v>
      </c>
      <c r="J883">
        <v>851</v>
      </c>
      <c r="K883" s="4">
        <v>511</v>
      </c>
      <c r="L883" t="s">
        <v>27</v>
      </c>
    </row>
    <row r="884" spans="1:12" x14ac:dyDescent="0.35">
      <c r="A884" t="s">
        <v>63</v>
      </c>
      <c r="B884">
        <v>1189833</v>
      </c>
      <c r="C884" s="1">
        <v>44316</v>
      </c>
      <c r="D884" t="s">
        <v>48</v>
      </c>
      <c r="E884" t="s">
        <v>66</v>
      </c>
      <c r="F884" t="s">
        <v>76</v>
      </c>
      <c r="G884" t="s">
        <v>16</v>
      </c>
      <c r="H884" s="2">
        <v>51</v>
      </c>
      <c r="I884">
        <v>224</v>
      </c>
      <c r="J884" s="3">
        <v>1142</v>
      </c>
      <c r="K884" s="4">
        <v>263</v>
      </c>
      <c r="L884" t="s">
        <v>27</v>
      </c>
    </row>
    <row r="885" spans="1:12" x14ac:dyDescent="0.35">
      <c r="A885" t="s">
        <v>63</v>
      </c>
      <c r="B885">
        <v>1189833</v>
      </c>
      <c r="C885" s="1">
        <v>44344</v>
      </c>
      <c r="D885" t="s">
        <v>48</v>
      </c>
      <c r="E885" t="s">
        <v>66</v>
      </c>
      <c r="F885" t="s">
        <v>76</v>
      </c>
      <c r="G885" t="s">
        <v>56</v>
      </c>
      <c r="H885" s="2">
        <v>35</v>
      </c>
      <c r="I885">
        <v>224</v>
      </c>
      <c r="J885">
        <v>784</v>
      </c>
      <c r="K885" s="4">
        <v>314</v>
      </c>
      <c r="L885" t="s">
        <v>27</v>
      </c>
    </row>
    <row r="886" spans="1:12" x14ac:dyDescent="0.35">
      <c r="A886" t="s">
        <v>23</v>
      </c>
      <c r="B886">
        <v>1197831</v>
      </c>
      <c r="C886" s="1">
        <v>44433</v>
      </c>
      <c r="D886" t="s">
        <v>19</v>
      </c>
      <c r="E886" t="s">
        <v>24</v>
      </c>
      <c r="F886" t="s">
        <v>25</v>
      </c>
      <c r="G886" t="s">
        <v>26</v>
      </c>
      <c r="H886" s="2">
        <v>7</v>
      </c>
      <c r="I886">
        <v>224</v>
      </c>
      <c r="J886">
        <v>157</v>
      </c>
      <c r="K886" s="4">
        <v>74</v>
      </c>
      <c r="L886" t="s">
        <v>27</v>
      </c>
    </row>
    <row r="887" spans="1:12" x14ac:dyDescent="0.35">
      <c r="A887" t="s">
        <v>12</v>
      </c>
      <c r="B887">
        <v>1128299</v>
      </c>
      <c r="C887" s="1">
        <v>44364</v>
      </c>
      <c r="D887" t="s">
        <v>13</v>
      </c>
      <c r="E887" t="s">
        <v>14</v>
      </c>
      <c r="F887" t="s">
        <v>15</v>
      </c>
      <c r="G887" t="s">
        <v>39</v>
      </c>
      <c r="H887" s="2">
        <v>53</v>
      </c>
      <c r="I887">
        <v>224</v>
      </c>
      <c r="J887" s="3">
        <v>1187</v>
      </c>
      <c r="K887" s="4">
        <v>344</v>
      </c>
      <c r="L887" t="s">
        <v>27</v>
      </c>
    </row>
    <row r="888" spans="1:12" x14ac:dyDescent="0.35">
      <c r="A888" t="s">
        <v>42</v>
      </c>
      <c r="B888">
        <v>1128299</v>
      </c>
      <c r="C888" s="1">
        <v>44400</v>
      </c>
      <c r="D888" t="s">
        <v>13</v>
      </c>
      <c r="E888" t="s">
        <v>99</v>
      </c>
      <c r="F888" t="s">
        <v>100</v>
      </c>
      <c r="G888" t="s">
        <v>39</v>
      </c>
      <c r="H888" s="2">
        <v>60</v>
      </c>
      <c r="I888">
        <v>224</v>
      </c>
      <c r="J888" s="3">
        <v>1344</v>
      </c>
      <c r="K888" s="4">
        <v>511</v>
      </c>
      <c r="L888" t="s">
        <v>27</v>
      </c>
    </row>
    <row r="889" spans="1:12" x14ac:dyDescent="0.35">
      <c r="A889" t="s">
        <v>18</v>
      </c>
      <c r="B889">
        <v>1128299</v>
      </c>
      <c r="C889" s="1">
        <v>44364</v>
      </c>
      <c r="D889" t="s">
        <v>19</v>
      </c>
      <c r="E889" t="s">
        <v>20</v>
      </c>
      <c r="F889" t="s">
        <v>21</v>
      </c>
      <c r="G889" t="s">
        <v>39</v>
      </c>
      <c r="H889" s="2">
        <v>55</v>
      </c>
      <c r="I889">
        <v>224</v>
      </c>
      <c r="J889" s="3">
        <v>1232</v>
      </c>
      <c r="K889" s="4">
        <v>554</v>
      </c>
      <c r="L889" t="s">
        <v>27</v>
      </c>
    </row>
    <row r="890" spans="1:12" x14ac:dyDescent="0.35">
      <c r="A890" t="s">
        <v>18</v>
      </c>
      <c r="B890">
        <v>1128299</v>
      </c>
      <c r="C890" s="1">
        <v>44517</v>
      </c>
      <c r="D890" t="s">
        <v>19</v>
      </c>
      <c r="E890" t="s">
        <v>20</v>
      </c>
      <c r="F890" t="s">
        <v>21</v>
      </c>
      <c r="G890" t="s">
        <v>39</v>
      </c>
      <c r="H890" s="2">
        <v>35</v>
      </c>
      <c r="I890">
        <v>224</v>
      </c>
      <c r="J890">
        <v>784</v>
      </c>
      <c r="K890" s="4">
        <v>368</v>
      </c>
      <c r="L890" t="s">
        <v>27</v>
      </c>
    </row>
    <row r="891" spans="1:12" x14ac:dyDescent="0.35">
      <c r="A891" t="s">
        <v>63</v>
      </c>
      <c r="B891">
        <v>1128299</v>
      </c>
      <c r="C891" s="1">
        <v>44373</v>
      </c>
      <c r="D891" t="s">
        <v>48</v>
      </c>
      <c r="E891" t="s">
        <v>114</v>
      </c>
      <c r="F891" t="s">
        <v>115</v>
      </c>
      <c r="G891" t="s">
        <v>26</v>
      </c>
      <c r="H891" s="2">
        <v>37</v>
      </c>
      <c r="I891">
        <v>224</v>
      </c>
      <c r="J891">
        <v>829</v>
      </c>
      <c r="K891" s="4">
        <v>323</v>
      </c>
      <c r="L891" t="s">
        <v>27</v>
      </c>
    </row>
    <row r="892" spans="1:12" x14ac:dyDescent="0.35">
      <c r="A892" t="s">
        <v>63</v>
      </c>
      <c r="B892">
        <v>1128299</v>
      </c>
      <c r="C892" s="1">
        <v>44434</v>
      </c>
      <c r="D892" t="s">
        <v>48</v>
      </c>
      <c r="E892" t="s">
        <v>114</v>
      </c>
      <c r="F892" t="s">
        <v>115</v>
      </c>
      <c r="G892" t="s">
        <v>26</v>
      </c>
      <c r="H892" s="2">
        <v>40</v>
      </c>
      <c r="I892">
        <v>224</v>
      </c>
      <c r="J892">
        <v>896</v>
      </c>
      <c r="K892" s="4">
        <v>332</v>
      </c>
      <c r="L892" t="s">
        <v>27</v>
      </c>
    </row>
    <row r="893" spans="1:12" x14ac:dyDescent="0.35">
      <c r="A893" t="s">
        <v>51</v>
      </c>
      <c r="B893">
        <v>1185732</v>
      </c>
      <c r="C893" s="1">
        <v>44394</v>
      </c>
      <c r="D893" t="s">
        <v>43</v>
      </c>
      <c r="E893" t="s">
        <v>127</v>
      </c>
      <c r="F893" t="s">
        <v>128</v>
      </c>
      <c r="G893" t="s">
        <v>26</v>
      </c>
      <c r="H893" s="2">
        <v>49</v>
      </c>
      <c r="I893">
        <v>224</v>
      </c>
      <c r="J893" s="3">
        <v>1098</v>
      </c>
      <c r="K893" s="4">
        <v>461</v>
      </c>
      <c r="L893" t="s">
        <v>27</v>
      </c>
    </row>
    <row r="894" spans="1:12" x14ac:dyDescent="0.35">
      <c r="A894" t="s">
        <v>18</v>
      </c>
      <c r="B894">
        <v>1128299</v>
      </c>
      <c r="C894" s="1">
        <v>44142</v>
      </c>
      <c r="D894" t="s">
        <v>48</v>
      </c>
      <c r="E894" t="s">
        <v>66</v>
      </c>
      <c r="F894" t="s">
        <v>67</v>
      </c>
      <c r="G894" t="s">
        <v>26</v>
      </c>
      <c r="H894" s="2">
        <v>37</v>
      </c>
      <c r="I894">
        <v>223</v>
      </c>
      <c r="J894">
        <v>825</v>
      </c>
      <c r="K894" s="4">
        <v>413</v>
      </c>
      <c r="L894" t="s">
        <v>17</v>
      </c>
    </row>
    <row r="895" spans="1:12" x14ac:dyDescent="0.35">
      <c r="A895" t="s">
        <v>23</v>
      </c>
      <c r="B895">
        <v>1197831</v>
      </c>
      <c r="C895" s="1">
        <v>44485</v>
      </c>
      <c r="D895" t="s">
        <v>19</v>
      </c>
      <c r="E895" t="s">
        <v>59</v>
      </c>
      <c r="F895" t="s">
        <v>68</v>
      </c>
      <c r="G895" t="s">
        <v>26</v>
      </c>
      <c r="H895" s="2">
        <v>59</v>
      </c>
      <c r="I895">
        <v>223</v>
      </c>
      <c r="J895" s="3">
        <v>1316</v>
      </c>
      <c r="K895" s="4">
        <v>710</v>
      </c>
      <c r="L895" t="s">
        <v>17</v>
      </c>
    </row>
    <row r="896" spans="1:12" x14ac:dyDescent="0.35">
      <c r="A896" t="s">
        <v>23</v>
      </c>
      <c r="B896">
        <v>1185732</v>
      </c>
      <c r="C896" s="1">
        <v>44102</v>
      </c>
      <c r="D896" t="s">
        <v>13</v>
      </c>
      <c r="E896" t="s">
        <v>14</v>
      </c>
      <c r="F896" t="s">
        <v>73</v>
      </c>
      <c r="G896" t="s">
        <v>16</v>
      </c>
      <c r="H896" s="2">
        <v>55</v>
      </c>
      <c r="I896">
        <v>223</v>
      </c>
      <c r="J896" s="3">
        <v>1227</v>
      </c>
      <c r="K896" s="4">
        <v>773</v>
      </c>
      <c r="L896" t="s">
        <v>17</v>
      </c>
    </row>
    <row r="897" spans="1:12" x14ac:dyDescent="0.35">
      <c r="A897" t="s">
        <v>23</v>
      </c>
      <c r="B897">
        <v>1185732</v>
      </c>
      <c r="C897" s="1">
        <v>44108</v>
      </c>
      <c r="D897" t="s">
        <v>13</v>
      </c>
      <c r="E897" t="s">
        <v>14</v>
      </c>
      <c r="F897" t="s">
        <v>73</v>
      </c>
      <c r="G897" t="s">
        <v>16</v>
      </c>
      <c r="H897" s="2">
        <v>59</v>
      </c>
      <c r="I897">
        <v>223</v>
      </c>
      <c r="J897" s="3">
        <v>1316</v>
      </c>
      <c r="K897" s="4">
        <v>855</v>
      </c>
      <c r="L897" t="s">
        <v>17</v>
      </c>
    </row>
    <row r="898" spans="1:12" x14ac:dyDescent="0.35">
      <c r="A898" t="s">
        <v>23</v>
      </c>
      <c r="B898">
        <v>1197831</v>
      </c>
      <c r="C898" s="1">
        <v>44306</v>
      </c>
      <c r="D898" t="s">
        <v>19</v>
      </c>
      <c r="E898" t="s">
        <v>74</v>
      </c>
      <c r="F898" t="s">
        <v>75</v>
      </c>
      <c r="G898" t="s">
        <v>16</v>
      </c>
      <c r="H898" s="2">
        <v>52</v>
      </c>
      <c r="I898">
        <v>223</v>
      </c>
      <c r="J898" s="3">
        <v>1160</v>
      </c>
      <c r="K898" s="4">
        <v>812</v>
      </c>
      <c r="L898" t="s">
        <v>17</v>
      </c>
    </row>
    <row r="899" spans="1:12" x14ac:dyDescent="0.35">
      <c r="A899" t="s">
        <v>12</v>
      </c>
      <c r="B899">
        <v>1128299</v>
      </c>
      <c r="C899" s="1">
        <v>44364</v>
      </c>
      <c r="D899" t="s">
        <v>13</v>
      </c>
      <c r="E899" t="s">
        <v>14</v>
      </c>
      <c r="F899" t="s">
        <v>15</v>
      </c>
      <c r="G899" t="s">
        <v>26</v>
      </c>
      <c r="H899" s="2">
        <v>61</v>
      </c>
      <c r="I899">
        <v>223</v>
      </c>
      <c r="J899" s="3">
        <v>1360</v>
      </c>
      <c r="K899" s="4">
        <v>612</v>
      </c>
      <c r="L899" t="s">
        <v>17</v>
      </c>
    </row>
    <row r="900" spans="1:12" x14ac:dyDescent="0.35">
      <c r="A900" t="s">
        <v>42</v>
      </c>
      <c r="B900">
        <v>1185732</v>
      </c>
      <c r="C900" s="1">
        <v>44444</v>
      </c>
      <c r="D900" t="s">
        <v>13</v>
      </c>
      <c r="E900" t="s">
        <v>69</v>
      </c>
      <c r="F900" t="s">
        <v>65</v>
      </c>
      <c r="G900" t="s">
        <v>39</v>
      </c>
      <c r="H900" s="2">
        <v>48</v>
      </c>
      <c r="I900">
        <v>223</v>
      </c>
      <c r="J900" s="3">
        <v>1070</v>
      </c>
      <c r="K900" s="4">
        <v>514</v>
      </c>
      <c r="L900" t="s">
        <v>17</v>
      </c>
    </row>
    <row r="901" spans="1:12" x14ac:dyDescent="0.35">
      <c r="A901" t="s">
        <v>18</v>
      </c>
      <c r="B901">
        <v>1128299</v>
      </c>
      <c r="C901" s="1">
        <v>44229</v>
      </c>
      <c r="D901" t="s">
        <v>48</v>
      </c>
      <c r="E901" t="s">
        <v>66</v>
      </c>
      <c r="F901" t="s">
        <v>67</v>
      </c>
      <c r="G901" t="s">
        <v>56</v>
      </c>
      <c r="H901" s="2">
        <v>42</v>
      </c>
      <c r="I901">
        <v>223</v>
      </c>
      <c r="J901">
        <v>937</v>
      </c>
      <c r="K901" s="4">
        <v>290</v>
      </c>
      <c r="L901" t="s">
        <v>27</v>
      </c>
    </row>
    <row r="902" spans="1:12" x14ac:dyDescent="0.35">
      <c r="A902" t="s">
        <v>63</v>
      </c>
      <c r="B902">
        <v>1189833</v>
      </c>
      <c r="C902" s="1">
        <v>44270</v>
      </c>
      <c r="D902" t="s">
        <v>48</v>
      </c>
      <c r="E902" t="s">
        <v>66</v>
      </c>
      <c r="F902" t="s">
        <v>76</v>
      </c>
      <c r="G902" t="s">
        <v>32</v>
      </c>
      <c r="H902" s="2">
        <v>33</v>
      </c>
      <c r="I902">
        <v>223</v>
      </c>
      <c r="J902">
        <v>736</v>
      </c>
      <c r="K902" s="4">
        <v>309</v>
      </c>
      <c r="L902" t="s">
        <v>27</v>
      </c>
    </row>
    <row r="903" spans="1:12" x14ac:dyDescent="0.35">
      <c r="A903" t="s">
        <v>63</v>
      </c>
      <c r="B903">
        <v>1189833</v>
      </c>
      <c r="C903" s="1">
        <v>44320</v>
      </c>
      <c r="D903" t="s">
        <v>48</v>
      </c>
      <c r="E903" t="s">
        <v>66</v>
      </c>
      <c r="F903" t="s">
        <v>76</v>
      </c>
      <c r="G903" t="s">
        <v>56</v>
      </c>
      <c r="H903" s="2">
        <v>36</v>
      </c>
      <c r="I903">
        <v>223</v>
      </c>
      <c r="J903">
        <v>803</v>
      </c>
      <c r="K903" s="4">
        <v>305</v>
      </c>
      <c r="L903" t="s">
        <v>27</v>
      </c>
    </row>
    <row r="904" spans="1:12" x14ac:dyDescent="0.35">
      <c r="A904" t="s">
        <v>63</v>
      </c>
      <c r="B904">
        <v>1189833</v>
      </c>
      <c r="C904" s="1">
        <v>44337</v>
      </c>
      <c r="D904" t="s">
        <v>48</v>
      </c>
      <c r="E904" t="s">
        <v>66</v>
      </c>
      <c r="F904" t="s">
        <v>76</v>
      </c>
      <c r="G904" t="s">
        <v>32</v>
      </c>
      <c r="H904" s="2">
        <v>35</v>
      </c>
      <c r="I904">
        <v>223</v>
      </c>
      <c r="J904">
        <v>781</v>
      </c>
      <c r="K904" s="4">
        <v>359</v>
      </c>
      <c r="L904" t="s">
        <v>27</v>
      </c>
    </row>
    <row r="905" spans="1:12" x14ac:dyDescent="0.35">
      <c r="A905" t="s">
        <v>23</v>
      </c>
      <c r="B905">
        <v>1197831</v>
      </c>
      <c r="C905" s="1">
        <v>44326</v>
      </c>
      <c r="D905" t="s">
        <v>19</v>
      </c>
      <c r="E905" t="s">
        <v>74</v>
      </c>
      <c r="F905" t="s">
        <v>75</v>
      </c>
      <c r="G905" t="s">
        <v>39</v>
      </c>
      <c r="H905" s="2">
        <v>21</v>
      </c>
      <c r="I905">
        <v>223</v>
      </c>
      <c r="J905">
        <v>468</v>
      </c>
      <c r="K905" s="4">
        <v>229</v>
      </c>
      <c r="L905" t="s">
        <v>27</v>
      </c>
    </row>
    <row r="906" spans="1:12" x14ac:dyDescent="0.35">
      <c r="A906" t="s">
        <v>42</v>
      </c>
      <c r="B906">
        <v>1197831</v>
      </c>
      <c r="C906" s="1">
        <v>44201</v>
      </c>
      <c r="D906" t="s">
        <v>19</v>
      </c>
      <c r="E906" t="s">
        <v>20</v>
      </c>
      <c r="F906" t="s">
        <v>21</v>
      </c>
      <c r="G906" t="s">
        <v>26</v>
      </c>
      <c r="H906" s="2">
        <v>14</v>
      </c>
      <c r="I906">
        <v>223</v>
      </c>
      <c r="J906">
        <v>312</v>
      </c>
      <c r="K906" s="4">
        <v>106</v>
      </c>
      <c r="L906" t="s">
        <v>27</v>
      </c>
    </row>
    <row r="907" spans="1:12" x14ac:dyDescent="0.35">
      <c r="A907" t="s">
        <v>23</v>
      </c>
      <c r="B907">
        <v>1197831</v>
      </c>
      <c r="C907" s="1">
        <v>44505</v>
      </c>
      <c r="D907" t="s">
        <v>48</v>
      </c>
      <c r="E907" t="s">
        <v>79</v>
      </c>
      <c r="F907" t="s">
        <v>80</v>
      </c>
      <c r="G907" t="s">
        <v>39</v>
      </c>
      <c r="H907" s="2">
        <v>28</v>
      </c>
      <c r="I907">
        <v>223</v>
      </c>
      <c r="J907">
        <v>624</v>
      </c>
      <c r="K907" s="4">
        <v>268</v>
      </c>
      <c r="L907" t="s">
        <v>27</v>
      </c>
    </row>
    <row r="908" spans="1:12" x14ac:dyDescent="0.35">
      <c r="A908" t="s">
        <v>42</v>
      </c>
      <c r="B908">
        <v>1197831</v>
      </c>
      <c r="C908" s="1">
        <v>44534</v>
      </c>
      <c r="D908" t="s">
        <v>48</v>
      </c>
      <c r="E908" t="s">
        <v>79</v>
      </c>
      <c r="F908" t="s">
        <v>80</v>
      </c>
      <c r="G908" t="s">
        <v>32</v>
      </c>
      <c r="H908" s="2">
        <v>47</v>
      </c>
      <c r="I908">
        <v>223</v>
      </c>
      <c r="J908" s="3">
        <v>1048</v>
      </c>
      <c r="K908" s="4">
        <v>461</v>
      </c>
      <c r="L908" t="s">
        <v>27</v>
      </c>
    </row>
    <row r="909" spans="1:12" x14ac:dyDescent="0.35">
      <c r="A909" t="s">
        <v>23</v>
      </c>
      <c r="B909">
        <v>1128299</v>
      </c>
      <c r="C909" s="1">
        <v>44542</v>
      </c>
      <c r="D909" t="s">
        <v>13</v>
      </c>
      <c r="E909" t="s">
        <v>57</v>
      </c>
      <c r="F909" t="s">
        <v>58</v>
      </c>
      <c r="G909" t="s">
        <v>39</v>
      </c>
      <c r="H909" s="2">
        <v>39</v>
      </c>
      <c r="I909">
        <v>223</v>
      </c>
      <c r="J909">
        <v>870</v>
      </c>
      <c r="K909" s="4">
        <v>409</v>
      </c>
      <c r="L909" t="s">
        <v>27</v>
      </c>
    </row>
    <row r="910" spans="1:12" x14ac:dyDescent="0.35">
      <c r="A910" t="s">
        <v>42</v>
      </c>
      <c r="B910">
        <v>1185732</v>
      </c>
      <c r="C910" s="1">
        <v>44271</v>
      </c>
      <c r="D910" t="s">
        <v>19</v>
      </c>
      <c r="E910" t="s">
        <v>37</v>
      </c>
      <c r="F910" t="s">
        <v>38</v>
      </c>
      <c r="G910" t="s">
        <v>26</v>
      </c>
      <c r="H910" s="2">
        <v>20</v>
      </c>
      <c r="I910">
        <v>223</v>
      </c>
      <c r="J910">
        <v>446</v>
      </c>
      <c r="K910" s="4">
        <v>205</v>
      </c>
      <c r="L910" t="s">
        <v>27</v>
      </c>
    </row>
    <row r="911" spans="1:12" x14ac:dyDescent="0.35">
      <c r="A911" t="s">
        <v>42</v>
      </c>
      <c r="B911">
        <v>1185732</v>
      </c>
      <c r="C911" s="1">
        <v>44303</v>
      </c>
      <c r="D911" t="s">
        <v>19</v>
      </c>
      <c r="E911" t="s">
        <v>37</v>
      </c>
      <c r="F911" t="s">
        <v>38</v>
      </c>
      <c r="G911" t="s">
        <v>26</v>
      </c>
      <c r="H911" s="2">
        <v>19</v>
      </c>
      <c r="I911">
        <v>223</v>
      </c>
      <c r="J911">
        <v>424</v>
      </c>
      <c r="K911" s="4">
        <v>186</v>
      </c>
      <c r="L911" t="s">
        <v>27</v>
      </c>
    </row>
    <row r="912" spans="1:12" x14ac:dyDescent="0.35">
      <c r="A912" t="s">
        <v>63</v>
      </c>
      <c r="B912">
        <v>1189833</v>
      </c>
      <c r="C912" s="1">
        <v>44318</v>
      </c>
      <c r="D912" t="s">
        <v>48</v>
      </c>
      <c r="E912" t="s">
        <v>66</v>
      </c>
      <c r="F912" t="s">
        <v>76</v>
      </c>
      <c r="G912" t="s">
        <v>39</v>
      </c>
      <c r="H912" s="2">
        <v>51</v>
      </c>
      <c r="I912">
        <v>221</v>
      </c>
      <c r="J912" s="3">
        <v>1127</v>
      </c>
      <c r="K912" s="4">
        <v>451</v>
      </c>
      <c r="L912" t="s">
        <v>17</v>
      </c>
    </row>
    <row r="913" spans="1:12" x14ac:dyDescent="0.35">
      <c r="A913" t="s">
        <v>42</v>
      </c>
      <c r="B913">
        <v>1185732</v>
      </c>
      <c r="C913" s="1">
        <v>44050</v>
      </c>
      <c r="D913" t="s">
        <v>48</v>
      </c>
      <c r="E913" t="s">
        <v>97</v>
      </c>
      <c r="F913" t="s">
        <v>98</v>
      </c>
      <c r="G913" t="s">
        <v>39</v>
      </c>
      <c r="H913" s="2">
        <v>41</v>
      </c>
      <c r="I913">
        <v>221</v>
      </c>
      <c r="J913">
        <v>906</v>
      </c>
      <c r="K913" s="4">
        <v>444</v>
      </c>
      <c r="L913" t="s">
        <v>17</v>
      </c>
    </row>
    <row r="914" spans="1:12" x14ac:dyDescent="0.35">
      <c r="A914" t="s">
        <v>42</v>
      </c>
      <c r="B914">
        <v>1185732</v>
      </c>
      <c r="C914" s="1">
        <v>44060</v>
      </c>
      <c r="D914" t="s">
        <v>13</v>
      </c>
      <c r="E914" t="s">
        <v>14</v>
      </c>
      <c r="F914" t="s">
        <v>73</v>
      </c>
      <c r="G914" t="s">
        <v>16</v>
      </c>
      <c r="H914" s="2">
        <v>41</v>
      </c>
      <c r="I914">
        <v>221</v>
      </c>
      <c r="J914">
        <v>906</v>
      </c>
      <c r="K914" s="4">
        <v>589</v>
      </c>
      <c r="L914" t="s">
        <v>17</v>
      </c>
    </row>
    <row r="915" spans="1:12" x14ac:dyDescent="0.35">
      <c r="A915" t="s">
        <v>42</v>
      </c>
      <c r="B915">
        <v>1185732</v>
      </c>
      <c r="C915" s="1">
        <v>44393</v>
      </c>
      <c r="D915" t="s">
        <v>19</v>
      </c>
      <c r="E915" t="s">
        <v>37</v>
      </c>
      <c r="F915" t="s">
        <v>38</v>
      </c>
      <c r="G915" t="s">
        <v>26</v>
      </c>
      <c r="H915" s="2">
        <v>58</v>
      </c>
      <c r="I915">
        <v>221</v>
      </c>
      <c r="J915" s="3">
        <v>1282</v>
      </c>
      <c r="K915" s="4">
        <v>654</v>
      </c>
      <c r="L915" t="s">
        <v>17</v>
      </c>
    </row>
    <row r="916" spans="1:12" x14ac:dyDescent="0.35">
      <c r="A916" t="s">
        <v>12</v>
      </c>
      <c r="B916">
        <v>1197831</v>
      </c>
      <c r="C916" s="1">
        <v>44065</v>
      </c>
      <c r="D916" t="s">
        <v>19</v>
      </c>
      <c r="E916" t="s">
        <v>59</v>
      </c>
      <c r="F916" t="s">
        <v>60</v>
      </c>
      <c r="G916" t="s">
        <v>70</v>
      </c>
      <c r="H916" s="2">
        <v>29</v>
      </c>
      <c r="I916">
        <v>221</v>
      </c>
      <c r="J916">
        <v>641</v>
      </c>
      <c r="K916" s="4">
        <v>205</v>
      </c>
      <c r="L916" t="s">
        <v>27</v>
      </c>
    </row>
    <row r="917" spans="1:12" x14ac:dyDescent="0.35">
      <c r="A917" t="s">
        <v>18</v>
      </c>
      <c r="B917">
        <v>1128299</v>
      </c>
      <c r="C917" s="1">
        <v>44230</v>
      </c>
      <c r="D917" t="s">
        <v>48</v>
      </c>
      <c r="E917" t="s">
        <v>66</v>
      </c>
      <c r="F917" t="s">
        <v>67</v>
      </c>
      <c r="G917" t="s">
        <v>70</v>
      </c>
      <c r="H917" s="2">
        <v>50</v>
      </c>
      <c r="I917">
        <v>221</v>
      </c>
      <c r="J917" s="3">
        <v>1105</v>
      </c>
      <c r="K917" s="4">
        <v>519</v>
      </c>
      <c r="L917" t="s">
        <v>27</v>
      </c>
    </row>
    <row r="918" spans="1:12" x14ac:dyDescent="0.35">
      <c r="A918" t="s">
        <v>63</v>
      </c>
      <c r="B918">
        <v>1189833</v>
      </c>
      <c r="C918" s="1">
        <v>44276</v>
      </c>
      <c r="D918" t="s">
        <v>48</v>
      </c>
      <c r="E918" t="s">
        <v>66</v>
      </c>
      <c r="F918" t="s">
        <v>76</v>
      </c>
      <c r="G918" t="s">
        <v>32</v>
      </c>
      <c r="H918" s="2">
        <v>33</v>
      </c>
      <c r="I918">
        <v>221</v>
      </c>
      <c r="J918">
        <v>729</v>
      </c>
      <c r="K918" s="4">
        <v>335</v>
      </c>
      <c r="L918" t="s">
        <v>27</v>
      </c>
    </row>
    <row r="919" spans="1:12" x14ac:dyDescent="0.35">
      <c r="A919" t="s">
        <v>63</v>
      </c>
      <c r="B919">
        <v>1189833</v>
      </c>
      <c r="C919" s="1">
        <v>44300</v>
      </c>
      <c r="D919" t="s">
        <v>48</v>
      </c>
      <c r="E919" t="s">
        <v>66</v>
      </c>
      <c r="F919" t="s">
        <v>76</v>
      </c>
      <c r="G919" t="s">
        <v>39</v>
      </c>
      <c r="H919" s="2">
        <v>34</v>
      </c>
      <c r="I919">
        <v>221</v>
      </c>
      <c r="J919">
        <v>751</v>
      </c>
      <c r="K919" s="4">
        <v>225</v>
      </c>
      <c r="L919" t="s">
        <v>27</v>
      </c>
    </row>
    <row r="920" spans="1:12" x14ac:dyDescent="0.35">
      <c r="A920" t="s">
        <v>63</v>
      </c>
      <c r="B920">
        <v>1189833</v>
      </c>
      <c r="C920" s="1">
        <v>44338</v>
      </c>
      <c r="D920" t="s">
        <v>48</v>
      </c>
      <c r="E920" t="s">
        <v>66</v>
      </c>
      <c r="F920" t="s">
        <v>76</v>
      </c>
      <c r="G920" t="s">
        <v>56</v>
      </c>
      <c r="H920" s="2">
        <v>33</v>
      </c>
      <c r="I920">
        <v>221</v>
      </c>
      <c r="J920">
        <v>729</v>
      </c>
      <c r="K920" s="4">
        <v>306</v>
      </c>
      <c r="L920" t="s">
        <v>27</v>
      </c>
    </row>
    <row r="921" spans="1:12" x14ac:dyDescent="0.35">
      <c r="A921" t="s">
        <v>23</v>
      </c>
      <c r="B921">
        <v>1197831</v>
      </c>
      <c r="C921" s="1">
        <v>44277</v>
      </c>
      <c r="D921" t="s">
        <v>19</v>
      </c>
      <c r="E921" t="s">
        <v>74</v>
      </c>
      <c r="F921" t="s">
        <v>75</v>
      </c>
      <c r="G921" t="s">
        <v>26</v>
      </c>
      <c r="H921" s="2">
        <v>20</v>
      </c>
      <c r="I921">
        <v>221</v>
      </c>
      <c r="J921">
        <v>442</v>
      </c>
      <c r="K921" s="4">
        <v>190</v>
      </c>
      <c r="L921" t="s">
        <v>27</v>
      </c>
    </row>
    <row r="922" spans="1:12" x14ac:dyDescent="0.35">
      <c r="A922" t="s">
        <v>18</v>
      </c>
      <c r="B922">
        <v>1185732</v>
      </c>
      <c r="C922" s="1">
        <v>44208</v>
      </c>
      <c r="D922" t="s">
        <v>13</v>
      </c>
      <c r="E922" t="s">
        <v>14</v>
      </c>
      <c r="F922" t="s">
        <v>15</v>
      </c>
      <c r="G922" t="s">
        <v>39</v>
      </c>
      <c r="H922" s="2">
        <v>36</v>
      </c>
      <c r="I922">
        <v>221</v>
      </c>
      <c r="J922">
        <v>796</v>
      </c>
      <c r="K922" s="4">
        <v>318</v>
      </c>
      <c r="L922" t="s">
        <v>27</v>
      </c>
    </row>
    <row r="923" spans="1:12" x14ac:dyDescent="0.35">
      <c r="A923" t="s">
        <v>18</v>
      </c>
      <c r="B923">
        <v>1185732</v>
      </c>
      <c r="C923" s="1">
        <v>44208</v>
      </c>
      <c r="D923" t="s">
        <v>13</v>
      </c>
      <c r="E923" t="s">
        <v>14</v>
      </c>
      <c r="F923" t="s">
        <v>15</v>
      </c>
      <c r="G923" t="s">
        <v>16</v>
      </c>
      <c r="H923" s="2">
        <v>35</v>
      </c>
      <c r="I923">
        <v>221</v>
      </c>
      <c r="J923">
        <v>774</v>
      </c>
      <c r="K923" s="4">
        <v>425</v>
      </c>
      <c r="L923" t="s">
        <v>27</v>
      </c>
    </row>
    <row r="924" spans="1:12" x14ac:dyDescent="0.35">
      <c r="A924" t="s">
        <v>42</v>
      </c>
      <c r="B924">
        <v>1128299</v>
      </c>
      <c r="C924" s="1">
        <v>44371</v>
      </c>
      <c r="D924" t="s">
        <v>13</v>
      </c>
      <c r="E924" t="s">
        <v>99</v>
      </c>
      <c r="F924" t="s">
        <v>100</v>
      </c>
      <c r="G924" t="s">
        <v>39</v>
      </c>
      <c r="H924" s="2">
        <v>45</v>
      </c>
      <c r="I924">
        <v>221</v>
      </c>
      <c r="J924">
        <v>995</v>
      </c>
      <c r="K924" s="4">
        <v>408</v>
      </c>
      <c r="L924" t="s">
        <v>27</v>
      </c>
    </row>
    <row r="925" spans="1:12" x14ac:dyDescent="0.35">
      <c r="A925" t="s">
        <v>42</v>
      </c>
      <c r="B925">
        <v>1128299</v>
      </c>
      <c r="C925" s="1">
        <v>44524</v>
      </c>
      <c r="D925" t="s">
        <v>13</v>
      </c>
      <c r="E925" t="s">
        <v>99</v>
      </c>
      <c r="F925" t="s">
        <v>100</v>
      </c>
      <c r="G925" t="s">
        <v>39</v>
      </c>
      <c r="H925" s="2">
        <v>34</v>
      </c>
      <c r="I925">
        <v>221</v>
      </c>
      <c r="J925">
        <v>751</v>
      </c>
      <c r="K925" s="4">
        <v>278</v>
      </c>
      <c r="L925" t="s">
        <v>27</v>
      </c>
    </row>
    <row r="926" spans="1:12" x14ac:dyDescent="0.35">
      <c r="A926" t="s">
        <v>18</v>
      </c>
      <c r="B926">
        <v>1128299</v>
      </c>
      <c r="C926" s="1">
        <v>44400</v>
      </c>
      <c r="D926" t="s">
        <v>48</v>
      </c>
      <c r="E926" t="s">
        <v>85</v>
      </c>
      <c r="F926" t="s">
        <v>86</v>
      </c>
      <c r="G926" t="s">
        <v>32</v>
      </c>
      <c r="H926" s="2">
        <v>66</v>
      </c>
      <c r="I926">
        <v>221</v>
      </c>
      <c r="J926" s="3">
        <v>1459</v>
      </c>
      <c r="K926" s="4">
        <v>613</v>
      </c>
      <c r="L926" t="s">
        <v>27</v>
      </c>
    </row>
    <row r="927" spans="1:12" x14ac:dyDescent="0.35">
      <c r="A927" t="s">
        <v>18</v>
      </c>
      <c r="B927">
        <v>1128299</v>
      </c>
      <c r="C927" s="1">
        <v>44393</v>
      </c>
      <c r="D927" t="s">
        <v>19</v>
      </c>
      <c r="E927" t="s">
        <v>20</v>
      </c>
      <c r="F927" t="s">
        <v>21</v>
      </c>
      <c r="G927" t="s">
        <v>70</v>
      </c>
      <c r="H927" s="2">
        <v>73</v>
      </c>
      <c r="I927">
        <v>221</v>
      </c>
      <c r="J927" s="3">
        <v>1613</v>
      </c>
      <c r="K927" s="4">
        <v>791</v>
      </c>
      <c r="L927" t="s">
        <v>27</v>
      </c>
    </row>
    <row r="928" spans="1:12" x14ac:dyDescent="0.35">
      <c r="A928" t="s">
        <v>12</v>
      </c>
      <c r="B928">
        <v>1197831</v>
      </c>
      <c r="C928" s="1">
        <v>44458</v>
      </c>
      <c r="D928" t="s">
        <v>19</v>
      </c>
      <c r="E928" t="s">
        <v>54</v>
      </c>
      <c r="F928" t="s">
        <v>55</v>
      </c>
      <c r="G928" t="s">
        <v>26</v>
      </c>
      <c r="H928" s="2">
        <v>35</v>
      </c>
      <c r="I928">
        <v>221</v>
      </c>
      <c r="J928">
        <v>774</v>
      </c>
      <c r="K928" s="4">
        <v>333</v>
      </c>
      <c r="L928" t="s">
        <v>27</v>
      </c>
    </row>
    <row r="929" spans="1:12" x14ac:dyDescent="0.35">
      <c r="A929" t="s">
        <v>42</v>
      </c>
      <c r="B929">
        <v>1197831</v>
      </c>
      <c r="C929" s="1">
        <v>44513</v>
      </c>
      <c r="D929" t="s">
        <v>33</v>
      </c>
      <c r="E929" t="s">
        <v>71</v>
      </c>
      <c r="F929" t="s">
        <v>72</v>
      </c>
      <c r="G929" t="s">
        <v>32</v>
      </c>
      <c r="H929" s="2">
        <v>25</v>
      </c>
      <c r="I929">
        <v>220</v>
      </c>
      <c r="J929" s="3">
        <v>5500</v>
      </c>
      <c r="K929" s="4">
        <v>1925</v>
      </c>
      <c r="L929" t="s">
        <v>17</v>
      </c>
    </row>
    <row r="930" spans="1:12" x14ac:dyDescent="0.35">
      <c r="A930" t="s">
        <v>18</v>
      </c>
      <c r="B930">
        <v>1185732</v>
      </c>
      <c r="C930" s="1">
        <v>44506</v>
      </c>
      <c r="D930" t="s">
        <v>33</v>
      </c>
      <c r="E930" t="s">
        <v>91</v>
      </c>
      <c r="F930" t="s">
        <v>92</v>
      </c>
      <c r="G930" t="s">
        <v>32</v>
      </c>
      <c r="H930" s="2">
        <v>35</v>
      </c>
      <c r="I930">
        <v>220</v>
      </c>
      <c r="J930" s="3">
        <v>7700</v>
      </c>
      <c r="K930" s="4">
        <v>2310</v>
      </c>
      <c r="L930" t="s">
        <v>36</v>
      </c>
    </row>
    <row r="931" spans="1:12" x14ac:dyDescent="0.35">
      <c r="A931" t="s">
        <v>18</v>
      </c>
      <c r="B931">
        <v>1128299</v>
      </c>
      <c r="C931" s="1">
        <v>44207</v>
      </c>
      <c r="D931" t="s">
        <v>48</v>
      </c>
      <c r="E931" t="s">
        <v>66</v>
      </c>
      <c r="F931" t="s">
        <v>67</v>
      </c>
      <c r="G931" t="s">
        <v>16</v>
      </c>
      <c r="H931" s="2">
        <v>72</v>
      </c>
      <c r="I931">
        <v>219</v>
      </c>
      <c r="J931" s="3">
        <v>1577</v>
      </c>
      <c r="K931" s="4">
        <v>552</v>
      </c>
      <c r="L931" t="s">
        <v>17</v>
      </c>
    </row>
    <row r="932" spans="1:12" x14ac:dyDescent="0.35">
      <c r="A932" t="s">
        <v>18</v>
      </c>
      <c r="B932">
        <v>1128299</v>
      </c>
      <c r="C932" s="1">
        <v>44227</v>
      </c>
      <c r="D932" t="s">
        <v>48</v>
      </c>
      <c r="E932" t="s">
        <v>66</v>
      </c>
      <c r="F932" t="s">
        <v>67</v>
      </c>
      <c r="G932" t="s">
        <v>39</v>
      </c>
      <c r="H932" s="2">
        <v>59</v>
      </c>
      <c r="I932">
        <v>219</v>
      </c>
      <c r="J932" s="3">
        <v>1292</v>
      </c>
      <c r="K932" s="4">
        <v>375</v>
      </c>
      <c r="L932" t="s">
        <v>17</v>
      </c>
    </row>
    <row r="933" spans="1:12" x14ac:dyDescent="0.35">
      <c r="A933" t="s">
        <v>42</v>
      </c>
      <c r="B933">
        <v>1185732</v>
      </c>
      <c r="C933" s="1">
        <v>43975</v>
      </c>
      <c r="D933" t="s">
        <v>13</v>
      </c>
      <c r="E933" t="s">
        <v>14</v>
      </c>
      <c r="F933" t="s">
        <v>73</v>
      </c>
      <c r="G933" t="s">
        <v>16</v>
      </c>
      <c r="H933" s="2">
        <v>64</v>
      </c>
      <c r="I933">
        <v>219</v>
      </c>
      <c r="J933" s="3">
        <v>1402</v>
      </c>
      <c r="K933" s="4">
        <v>883</v>
      </c>
      <c r="L933" t="s">
        <v>17</v>
      </c>
    </row>
    <row r="934" spans="1:12" x14ac:dyDescent="0.35">
      <c r="A934" t="s">
        <v>42</v>
      </c>
      <c r="B934">
        <v>1185732</v>
      </c>
      <c r="C934" s="1">
        <v>44535</v>
      </c>
      <c r="D934" t="s">
        <v>13</v>
      </c>
      <c r="E934" t="s">
        <v>69</v>
      </c>
      <c r="F934" t="s">
        <v>65</v>
      </c>
      <c r="G934" t="s">
        <v>39</v>
      </c>
      <c r="H934" s="2">
        <v>58</v>
      </c>
      <c r="I934">
        <v>219</v>
      </c>
      <c r="J934" s="3">
        <v>1270</v>
      </c>
      <c r="K934" s="4">
        <v>572</v>
      </c>
      <c r="L934" t="s">
        <v>17</v>
      </c>
    </row>
    <row r="935" spans="1:12" x14ac:dyDescent="0.35">
      <c r="A935" t="s">
        <v>18</v>
      </c>
      <c r="B935">
        <v>1128299</v>
      </c>
      <c r="C935" s="1">
        <v>44139</v>
      </c>
      <c r="D935" t="s">
        <v>19</v>
      </c>
      <c r="E935" t="s">
        <v>59</v>
      </c>
      <c r="F935" t="s">
        <v>60</v>
      </c>
      <c r="G935" t="s">
        <v>56</v>
      </c>
      <c r="H935" s="2">
        <v>35</v>
      </c>
      <c r="I935">
        <v>219</v>
      </c>
      <c r="J935">
        <v>767</v>
      </c>
      <c r="K935" s="4">
        <v>276</v>
      </c>
      <c r="L935" t="s">
        <v>27</v>
      </c>
    </row>
    <row r="936" spans="1:12" x14ac:dyDescent="0.35">
      <c r="A936" t="s">
        <v>63</v>
      </c>
      <c r="B936">
        <v>1189833</v>
      </c>
      <c r="C936" s="1">
        <v>44345</v>
      </c>
      <c r="D936" t="s">
        <v>48</v>
      </c>
      <c r="E936" t="s">
        <v>66</v>
      </c>
      <c r="F936" t="s">
        <v>76</v>
      </c>
      <c r="G936" t="s">
        <v>70</v>
      </c>
      <c r="H936" s="2">
        <v>43</v>
      </c>
      <c r="I936">
        <v>219</v>
      </c>
      <c r="J936">
        <v>942</v>
      </c>
      <c r="K936" s="4">
        <v>584</v>
      </c>
      <c r="L936" t="s">
        <v>27</v>
      </c>
    </row>
    <row r="937" spans="1:12" x14ac:dyDescent="0.35">
      <c r="A937" t="s">
        <v>23</v>
      </c>
      <c r="B937">
        <v>1197831</v>
      </c>
      <c r="C937" s="1">
        <v>44474</v>
      </c>
      <c r="D937" t="s">
        <v>19</v>
      </c>
      <c r="E937" t="s">
        <v>59</v>
      </c>
      <c r="F937" t="s">
        <v>68</v>
      </c>
      <c r="G937" t="s">
        <v>39</v>
      </c>
      <c r="H937" s="2">
        <v>29</v>
      </c>
      <c r="I937">
        <v>219</v>
      </c>
      <c r="J937">
        <v>635</v>
      </c>
      <c r="K937" s="4">
        <v>298</v>
      </c>
      <c r="L937" t="s">
        <v>27</v>
      </c>
    </row>
    <row r="938" spans="1:12" x14ac:dyDescent="0.35">
      <c r="A938" t="s">
        <v>23</v>
      </c>
      <c r="B938">
        <v>1197831</v>
      </c>
      <c r="C938" s="1">
        <v>44272</v>
      </c>
      <c r="D938" t="s">
        <v>19</v>
      </c>
      <c r="E938" t="s">
        <v>74</v>
      </c>
      <c r="F938" t="s">
        <v>75</v>
      </c>
      <c r="G938" t="s">
        <v>39</v>
      </c>
      <c r="H938" s="2">
        <v>23</v>
      </c>
      <c r="I938">
        <v>219</v>
      </c>
      <c r="J938">
        <v>504</v>
      </c>
      <c r="K938" s="4">
        <v>196</v>
      </c>
      <c r="L938" t="s">
        <v>27</v>
      </c>
    </row>
    <row r="939" spans="1:12" x14ac:dyDescent="0.35">
      <c r="A939" t="s">
        <v>23</v>
      </c>
      <c r="B939">
        <v>1197831</v>
      </c>
      <c r="C939" s="1">
        <v>44318</v>
      </c>
      <c r="D939" t="s">
        <v>19</v>
      </c>
      <c r="E939" t="s">
        <v>74</v>
      </c>
      <c r="F939" t="s">
        <v>75</v>
      </c>
      <c r="G939" t="s">
        <v>16</v>
      </c>
      <c r="H939" s="2">
        <v>30</v>
      </c>
      <c r="I939">
        <v>219</v>
      </c>
      <c r="J939">
        <v>657</v>
      </c>
      <c r="K939" s="4">
        <v>407</v>
      </c>
      <c r="L939" t="s">
        <v>27</v>
      </c>
    </row>
    <row r="940" spans="1:12" x14ac:dyDescent="0.35">
      <c r="A940" t="s">
        <v>18</v>
      </c>
      <c r="B940">
        <v>1128299</v>
      </c>
      <c r="C940" s="1">
        <v>44517</v>
      </c>
      <c r="D940" t="s">
        <v>19</v>
      </c>
      <c r="E940" t="s">
        <v>20</v>
      </c>
      <c r="F940" t="s">
        <v>21</v>
      </c>
      <c r="G940" t="s">
        <v>26</v>
      </c>
      <c r="H940" s="2">
        <v>28</v>
      </c>
      <c r="I940">
        <v>219</v>
      </c>
      <c r="J940">
        <v>613</v>
      </c>
      <c r="K940" s="4">
        <v>288</v>
      </c>
      <c r="L940" t="s">
        <v>27</v>
      </c>
    </row>
    <row r="941" spans="1:12" x14ac:dyDescent="0.35">
      <c r="A941" t="s">
        <v>23</v>
      </c>
      <c r="B941">
        <v>1197831</v>
      </c>
      <c r="C941" s="1">
        <v>44444</v>
      </c>
      <c r="D941" t="s">
        <v>48</v>
      </c>
      <c r="E941" t="s">
        <v>79</v>
      </c>
      <c r="F941" t="s">
        <v>80</v>
      </c>
      <c r="G941" t="s">
        <v>39</v>
      </c>
      <c r="H941" s="2">
        <v>38</v>
      </c>
      <c r="I941">
        <v>219</v>
      </c>
      <c r="J941">
        <v>832</v>
      </c>
      <c r="K941" s="4">
        <v>358</v>
      </c>
      <c r="L941" t="s">
        <v>27</v>
      </c>
    </row>
    <row r="942" spans="1:12" x14ac:dyDescent="0.35">
      <c r="A942" t="s">
        <v>42</v>
      </c>
      <c r="B942">
        <v>1185732</v>
      </c>
      <c r="C942" s="1">
        <v>44365</v>
      </c>
      <c r="D942" t="s">
        <v>19</v>
      </c>
      <c r="E942" t="s">
        <v>37</v>
      </c>
      <c r="F942" t="s">
        <v>38</v>
      </c>
      <c r="G942" t="s">
        <v>16</v>
      </c>
      <c r="H942" s="2">
        <v>51</v>
      </c>
      <c r="I942">
        <v>219</v>
      </c>
      <c r="J942" s="3">
        <v>1117</v>
      </c>
      <c r="K942" s="4">
        <v>592</v>
      </c>
      <c r="L942" t="s">
        <v>27</v>
      </c>
    </row>
    <row r="943" spans="1:12" x14ac:dyDescent="0.35">
      <c r="A943" t="s">
        <v>18</v>
      </c>
      <c r="B943">
        <v>1128299</v>
      </c>
      <c r="C943" s="1">
        <v>44198</v>
      </c>
      <c r="D943" t="s">
        <v>48</v>
      </c>
      <c r="E943" t="s">
        <v>66</v>
      </c>
      <c r="F943" t="s">
        <v>67</v>
      </c>
      <c r="G943" t="s">
        <v>32</v>
      </c>
      <c r="H943" s="2">
        <v>60</v>
      </c>
      <c r="I943">
        <v>218</v>
      </c>
      <c r="J943" s="3">
        <v>1308</v>
      </c>
      <c r="K943" s="4">
        <v>667</v>
      </c>
      <c r="L943" t="s">
        <v>17</v>
      </c>
    </row>
    <row r="944" spans="1:12" x14ac:dyDescent="0.35">
      <c r="A944" t="s">
        <v>18</v>
      </c>
      <c r="B944">
        <v>1128299</v>
      </c>
      <c r="C944" s="1">
        <v>44211</v>
      </c>
      <c r="D944" t="s">
        <v>48</v>
      </c>
      <c r="E944" t="s">
        <v>66</v>
      </c>
      <c r="F944" t="s">
        <v>67</v>
      </c>
      <c r="G944" t="s">
        <v>56</v>
      </c>
      <c r="H944" s="2">
        <v>55</v>
      </c>
      <c r="I944">
        <v>218</v>
      </c>
      <c r="J944" s="3">
        <v>1199</v>
      </c>
      <c r="K944" s="4">
        <v>480</v>
      </c>
      <c r="L944" t="s">
        <v>17</v>
      </c>
    </row>
    <row r="945" spans="1:12" x14ac:dyDescent="0.35">
      <c r="A945" t="s">
        <v>18</v>
      </c>
      <c r="B945">
        <v>1128299</v>
      </c>
      <c r="C945" s="1">
        <v>44224</v>
      </c>
      <c r="D945" t="s">
        <v>48</v>
      </c>
      <c r="E945" t="s">
        <v>66</v>
      </c>
      <c r="F945" t="s">
        <v>67</v>
      </c>
      <c r="G945" t="s">
        <v>70</v>
      </c>
      <c r="H945" s="2">
        <v>63</v>
      </c>
      <c r="I945">
        <v>218</v>
      </c>
      <c r="J945" s="3">
        <v>1373</v>
      </c>
      <c r="K945" s="4">
        <v>797</v>
      </c>
      <c r="L945" t="s">
        <v>17</v>
      </c>
    </row>
    <row r="946" spans="1:12" x14ac:dyDescent="0.35">
      <c r="A946" t="s">
        <v>63</v>
      </c>
      <c r="B946">
        <v>1189833</v>
      </c>
      <c r="C946" s="1">
        <v>44313</v>
      </c>
      <c r="D946" t="s">
        <v>48</v>
      </c>
      <c r="E946" t="s">
        <v>66</v>
      </c>
      <c r="F946" t="s">
        <v>76</v>
      </c>
      <c r="G946" t="s">
        <v>32</v>
      </c>
      <c r="H946" s="2">
        <v>47</v>
      </c>
      <c r="I946">
        <v>218</v>
      </c>
      <c r="J946" s="3">
        <v>1025</v>
      </c>
      <c r="K946" s="4">
        <v>533</v>
      </c>
      <c r="L946" t="s">
        <v>17</v>
      </c>
    </row>
    <row r="947" spans="1:12" x14ac:dyDescent="0.35">
      <c r="A947" t="s">
        <v>63</v>
      </c>
      <c r="B947">
        <v>1189833</v>
      </c>
      <c r="C947" s="1">
        <v>44319</v>
      </c>
      <c r="D947" t="s">
        <v>48</v>
      </c>
      <c r="E947" t="s">
        <v>66</v>
      </c>
      <c r="F947" t="s">
        <v>76</v>
      </c>
      <c r="G947" t="s">
        <v>32</v>
      </c>
      <c r="H947" s="2">
        <v>48</v>
      </c>
      <c r="I947">
        <v>218</v>
      </c>
      <c r="J947" s="3">
        <v>1046</v>
      </c>
      <c r="K947" s="4">
        <v>534</v>
      </c>
      <c r="L947" t="s">
        <v>17</v>
      </c>
    </row>
    <row r="948" spans="1:12" x14ac:dyDescent="0.35">
      <c r="A948" t="s">
        <v>23</v>
      </c>
      <c r="B948">
        <v>1197831</v>
      </c>
      <c r="C948" s="1">
        <v>44480</v>
      </c>
      <c r="D948" t="s">
        <v>19</v>
      </c>
      <c r="E948" t="s">
        <v>59</v>
      </c>
      <c r="F948" t="s">
        <v>68</v>
      </c>
      <c r="G948" t="s">
        <v>39</v>
      </c>
      <c r="H948" s="2">
        <v>37</v>
      </c>
      <c r="I948">
        <v>218</v>
      </c>
      <c r="J948">
        <v>807</v>
      </c>
      <c r="K948" s="4">
        <v>403</v>
      </c>
      <c r="L948" t="s">
        <v>17</v>
      </c>
    </row>
    <row r="949" spans="1:12" x14ac:dyDescent="0.35">
      <c r="A949" t="s">
        <v>18</v>
      </c>
      <c r="B949">
        <v>1128299</v>
      </c>
      <c r="C949" s="1">
        <v>43868</v>
      </c>
      <c r="D949" t="s">
        <v>48</v>
      </c>
      <c r="E949" t="s">
        <v>116</v>
      </c>
      <c r="F949" t="s">
        <v>117</v>
      </c>
      <c r="G949" t="s">
        <v>26</v>
      </c>
      <c r="H949" s="2">
        <v>58</v>
      </c>
      <c r="I949">
        <v>218</v>
      </c>
      <c r="J949" s="3">
        <v>1264</v>
      </c>
      <c r="K949" s="4">
        <v>670</v>
      </c>
      <c r="L949" t="s">
        <v>17</v>
      </c>
    </row>
    <row r="950" spans="1:12" x14ac:dyDescent="0.35">
      <c r="A950" t="s">
        <v>42</v>
      </c>
      <c r="B950">
        <v>1185732</v>
      </c>
      <c r="C950" s="1">
        <v>44059</v>
      </c>
      <c r="D950" t="s">
        <v>13</v>
      </c>
      <c r="E950" t="s">
        <v>14</v>
      </c>
      <c r="F950" t="s">
        <v>73</v>
      </c>
      <c r="G950" t="s">
        <v>70</v>
      </c>
      <c r="H950" s="2">
        <v>53</v>
      </c>
      <c r="I950">
        <v>218</v>
      </c>
      <c r="J950" s="3">
        <v>1155</v>
      </c>
      <c r="K950" s="4">
        <v>555</v>
      </c>
      <c r="L950" t="s">
        <v>17</v>
      </c>
    </row>
    <row r="951" spans="1:12" x14ac:dyDescent="0.35">
      <c r="A951" t="s">
        <v>23</v>
      </c>
      <c r="B951">
        <v>1197831</v>
      </c>
      <c r="C951" s="1">
        <v>44290</v>
      </c>
      <c r="D951" t="s">
        <v>19</v>
      </c>
      <c r="E951" t="s">
        <v>74</v>
      </c>
      <c r="F951" t="s">
        <v>75</v>
      </c>
      <c r="G951" t="s">
        <v>39</v>
      </c>
      <c r="H951" s="2">
        <v>23</v>
      </c>
      <c r="I951">
        <v>218</v>
      </c>
      <c r="J951">
        <v>501</v>
      </c>
      <c r="K951" s="4">
        <v>251</v>
      </c>
      <c r="L951" t="s">
        <v>17</v>
      </c>
    </row>
    <row r="952" spans="1:12" x14ac:dyDescent="0.35">
      <c r="A952" t="s">
        <v>42</v>
      </c>
      <c r="B952">
        <v>1128299</v>
      </c>
      <c r="C952" s="1">
        <v>44418</v>
      </c>
      <c r="D952" t="s">
        <v>48</v>
      </c>
      <c r="E952" t="s">
        <v>129</v>
      </c>
      <c r="F952" t="s">
        <v>130</v>
      </c>
      <c r="G952" t="s">
        <v>39</v>
      </c>
      <c r="H952" s="2">
        <v>71</v>
      </c>
      <c r="I952">
        <v>218</v>
      </c>
      <c r="J952" s="3">
        <v>1548</v>
      </c>
      <c r="K952" s="4">
        <v>526</v>
      </c>
      <c r="L952" t="s">
        <v>17</v>
      </c>
    </row>
    <row r="953" spans="1:12" x14ac:dyDescent="0.35">
      <c r="A953" t="s">
        <v>18</v>
      </c>
      <c r="B953">
        <v>1185732</v>
      </c>
      <c r="C953" s="1">
        <v>44417</v>
      </c>
      <c r="D953" t="s">
        <v>43</v>
      </c>
      <c r="E953" t="s">
        <v>44</v>
      </c>
      <c r="F953" t="s">
        <v>101</v>
      </c>
      <c r="G953" t="s">
        <v>16</v>
      </c>
      <c r="H953" s="2">
        <v>55</v>
      </c>
      <c r="I953">
        <v>218</v>
      </c>
      <c r="J953" s="3">
        <v>1199</v>
      </c>
      <c r="K953" s="4">
        <v>719</v>
      </c>
      <c r="L953" t="s">
        <v>17</v>
      </c>
    </row>
    <row r="954" spans="1:12" x14ac:dyDescent="0.35">
      <c r="A954" t="s">
        <v>63</v>
      </c>
      <c r="B954">
        <v>1185732</v>
      </c>
      <c r="C954" s="1">
        <v>44511</v>
      </c>
      <c r="D954" t="s">
        <v>48</v>
      </c>
      <c r="E954" t="s">
        <v>102</v>
      </c>
      <c r="F954" t="s">
        <v>103</v>
      </c>
      <c r="G954" t="s">
        <v>26</v>
      </c>
      <c r="H954" s="2">
        <v>53</v>
      </c>
      <c r="I954">
        <v>218</v>
      </c>
      <c r="J954" s="3">
        <v>1155</v>
      </c>
      <c r="K954" s="4">
        <v>705</v>
      </c>
      <c r="L954" t="s">
        <v>17</v>
      </c>
    </row>
    <row r="955" spans="1:12" x14ac:dyDescent="0.35">
      <c r="A955" t="s">
        <v>18</v>
      </c>
      <c r="B955">
        <v>1185732</v>
      </c>
      <c r="C955" s="1">
        <v>44238</v>
      </c>
      <c r="D955" t="s">
        <v>33</v>
      </c>
      <c r="E955" t="s">
        <v>34</v>
      </c>
      <c r="F955" t="s">
        <v>35</v>
      </c>
      <c r="G955" t="s">
        <v>26</v>
      </c>
      <c r="H955" s="2">
        <v>25</v>
      </c>
      <c r="I955">
        <v>218</v>
      </c>
      <c r="J955">
        <v>545</v>
      </c>
      <c r="K955" s="4">
        <v>289</v>
      </c>
      <c r="L955" t="s">
        <v>17</v>
      </c>
    </row>
    <row r="956" spans="1:12" x14ac:dyDescent="0.35">
      <c r="A956" t="s">
        <v>18</v>
      </c>
      <c r="B956">
        <v>1128299</v>
      </c>
      <c r="C956" s="1">
        <v>44553</v>
      </c>
      <c r="D956" t="s">
        <v>48</v>
      </c>
      <c r="E956" t="s">
        <v>85</v>
      </c>
      <c r="F956" t="s">
        <v>86</v>
      </c>
      <c r="G956" t="s">
        <v>39</v>
      </c>
      <c r="H956" s="2">
        <v>72</v>
      </c>
      <c r="I956">
        <v>218</v>
      </c>
      <c r="J956" s="3">
        <v>1570</v>
      </c>
      <c r="K956" s="4">
        <v>738</v>
      </c>
      <c r="L956" t="s">
        <v>17</v>
      </c>
    </row>
    <row r="957" spans="1:12" x14ac:dyDescent="0.35">
      <c r="A957" t="s">
        <v>18</v>
      </c>
      <c r="B957">
        <v>1197831</v>
      </c>
      <c r="C957" s="1">
        <v>44321</v>
      </c>
      <c r="D957" t="s">
        <v>48</v>
      </c>
      <c r="E957" t="s">
        <v>79</v>
      </c>
      <c r="F957" t="s">
        <v>80</v>
      </c>
      <c r="G957" t="s">
        <v>16</v>
      </c>
      <c r="H957" s="2">
        <v>42</v>
      </c>
      <c r="I957">
        <v>218</v>
      </c>
      <c r="J957">
        <v>916</v>
      </c>
      <c r="K957" s="4">
        <v>577</v>
      </c>
      <c r="L957" t="s">
        <v>17</v>
      </c>
    </row>
    <row r="958" spans="1:12" x14ac:dyDescent="0.35">
      <c r="A958" t="s">
        <v>42</v>
      </c>
      <c r="B958">
        <v>1185732</v>
      </c>
      <c r="C958" s="1">
        <v>44234</v>
      </c>
      <c r="D958" t="s">
        <v>13</v>
      </c>
      <c r="E958" t="s">
        <v>57</v>
      </c>
      <c r="F958" t="s">
        <v>58</v>
      </c>
      <c r="G958" t="s">
        <v>39</v>
      </c>
      <c r="H958" s="2">
        <v>39</v>
      </c>
      <c r="I958">
        <v>218</v>
      </c>
      <c r="J958">
        <v>850</v>
      </c>
      <c r="K958" s="4">
        <v>391</v>
      </c>
      <c r="L958" t="s">
        <v>17</v>
      </c>
    </row>
    <row r="959" spans="1:12" x14ac:dyDescent="0.35">
      <c r="A959" t="s">
        <v>42</v>
      </c>
      <c r="B959">
        <v>1185732</v>
      </c>
      <c r="C959" s="1">
        <v>44354</v>
      </c>
      <c r="D959" t="s">
        <v>13</v>
      </c>
      <c r="E959" t="s">
        <v>69</v>
      </c>
      <c r="F959" t="s">
        <v>65</v>
      </c>
      <c r="G959" t="s">
        <v>56</v>
      </c>
      <c r="H959" s="2">
        <v>47</v>
      </c>
      <c r="I959">
        <v>218</v>
      </c>
      <c r="J959" s="3">
        <v>1025</v>
      </c>
      <c r="K959" s="4">
        <v>461</v>
      </c>
      <c r="L959" t="s">
        <v>17</v>
      </c>
    </row>
    <row r="960" spans="1:12" x14ac:dyDescent="0.35">
      <c r="A960" t="s">
        <v>51</v>
      </c>
      <c r="B960">
        <v>1185732</v>
      </c>
      <c r="C960" s="1">
        <v>44532</v>
      </c>
      <c r="D960" t="s">
        <v>13</v>
      </c>
      <c r="E960" t="s">
        <v>77</v>
      </c>
      <c r="F960" t="s">
        <v>78</v>
      </c>
      <c r="G960" t="s">
        <v>32</v>
      </c>
      <c r="H960" s="2">
        <v>55</v>
      </c>
      <c r="I960">
        <v>218</v>
      </c>
      <c r="J960" s="3">
        <v>1199</v>
      </c>
      <c r="K960" s="4">
        <v>611</v>
      </c>
      <c r="L960" t="s">
        <v>17</v>
      </c>
    </row>
    <row r="961" spans="1:12" x14ac:dyDescent="0.35">
      <c r="A961" t="s">
        <v>51</v>
      </c>
      <c r="B961">
        <v>1185732</v>
      </c>
      <c r="C961" s="1">
        <v>44296</v>
      </c>
      <c r="D961" t="s">
        <v>33</v>
      </c>
      <c r="E961" t="s">
        <v>52</v>
      </c>
      <c r="F961" t="s">
        <v>53</v>
      </c>
      <c r="G961" t="s">
        <v>26</v>
      </c>
      <c r="H961" s="2">
        <v>28</v>
      </c>
      <c r="I961">
        <v>218</v>
      </c>
      <c r="J961">
        <v>610</v>
      </c>
      <c r="K961" s="4">
        <v>336</v>
      </c>
      <c r="L961" t="s">
        <v>17</v>
      </c>
    </row>
    <row r="962" spans="1:12" x14ac:dyDescent="0.35">
      <c r="A962" t="s">
        <v>23</v>
      </c>
      <c r="B962">
        <v>1197831</v>
      </c>
      <c r="C962" s="1">
        <v>44480</v>
      </c>
      <c r="D962" t="s">
        <v>19</v>
      </c>
      <c r="E962" t="s">
        <v>59</v>
      </c>
      <c r="F962" t="s">
        <v>68</v>
      </c>
      <c r="G962" t="s">
        <v>39</v>
      </c>
      <c r="H962" s="2">
        <v>27</v>
      </c>
      <c r="I962">
        <v>218</v>
      </c>
      <c r="J962">
        <v>589</v>
      </c>
      <c r="K962" s="4">
        <v>265</v>
      </c>
      <c r="L962" t="s">
        <v>27</v>
      </c>
    </row>
    <row r="963" spans="1:12" x14ac:dyDescent="0.35">
      <c r="A963" t="s">
        <v>23</v>
      </c>
      <c r="B963">
        <v>1197831</v>
      </c>
      <c r="C963" s="1">
        <v>44434</v>
      </c>
      <c r="D963" t="s">
        <v>19</v>
      </c>
      <c r="E963" t="s">
        <v>24</v>
      </c>
      <c r="F963" t="s">
        <v>25</v>
      </c>
      <c r="G963" t="s">
        <v>39</v>
      </c>
      <c r="H963" s="2">
        <v>16</v>
      </c>
      <c r="I963">
        <v>218</v>
      </c>
      <c r="J963">
        <v>349</v>
      </c>
      <c r="K963" s="4">
        <v>171</v>
      </c>
      <c r="L963" t="s">
        <v>27</v>
      </c>
    </row>
    <row r="964" spans="1:12" x14ac:dyDescent="0.35">
      <c r="A964" t="s">
        <v>23</v>
      </c>
      <c r="B964">
        <v>1128299</v>
      </c>
      <c r="C964" s="1">
        <v>44389</v>
      </c>
      <c r="D964" t="s">
        <v>13</v>
      </c>
      <c r="E964" t="s">
        <v>57</v>
      </c>
      <c r="F964" t="s">
        <v>58</v>
      </c>
      <c r="G964" t="s">
        <v>26</v>
      </c>
      <c r="H964" s="2">
        <v>37</v>
      </c>
      <c r="I964">
        <v>218</v>
      </c>
      <c r="J964">
        <v>807</v>
      </c>
      <c r="K964" s="4">
        <v>371</v>
      </c>
      <c r="L964" t="s">
        <v>27</v>
      </c>
    </row>
    <row r="965" spans="1:12" x14ac:dyDescent="0.35">
      <c r="A965" t="s">
        <v>18</v>
      </c>
      <c r="B965">
        <v>1128299</v>
      </c>
      <c r="C965" s="1">
        <v>44138</v>
      </c>
      <c r="D965" t="s">
        <v>19</v>
      </c>
      <c r="E965" t="s">
        <v>59</v>
      </c>
      <c r="F965" t="s">
        <v>60</v>
      </c>
      <c r="G965" t="s">
        <v>32</v>
      </c>
      <c r="H965" s="2">
        <v>46</v>
      </c>
      <c r="I965">
        <v>217</v>
      </c>
      <c r="J965">
        <v>998</v>
      </c>
      <c r="K965" s="4">
        <v>449</v>
      </c>
      <c r="L965" t="s">
        <v>17</v>
      </c>
    </row>
    <row r="966" spans="1:12" x14ac:dyDescent="0.35">
      <c r="A966" t="s">
        <v>18</v>
      </c>
      <c r="B966">
        <v>1128299</v>
      </c>
      <c r="C966" s="1">
        <v>44225</v>
      </c>
      <c r="D966" t="s">
        <v>48</v>
      </c>
      <c r="E966" t="s">
        <v>66</v>
      </c>
      <c r="F966" t="s">
        <v>67</v>
      </c>
      <c r="G966" t="s">
        <v>16</v>
      </c>
      <c r="H966" s="2">
        <v>65</v>
      </c>
      <c r="I966">
        <v>217</v>
      </c>
      <c r="J966" s="3">
        <v>1411</v>
      </c>
      <c r="K966" s="4">
        <v>339</v>
      </c>
      <c r="L966" t="s">
        <v>17</v>
      </c>
    </row>
    <row r="967" spans="1:12" x14ac:dyDescent="0.35">
      <c r="A967" t="s">
        <v>18</v>
      </c>
      <c r="B967">
        <v>1128299</v>
      </c>
      <c r="C967" s="1">
        <v>44019</v>
      </c>
      <c r="D967" t="s">
        <v>48</v>
      </c>
      <c r="E967" t="s">
        <v>97</v>
      </c>
      <c r="F967" t="s">
        <v>98</v>
      </c>
      <c r="G967" t="s">
        <v>26</v>
      </c>
      <c r="H967" s="2">
        <v>80</v>
      </c>
      <c r="I967">
        <v>217</v>
      </c>
      <c r="J967" s="3">
        <v>1736</v>
      </c>
      <c r="K967" s="4">
        <v>781</v>
      </c>
      <c r="L967" t="s">
        <v>17</v>
      </c>
    </row>
    <row r="968" spans="1:12" x14ac:dyDescent="0.35">
      <c r="A968" t="s">
        <v>42</v>
      </c>
      <c r="B968">
        <v>1185732</v>
      </c>
      <c r="C968" s="1">
        <v>44063</v>
      </c>
      <c r="D968" t="s">
        <v>13</v>
      </c>
      <c r="E968" t="s">
        <v>14</v>
      </c>
      <c r="F968" t="s">
        <v>73</v>
      </c>
      <c r="G968" t="s">
        <v>32</v>
      </c>
      <c r="H968" s="2">
        <v>32</v>
      </c>
      <c r="I968">
        <v>217</v>
      </c>
      <c r="J968">
        <v>694</v>
      </c>
      <c r="K968" s="4">
        <v>243</v>
      </c>
      <c r="L968" t="s">
        <v>17</v>
      </c>
    </row>
    <row r="969" spans="1:12" x14ac:dyDescent="0.35">
      <c r="A969" t="s">
        <v>18</v>
      </c>
      <c r="B969">
        <v>1185732</v>
      </c>
      <c r="C969" s="1">
        <v>44082</v>
      </c>
      <c r="D969" t="s">
        <v>13</v>
      </c>
      <c r="E969" t="s">
        <v>14</v>
      </c>
      <c r="F969" t="s">
        <v>73</v>
      </c>
      <c r="G969" t="s">
        <v>56</v>
      </c>
      <c r="H969" s="2">
        <v>47</v>
      </c>
      <c r="I969">
        <v>217</v>
      </c>
      <c r="J969" s="3">
        <v>1020</v>
      </c>
      <c r="K969" s="4">
        <v>408</v>
      </c>
      <c r="L969" t="s">
        <v>17</v>
      </c>
    </row>
    <row r="970" spans="1:12" x14ac:dyDescent="0.35">
      <c r="A970" t="s">
        <v>23</v>
      </c>
      <c r="B970">
        <v>1197831</v>
      </c>
      <c r="C970" s="1">
        <v>44295</v>
      </c>
      <c r="D970" t="s">
        <v>19</v>
      </c>
      <c r="E970" t="s">
        <v>74</v>
      </c>
      <c r="F970" t="s">
        <v>75</v>
      </c>
      <c r="G970" t="s">
        <v>26</v>
      </c>
      <c r="H970" s="2">
        <v>36</v>
      </c>
      <c r="I970">
        <v>217</v>
      </c>
      <c r="J970">
        <v>781</v>
      </c>
      <c r="K970" s="4">
        <v>398</v>
      </c>
      <c r="L970" t="s">
        <v>17</v>
      </c>
    </row>
    <row r="971" spans="1:12" x14ac:dyDescent="0.35">
      <c r="A971" t="s">
        <v>18</v>
      </c>
      <c r="B971">
        <v>1185732</v>
      </c>
      <c r="C971" s="1">
        <v>44509</v>
      </c>
      <c r="D971" t="s">
        <v>43</v>
      </c>
      <c r="E971" t="s">
        <v>44</v>
      </c>
      <c r="F971" t="s">
        <v>101</v>
      </c>
      <c r="G971" t="s">
        <v>26</v>
      </c>
      <c r="H971" s="2">
        <v>56</v>
      </c>
      <c r="I971">
        <v>217</v>
      </c>
      <c r="J971" s="3">
        <v>1215</v>
      </c>
      <c r="K971" s="4">
        <v>668</v>
      </c>
      <c r="L971" t="s">
        <v>17</v>
      </c>
    </row>
    <row r="972" spans="1:12" x14ac:dyDescent="0.35">
      <c r="A972" t="s">
        <v>18</v>
      </c>
      <c r="B972">
        <v>1197831</v>
      </c>
      <c r="C972" s="1">
        <v>44383</v>
      </c>
      <c r="D972" t="s">
        <v>48</v>
      </c>
      <c r="E972" t="s">
        <v>79</v>
      </c>
      <c r="F972" t="s">
        <v>80</v>
      </c>
      <c r="G972" t="s">
        <v>26</v>
      </c>
      <c r="H972" s="2">
        <v>48</v>
      </c>
      <c r="I972">
        <v>217</v>
      </c>
      <c r="J972" s="3">
        <v>1042</v>
      </c>
      <c r="K972" s="4">
        <v>521</v>
      </c>
      <c r="L972" t="s">
        <v>17</v>
      </c>
    </row>
    <row r="973" spans="1:12" x14ac:dyDescent="0.35">
      <c r="A973" t="s">
        <v>42</v>
      </c>
      <c r="B973">
        <v>1185732</v>
      </c>
      <c r="C973" s="1">
        <v>44234</v>
      </c>
      <c r="D973" t="s">
        <v>13</v>
      </c>
      <c r="E973" t="s">
        <v>57</v>
      </c>
      <c r="F973" t="s">
        <v>58</v>
      </c>
      <c r="G973" t="s">
        <v>32</v>
      </c>
      <c r="H973" s="2">
        <v>29</v>
      </c>
      <c r="I973">
        <v>217</v>
      </c>
      <c r="J973">
        <v>629</v>
      </c>
      <c r="K973" s="4">
        <v>233</v>
      </c>
      <c r="L973" t="s">
        <v>17</v>
      </c>
    </row>
    <row r="974" spans="1:12" x14ac:dyDescent="0.35">
      <c r="A974" t="s">
        <v>12</v>
      </c>
      <c r="B974">
        <v>1197831</v>
      </c>
      <c r="C974" s="1">
        <v>44071</v>
      </c>
      <c r="D974" t="s">
        <v>19</v>
      </c>
      <c r="E974" t="s">
        <v>59</v>
      </c>
      <c r="F974" t="s">
        <v>60</v>
      </c>
      <c r="G974" t="s">
        <v>70</v>
      </c>
      <c r="H974" s="2">
        <v>33</v>
      </c>
      <c r="I974">
        <v>217</v>
      </c>
      <c r="J974">
        <v>716</v>
      </c>
      <c r="K974" s="4">
        <v>258</v>
      </c>
      <c r="L974" t="s">
        <v>27</v>
      </c>
    </row>
    <row r="975" spans="1:12" x14ac:dyDescent="0.35">
      <c r="A975" t="s">
        <v>63</v>
      </c>
      <c r="B975">
        <v>1189833</v>
      </c>
      <c r="C975" s="1">
        <v>44264</v>
      </c>
      <c r="D975" t="s">
        <v>48</v>
      </c>
      <c r="E975" t="s">
        <v>66</v>
      </c>
      <c r="F975" t="s">
        <v>67</v>
      </c>
      <c r="G975" t="s">
        <v>32</v>
      </c>
      <c r="H975" s="2">
        <v>36</v>
      </c>
      <c r="I975">
        <v>217</v>
      </c>
      <c r="J975">
        <v>781</v>
      </c>
      <c r="K975" s="4">
        <v>328</v>
      </c>
      <c r="L975" t="s">
        <v>27</v>
      </c>
    </row>
    <row r="976" spans="1:12" x14ac:dyDescent="0.35">
      <c r="A976" t="s">
        <v>23</v>
      </c>
      <c r="B976">
        <v>1197831</v>
      </c>
      <c r="C976" s="1">
        <v>44477</v>
      </c>
      <c r="D976" t="s">
        <v>19</v>
      </c>
      <c r="E976" t="s">
        <v>24</v>
      </c>
      <c r="F976" t="s">
        <v>25</v>
      </c>
      <c r="G976" t="s">
        <v>32</v>
      </c>
      <c r="H976" s="2">
        <v>47</v>
      </c>
      <c r="I976">
        <v>217</v>
      </c>
      <c r="J976" s="3">
        <v>1020</v>
      </c>
      <c r="K976" s="4">
        <v>551</v>
      </c>
      <c r="L976" t="s">
        <v>27</v>
      </c>
    </row>
    <row r="977" spans="1:12" x14ac:dyDescent="0.35">
      <c r="A977" t="s">
        <v>18</v>
      </c>
      <c r="B977">
        <v>1128299</v>
      </c>
      <c r="C977" s="1">
        <v>44400</v>
      </c>
      <c r="D977" t="s">
        <v>48</v>
      </c>
      <c r="E977" t="s">
        <v>85</v>
      </c>
      <c r="F977" t="s">
        <v>86</v>
      </c>
      <c r="G977" t="s">
        <v>39</v>
      </c>
      <c r="H977" s="2">
        <v>66</v>
      </c>
      <c r="I977">
        <v>217</v>
      </c>
      <c r="J977" s="3">
        <v>1432</v>
      </c>
      <c r="K977" s="4">
        <v>587</v>
      </c>
      <c r="L977" t="s">
        <v>27</v>
      </c>
    </row>
    <row r="978" spans="1:12" x14ac:dyDescent="0.35">
      <c r="A978" t="s">
        <v>18</v>
      </c>
      <c r="B978">
        <v>1128299</v>
      </c>
      <c r="C978" s="1">
        <v>44425</v>
      </c>
      <c r="D978" t="s">
        <v>19</v>
      </c>
      <c r="E978" t="s">
        <v>20</v>
      </c>
      <c r="F978" t="s">
        <v>21</v>
      </c>
      <c r="G978" t="s">
        <v>32</v>
      </c>
      <c r="H978" s="2">
        <v>50</v>
      </c>
      <c r="I978">
        <v>217</v>
      </c>
      <c r="J978" s="3">
        <v>1085</v>
      </c>
      <c r="K978" s="4">
        <v>456</v>
      </c>
      <c r="L978" t="s">
        <v>27</v>
      </c>
    </row>
    <row r="979" spans="1:12" x14ac:dyDescent="0.35">
      <c r="A979" t="s">
        <v>63</v>
      </c>
      <c r="B979">
        <v>1128299</v>
      </c>
      <c r="C979" s="1">
        <v>44555</v>
      </c>
      <c r="D979" t="s">
        <v>48</v>
      </c>
      <c r="E979" t="s">
        <v>114</v>
      </c>
      <c r="F979" t="s">
        <v>115</v>
      </c>
      <c r="G979" t="s">
        <v>39</v>
      </c>
      <c r="H979" s="2">
        <v>47</v>
      </c>
      <c r="I979">
        <v>217</v>
      </c>
      <c r="J979" s="3">
        <v>1020</v>
      </c>
      <c r="K979" s="4">
        <v>479</v>
      </c>
      <c r="L979" t="s">
        <v>27</v>
      </c>
    </row>
    <row r="980" spans="1:12" x14ac:dyDescent="0.35">
      <c r="A980" t="s">
        <v>42</v>
      </c>
      <c r="B980">
        <v>1185732</v>
      </c>
      <c r="C980" s="1">
        <v>43858</v>
      </c>
      <c r="D980" t="s">
        <v>43</v>
      </c>
      <c r="E980" t="s">
        <v>44</v>
      </c>
      <c r="F980" t="s">
        <v>44</v>
      </c>
      <c r="G980" t="s">
        <v>56</v>
      </c>
      <c r="H980" s="2">
        <v>43</v>
      </c>
      <c r="I980">
        <v>216</v>
      </c>
      <c r="J980">
        <v>929</v>
      </c>
      <c r="K980" s="4">
        <v>464</v>
      </c>
      <c r="L980" t="s">
        <v>17</v>
      </c>
    </row>
    <row r="981" spans="1:12" x14ac:dyDescent="0.35">
      <c r="A981" t="s">
        <v>12</v>
      </c>
      <c r="B981">
        <v>1197831</v>
      </c>
      <c r="C981" s="1">
        <v>44086</v>
      </c>
      <c r="D981" t="s">
        <v>19</v>
      </c>
      <c r="E981" t="s">
        <v>59</v>
      </c>
      <c r="F981" t="s">
        <v>60</v>
      </c>
      <c r="G981" t="s">
        <v>39</v>
      </c>
      <c r="H981" s="2">
        <v>43</v>
      </c>
      <c r="I981">
        <v>216</v>
      </c>
      <c r="J981">
        <v>929</v>
      </c>
      <c r="K981" s="4">
        <v>437</v>
      </c>
      <c r="L981" t="s">
        <v>17</v>
      </c>
    </row>
    <row r="982" spans="1:12" x14ac:dyDescent="0.35">
      <c r="A982" t="s">
        <v>63</v>
      </c>
      <c r="B982">
        <v>1189833</v>
      </c>
      <c r="C982" s="1">
        <v>44274</v>
      </c>
      <c r="D982" t="s">
        <v>48</v>
      </c>
      <c r="E982" t="s">
        <v>66</v>
      </c>
      <c r="F982" t="s">
        <v>76</v>
      </c>
      <c r="G982" t="s">
        <v>26</v>
      </c>
      <c r="H982" s="2">
        <v>32</v>
      </c>
      <c r="I982">
        <v>216</v>
      </c>
      <c r="J982">
        <v>691</v>
      </c>
      <c r="K982" s="4">
        <v>346</v>
      </c>
      <c r="L982" t="s">
        <v>17</v>
      </c>
    </row>
    <row r="983" spans="1:12" x14ac:dyDescent="0.35">
      <c r="A983" t="s">
        <v>63</v>
      </c>
      <c r="B983">
        <v>1189833</v>
      </c>
      <c r="C983" s="1">
        <v>44312</v>
      </c>
      <c r="D983" t="s">
        <v>48</v>
      </c>
      <c r="E983" t="s">
        <v>66</v>
      </c>
      <c r="F983" t="s">
        <v>76</v>
      </c>
      <c r="G983" t="s">
        <v>39</v>
      </c>
      <c r="H983" s="2">
        <v>46</v>
      </c>
      <c r="I983">
        <v>216</v>
      </c>
      <c r="J983">
        <v>994</v>
      </c>
      <c r="K983" s="4">
        <v>378</v>
      </c>
      <c r="L983" t="s">
        <v>17</v>
      </c>
    </row>
    <row r="984" spans="1:12" x14ac:dyDescent="0.35">
      <c r="A984" t="s">
        <v>12</v>
      </c>
      <c r="B984">
        <v>1128299</v>
      </c>
      <c r="C984" s="1">
        <v>44546</v>
      </c>
      <c r="D984" t="s">
        <v>13</v>
      </c>
      <c r="E984" t="s">
        <v>14</v>
      </c>
      <c r="F984" t="s">
        <v>15</v>
      </c>
      <c r="G984" t="s">
        <v>26</v>
      </c>
      <c r="H984" s="2">
        <v>72</v>
      </c>
      <c r="I984">
        <v>216</v>
      </c>
      <c r="J984" s="3">
        <v>1555</v>
      </c>
      <c r="K984" s="4">
        <v>622</v>
      </c>
      <c r="L984" t="s">
        <v>17</v>
      </c>
    </row>
    <row r="985" spans="1:12" x14ac:dyDescent="0.35">
      <c r="A985" t="s">
        <v>63</v>
      </c>
      <c r="B985">
        <v>1185732</v>
      </c>
      <c r="C985" s="1">
        <v>44210</v>
      </c>
      <c r="D985" t="s">
        <v>43</v>
      </c>
      <c r="E985" t="s">
        <v>44</v>
      </c>
      <c r="F985" t="s">
        <v>101</v>
      </c>
      <c r="G985" t="s">
        <v>26</v>
      </c>
      <c r="H985" s="2">
        <v>39</v>
      </c>
      <c r="I985">
        <v>216</v>
      </c>
      <c r="J985">
        <v>842</v>
      </c>
      <c r="K985" s="4">
        <v>531</v>
      </c>
      <c r="L985" t="s">
        <v>17</v>
      </c>
    </row>
    <row r="986" spans="1:12" x14ac:dyDescent="0.35">
      <c r="A986" t="s">
        <v>23</v>
      </c>
      <c r="B986">
        <v>1185732</v>
      </c>
      <c r="C986" s="1">
        <v>44270</v>
      </c>
      <c r="D986" t="s">
        <v>33</v>
      </c>
      <c r="E986" t="s">
        <v>45</v>
      </c>
      <c r="F986" t="s">
        <v>46</v>
      </c>
      <c r="G986" t="s">
        <v>26</v>
      </c>
      <c r="H986" s="2">
        <v>34</v>
      </c>
      <c r="I986">
        <v>216</v>
      </c>
      <c r="J986">
        <v>734</v>
      </c>
      <c r="K986" s="4">
        <v>448</v>
      </c>
      <c r="L986" t="s">
        <v>17</v>
      </c>
    </row>
    <row r="987" spans="1:12" x14ac:dyDescent="0.35">
      <c r="A987" t="s">
        <v>18</v>
      </c>
      <c r="B987">
        <v>1128299</v>
      </c>
      <c r="C987" s="1">
        <v>44546</v>
      </c>
      <c r="D987" t="s">
        <v>19</v>
      </c>
      <c r="E987" t="s">
        <v>20</v>
      </c>
      <c r="F987" t="s">
        <v>21</v>
      </c>
      <c r="G987" t="s">
        <v>39</v>
      </c>
      <c r="H987" s="2">
        <v>72</v>
      </c>
      <c r="I987">
        <v>216</v>
      </c>
      <c r="J987" s="3">
        <v>1555</v>
      </c>
      <c r="K987" s="4">
        <v>778</v>
      </c>
      <c r="L987" t="s">
        <v>17</v>
      </c>
    </row>
    <row r="988" spans="1:12" x14ac:dyDescent="0.35">
      <c r="A988" t="s">
        <v>42</v>
      </c>
      <c r="B988">
        <v>1185732</v>
      </c>
      <c r="C988" s="1">
        <v>44234</v>
      </c>
      <c r="D988" t="s">
        <v>13</v>
      </c>
      <c r="E988" t="s">
        <v>69</v>
      </c>
      <c r="F988" t="s">
        <v>65</v>
      </c>
      <c r="G988" t="s">
        <v>16</v>
      </c>
      <c r="H988" s="2">
        <v>34</v>
      </c>
      <c r="I988">
        <v>216</v>
      </c>
      <c r="J988">
        <v>734</v>
      </c>
      <c r="K988" s="4">
        <v>477</v>
      </c>
      <c r="L988" t="s">
        <v>17</v>
      </c>
    </row>
    <row r="989" spans="1:12" x14ac:dyDescent="0.35">
      <c r="A989" t="s">
        <v>18</v>
      </c>
      <c r="B989">
        <v>1128299</v>
      </c>
      <c r="C989" s="1">
        <v>44191</v>
      </c>
      <c r="D989" t="s">
        <v>48</v>
      </c>
      <c r="E989" t="s">
        <v>66</v>
      </c>
      <c r="F989" t="s">
        <v>67</v>
      </c>
      <c r="G989" t="s">
        <v>39</v>
      </c>
      <c r="H989" s="2">
        <v>51</v>
      </c>
      <c r="I989">
        <v>216</v>
      </c>
      <c r="J989" s="3">
        <v>1102</v>
      </c>
      <c r="K989" s="4">
        <v>275</v>
      </c>
      <c r="L989" t="s">
        <v>27</v>
      </c>
    </row>
    <row r="990" spans="1:12" x14ac:dyDescent="0.35">
      <c r="A990" t="s">
        <v>18</v>
      </c>
      <c r="B990">
        <v>1128299</v>
      </c>
      <c r="C990" s="1">
        <v>43899</v>
      </c>
      <c r="D990" t="s">
        <v>48</v>
      </c>
      <c r="E990" t="s">
        <v>116</v>
      </c>
      <c r="F990" t="s">
        <v>117</v>
      </c>
      <c r="G990" t="s">
        <v>26</v>
      </c>
      <c r="H990" s="2">
        <v>47</v>
      </c>
      <c r="I990">
        <v>216</v>
      </c>
      <c r="J990" s="3">
        <v>1015</v>
      </c>
      <c r="K990" s="4">
        <v>376</v>
      </c>
      <c r="L990" t="s">
        <v>27</v>
      </c>
    </row>
    <row r="991" spans="1:12" x14ac:dyDescent="0.35">
      <c r="A991" t="s">
        <v>42</v>
      </c>
      <c r="B991">
        <v>1128299</v>
      </c>
      <c r="C991" s="1">
        <v>44399</v>
      </c>
      <c r="D991" t="s">
        <v>48</v>
      </c>
      <c r="E991" t="s">
        <v>123</v>
      </c>
      <c r="F991" t="s">
        <v>124</v>
      </c>
      <c r="G991" t="s">
        <v>26</v>
      </c>
      <c r="H991" s="2">
        <v>40</v>
      </c>
      <c r="I991">
        <v>216</v>
      </c>
      <c r="J991">
        <v>864</v>
      </c>
      <c r="K991" s="4">
        <v>320</v>
      </c>
      <c r="L991" t="s">
        <v>27</v>
      </c>
    </row>
    <row r="992" spans="1:12" x14ac:dyDescent="0.35">
      <c r="A992" t="s">
        <v>12</v>
      </c>
      <c r="B992">
        <v>1185732</v>
      </c>
      <c r="C992" s="1">
        <v>44487</v>
      </c>
      <c r="D992" t="s">
        <v>19</v>
      </c>
      <c r="E992" t="s">
        <v>37</v>
      </c>
      <c r="F992" t="s">
        <v>38</v>
      </c>
      <c r="G992" t="s">
        <v>26</v>
      </c>
      <c r="H992" s="2">
        <v>24</v>
      </c>
      <c r="I992">
        <v>216</v>
      </c>
      <c r="J992">
        <v>518</v>
      </c>
      <c r="K992" s="4">
        <v>238</v>
      </c>
      <c r="L992" t="s">
        <v>27</v>
      </c>
    </row>
    <row r="993" spans="1:12" x14ac:dyDescent="0.35">
      <c r="A993" t="s">
        <v>51</v>
      </c>
      <c r="B993">
        <v>1185732</v>
      </c>
      <c r="C993" s="1">
        <v>44366</v>
      </c>
      <c r="D993" t="s">
        <v>43</v>
      </c>
      <c r="E993" t="s">
        <v>127</v>
      </c>
      <c r="F993" t="s">
        <v>128</v>
      </c>
      <c r="G993" t="s">
        <v>26</v>
      </c>
      <c r="H993" s="2">
        <v>44</v>
      </c>
      <c r="I993">
        <v>216</v>
      </c>
      <c r="J993">
        <v>950</v>
      </c>
      <c r="K993" s="4">
        <v>437</v>
      </c>
      <c r="L993" t="s">
        <v>27</v>
      </c>
    </row>
    <row r="994" spans="1:12" x14ac:dyDescent="0.35">
      <c r="A994" t="s">
        <v>42</v>
      </c>
      <c r="B994">
        <v>1185732</v>
      </c>
      <c r="C994" s="1">
        <v>43865</v>
      </c>
      <c r="D994" t="s">
        <v>43</v>
      </c>
      <c r="E994" t="s">
        <v>44</v>
      </c>
      <c r="F994" t="s">
        <v>44</v>
      </c>
      <c r="G994" t="s">
        <v>70</v>
      </c>
      <c r="H994" s="2">
        <v>56</v>
      </c>
      <c r="I994">
        <v>215</v>
      </c>
      <c r="J994" s="3">
        <v>1204</v>
      </c>
      <c r="K994" s="4">
        <v>506</v>
      </c>
      <c r="L994" t="s">
        <v>17</v>
      </c>
    </row>
    <row r="995" spans="1:12" x14ac:dyDescent="0.35">
      <c r="A995" t="s">
        <v>63</v>
      </c>
      <c r="B995">
        <v>1189833</v>
      </c>
      <c r="C995" s="1">
        <v>44336</v>
      </c>
      <c r="D995" t="s">
        <v>48</v>
      </c>
      <c r="E995" t="s">
        <v>66</v>
      </c>
      <c r="F995" t="s">
        <v>76</v>
      </c>
      <c r="G995" t="s">
        <v>39</v>
      </c>
      <c r="H995" s="2">
        <v>54</v>
      </c>
      <c r="I995">
        <v>215</v>
      </c>
      <c r="J995" s="3">
        <v>1161</v>
      </c>
      <c r="K995" s="4">
        <v>441</v>
      </c>
      <c r="L995" t="s">
        <v>17</v>
      </c>
    </row>
    <row r="996" spans="1:12" x14ac:dyDescent="0.35">
      <c r="A996" t="s">
        <v>23</v>
      </c>
      <c r="B996">
        <v>1197831</v>
      </c>
      <c r="C996" s="1">
        <v>44456</v>
      </c>
      <c r="D996" t="s">
        <v>19</v>
      </c>
      <c r="E996" t="s">
        <v>59</v>
      </c>
      <c r="F996" t="s">
        <v>68</v>
      </c>
      <c r="G996" t="s">
        <v>39</v>
      </c>
      <c r="H996" s="2">
        <v>48</v>
      </c>
      <c r="I996">
        <v>215</v>
      </c>
      <c r="J996" s="3">
        <v>1032</v>
      </c>
      <c r="K996" s="4">
        <v>557</v>
      </c>
      <c r="L996" t="s">
        <v>17</v>
      </c>
    </row>
    <row r="997" spans="1:12" x14ac:dyDescent="0.35">
      <c r="A997" t="s">
        <v>18</v>
      </c>
      <c r="B997">
        <v>1185732</v>
      </c>
      <c r="C997" s="1">
        <v>44087</v>
      </c>
      <c r="D997" t="s">
        <v>13</v>
      </c>
      <c r="E997" t="s">
        <v>14</v>
      </c>
      <c r="F997" t="s">
        <v>73</v>
      </c>
      <c r="G997" t="s">
        <v>32</v>
      </c>
      <c r="H997" s="2">
        <v>50</v>
      </c>
      <c r="I997">
        <v>215</v>
      </c>
      <c r="J997" s="3">
        <v>1075</v>
      </c>
      <c r="K997" s="4">
        <v>398</v>
      </c>
      <c r="L997" t="s">
        <v>17</v>
      </c>
    </row>
    <row r="998" spans="1:12" x14ac:dyDescent="0.35">
      <c r="A998" t="s">
        <v>23</v>
      </c>
      <c r="B998">
        <v>1185732</v>
      </c>
      <c r="C998" s="1">
        <v>44104</v>
      </c>
      <c r="D998" t="s">
        <v>13</v>
      </c>
      <c r="E998" t="s">
        <v>14</v>
      </c>
      <c r="F998" t="s">
        <v>73</v>
      </c>
      <c r="G998" t="s">
        <v>39</v>
      </c>
      <c r="H998" s="2">
        <v>47</v>
      </c>
      <c r="I998">
        <v>215</v>
      </c>
      <c r="J998" s="3">
        <v>1011</v>
      </c>
      <c r="K998" s="4">
        <v>455</v>
      </c>
      <c r="L998" t="s">
        <v>17</v>
      </c>
    </row>
    <row r="999" spans="1:12" x14ac:dyDescent="0.35">
      <c r="A999" t="s">
        <v>23</v>
      </c>
      <c r="B999">
        <v>1197831</v>
      </c>
      <c r="C999" s="1">
        <v>44301</v>
      </c>
      <c r="D999" t="s">
        <v>19</v>
      </c>
      <c r="E999" t="s">
        <v>74</v>
      </c>
      <c r="F999" t="s">
        <v>75</v>
      </c>
      <c r="G999" t="s">
        <v>26</v>
      </c>
      <c r="H999" s="2">
        <v>36</v>
      </c>
      <c r="I999">
        <v>215</v>
      </c>
      <c r="J999">
        <v>774</v>
      </c>
      <c r="K999" s="4">
        <v>441</v>
      </c>
      <c r="L999" t="s">
        <v>17</v>
      </c>
    </row>
    <row r="1000" spans="1:12" x14ac:dyDescent="0.35">
      <c r="A1000" t="s">
        <v>23</v>
      </c>
      <c r="B1000">
        <v>1197831</v>
      </c>
      <c r="C1000" s="1">
        <v>44446</v>
      </c>
      <c r="D1000" t="s">
        <v>19</v>
      </c>
      <c r="E1000" t="s">
        <v>24</v>
      </c>
      <c r="F1000" t="s">
        <v>25</v>
      </c>
      <c r="G1000" t="s">
        <v>39</v>
      </c>
      <c r="H1000" s="2">
        <v>49</v>
      </c>
      <c r="I1000">
        <v>215</v>
      </c>
      <c r="J1000" s="3">
        <v>1054</v>
      </c>
      <c r="K1000" s="4">
        <v>674</v>
      </c>
      <c r="L1000" t="s">
        <v>17</v>
      </c>
    </row>
    <row r="1001" spans="1:12" x14ac:dyDescent="0.35">
      <c r="A1001" t="s">
        <v>23</v>
      </c>
      <c r="B1001">
        <v>1185732</v>
      </c>
      <c r="C1001" s="1">
        <v>44535</v>
      </c>
      <c r="D1001" t="s">
        <v>13</v>
      </c>
      <c r="E1001" t="s">
        <v>69</v>
      </c>
      <c r="F1001" t="s">
        <v>65</v>
      </c>
      <c r="G1001" t="s">
        <v>32</v>
      </c>
      <c r="H1001" s="2">
        <v>56</v>
      </c>
      <c r="I1001">
        <v>215</v>
      </c>
      <c r="J1001" s="3">
        <v>1204</v>
      </c>
      <c r="K1001" s="4">
        <v>421</v>
      </c>
      <c r="L1001" t="s">
        <v>17</v>
      </c>
    </row>
    <row r="1002" spans="1:12" x14ac:dyDescent="0.35">
      <c r="A1002" t="s">
        <v>23</v>
      </c>
      <c r="B1002">
        <v>1185732</v>
      </c>
      <c r="C1002" s="1">
        <v>44503</v>
      </c>
      <c r="D1002" t="s">
        <v>13</v>
      </c>
      <c r="E1002" t="s">
        <v>77</v>
      </c>
      <c r="F1002" t="s">
        <v>78</v>
      </c>
      <c r="G1002" t="s">
        <v>26</v>
      </c>
      <c r="H1002" s="2">
        <v>44</v>
      </c>
      <c r="I1002">
        <v>215</v>
      </c>
      <c r="J1002">
        <v>946</v>
      </c>
      <c r="K1002" s="4">
        <v>520</v>
      </c>
      <c r="L1002" t="s">
        <v>17</v>
      </c>
    </row>
    <row r="1003" spans="1:12" x14ac:dyDescent="0.35">
      <c r="A1003" t="s">
        <v>12</v>
      </c>
      <c r="B1003">
        <v>1185732</v>
      </c>
      <c r="C1003" s="1">
        <v>44425</v>
      </c>
      <c r="D1003" t="s">
        <v>19</v>
      </c>
      <c r="E1003" t="s">
        <v>37</v>
      </c>
      <c r="F1003" t="s">
        <v>38</v>
      </c>
      <c r="G1003" t="s">
        <v>26</v>
      </c>
      <c r="H1003" s="2">
        <v>56</v>
      </c>
      <c r="I1003">
        <v>215</v>
      </c>
      <c r="J1003" s="3">
        <v>1204</v>
      </c>
      <c r="K1003" s="4">
        <v>650</v>
      </c>
      <c r="L1003" t="s">
        <v>17</v>
      </c>
    </row>
    <row r="1004" spans="1:12" x14ac:dyDescent="0.35">
      <c r="A1004" t="s">
        <v>12</v>
      </c>
      <c r="B1004">
        <v>1197831</v>
      </c>
      <c r="C1004" s="1">
        <v>44076</v>
      </c>
      <c r="D1004" t="s">
        <v>19</v>
      </c>
      <c r="E1004" t="s">
        <v>59</v>
      </c>
      <c r="F1004" t="s">
        <v>60</v>
      </c>
      <c r="G1004" t="s">
        <v>56</v>
      </c>
      <c r="H1004" s="2">
        <v>30</v>
      </c>
      <c r="I1004">
        <v>215</v>
      </c>
      <c r="J1004">
        <v>645</v>
      </c>
      <c r="K1004" s="4">
        <v>310</v>
      </c>
      <c r="L1004" t="s">
        <v>27</v>
      </c>
    </row>
    <row r="1005" spans="1:12" x14ac:dyDescent="0.35">
      <c r="A1005" t="s">
        <v>63</v>
      </c>
      <c r="B1005">
        <v>1189833</v>
      </c>
      <c r="C1005" s="1">
        <v>44269</v>
      </c>
      <c r="D1005" t="s">
        <v>48</v>
      </c>
      <c r="E1005" t="s">
        <v>66</v>
      </c>
      <c r="F1005" t="s">
        <v>76</v>
      </c>
      <c r="G1005" t="s">
        <v>39</v>
      </c>
      <c r="H1005" s="2">
        <v>30</v>
      </c>
      <c r="I1005">
        <v>215</v>
      </c>
      <c r="J1005">
        <v>645</v>
      </c>
      <c r="K1005" s="4">
        <v>200</v>
      </c>
      <c r="L1005" t="s">
        <v>27</v>
      </c>
    </row>
    <row r="1006" spans="1:12" x14ac:dyDescent="0.35">
      <c r="A1006" t="s">
        <v>63</v>
      </c>
      <c r="B1006">
        <v>1189833</v>
      </c>
      <c r="C1006" s="1">
        <v>44301</v>
      </c>
      <c r="D1006" t="s">
        <v>48</v>
      </c>
      <c r="E1006" t="s">
        <v>66</v>
      </c>
      <c r="F1006" t="s">
        <v>76</v>
      </c>
      <c r="G1006" t="s">
        <v>32</v>
      </c>
      <c r="H1006" s="2">
        <v>36</v>
      </c>
      <c r="I1006">
        <v>215</v>
      </c>
      <c r="J1006">
        <v>774</v>
      </c>
      <c r="K1006" s="4">
        <v>348</v>
      </c>
      <c r="L1006" t="s">
        <v>27</v>
      </c>
    </row>
    <row r="1007" spans="1:12" x14ac:dyDescent="0.35">
      <c r="A1007" t="s">
        <v>23</v>
      </c>
      <c r="B1007">
        <v>1197831</v>
      </c>
      <c r="C1007" s="1">
        <v>44426</v>
      </c>
      <c r="D1007" t="s">
        <v>19</v>
      </c>
      <c r="E1007" t="s">
        <v>59</v>
      </c>
      <c r="F1007" t="s">
        <v>68</v>
      </c>
      <c r="G1007" t="s">
        <v>39</v>
      </c>
      <c r="H1007" s="2">
        <v>23</v>
      </c>
      <c r="I1007">
        <v>215</v>
      </c>
      <c r="J1007">
        <v>495</v>
      </c>
      <c r="K1007" s="4">
        <v>178</v>
      </c>
      <c r="L1007" t="s">
        <v>27</v>
      </c>
    </row>
    <row r="1008" spans="1:12" x14ac:dyDescent="0.35">
      <c r="A1008" t="s">
        <v>23</v>
      </c>
      <c r="B1008">
        <v>1197831</v>
      </c>
      <c r="C1008" s="1">
        <v>44451</v>
      </c>
      <c r="D1008" t="s">
        <v>19</v>
      </c>
      <c r="E1008" t="s">
        <v>59</v>
      </c>
      <c r="F1008" t="s">
        <v>68</v>
      </c>
      <c r="G1008" t="s">
        <v>32</v>
      </c>
      <c r="H1008" s="2">
        <v>30</v>
      </c>
      <c r="I1008">
        <v>215</v>
      </c>
      <c r="J1008">
        <v>645</v>
      </c>
      <c r="K1008" s="4">
        <v>252</v>
      </c>
      <c r="L1008" t="s">
        <v>27</v>
      </c>
    </row>
    <row r="1009" spans="1:12" x14ac:dyDescent="0.35">
      <c r="A1009" t="s">
        <v>23</v>
      </c>
      <c r="B1009">
        <v>1197831</v>
      </c>
      <c r="C1009" s="1">
        <v>44427</v>
      </c>
      <c r="D1009" t="s">
        <v>19</v>
      </c>
      <c r="E1009" t="s">
        <v>24</v>
      </c>
      <c r="F1009" t="s">
        <v>25</v>
      </c>
      <c r="G1009" t="s">
        <v>26</v>
      </c>
      <c r="H1009" s="2">
        <v>15</v>
      </c>
      <c r="I1009">
        <v>215</v>
      </c>
      <c r="J1009">
        <v>323</v>
      </c>
      <c r="K1009" s="4">
        <v>168</v>
      </c>
      <c r="L1009" t="s">
        <v>27</v>
      </c>
    </row>
    <row r="1010" spans="1:12" x14ac:dyDescent="0.35">
      <c r="A1010" t="s">
        <v>42</v>
      </c>
      <c r="B1010">
        <v>1128299</v>
      </c>
      <c r="C1010" s="1">
        <v>44432</v>
      </c>
      <c r="D1010" t="s">
        <v>13</v>
      </c>
      <c r="E1010" t="s">
        <v>99</v>
      </c>
      <c r="F1010" t="s">
        <v>100</v>
      </c>
      <c r="G1010" t="s">
        <v>32</v>
      </c>
      <c r="H1010" s="2">
        <v>53</v>
      </c>
      <c r="I1010">
        <v>215</v>
      </c>
      <c r="J1010" s="3">
        <v>1140</v>
      </c>
      <c r="K1010" s="4">
        <v>422</v>
      </c>
      <c r="L1010" t="s">
        <v>27</v>
      </c>
    </row>
    <row r="1011" spans="1:12" x14ac:dyDescent="0.35">
      <c r="A1011" t="s">
        <v>18</v>
      </c>
      <c r="B1011">
        <v>1128299</v>
      </c>
      <c r="C1011" s="1">
        <v>44432</v>
      </c>
      <c r="D1011" t="s">
        <v>48</v>
      </c>
      <c r="E1011" t="s">
        <v>85</v>
      </c>
      <c r="F1011" t="s">
        <v>86</v>
      </c>
      <c r="G1011" t="s">
        <v>32</v>
      </c>
      <c r="H1011" s="2">
        <v>50</v>
      </c>
      <c r="I1011">
        <v>215</v>
      </c>
      <c r="J1011" s="3">
        <v>1075</v>
      </c>
      <c r="K1011" s="4">
        <v>430</v>
      </c>
      <c r="L1011" t="s">
        <v>27</v>
      </c>
    </row>
    <row r="1012" spans="1:12" x14ac:dyDescent="0.35">
      <c r="A1012" t="s">
        <v>18</v>
      </c>
      <c r="B1012">
        <v>1197831</v>
      </c>
      <c r="C1012" s="1">
        <v>44291</v>
      </c>
      <c r="D1012" t="s">
        <v>48</v>
      </c>
      <c r="E1012" t="s">
        <v>79</v>
      </c>
      <c r="F1012" t="s">
        <v>80</v>
      </c>
      <c r="G1012" t="s">
        <v>26</v>
      </c>
      <c r="H1012" s="2">
        <v>15</v>
      </c>
      <c r="I1012">
        <v>215</v>
      </c>
      <c r="J1012">
        <v>323</v>
      </c>
      <c r="K1012" s="4">
        <v>135</v>
      </c>
      <c r="L1012" t="s">
        <v>27</v>
      </c>
    </row>
    <row r="1013" spans="1:12" x14ac:dyDescent="0.35">
      <c r="A1013" t="s">
        <v>18</v>
      </c>
      <c r="B1013">
        <v>1197831</v>
      </c>
      <c r="C1013" s="1">
        <v>44291</v>
      </c>
      <c r="D1013" t="s">
        <v>48</v>
      </c>
      <c r="E1013" t="s">
        <v>79</v>
      </c>
      <c r="F1013" t="s">
        <v>80</v>
      </c>
      <c r="G1013" t="s">
        <v>39</v>
      </c>
      <c r="H1013" s="2">
        <v>21</v>
      </c>
      <c r="I1013">
        <v>215</v>
      </c>
      <c r="J1013">
        <v>452</v>
      </c>
      <c r="K1013" s="4">
        <v>176</v>
      </c>
      <c r="L1013" t="s">
        <v>27</v>
      </c>
    </row>
    <row r="1014" spans="1:12" x14ac:dyDescent="0.35">
      <c r="A1014" t="s">
        <v>23</v>
      </c>
      <c r="B1014">
        <v>1197831</v>
      </c>
      <c r="C1014" s="1">
        <v>44219</v>
      </c>
      <c r="D1014" t="s">
        <v>19</v>
      </c>
      <c r="E1014" t="s">
        <v>37</v>
      </c>
      <c r="F1014" t="s">
        <v>38</v>
      </c>
      <c r="G1014" t="s">
        <v>26</v>
      </c>
      <c r="H1014" s="2">
        <v>17</v>
      </c>
      <c r="I1014">
        <v>215</v>
      </c>
      <c r="J1014">
        <v>366</v>
      </c>
      <c r="K1014" s="4">
        <v>161</v>
      </c>
      <c r="L1014" t="s">
        <v>27</v>
      </c>
    </row>
    <row r="1015" spans="1:12" x14ac:dyDescent="0.35">
      <c r="A1015" t="s">
        <v>51</v>
      </c>
      <c r="B1015">
        <v>1185732</v>
      </c>
      <c r="C1015" s="1">
        <v>44419</v>
      </c>
      <c r="D1015" t="s">
        <v>43</v>
      </c>
      <c r="E1015" t="s">
        <v>125</v>
      </c>
      <c r="F1015" t="s">
        <v>126</v>
      </c>
      <c r="G1015" t="s">
        <v>26</v>
      </c>
      <c r="H1015" s="2">
        <v>42</v>
      </c>
      <c r="I1015">
        <v>215</v>
      </c>
      <c r="J1015">
        <v>903</v>
      </c>
      <c r="K1015" s="4">
        <v>461</v>
      </c>
      <c r="L1015" t="s">
        <v>27</v>
      </c>
    </row>
    <row r="1016" spans="1:12" x14ac:dyDescent="0.35">
      <c r="A1016" t="s">
        <v>23</v>
      </c>
      <c r="B1016">
        <v>1197831</v>
      </c>
      <c r="C1016" s="1">
        <v>44037</v>
      </c>
      <c r="D1016" t="s">
        <v>19</v>
      </c>
      <c r="E1016" t="s">
        <v>59</v>
      </c>
      <c r="F1016" t="s">
        <v>60</v>
      </c>
      <c r="G1016" t="s">
        <v>26</v>
      </c>
      <c r="H1016" s="2">
        <v>23</v>
      </c>
      <c r="I1016">
        <v>213</v>
      </c>
      <c r="J1016">
        <v>490</v>
      </c>
      <c r="K1016" s="4">
        <v>245</v>
      </c>
      <c r="L1016" t="s">
        <v>17</v>
      </c>
    </row>
    <row r="1017" spans="1:12" x14ac:dyDescent="0.35">
      <c r="A1017" t="s">
        <v>12</v>
      </c>
      <c r="B1017">
        <v>1197831</v>
      </c>
      <c r="C1017" s="1">
        <v>44080</v>
      </c>
      <c r="D1017" t="s">
        <v>19</v>
      </c>
      <c r="E1017" t="s">
        <v>59</v>
      </c>
      <c r="F1017" t="s">
        <v>60</v>
      </c>
      <c r="G1017" t="s">
        <v>39</v>
      </c>
      <c r="H1017" s="2">
        <v>41</v>
      </c>
      <c r="I1017">
        <v>213</v>
      </c>
      <c r="J1017">
        <v>873</v>
      </c>
      <c r="K1017" s="4">
        <v>402</v>
      </c>
      <c r="L1017" t="s">
        <v>17</v>
      </c>
    </row>
    <row r="1018" spans="1:12" x14ac:dyDescent="0.35">
      <c r="A1018" t="s">
        <v>12</v>
      </c>
      <c r="B1018">
        <v>1197831</v>
      </c>
      <c r="C1018" s="1">
        <v>44084</v>
      </c>
      <c r="D1018" t="s">
        <v>19</v>
      </c>
      <c r="E1018" t="s">
        <v>59</v>
      </c>
      <c r="F1018" t="s">
        <v>60</v>
      </c>
      <c r="G1018" t="s">
        <v>16</v>
      </c>
      <c r="H1018" s="2">
        <v>50</v>
      </c>
      <c r="I1018">
        <v>213</v>
      </c>
      <c r="J1018" s="3">
        <v>1065</v>
      </c>
      <c r="K1018" s="4">
        <v>682</v>
      </c>
      <c r="L1018" t="s">
        <v>17</v>
      </c>
    </row>
    <row r="1019" spans="1:12" x14ac:dyDescent="0.35">
      <c r="A1019" t="s">
        <v>63</v>
      </c>
      <c r="B1019">
        <v>1189833</v>
      </c>
      <c r="C1019" s="1">
        <v>44323</v>
      </c>
      <c r="D1019" t="s">
        <v>48</v>
      </c>
      <c r="E1019" t="s">
        <v>66</v>
      </c>
      <c r="F1019" t="s">
        <v>76</v>
      </c>
      <c r="G1019" t="s">
        <v>26</v>
      </c>
      <c r="H1019" s="2">
        <v>47</v>
      </c>
      <c r="I1019">
        <v>213</v>
      </c>
      <c r="J1019" s="3">
        <v>1001</v>
      </c>
      <c r="K1019" s="4">
        <v>541</v>
      </c>
      <c r="L1019" t="s">
        <v>17</v>
      </c>
    </row>
    <row r="1020" spans="1:12" x14ac:dyDescent="0.35">
      <c r="A1020" t="s">
        <v>23</v>
      </c>
      <c r="B1020">
        <v>1185732</v>
      </c>
      <c r="C1020" s="1">
        <v>44114</v>
      </c>
      <c r="D1020" t="s">
        <v>13</v>
      </c>
      <c r="E1020" t="s">
        <v>14</v>
      </c>
      <c r="F1020" t="s">
        <v>73</v>
      </c>
      <c r="G1020" t="s">
        <v>16</v>
      </c>
      <c r="H1020" s="2">
        <v>64</v>
      </c>
      <c r="I1020">
        <v>213</v>
      </c>
      <c r="J1020" s="3">
        <v>1363</v>
      </c>
      <c r="K1020" s="4">
        <v>818</v>
      </c>
      <c r="L1020" t="s">
        <v>17</v>
      </c>
    </row>
    <row r="1021" spans="1:12" x14ac:dyDescent="0.35">
      <c r="A1021" t="s">
        <v>12</v>
      </c>
      <c r="B1021">
        <v>1128299</v>
      </c>
      <c r="C1021" s="1">
        <v>44425</v>
      </c>
      <c r="D1021" t="s">
        <v>13</v>
      </c>
      <c r="E1021" t="s">
        <v>14</v>
      </c>
      <c r="F1021" t="s">
        <v>15</v>
      </c>
      <c r="G1021" t="s">
        <v>26</v>
      </c>
      <c r="H1021" s="2">
        <v>87</v>
      </c>
      <c r="I1021">
        <v>213</v>
      </c>
      <c r="J1021" s="3">
        <v>1853</v>
      </c>
      <c r="K1021" s="4">
        <v>760</v>
      </c>
      <c r="L1021" t="s">
        <v>17</v>
      </c>
    </row>
    <row r="1022" spans="1:12" x14ac:dyDescent="0.35">
      <c r="A1022" t="s">
        <v>23</v>
      </c>
      <c r="B1022">
        <v>1197831</v>
      </c>
      <c r="C1022" s="1">
        <v>44040</v>
      </c>
      <c r="D1022" t="s">
        <v>19</v>
      </c>
      <c r="E1022" t="s">
        <v>59</v>
      </c>
      <c r="F1022" t="s">
        <v>60</v>
      </c>
      <c r="G1022" t="s">
        <v>56</v>
      </c>
      <c r="H1022" s="2">
        <v>26</v>
      </c>
      <c r="I1022">
        <v>213</v>
      </c>
      <c r="J1022">
        <v>554</v>
      </c>
      <c r="K1022" s="4">
        <v>277</v>
      </c>
      <c r="L1022" t="s">
        <v>27</v>
      </c>
    </row>
    <row r="1023" spans="1:12" x14ac:dyDescent="0.35">
      <c r="A1023" t="s">
        <v>23</v>
      </c>
      <c r="B1023">
        <v>1197831</v>
      </c>
      <c r="C1023" s="1">
        <v>44052</v>
      </c>
      <c r="D1023" t="s">
        <v>19</v>
      </c>
      <c r="E1023" t="s">
        <v>59</v>
      </c>
      <c r="F1023" t="s">
        <v>60</v>
      </c>
      <c r="G1023" t="s">
        <v>56</v>
      </c>
      <c r="H1023" s="2">
        <v>28</v>
      </c>
      <c r="I1023">
        <v>213</v>
      </c>
      <c r="J1023">
        <v>596</v>
      </c>
      <c r="K1023" s="4">
        <v>286</v>
      </c>
      <c r="L1023" t="s">
        <v>27</v>
      </c>
    </row>
    <row r="1024" spans="1:12" x14ac:dyDescent="0.35">
      <c r="A1024" t="s">
        <v>63</v>
      </c>
      <c r="B1024">
        <v>1189833</v>
      </c>
      <c r="C1024" s="1">
        <v>44332</v>
      </c>
      <c r="D1024" t="s">
        <v>48</v>
      </c>
      <c r="E1024" t="s">
        <v>66</v>
      </c>
      <c r="F1024" t="s">
        <v>76</v>
      </c>
      <c r="G1024" t="s">
        <v>56</v>
      </c>
      <c r="H1024" s="2">
        <v>33</v>
      </c>
      <c r="I1024">
        <v>213</v>
      </c>
      <c r="J1024">
        <v>703</v>
      </c>
      <c r="K1024" s="4">
        <v>295</v>
      </c>
      <c r="L1024" t="s">
        <v>27</v>
      </c>
    </row>
    <row r="1025" spans="1:12" x14ac:dyDescent="0.35">
      <c r="A1025" t="s">
        <v>23</v>
      </c>
      <c r="B1025">
        <v>1197831</v>
      </c>
      <c r="C1025" s="1">
        <v>44473</v>
      </c>
      <c r="D1025" t="s">
        <v>19</v>
      </c>
      <c r="E1025" t="s">
        <v>59</v>
      </c>
      <c r="F1025" t="s">
        <v>68</v>
      </c>
      <c r="G1025" t="s">
        <v>26</v>
      </c>
      <c r="H1025" s="2">
        <v>30</v>
      </c>
      <c r="I1025">
        <v>213</v>
      </c>
      <c r="J1025">
        <v>639</v>
      </c>
      <c r="K1025" s="4">
        <v>281</v>
      </c>
      <c r="L1025" t="s">
        <v>27</v>
      </c>
    </row>
    <row r="1026" spans="1:12" x14ac:dyDescent="0.35">
      <c r="A1026" t="s">
        <v>23</v>
      </c>
      <c r="B1026">
        <v>1197831</v>
      </c>
      <c r="C1026" s="1">
        <v>44314</v>
      </c>
      <c r="D1026" t="s">
        <v>19</v>
      </c>
      <c r="E1026" t="s">
        <v>74</v>
      </c>
      <c r="F1026" t="s">
        <v>75</v>
      </c>
      <c r="G1026" t="s">
        <v>39</v>
      </c>
      <c r="H1026" s="2">
        <v>33</v>
      </c>
      <c r="I1026">
        <v>213</v>
      </c>
      <c r="J1026">
        <v>703</v>
      </c>
      <c r="K1026" s="4">
        <v>330</v>
      </c>
      <c r="L1026" t="s">
        <v>27</v>
      </c>
    </row>
    <row r="1027" spans="1:12" x14ac:dyDescent="0.35">
      <c r="A1027" t="s">
        <v>23</v>
      </c>
      <c r="B1027">
        <v>1197831</v>
      </c>
      <c r="C1027" s="1">
        <v>44459</v>
      </c>
      <c r="D1027" t="s">
        <v>19</v>
      </c>
      <c r="E1027" t="s">
        <v>24</v>
      </c>
      <c r="F1027" t="s">
        <v>25</v>
      </c>
      <c r="G1027" t="s">
        <v>32</v>
      </c>
      <c r="H1027" s="2">
        <v>47</v>
      </c>
      <c r="I1027">
        <v>213</v>
      </c>
      <c r="J1027" s="3">
        <v>1001</v>
      </c>
      <c r="K1027" s="4">
        <v>561</v>
      </c>
      <c r="L1027" t="s">
        <v>27</v>
      </c>
    </row>
    <row r="1028" spans="1:12" x14ac:dyDescent="0.35">
      <c r="A1028" t="s">
        <v>42</v>
      </c>
      <c r="B1028">
        <v>1128299</v>
      </c>
      <c r="C1028" s="1">
        <v>44552</v>
      </c>
      <c r="D1028" t="s">
        <v>48</v>
      </c>
      <c r="E1028" t="s">
        <v>123</v>
      </c>
      <c r="F1028" t="s">
        <v>124</v>
      </c>
      <c r="G1028" t="s">
        <v>39</v>
      </c>
      <c r="H1028" s="2">
        <v>33</v>
      </c>
      <c r="I1028">
        <v>213</v>
      </c>
      <c r="J1028">
        <v>703</v>
      </c>
      <c r="K1028" s="4">
        <v>323</v>
      </c>
      <c r="L1028" t="s">
        <v>27</v>
      </c>
    </row>
    <row r="1029" spans="1:12" x14ac:dyDescent="0.35">
      <c r="A1029" t="s">
        <v>23</v>
      </c>
      <c r="B1029">
        <v>1197831</v>
      </c>
      <c r="C1029" s="1">
        <v>44033</v>
      </c>
      <c r="D1029" t="s">
        <v>43</v>
      </c>
      <c r="E1029" t="s">
        <v>44</v>
      </c>
      <c r="F1029" t="s">
        <v>44</v>
      </c>
      <c r="G1029" t="s">
        <v>32</v>
      </c>
      <c r="H1029" s="2">
        <v>33</v>
      </c>
      <c r="I1029">
        <v>210</v>
      </c>
      <c r="J1029">
        <v>693</v>
      </c>
      <c r="K1029" s="4">
        <v>319</v>
      </c>
      <c r="L1029" t="s">
        <v>17</v>
      </c>
    </row>
    <row r="1030" spans="1:12" x14ac:dyDescent="0.35">
      <c r="A1030" t="s">
        <v>12</v>
      </c>
      <c r="B1030">
        <v>1197831</v>
      </c>
      <c r="C1030" s="1">
        <v>44070</v>
      </c>
      <c r="D1030" t="s">
        <v>19</v>
      </c>
      <c r="E1030" t="s">
        <v>59</v>
      </c>
      <c r="F1030" t="s">
        <v>60</v>
      </c>
      <c r="G1030" t="s">
        <v>56</v>
      </c>
      <c r="H1030" s="2">
        <v>36</v>
      </c>
      <c r="I1030">
        <v>210</v>
      </c>
      <c r="J1030">
        <v>756</v>
      </c>
      <c r="K1030" s="4">
        <v>454</v>
      </c>
      <c r="L1030" t="s">
        <v>17</v>
      </c>
    </row>
    <row r="1031" spans="1:12" x14ac:dyDescent="0.35">
      <c r="A1031" t="s">
        <v>12</v>
      </c>
      <c r="B1031">
        <v>1197831</v>
      </c>
      <c r="C1031" s="1">
        <v>44090</v>
      </c>
      <c r="D1031" t="s">
        <v>19</v>
      </c>
      <c r="E1031" t="s">
        <v>59</v>
      </c>
      <c r="F1031" t="s">
        <v>60</v>
      </c>
      <c r="G1031" t="s">
        <v>16</v>
      </c>
      <c r="H1031" s="2">
        <v>53</v>
      </c>
      <c r="I1031">
        <v>210</v>
      </c>
      <c r="J1031" s="3">
        <v>1113</v>
      </c>
      <c r="K1031" s="4">
        <v>690</v>
      </c>
      <c r="L1031" t="s">
        <v>17</v>
      </c>
    </row>
    <row r="1032" spans="1:12" x14ac:dyDescent="0.35">
      <c r="A1032" t="s">
        <v>18</v>
      </c>
      <c r="B1032">
        <v>1128299</v>
      </c>
      <c r="C1032" s="1">
        <v>44143</v>
      </c>
      <c r="D1032" t="s">
        <v>48</v>
      </c>
      <c r="E1032" t="s">
        <v>66</v>
      </c>
      <c r="F1032" t="s">
        <v>67</v>
      </c>
      <c r="G1032" t="s">
        <v>39</v>
      </c>
      <c r="H1032" s="2">
        <v>49</v>
      </c>
      <c r="I1032">
        <v>210</v>
      </c>
      <c r="J1032" s="3">
        <v>1029</v>
      </c>
      <c r="K1032" s="4">
        <v>319</v>
      </c>
      <c r="L1032" t="s">
        <v>17</v>
      </c>
    </row>
    <row r="1033" spans="1:12" x14ac:dyDescent="0.35">
      <c r="A1033" t="s">
        <v>18</v>
      </c>
      <c r="B1033">
        <v>1128299</v>
      </c>
      <c r="C1033" s="1">
        <v>44189</v>
      </c>
      <c r="D1033" t="s">
        <v>48</v>
      </c>
      <c r="E1033" t="s">
        <v>66</v>
      </c>
      <c r="F1033" t="s">
        <v>67</v>
      </c>
      <c r="G1033" t="s">
        <v>16</v>
      </c>
      <c r="H1033" s="2">
        <v>54</v>
      </c>
      <c r="I1033">
        <v>210</v>
      </c>
      <c r="J1033" s="3">
        <v>1134</v>
      </c>
      <c r="K1033" s="4">
        <v>306</v>
      </c>
      <c r="L1033" t="s">
        <v>17</v>
      </c>
    </row>
    <row r="1034" spans="1:12" x14ac:dyDescent="0.35">
      <c r="A1034" t="s">
        <v>18</v>
      </c>
      <c r="B1034">
        <v>1128299</v>
      </c>
      <c r="C1034" s="1">
        <v>44192</v>
      </c>
      <c r="D1034" t="s">
        <v>48</v>
      </c>
      <c r="E1034" t="s">
        <v>66</v>
      </c>
      <c r="F1034" t="s">
        <v>67</v>
      </c>
      <c r="G1034" t="s">
        <v>32</v>
      </c>
      <c r="H1034" s="2">
        <v>64</v>
      </c>
      <c r="I1034">
        <v>210</v>
      </c>
      <c r="J1034" s="3">
        <v>1344</v>
      </c>
      <c r="K1034" s="4">
        <v>672</v>
      </c>
      <c r="L1034" t="s">
        <v>17</v>
      </c>
    </row>
    <row r="1035" spans="1:12" x14ac:dyDescent="0.35">
      <c r="A1035" t="s">
        <v>18</v>
      </c>
      <c r="B1035">
        <v>1128299</v>
      </c>
      <c r="C1035" s="1">
        <v>44205</v>
      </c>
      <c r="D1035" t="s">
        <v>48</v>
      </c>
      <c r="E1035" t="s">
        <v>66</v>
      </c>
      <c r="F1035" t="s">
        <v>67</v>
      </c>
      <c r="G1035" t="s">
        <v>56</v>
      </c>
      <c r="H1035" s="2">
        <v>59</v>
      </c>
      <c r="I1035">
        <v>210</v>
      </c>
      <c r="J1035" s="3">
        <v>1239</v>
      </c>
      <c r="K1035" s="4">
        <v>607</v>
      </c>
      <c r="L1035" t="s">
        <v>17</v>
      </c>
    </row>
    <row r="1036" spans="1:12" x14ac:dyDescent="0.35">
      <c r="A1036" t="s">
        <v>18</v>
      </c>
      <c r="B1036">
        <v>1128299</v>
      </c>
      <c r="C1036" s="1">
        <v>44234</v>
      </c>
      <c r="D1036" t="s">
        <v>48</v>
      </c>
      <c r="E1036" t="s">
        <v>66</v>
      </c>
      <c r="F1036" t="s">
        <v>67</v>
      </c>
      <c r="G1036" t="s">
        <v>32</v>
      </c>
      <c r="H1036" s="2">
        <v>50</v>
      </c>
      <c r="I1036">
        <v>210</v>
      </c>
      <c r="J1036" s="3">
        <v>1050</v>
      </c>
      <c r="K1036" s="4">
        <v>420</v>
      </c>
      <c r="L1036" t="s">
        <v>17</v>
      </c>
    </row>
    <row r="1037" spans="1:12" x14ac:dyDescent="0.35">
      <c r="A1037" t="s">
        <v>18</v>
      </c>
      <c r="B1037">
        <v>1128299</v>
      </c>
      <c r="C1037" s="1">
        <v>44235</v>
      </c>
      <c r="D1037" t="s">
        <v>48</v>
      </c>
      <c r="E1037" t="s">
        <v>66</v>
      </c>
      <c r="F1037" t="s">
        <v>67</v>
      </c>
      <c r="G1037" t="s">
        <v>56</v>
      </c>
      <c r="H1037" s="2">
        <v>53</v>
      </c>
      <c r="I1037">
        <v>210</v>
      </c>
      <c r="J1037" s="3">
        <v>1113</v>
      </c>
      <c r="K1037" s="4">
        <v>445</v>
      </c>
      <c r="L1037" t="s">
        <v>17</v>
      </c>
    </row>
    <row r="1038" spans="1:12" x14ac:dyDescent="0.35">
      <c r="A1038" t="s">
        <v>63</v>
      </c>
      <c r="B1038">
        <v>1189833</v>
      </c>
      <c r="C1038" s="1">
        <v>44344</v>
      </c>
      <c r="D1038" t="s">
        <v>48</v>
      </c>
      <c r="E1038" t="s">
        <v>66</v>
      </c>
      <c r="F1038" t="s">
        <v>76</v>
      </c>
      <c r="G1038" t="s">
        <v>56</v>
      </c>
      <c r="H1038" s="2">
        <v>49</v>
      </c>
      <c r="I1038">
        <v>210</v>
      </c>
      <c r="J1038" s="3">
        <v>1029</v>
      </c>
      <c r="K1038" s="4">
        <v>515</v>
      </c>
      <c r="L1038" t="s">
        <v>17</v>
      </c>
    </row>
    <row r="1039" spans="1:12" x14ac:dyDescent="0.35">
      <c r="A1039" t="s">
        <v>18</v>
      </c>
      <c r="B1039">
        <v>1128299</v>
      </c>
      <c r="C1039" s="1">
        <v>43874</v>
      </c>
      <c r="D1039" t="s">
        <v>48</v>
      </c>
      <c r="E1039" t="s">
        <v>116</v>
      </c>
      <c r="F1039" t="s">
        <v>117</v>
      </c>
      <c r="G1039" t="s">
        <v>26</v>
      </c>
      <c r="H1039" s="2">
        <v>62</v>
      </c>
      <c r="I1039">
        <v>210</v>
      </c>
      <c r="J1039" s="3">
        <v>1302</v>
      </c>
      <c r="K1039" s="4">
        <v>690</v>
      </c>
      <c r="L1039" t="s">
        <v>17</v>
      </c>
    </row>
    <row r="1040" spans="1:12" x14ac:dyDescent="0.35">
      <c r="A1040" t="s">
        <v>18</v>
      </c>
      <c r="B1040">
        <v>1128299</v>
      </c>
      <c r="C1040" s="1">
        <v>44020</v>
      </c>
      <c r="D1040" t="s">
        <v>48</v>
      </c>
      <c r="E1040" t="s">
        <v>97</v>
      </c>
      <c r="F1040" t="s">
        <v>98</v>
      </c>
      <c r="G1040" t="s">
        <v>39</v>
      </c>
      <c r="H1040" s="2">
        <v>77</v>
      </c>
      <c r="I1040">
        <v>210</v>
      </c>
      <c r="J1040" s="3">
        <v>1617</v>
      </c>
      <c r="K1040" s="4">
        <v>631</v>
      </c>
      <c r="L1040" t="s">
        <v>17</v>
      </c>
    </row>
    <row r="1041" spans="1:12" x14ac:dyDescent="0.35">
      <c r="A1041" t="s">
        <v>42</v>
      </c>
      <c r="B1041">
        <v>1185732</v>
      </c>
      <c r="C1041" s="1">
        <v>43945</v>
      </c>
      <c r="D1041" t="s">
        <v>13</v>
      </c>
      <c r="E1041" t="s">
        <v>14</v>
      </c>
      <c r="F1041" t="s">
        <v>73</v>
      </c>
      <c r="G1041" t="s">
        <v>39</v>
      </c>
      <c r="H1041" s="2">
        <v>41</v>
      </c>
      <c r="I1041">
        <v>210</v>
      </c>
      <c r="J1041">
        <v>861</v>
      </c>
      <c r="K1041" s="4">
        <v>431</v>
      </c>
      <c r="L1041" t="s">
        <v>17</v>
      </c>
    </row>
    <row r="1042" spans="1:12" x14ac:dyDescent="0.35">
      <c r="A1042" t="s">
        <v>23</v>
      </c>
      <c r="B1042">
        <v>1185732</v>
      </c>
      <c r="C1042" s="1">
        <v>44100</v>
      </c>
      <c r="D1042" t="s">
        <v>13</v>
      </c>
      <c r="E1042" t="s">
        <v>14</v>
      </c>
      <c r="F1042" t="s">
        <v>73</v>
      </c>
      <c r="G1042" t="s">
        <v>56</v>
      </c>
      <c r="H1042" s="2">
        <v>42</v>
      </c>
      <c r="I1042">
        <v>210</v>
      </c>
      <c r="J1042">
        <v>882</v>
      </c>
      <c r="K1042" s="4">
        <v>379</v>
      </c>
      <c r="L1042" t="s">
        <v>17</v>
      </c>
    </row>
    <row r="1043" spans="1:12" x14ac:dyDescent="0.35">
      <c r="A1043" t="s">
        <v>23</v>
      </c>
      <c r="B1043">
        <v>1185732</v>
      </c>
      <c r="C1043" s="1">
        <v>44101</v>
      </c>
      <c r="D1043" t="s">
        <v>13</v>
      </c>
      <c r="E1043" t="s">
        <v>14</v>
      </c>
      <c r="F1043" t="s">
        <v>73</v>
      </c>
      <c r="G1043" t="s">
        <v>70</v>
      </c>
      <c r="H1043" s="2">
        <v>50</v>
      </c>
      <c r="I1043">
        <v>210</v>
      </c>
      <c r="J1043" s="3">
        <v>1050</v>
      </c>
      <c r="K1043" s="4">
        <v>525</v>
      </c>
      <c r="L1043" t="s">
        <v>17</v>
      </c>
    </row>
    <row r="1044" spans="1:12" x14ac:dyDescent="0.35">
      <c r="A1044" t="s">
        <v>23</v>
      </c>
      <c r="B1044">
        <v>1197831</v>
      </c>
      <c r="C1044" s="1">
        <v>44265</v>
      </c>
      <c r="D1044" t="s">
        <v>33</v>
      </c>
      <c r="E1044" t="s">
        <v>131</v>
      </c>
      <c r="F1044" t="s">
        <v>132</v>
      </c>
      <c r="G1044" t="s">
        <v>26</v>
      </c>
      <c r="H1044" s="2">
        <v>18</v>
      </c>
      <c r="I1044">
        <v>210</v>
      </c>
      <c r="J1044">
        <v>378</v>
      </c>
      <c r="K1044" s="4">
        <v>189</v>
      </c>
      <c r="L1044" t="s">
        <v>17</v>
      </c>
    </row>
    <row r="1045" spans="1:12" x14ac:dyDescent="0.35">
      <c r="A1045" t="s">
        <v>23</v>
      </c>
      <c r="B1045">
        <v>1197831</v>
      </c>
      <c r="C1045" s="1">
        <v>44333</v>
      </c>
      <c r="D1045" t="s">
        <v>19</v>
      </c>
      <c r="E1045" t="s">
        <v>74</v>
      </c>
      <c r="F1045" t="s">
        <v>75</v>
      </c>
      <c r="G1045" t="s">
        <v>32</v>
      </c>
      <c r="H1045" s="2">
        <v>54</v>
      </c>
      <c r="I1045">
        <v>210</v>
      </c>
      <c r="J1045" s="3">
        <v>1134</v>
      </c>
      <c r="K1045" s="4">
        <v>624</v>
      </c>
      <c r="L1045" t="s">
        <v>17</v>
      </c>
    </row>
    <row r="1046" spans="1:12" x14ac:dyDescent="0.35">
      <c r="A1046" t="s">
        <v>23</v>
      </c>
      <c r="B1046">
        <v>1197831</v>
      </c>
      <c r="C1046" s="1">
        <v>44452</v>
      </c>
      <c r="D1046" t="s">
        <v>19</v>
      </c>
      <c r="E1046" t="s">
        <v>24</v>
      </c>
      <c r="F1046" t="s">
        <v>25</v>
      </c>
      <c r="G1046" t="s">
        <v>39</v>
      </c>
      <c r="H1046" s="2">
        <v>52</v>
      </c>
      <c r="I1046">
        <v>210</v>
      </c>
      <c r="J1046" s="3">
        <v>1092</v>
      </c>
      <c r="K1046" s="4">
        <v>710</v>
      </c>
      <c r="L1046" t="s">
        <v>17</v>
      </c>
    </row>
    <row r="1047" spans="1:12" x14ac:dyDescent="0.35">
      <c r="A1047" t="s">
        <v>42</v>
      </c>
      <c r="B1047">
        <v>1128299</v>
      </c>
      <c r="C1047" s="1">
        <v>44357</v>
      </c>
      <c r="D1047" t="s">
        <v>48</v>
      </c>
      <c r="E1047" t="s">
        <v>129</v>
      </c>
      <c r="F1047" t="s">
        <v>130</v>
      </c>
      <c r="G1047" t="s">
        <v>26</v>
      </c>
      <c r="H1047" s="2">
        <v>67</v>
      </c>
      <c r="I1047">
        <v>210</v>
      </c>
      <c r="J1047" s="3">
        <v>1407</v>
      </c>
      <c r="K1047" s="4">
        <v>563</v>
      </c>
      <c r="L1047" t="s">
        <v>17</v>
      </c>
    </row>
    <row r="1048" spans="1:12" x14ac:dyDescent="0.35">
      <c r="A1048" t="s">
        <v>42</v>
      </c>
      <c r="B1048">
        <v>1128299</v>
      </c>
      <c r="C1048" s="1">
        <v>44418</v>
      </c>
      <c r="D1048" t="s">
        <v>48</v>
      </c>
      <c r="E1048" t="s">
        <v>129</v>
      </c>
      <c r="F1048" t="s">
        <v>130</v>
      </c>
      <c r="G1048" t="s">
        <v>26</v>
      </c>
      <c r="H1048" s="2">
        <v>79</v>
      </c>
      <c r="I1048">
        <v>210</v>
      </c>
      <c r="J1048" s="3">
        <v>1659</v>
      </c>
      <c r="K1048" s="4">
        <v>614</v>
      </c>
      <c r="L1048" t="s">
        <v>17</v>
      </c>
    </row>
    <row r="1049" spans="1:12" x14ac:dyDescent="0.35">
      <c r="A1049" t="s">
        <v>12</v>
      </c>
      <c r="B1049">
        <v>1128299</v>
      </c>
      <c r="C1049" s="1">
        <v>44364</v>
      </c>
      <c r="D1049" t="s">
        <v>13</v>
      </c>
      <c r="E1049" t="s">
        <v>14</v>
      </c>
      <c r="F1049" t="s">
        <v>15</v>
      </c>
      <c r="G1049" t="s">
        <v>32</v>
      </c>
      <c r="H1049" s="2">
        <v>80</v>
      </c>
      <c r="I1049">
        <v>210</v>
      </c>
      <c r="J1049" s="3">
        <v>1680</v>
      </c>
      <c r="K1049" s="4">
        <v>722</v>
      </c>
      <c r="L1049" t="s">
        <v>17</v>
      </c>
    </row>
    <row r="1050" spans="1:12" x14ac:dyDescent="0.35">
      <c r="A1050" t="s">
        <v>18</v>
      </c>
      <c r="B1050">
        <v>1185732</v>
      </c>
      <c r="C1050" s="1">
        <v>44417</v>
      </c>
      <c r="D1050" t="s">
        <v>43</v>
      </c>
      <c r="E1050" t="s">
        <v>44</v>
      </c>
      <c r="F1050" t="s">
        <v>101</v>
      </c>
      <c r="G1050" t="s">
        <v>39</v>
      </c>
      <c r="H1050" s="2">
        <v>55</v>
      </c>
      <c r="I1050">
        <v>210</v>
      </c>
      <c r="J1050" s="3">
        <v>1155</v>
      </c>
      <c r="K1050" s="4">
        <v>520</v>
      </c>
      <c r="L1050" t="s">
        <v>17</v>
      </c>
    </row>
    <row r="1051" spans="1:12" x14ac:dyDescent="0.35">
      <c r="A1051" t="s">
        <v>23</v>
      </c>
      <c r="B1051">
        <v>1185732</v>
      </c>
      <c r="C1051" s="1">
        <v>44392</v>
      </c>
      <c r="D1051" t="s">
        <v>33</v>
      </c>
      <c r="E1051" t="s">
        <v>45</v>
      </c>
      <c r="F1051" t="s">
        <v>46</v>
      </c>
      <c r="G1051" t="s">
        <v>16</v>
      </c>
      <c r="H1051" s="2">
        <v>62</v>
      </c>
      <c r="I1051">
        <v>210</v>
      </c>
      <c r="J1051" s="3">
        <v>1302</v>
      </c>
      <c r="K1051" s="4">
        <v>898</v>
      </c>
      <c r="L1051" t="s">
        <v>17</v>
      </c>
    </row>
    <row r="1052" spans="1:12" x14ac:dyDescent="0.35">
      <c r="A1052" t="s">
        <v>18</v>
      </c>
      <c r="B1052">
        <v>1128299</v>
      </c>
      <c r="C1052" s="1">
        <v>44364</v>
      </c>
      <c r="D1052" t="s">
        <v>19</v>
      </c>
      <c r="E1052" t="s">
        <v>20</v>
      </c>
      <c r="F1052" t="s">
        <v>21</v>
      </c>
      <c r="G1052" t="s">
        <v>39</v>
      </c>
      <c r="H1052" s="2">
        <v>65</v>
      </c>
      <c r="I1052">
        <v>210</v>
      </c>
      <c r="J1052" s="3">
        <v>1365</v>
      </c>
      <c r="K1052" s="4">
        <v>710</v>
      </c>
      <c r="L1052" t="s">
        <v>17</v>
      </c>
    </row>
    <row r="1053" spans="1:12" x14ac:dyDescent="0.35">
      <c r="A1053" t="s">
        <v>18</v>
      </c>
      <c r="B1053">
        <v>1128299</v>
      </c>
      <c r="C1053" s="1">
        <v>44517</v>
      </c>
      <c r="D1053" t="s">
        <v>19</v>
      </c>
      <c r="E1053" t="s">
        <v>20</v>
      </c>
      <c r="F1053" t="s">
        <v>21</v>
      </c>
      <c r="G1053" t="s">
        <v>39</v>
      </c>
      <c r="H1053" s="2">
        <v>42</v>
      </c>
      <c r="I1053">
        <v>210</v>
      </c>
      <c r="J1053">
        <v>882</v>
      </c>
      <c r="K1053" s="4">
        <v>459</v>
      </c>
      <c r="L1053" t="s">
        <v>17</v>
      </c>
    </row>
    <row r="1054" spans="1:12" x14ac:dyDescent="0.35">
      <c r="A1054" t="s">
        <v>42</v>
      </c>
      <c r="B1054">
        <v>1197831</v>
      </c>
      <c r="C1054" s="1">
        <v>44416</v>
      </c>
      <c r="D1054" t="s">
        <v>48</v>
      </c>
      <c r="E1054" t="s">
        <v>79</v>
      </c>
      <c r="F1054" t="s">
        <v>80</v>
      </c>
      <c r="G1054" t="s">
        <v>26</v>
      </c>
      <c r="H1054" s="2">
        <v>46</v>
      </c>
      <c r="I1054">
        <v>210</v>
      </c>
      <c r="J1054">
        <v>966</v>
      </c>
      <c r="K1054" s="4">
        <v>531</v>
      </c>
      <c r="L1054" t="s">
        <v>17</v>
      </c>
    </row>
    <row r="1055" spans="1:12" x14ac:dyDescent="0.35">
      <c r="A1055" t="s">
        <v>63</v>
      </c>
      <c r="B1055">
        <v>1128299</v>
      </c>
      <c r="C1055" s="1">
        <v>44555</v>
      </c>
      <c r="D1055" t="s">
        <v>48</v>
      </c>
      <c r="E1055" t="s">
        <v>114</v>
      </c>
      <c r="F1055" t="s">
        <v>115</v>
      </c>
      <c r="G1055" t="s">
        <v>26</v>
      </c>
      <c r="H1055" s="2">
        <v>55</v>
      </c>
      <c r="I1055">
        <v>210</v>
      </c>
      <c r="J1055" s="3">
        <v>1155</v>
      </c>
      <c r="K1055" s="4">
        <v>531</v>
      </c>
      <c r="L1055" t="s">
        <v>17</v>
      </c>
    </row>
    <row r="1056" spans="1:12" x14ac:dyDescent="0.35">
      <c r="A1056" t="s">
        <v>42</v>
      </c>
      <c r="B1056">
        <v>1185732</v>
      </c>
      <c r="C1056" s="1">
        <v>44260</v>
      </c>
      <c r="D1056" t="s">
        <v>13</v>
      </c>
      <c r="E1056" t="s">
        <v>69</v>
      </c>
      <c r="F1056" t="s">
        <v>65</v>
      </c>
      <c r="G1056" t="s">
        <v>39</v>
      </c>
      <c r="H1056" s="2">
        <v>32</v>
      </c>
      <c r="I1056">
        <v>210</v>
      </c>
      <c r="J1056">
        <v>672</v>
      </c>
      <c r="K1056" s="4">
        <v>329</v>
      </c>
      <c r="L1056" t="s">
        <v>17</v>
      </c>
    </row>
    <row r="1057" spans="1:12" x14ac:dyDescent="0.35">
      <c r="A1057" t="s">
        <v>42</v>
      </c>
      <c r="B1057">
        <v>1185732</v>
      </c>
      <c r="C1057" s="1">
        <v>44321</v>
      </c>
      <c r="D1057" t="s">
        <v>13</v>
      </c>
      <c r="E1057" t="s">
        <v>69</v>
      </c>
      <c r="F1057" t="s">
        <v>65</v>
      </c>
      <c r="G1057" t="s">
        <v>32</v>
      </c>
      <c r="H1057" s="2">
        <v>41</v>
      </c>
      <c r="I1057">
        <v>210</v>
      </c>
      <c r="J1057">
        <v>861</v>
      </c>
      <c r="K1057" s="4">
        <v>319</v>
      </c>
      <c r="L1057" t="s">
        <v>17</v>
      </c>
    </row>
    <row r="1058" spans="1:12" x14ac:dyDescent="0.35">
      <c r="A1058" t="s">
        <v>42</v>
      </c>
      <c r="B1058">
        <v>1185732</v>
      </c>
      <c r="C1058" s="1">
        <v>44444</v>
      </c>
      <c r="D1058" t="s">
        <v>13</v>
      </c>
      <c r="E1058" t="s">
        <v>69</v>
      </c>
      <c r="F1058" t="s">
        <v>65</v>
      </c>
      <c r="G1058" t="s">
        <v>56</v>
      </c>
      <c r="H1058" s="2">
        <v>39</v>
      </c>
      <c r="I1058">
        <v>210</v>
      </c>
      <c r="J1058">
        <v>819</v>
      </c>
      <c r="K1058" s="4">
        <v>328</v>
      </c>
      <c r="L1058" t="s">
        <v>17</v>
      </c>
    </row>
    <row r="1059" spans="1:12" x14ac:dyDescent="0.35">
      <c r="A1059" t="s">
        <v>23</v>
      </c>
      <c r="B1059">
        <v>1185732</v>
      </c>
      <c r="C1059" s="1">
        <v>44411</v>
      </c>
      <c r="D1059" t="s">
        <v>13</v>
      </c>
      <c r="E1059" t="s">
        <v>77</v>
      </c>
      <c r="F1059" t="s">
        <v>78</v>
      </c>
      <c r="G1059" t="s">
        <v>32</v>
      </c>
      <c r="H1059" s="2">
        <v>54</v>
      </c>
      <c r="I1059">
        <v>210</v>
      </c>
      <c r="J1059" s="3">
        <v>1134</v>
      </c>
      <c r="K1059" s="4">
        <v>601</v>
      </c>
      <c r="L1059" t="s">
        <v>17</v>
      </c>
    </row>
    <row r="1060" spans="1:12" x14ac:dyDescent="0.35">
      <c r="A1060" t="s">
        <v>23</v>
      </c>
      <c r="B1060">
        <v>1185732</v>
      </c>
      <c r="C1060" s="1">
        <v>44503</v>
      </c>
      <c r="D1060" t="s">
        <v>13</v>
      </c>
      <c r="E1060" t="s">
        <v>77</v>
      </c>
      <c r="F1060" t="s">
        <v>78</v>
      </c>
      <c r="G1060" t="s">
        <v>16</v>
      </c>
      <c r="H1060" s="2">
        <v>72</v>
      </c>
      <c r="I1060">
        <v>210</v>
      </c>
      <c r="J1060" s="3">
        <v>1512</v>
      </c>
      <c r="K1060" s="4">
        <v>968</v>
      </c>
      <c r="L1060" t="s">
        <v>17</v>
      </c>
    </row>
    <row r="1061" spans="1:12" x14ac:dyDescent="0.35">
      <c r="A1061" t="s">
        <v>51</v>
      </c>
      <c r="B1061">
        <v>1185732</v>
      </c>
      <c r="C1061" s="1">
        <v>44480</v>
      </c>
      <c r="D1061" t="s">
        <v>33</v>
      </c>
      <c r="E1061" t="s">
        <v>52</v>
      </c>
      <c r="F1061" t="s">
        <v>53</v>
      </c>
      <c r="G1061" t="s">
        <v>26</v>
      </c>
      <c r="H1061" s="2">
        <v>36</v>
      </c>
      <c r="I1061">
        <v>210</v>
      </c>
      <c r="J1061">
        <v>756</v>
      </c>
      <c r="K1061" s="4">
        <v>393</v>
      </c>
      <c r="L1061" t="s">
        <v>17</v>
      </c>
    </row>
    <row r="1062" spans="1:12" x14ac:dyDescent="0.35">
      <c r="A1062" t="s">
        <v>42</v>
      </c>
      <c r="B1062">
        <v>1185732</v>
      </c>
      <c r="C1062" s="1">
        <v>44365</v>
      </c>
      <c r="D1062" t="s">
        <v>19</v>
      </c>
      <c r="E1062" t="s">
        <v>37</v>
      </c>
      <c r="F1062" t="s">
        <v>38</v>
      </c>
      <c r="G1062" t="s">
        <v>26</v>
      </c>
      <c r="H1062" s="2">
        <v>44</v>
      </c>
      <c r="I1062">
        <v>210</v>
      </c>
      <c r="J1062">
        <v>924</v>
      </c>
      <c r="K1062" s="4">
        <v>480</v>
      </c>
      <c r="L1062" t="s">
        <v>17</v>
      </c>
    </row>
    <row r="1063" spans="1:12" x14ac:dyDescent="0.35">
      <c r="A1063" t="s">
        <v>12</v>
      </c>
      <c r="B1063">
        <v>1197831</v>
      </c>
      <c r="C1063" s="1">
        <v>44428</v>
      </c>
      <c r="D1063" t="s">
        <v>19</v>
      </c>
      <c r="E1063" t="s">
        <v>54</v>
      </c>
      <c r="F1063" t="s">
        <v>55</v>
      </c>
      <c r="G1063" t="s">
        <v>26</v>
      </c>
      <c r="H1063" s="2">
        <v>55</v>
      </c>
      <c r="I1063">
        <v>210</v>
      </c>
      <c r="J1063" s="3">
        <v>1155</v>
      </c>
      <c r="K1063" s="4">
        <v>624</v>
      </c>
      <c r="L1063" t="s">
        <v>17</v>
      </c>
    </row>
    <row r="1064" spans="1:12" x14ac:dyDescent="0.35">
      <c r="A1064" t="s">
        <v>23</v>
      </c>
      <c r="B1064">
        <v>1197831</v>
      </c>
      <c r="C1064" s="1">
        <v>44034</v>
      </c>
      <c r="D1064" t="s">
        <v>43</v>
      </c>
      <c r="E1064" t="s">
        <v>44</v>
      </c>
      <c r="F1064" t="s">
        <v>44</v>
      </c>
      <c r="G1064" t="s">
        <v>56</v>
      </c>
      <c r="H1064" s="2">
        <v>27</v>
      </c>
      <c r="I1064">
        <v>210</v>
      </c>
      <c r="J1064">
        <v>567</v>
      </c>
      <c r="K1064" s="4">
        <v>295</v>
      </c>
      <c r="L1064" t="s">
        <v>27</v>
      </c>
    </row>
    <row r="1065" spans="1:12" x14ac:dyDescent="0.35">
      <c r="A1065" t="s">
        <v>12</v>
      </c>
      <c r="B1065">
        <v>1197831</v>
      </c>
      <c r="C1065" s="1">
        <v>44133</v>
      </c>
      <c r="D1065" t="s">
        <v>19</v>
      </c>
      <c r="E1065" t="s">
        <v>59</v>
      </c>
      <c r="F1065" t="s">
        <v>60</v>
      </c>
      <c r="G1065" t="s">
        <v>56</v>
      </c>
      <c r="H1065" s="2">
        <v>36</v>
      </c>
      <c r="I1065">
        <v>210</v>
      </c>
      <c r="J1065">
        <v>756</v>
      </c>
      <c r="K1065" s="4">
        <v>393</v>
      </c>
      <c r="L1065" t="s">
        <v>27</v>
      </c>
    </row>
    <row r="1066" spans="1:12" x14ac:dyDescent="0.35">
      <c r="A1066" t="s">
        <v>18</v>
      </c>
      <c r="B1066">
        <v>1128299</v>
      </c>
      <c r="C1066" s="1">
        <v>44147</v>
      </c>
      <c r="D1066" t="s">
        <v>48</v>
      </c>
      <c r="E1066" t="s">
        <v>66</v>
      </c>
      <c r="F1066" t="s">
        <v>67</v>
      </c>
      <c r="G1066" t="s">
        <v>16</v>
      </c>
      <c r="H1066" s="2">
        <v>33</v>
      </c>
      <c r="I1066">
        <v>210</v>
      </c>
      <c r="J1066">
        <v>693</v>
      </c>
      <c r="K1066" s="4">
        <v>152</v>
      </c>
      <c r="L1066" t="s">
        <v>27</v>
      </c>
    </row>
    <row r="1067" spans="1:12" x14ac:dyDescent="0.35">
      <c r="A1067" t="s">
        <v>18</v>
      </c>
      <c r="B1067">
        <v>1128299</v>
      </c>
      <c r="C1067" s="1">
        <v>44150</v>
      </c>
      <c r="D1067" t="s">
        <v>48</v>
      </c>
      <c r="E1067" t="s">
        <v>66</v>
      </c>
      <c r="F1067" t="s">
        <v>67</v>
      </c>
      <c r="G1067" t="s">
        <v>32</v>
      </c>
      <c r="H1067" s="2">
        <v>47</v>
      </c>
      <c r="I1067">
        <v>210</v>
      </c>
      <c r="J1067">
        <v>987</v>
      </c>
      <c r="K1067" s="4">
        <v>415</v>
      </c>
      <c r="L1067" t="s">
        <v>27</v>
      </c>
    </row>
    <row r="1068" spans="1:12" x14ac:dyDescent="0.35">
      <c r="A1068" t="s">
        <v>18</v>
      </c>
      <c r="B1068">
        <v>1128299</v>
      </c>
      <c r="C1068" s="1">
        <v>44228</v>
      </c>
      <c r="D1068" t="s">
        <v>48</v>
      </c>
      <c r="E1068" t="s">
        <v>66</v>
      </c>
      <c r="F1068" t="s">
        <v>67</v>
      </c>
      <c r="G1068" t="s">
        <v>32</v>
      </c>
      <c r="H1068" s="2">
        <v>42</v>
      </c>
      <c r="I1068">
        <v>210</v>
      </c>
      <c r="J1068">
        <v>882</v>
      </c>
      <c r="K1068" s="4">
        <v>291</v>
      </c>
      <c r="L1068" t="s">
        <v>27</v>
      </c>
    </row>
    <row r="1069" spans="1:12" x14ac:dyDescent="0.35">
      <c r="A1069" t="s">
        <v>18</v>
      </c>
      <c r="B1069">
        <v>1128299</v>
      </c>
      <c r="C1069" s="1">
        <v>44235</v>
      </c>
      <c r="D1069" t="s">
        <v>48</v>
      </c>
      <c r="E1069" t="s">
        <v>66</v>
      </c>
      <c r="F1069" t="s">
        <v>67</v>
      </c>
      <c r="G1069" t="s">
        <v>56</v>
      </c>
      <c r="H1069" s="2">
        <v>37</v>
      </c>
      <c r="I1069">
        <v>210</v>
      </c>
      <c r="J1069">
        <v>777</v>
      </c>
      <c r="K1069" s="4">
        <v>225</v>
      </c>
      <c r="L1069" t="s">
        <v>27</v>
      </c>
    </row>
    <row r="1070" spans="1:12" x14ac:dyDescent="0.35">
      <c r="A1070" t="s">
        <v>63</v>
      </c>
      <c r="B1070">
        <v>1189833</v>
      </c>
      <c r="C1070" s="1">
        <v>44267</v>
      </c>
      <c r="D1070" t="s">
        <v>48</v>
      </c>
      <c r="E1070" t="s">
        <v>66</v>
      </c>
      <c r="F1070" t="s">
        <v>76</v>
      </c>
      <c r="G1070" t="s">
        <v>16</v>
      </c>
      <c r="H1070" s="2">
        <v>29</v>
      </c>
      <c r="I1070">
        <v>210</v>
      </c>
      <c r="J1070">
        <v>609</v>
      </c>
      <c r="K1070" s="4">
        <v>140</v>
      </c>
      <c r="L1070" t="s">
        <v>27</v>
      </c>
    </row>
    <row r="1071" spans="1:12" x14ac:dyDescent="0.35">
      <c r="A1071" t="s">
        <v>63</v>
      </c>
      <c r="B1071">
        <v>1189833</v>
      </c>
      <c r="C1071" s="1">
        <v>44294</v>
      </c>
      <c r="D1071" t="s">
        <v>48</v>
      </c>
      <c r="E1071" t="s">
        <v>66</v>
      </c>
      <c r="F1071" t="s">
        <v>76</v>
      </c>
      <c r="G1071" t="s">
        <v>39</v>
      </c>
      <c r="H1071" s="2">
        <v>34</v>
      </c>
      <c r="I1071">
        <v>210</v>
      </c>
      <c r="J1071">
        <v>714</v>
      </c>
      <c r="K1071" s="4">
        <v>207</v>
      </c>
      <c r="L1071" t="s">
        <v>27</v>
      </c>
    </row>
    <row r="1072" spans="1:12" x14ac:dyDescent="0.35">
      <c r="A1072" t="s">
        <v>63</v>
      </c>
      <c r="B1072">
        <v>1189833</v>
      </c>
      <c r="C1072" s="1">
        <v>44325</v>
      </c>
      <c r="D1072" t="s">
        <v>48</v>
      </c>
      <c r="E1072" t="s">
        <v>66</v>
      </c>
      <c r="F1072" t="s">
        <v>76</v>
      </c>
      <c r="G1072" t="s">
        <v>32</v>
      </c>
      <c r="H1072" s="2">
        <v>38</v>
      </c>
      <c r="I1072">
        <v>210</v>
      </c>
      <c r="J1072">
        <v>798</v>
      </c>
      <c r="K1072" s="4">
        <v>359</v>
      </c>
      <c r="L1072" t="s">
        <v>27</v>
      </c>
    </row>
    <row r="1073" spans="1:12" x14ac:dyDescent="0.35">
      <c r="A1073" t="s">
        <v>63</v>
      </c>
      <c r="B1073">
        <v>1189833</v>
      </c>
      <c r="C1073" s="1">
        <v>44328</v>
      </c>
      <c r="D1073" t="s">
        <v>48</v>
      </c>
      <c r="E1073" t="s">
        <v>66</v>
      </c>
      <c r="F1073" t="s">
        <v>76</v>
      </c>
      <c r="G1073" t="s">
        <v>16</v>
      </c>
      <c r="H1073" s="2">
        <v>49</v>
      </c>
      <c r="I1073">
        <v>210</v>
      </c>
      <c r="J1073" s="3">
        <v>1029</v>
      </c>
      <c r="K1073" s="4">
        <v>226</v>
      </c>
      <c r="L1073" t="s">
        <v>27</v>
      </c>
    </row>
    <row r="1074" spans="1:12" x14ac:dyDescent="0.35">
      <c r="A1074" t="s">
        <v>63</v>
      </c>
      <c r="B1074">
        <v>1189833</v>
      </c>
      <c r="C1074" s="1">
        <v>44333</v>
      </c>
      <c r="D1074" t="s">
        <v>48</v>
      </c>
      <c r="E1074" t="s">
        <v>66</v>
      </c>
      <c r="F1074" t="s">
        <v>76</v>
      </c>
      <c r="G1074" t="s">
        <v>70</v>
      </c>
      <c r="H1074" s="2">
        <v>46</v>
      </c>
      <c r="I1074">
        <v>210</v>
      </c>
      <c r="J1074">
        <v>966</v>
      </c>
      <c r="K1074" s="4">
        <v>599</v>
      </c>
      <c r="L1074" t="s">
        <v>27</v>
      </c>
    </row>
    <row r="1075" spans="1:12" x14ac:dyDescent="0.35">
      <c r="A1075" t="s">
        <v>23</v>
      </c>
      <c r="B1075">
        <v>1197831</v>
      </c>
      <c r="C1075" s="1">
        <v>44438</v>
      </c>
      <c r="D1075" t="s">
        <v>19</v>
      </c>
      <c r="E1075" t="s">
        <v>59</v>
      </c>
      <c r="F1075" t="s">
        <v>68</v>
      </c>
      <c r="G1075" t="s">
        <v>39</v>
      </c>
      <c r="H1075" s="2">
        <v>21</v>
      </c>
      <c r="I1075">
        <v>210</v>
      </c>
      <c r="J1075">
        <v>441</v>
      </c>
      <c r="K1075" s="4">
        <v>176</v>
      </c>
      <c r="L1075" t="s">
        <v>27</v>
      </c>
    </row>
    <row r="1076" spans="1:12" x14ac:dyDescent="0.35">
      <c r="A1076" t="s">
        <v>23</v>
      </c>
      <c r="B1076">
        <v>1197831</v>
      </c>
      <c r="C1076" s="1">
        <v>44442</v>
      </c>
      <c r="D1076" t="s">
        <v>19</v>
      </c>
      <c r="E1076" t="s">
        <v>59</v>
      </c>
      <c r="F1076" t="s">
        <v>68</v>
      </c>
      <c r="G1076" t="s">
        <v>16</v>
      </c>
      <c r="H1076" s="2">
        <v>22</v>
      </c>
      <c r="I1076">
        <v>210</v>
      </c>
      <c r="J1076">
        <v>462</v>
      </c>
      <c r="K1076" s="4">
        <v>263</v>
      </c>
      <c r="L1076" t="s">
        <v>27</v>
      </c>
    </row>
    <row r="1077" spans="1:12" x14ac:dyDescent="0.35">
      <c r="A1077" t="s">
        <v>23</v>
      </c>
      <c r="B1077">
        <v>1197831</v>
      </c>
      <c r="C1077" s="1">
        <v>44333</v>
      </c>
      <c r="D1077" t="s">
        <v>19</v>
      </c>
      <c r="E1077" t="s">
        <v>74</v>
      </c>
      <c r="F1077" t="s">
        <v>75</v>
      </c>
      <c r="G1077" t="s">
        <v>32</v>
      </c>
      <c r="H1077" s="2">
        <v>44</v>
      </c>
      <c r="I1077">
        <v>210</v>
      </c>
      <c r="J1077">
        <v>924</v>
      </c>
      <c r="K1077" s="4">
        <v>471</v>
      </c>
      <c r="L1077" t="s">
        <v>27</v>
      </c>
    </row>
    <row r="1078" spans="1:12" x14ac:dyDescent="0.35">
      <c r="A1078" t="s">
        <v>23</v>
      </c>
      <c r="B1078">
        <v>1197831</v>
      </c>
      <c r="C1078" s="1">
        <v>44442</v>
      </c>
      <c r="D1078" t="s">
        <v>19</v>
      </c>
      <c r="E1078" t="s">
        <v>24</v>
      </c>
      <c r="F1078" t="s">
        <v>25</v>
      </c>
      <c r="G1078" t="s">
        <v>56</v>
      </c>
      <c r="H1078" s="2">
        <v>31</v>
      </c>
      <c r="I1078">
        <v>210</v>
      </c>
      <c r="J1078">
        <v>651</v>
      </c>
      <c r="K1078" s="4">
        <v>391</v>
      </c>
      <c r="L1078" t="s">
        <v>27</v>
      </c>
    </row>
    <row r="1079" spans="1:12" x14ac:dyDescent="0.35">
      <c r="A1079" t="s">
        <v>42</v>
      </c>
      <c r="B1079">
        <v>1128299</v>
      </c>
      <c r="C1079" s="1">
        <v>44400</v>
      </c>
      <c r="D1079" t="s">
        <v>13</v>
      </c>
      <c r="E1079" t="s">
        <v>99</v>
      </c>
      <c r="F1079" t="s">
        <v>100</v>
      </c>
      <c r="G1079" t="s">
        <v>70</v>
      </c>
      <c r="H1079" s="2">
        <v>72</v>
      </c>
      <c r="I1079">
        <v>210</v>
      </c>
      <c r="J1079" s="3">
        <v>1512</v>
      </c>
      <c r="K1079" s="4">
        <v>650</v>
      </c>
      <c r="L1079" t="s">
        <v>27</v>
      </c>
    </row>
    <row r="1080" spans="1:12" x14ac:dyDescent="0.35">
      <c r="A1080" t="s">
        <v>18</v>
      </c>
      <c r="B1080">
        <v>1128299</v>
      </c>
      <c r="C1080" s="1">
        <v>44364</v>
      </c>
      <c r="D1080" t="s">
        <v>19</v>
      </c>
      <c r="E1080" t="s">
        <v>20</v>
      </c>
      <c r="F1080" t="s">
        <v>21</v>
      </c>
      <c r="G1080" t="s">
        <v>32</v>
      </c>
      <c r="H1080" s="2">
        <v>55</v>
      </c>
      <c r="I1080">
        <v>210</v>
      </c>
      <c r="J1080" s="3">
        <v>1155</v>
      </c>
      <c r="K1080" s="4">
        <v>508</v>
      </c>
      <c r="L1080" t="s">
        <v>27</v>
      </c>
    </row>
    <row r="1081" spans="1:12" x14ac:dyDescent="0.35">
      <c r="A1081" t="s">
        <v>18</v>
      </c>
      <c r="B1081">
        <v>1128299</v>
      </c>
      <c r="C1081" s="1">
        <v>44393</v>
      </c>
      <c r="D1081" t="s">
        <v>19</v>
      </c>
      <c r="E1081" t="s">
        <v>20</v>
      </c>
      <c r="F1081" t="s">
        <v>21</v>
      </c>
      <c r="G1081" t="s">
        <v>32</v>
      </c>
      <c r="H1081" s="2">
        <v>69</v>
      </c>
      <c r="I1081">
        <v>210</v>
      </c>
      <c r="J1081" s="3">
        <v>1449</v>
      </c>
      <c r="K1081" s="4">
        <v>681</v>
      </c>
      <c r="L1081" t="s">
        <v>27</v>
      </c>
    </row>
    <row r="1082" spans="1:12" x14ac:dyDescent="0.35">
      <c r="A1082" t="s">
        <v>18</v>
      </c>
      <c r="B1082">
        <v>1197831</v>
      </c>
      <c r="C1082" s="1">
        <v>44321</v>
      </c>
      <c r="D1082" t="s">
        <v>48</v>
      </c>
      <c r="E1082" t="s">
        <v>79</v>
      </c>
      <c r="F1082" t="s">
        <v>80</v>
      </c>
      <c r="G1082" t="s">
        <v>26</v>
      </c>
      <c r="H1082" s="2">
        <v>14</v>
      </c>
      <c r="I1082">
        <v>210</v>
      </c>
      <c r="J1082">
        <v>294</v>
      </c>
      <c r="K1082" s="4">
        <v>123</v>
      </c>
      <c r="L1082" t="s">
        <v>27</v>
      </c>
    </row>
    <row r="1083" spans="1:12" x14ac:dyDescent="0.35">
      <c r="A1083" t="s">
        <v>23</v>
      </c>
      <c r="B1083">
        <v>1197831</v>
      </c>
      <c r="C1083" s="1">
        <v>44505</v>
      </c>
      <c r="D1083" t="s">
        <v>48</v>
      </c>
      <c r="E1083" t="s">
        <v>79</v>
      </c>
      <c r="F1083" t="s">
        <v>80</v>
      </c>
      <c r="G1083" t="s">
        <v>32</v>
      </c>
      <c r="H1083" s="2">
        <v>42</v>
      </c>
      <c r="I1083">
        <v>210</v>
      </c>
      <c r="J1083">
        <v>882</v>
      </c>
      <c r="K1083" s="4">
        <v>370</v>
      </c>
      <c r="L1083" t="s">
        <v>27</v>
      </c>
    </row>
    <row r="1084" spans="1:12" x14ac:dyDescent="0.35">
      <c r="A1084" t="s">
        <v>63</v>
      </c>
      <c r="B1084">
        <v>1128299</v>
      </c>
      <c r="C1084" s="1">
        <v>44402</v>
      </c>
      <c r="D1084" t="s">
        <v>48</v>
      </c>
      <c r="E1084" t="s">
        <v>114</v>
      </c>
      <c r="F1084" t="s">
        <v>115</v>
      </c>
      <c r="G1084" t="s">
        <v>39</v>
      </c>
      <c r="H1084" s="2">
        <v>45</v>
      </c>
      <c r="I1084">
        <v>210</v>
      </c>
      <c r="J1084">
        <v>945</v>
      </c>
      <c r="K1084" s="4">
        <v>406</v>
      </c>
      <c r="L1084" t="s">
        <v>27</v>
      </c>
    </row>
    <row r="1085" spans="1:12" x14ac:dyDescent="0.35">
      <c r="A1085" t="s">
        <v>23</v>
      </c>
      <c r="B1085">
        <v>1197831</v>
      </c>
      <c r="C1085" s="1">
        <v>44248</v>
      </c>
      <c r="D1085" t="s">
        <v>19</v>
      </c>
      <c r="E1085" t="s">
        <v>37</v>
      </c>
      <c r="F1085" t="s">
        <v>38</v>
      </c>
      <c r="G1085" t="s">
        <v>26</v>
      </c>
      <c r="H1085" s="2">
        <v>17</v>
      </c>
      <c r="I1085">
        <v>210</v>
      </c>
      <c r="J1085">
        <v>357</v>
      </c>
      <c r="K1085" s="4">
        <v>161</v>
      </c>
      <c r="L1085" t="s">
        <v>27</v>
      </c>
    </row>
    <row r="1086" spans="1:12" x14ac:dyDescent="0.35">
      <c r="A1086" t="s">
        <v>18</v>
      </c>
      <c r="B1086">
        <v>1128299</v>
      </c>
      <c r="C1086" s="1">
        <v>44136</v>
      </c>
      <c r="D1086" t="s">
        <v>19</v>
      </c>
      <c r="E1086" t="s">
        <v>59</v>
      </c>
      <c r="F1086" t="s">
        <v>60</v>
      </c>
      <c r="G1086" t="s">
        <v>26</v>
      </c>
      <c r="H1086" s="2">
        <v>37</v>
      </c>
      <c r="I1086">
        <v>209</v>
      </c>
      <c r="J1086">
        <v>773</v>
      </c>
      <c r="K1086" s="4">
        <v>348</v>
      </c>
      <c r="L1086" t="s">
        <v>17</v>
      </c>
    </row>
    <row r="1087" spans="1:12" x14ac:dyDescent="0.35">
      <c r="A1087" t="s">
        <v>23</v>
      </c>
      <c r="B1087">
        <v>1185732</v>
      </c>
      <c r="C1087" s="1">
        <v>43975</v>
      </c>
      <c r="D1087" t="s">
        <v>13</v>
      </c>
      <c r="E1087" t="s">
        <v>14</v>
      </c>
      <c r="F1087" t="s">
        <v>73</v>
      </c>
      <c r="G1087" t="s">
        <v>56</v>
      </c>
      <c r="H1087" s="2">
        <v>54</v>
      </c>
      <c r="I1087">
        <v>209</v>
      </c>
      <c r="J1087" s="3">
        <v>1129</v>
      </c>
      <c r="K1087" s="4">
        <v>485</v>
      </c>
      <c r="L1087" t="s">
        <v>17</v>
      </c>
    </row>
    <row r="1088" spans="1:12" x14ac:dyDescent="0.35">
      <c r="A1088" t="s">
        <v>42</v>
      </c>
      <c r="B1088">
        <v>1197831</v>
      </c>
      <c r="C1088" s="1">
        <v>44534</v>
      </c>
      <c r="D1088" t="s">
        <v>48</v>
      </c>
      <c r="E1088" t="s">
        <v>79</v>
      </c>
      <c r="F1088" t="s">
        <v>80</v>
      </c>
      <c r="G1088" t="s">
        <v>39</v>
      </c>
      <c r="H1088" s="2">
        <v>51</v>
      </c>
      <c r="I1088">
        <v>209</v>
      </c>
      <c r="J1088" s="3">
        <v>1066</v>
      </c>
      <c r="K1088" s="4">
        <v>576</v>
      </c>
      <c r="L1088" t="s">
        <v>17</v>
      </c>
    </row>
    <row r="1089" spans="1:12" x14ac:dyDescent="0.35">
      <c r="A1089" t="s">
        <v>42</v>
      </c>
      <c r="B1089">
        <v>1185732</v>
      </c>
      <c r="C1089" s="1">
        <v>44292</v>
      </c>
      <c r="D1089" t="s">
        <v>13</v>
      </c>
      <c r="E1089" t="s">
        <v>69</v>
      </c>
      <c r="F1089" t="s">
        <v>65</v>
      </c>
      <c r="G1089" t="s">
        <v>16</v>
      </c>
      <c r="H1089" s="2">
        <v>39</v>
      </c>
      <c r="I1089">
        <v>209</v>
      </c>
      <c r="J1089">
        <v>815</v>
      </c>
      <c r="K1089" s="4">
        <v>514</v>
      </c>
      <c r="L1089" t="s">
        <v>17</v>
      </c>
    </row>
    <row r="1090" spans="1:12" x14ac:dyDescent="0.35">
      <c r="A1090" t="s">
        <v>42</v>
      </c>
      <c r="B1090">
        <v>1185732</v>
      </c>
      <c r="C1090" s="1">
        <v>44354</v>
      </c>
      <c r="D1090" t="s">
        <v>13</v>
      </c>
      <c r="E1090" t="s">
        <v>69</v>
      </c>
      <c r="F1090" t="s">
        <v>65</v>
      </c>
      <c r="G1090" t="s">
        <v>32</v>
      </c>
      <c r="H1090" s="2">
        <v>47</v>
      </c>
      <c r="I1090">
        <v>209</v>
      </c>
      <c r="J1090">
        <v>982</v>
      </c>
      <c r="K1090" s="4">
        <v>354</v>
      </c>
      <c r="L1090" t="s">
        <v>17</v>
      </c>
    </row>
    <row r="1091" spans="1:12" x14ac:dyDescent="0.35">
      <c r="A1091" t="s">
        <v>18</v>
      </c>
      <c r="B1091">
        <v>1128299</v>
      </c>
      <c r="C1091" s="1">
        <v>43900</v>
      </c>
      <c r="D1091" t="s">
        <v>48</v>
      </c>
      <c r="E1091" t="s">
        <v>116</v>
      </c>
      <c r="F1091" t="s">
        <v>117</v>
      </c>
      <c r="G1091" t="s">
        <v>39</v>
      </c>
      <c r="H1091" s="2">
        <v>50</v>
      </c>
      <c r="I1091">
        <v>209</v>
      </c>
      <c r="J1091" s="3">
        <v>1045</v>
      </c>
      <c r="K1091" s="4">
        <v>261</v>
      </c>
      <c r="L1091" t="s">
        <v>27</v>
      </c>
    </row>
    <row r="1092" spans="1:12" x14ac:dyDescent="0.35">
      <c r="A1092" t="s">
        <v>23</v>
      </c>
      <c r="B1092">
        <v>1197831</v>
      </c>
      <c r="C1092" s="1">
        <v>44313</v>
      </c>
      <c r="D1092" t="s">
        <v>19</v>
      </c>
      <c r="E1092" t="s">
        <v>74</v>
      </c>
      <c r="F1092" t="s">
        <v>75</v>
      </c>
      <c r="G1092" t="s">
        <v>26</v>
      </c>
      <c r="H1092" s="2">
        <v>40</v>
      </c>
      <c r="I1092">
        <v>209</v>
      </c>
      <c r="J1092">
        <v>836</v>
      </c>
      <c r="K1092" s="4">
        <v>418</v>
      </c>
      <c r="L1092" t="s">
        <v>27</v>
      </c>
    </row>
    <row r="1093" spans="1:12" x14ac:dyDescent="0.35">
      <c r="A1093" t="s">
        <v>42</v>
      </c>
      <c r="B1093">
        <v>1197831</v>
      </c>
      <c r="C1093" s="1">
        <v>44201</v>
      </c>
      <c r="D1093" t="s">
        <v>19</v>
      </c>
      <c r="E1093" t="s">
        <v>20</v>
      </c>
      <c r="F1093" t="s">
        <v>21</v>
      </c>
      <c r="G1093" t="s">
        <v>39</v>
      </c>
      <c r="H1093" s="2">
        <v>20</v>
      </c>
      <c r="I1093">
        <v>209</v>
      </c>
      <c r="J1093">
        <v>418</v>
      </c>
      <c r="K1093" s="4">
        <v>150</v>
      </c>
      <c r="L1093" t="s">
        <v>27</v>
      </c>
    </row>
    <row r="1094" spans="1:12" x14ac:dyDescent="0.35">
      <c r="A1094" t="s">
        <v>23</v>
      </c>
      <c r="B1094">
        <v>1128299</v>
      </c>
      <c r="C1094" s="1">
        <v>44421</v>
      </c>
      <c r="D1094" t="s">
        <v>13</v>
      </c>
      <c r="E1094" t="s">
        <v>57</v>
      </c>
      <c r="F1094" t="s">
        <v>58</v>
      </c>
      <c r="G1094" t="s">
        <v>26</v>
      </c>
      <c r="H1094" s="2">
        <v>39</v>
      </c>
      <c r="I1094">
        <v>209</v>
      </c>
      <c r="J1094">
        <v>815</v>
      </c>
      <c r="K1094" s="4">
        <v>375</v>
      </c>
      <c r="L1094" t="s">
        <v>27</v>
      </c>
    </row>
    <row r="1095" spans="1:12" x14ac:dyDescent="0.35">
      <c r="A1095" t="s">
        <v>23</v>
      </c>
      <c r="B1095">
        <v>1128299</v>
      </c>
      <c r="C1095" s="1">
        <v>44542</v>
      </c>
      <c r="D1095" t="s">
        <v>13</v>
      </c>
      <c r="E1095" t="s">
        <v>57</v>
      </c>
      <c r="F1095" t="s">
        <v>58</v>
      </c>
      <c r="G1095" t="s">
        <v>26</v>
      </c>
      <c r="H1095" s="2">
        <v>42</v>
      </c>
      <c r="I1095">
        <v>209</v>
      </c>
      <c r="J1095">
        <v>878</v>
      </c>
      <c r="K1095" s="4">
        <v>413</v>
      </c>
      <c r="L1095" t="s">
        <v>27</v>
      </c>
    </row>
    <row r="1096" spans="1:12" x14ac:dyDescent="0.35">
      <c r="A1096" t="s">
        <v>42</v>
      </c>
      <c r="B1096">
        <v>1185732</v>
      </c>
      <c r="C1096" s="1">
        <v>44205</v>
      </c>
      <c r="D1096" t="s">
        <v>13</v>
      </c>
      <c r="E1096" t="s">
        <v>57</v>
      </c>
      <c r="F1096" t="s">
        <v>58</v>
      </c>
      <c r="G1096" t="s">
        <v>56</v>
      </c>
      <c r="H1096" s="2">
        <v>25</v>
      </c>
      <c r="I1096">
        <v>209</v>
      </c>
      <c r="J1096">
        <v>523</v>
      </c>
      <c r="K1096" s="4">
        <v>183</v>
      </c>
      <c r="L1096" t="s">
        <v>27</v>
      </c>
    </row>
    <row r="1097" spans="1:12" x14ac:dyDescent="0.35">
      <c r="A1097" t="s">
        <v>12</v>
      </c>
      <c r="B1097">
        <v>1185732</v>
      </c>
      <c r="C1097" s="1">
        <v>44393</v>
      </c>
      <c r="D1097" t="s">
        <v>19</v>
      </c>
      <c r="E1097" t="s">
        <v>37</v>
      </c>
      <c r="F1097" t="s">
        <v>38</v>
      </c>
      <c r="G1097" t="s">
        <v>16</v>
      </c>
      <c r="H1097" s="2">
        <v>49</v>
      </c>
      <c r="I1097">
        <v>209</v>
      </c>
      <c r="J1097" s="3">
        <v>1024</v>
      </c>
      <c r="K1097" s="4">
        <v>543</v>
      </c>
      <c r="L1097" t="s">
        <v>27</v>
      </c>
    </row>
    <row r="1098" spans="1:12" x14ac:dyDescent="0.35">
      <c r="A1098" t="s">
        <v>51</v>
      </c>
      <c r="B1098">
        <v>1185732</v>
      </c>
      <c r="C1098" s="1">
        <v>44387</v>
      </c>
      <c r="D1098" t="s">
        <v>43</v>
      </c>
      <c r="E1098" t="s">
        <v>125</v>
      </c>
      <c r="F1098" t="s">
        <v>126</v>
      </c>
      <c r="G1098" t="s">
        <v>26</v>
      </c>
      <c r="H1098" s="2">
        <v>45</v>
      </c>
      <c r="I1098">
        <v>209</v>
      </c>
      <c r="J1098">
        <v>941</v>
      </c>
      <c r="K1098" s="4">
        <v>489</v>
      </c>
      <c r="L1098" t="s">
        <v>27</v>
      </c>
    </row>
    <row r="1099" spans="1:12" x14ac:dyDescent="0.35">
      <c r="A1099" t="s">
        <v>18</v>
      </c>
      <c r="B1099">
        <v>1128299</v>
      </c>
      <c r="C1099" s="1">
        <v>44243</v>
      </c>
      <c r="D1099" t="s">
        <v>48</v>
      </c>
      <c r="E1099" t="s">
        <v>66</v>
      </c>
      <c r="F1099" t="s">
        <v>67</v>
      </c>
      <c r="G1099" t="s">
        <v>16</v>
      </c>
      <c r="H1099" s="2">
        <v>67</v>
      </c>
      <c r="I1099">
        <v>208</v>
      </c>
      <c r="J1099" s="3">
        <v>1394</v>
      </c>
      <c r="K1099" s="4">
        <v>321</v>
      </c>
      <c r="L1099" t="s">
        <v>17</v>
      </c>
    </row>
    <row r="1100" spans="1:12" x14ac:dyDescent="0.35">
      <c r="A1100" t="s">
        <v>63</v>
      </c>
      <c r="B1100">
        <v>1189833</v>
      </c>
      <c r="C1100" s="1">
        <v>44299</v>
      </c>
      <c r="D1100" t="s">
        <v>48</v>
      </c>
      <c r="E1100" t="s">
        <v>66</v>
      </c>
      <c r="F1100" t="s">
        <v>76</v>
      </c>
      <c r="G1100" t="s">
        <v>26</v>
      </c>
      <c r="H1100" s="2">
        <v>41</v>
      </c>
      <c r="I1100">
        <v>208</v>
      </c>
      <c r="J1100">
        <v>853</v>
      </c>
      <c r="K1100" s="4">
        <v>443</v>
      </c>
      <c r="L1100" t="s">
        <v>17</v>
      </c>
    </row>
    <row r="1101" spans="1:12" x14ac:dyDescent="0.35">
      <c r="A1101" t="s">
        <v>23</v>
      </c>
      <c r="B1101">
        <v>1197831</v>
      </c>
      <c r="C1101" s="1">
        <v>44461</v>
      </c>
      <c r="D1101" t="s">
        <v>19</v>
      </c>
      <c r="E1101" t="s">
        <v>59</v>
      </c>
      <c r="F1101" t="s">
        <v>68</v>
      </c>
      <c r="G1101" t="s">
        <v>26</v>
      </c>
      <c r="H1101" s="2">
        <v>49</v>
      </c>
      <c r="I1101">
        <v>208</v>
      </c>
      <c r="J1101" s="3">
        <v>1019</v>
      </c>
      <c r="K1101" s="4">
        <v>520</v>
      </c>
      <c r="L1101" t="s">
        <v>17</v>
      </c>
    </row>
    <row r="1102" spans="1:12" x14ac:dyDescent="0.35">
      <c r="A1102" t="s">
        <v>23</v>
      </c>
      <c r="B1102">
        <v>1197831</v>
      </c>
      <c r="C1102" s="1">
        <v>44462</v>
      </c>
      <c r="D1102" t="s">
        <v>19</v>
      </c>
      <c r="E1102" t="s">
        <v>59</v>
      </c>
      <c r="F1102" t="s">
        <v>68</v>
      </c>
      <c r="G1102" t="s">
        <v>39</v>
      </c>
      <c r="H1102" s="2">
        <v>53</v>
      </c>
      <c r="I1102">
        <v>208</v>
      </c>
      <c r="J1102" s="3">
        <v>1102</v>
      </c>
      <c r="K1102" s="4">
        <v>551</v>
      </c>
      <c r="L1102" t="s">
        <v>17</v>
      </c>
    </row>
    <row r="1103" spans="1:12" x14ac:dyDescent="0.35">
      <c r="A1103" t="s">
        <v>18</v>
      </c>
      <c r="B1103">
        <v>1185732</v>
      </c>
      <c r="C1103" s="1">
        <v>43945</v>
      </c>
      <c r="D1103" t="s">
        <v>13</v>
      </c>
      <c r="E1103" t="s">
        <v>14</v>
      </c>
      <c r="F1103" t="s">
        <v>73</v>
      </c>
      <c r="G1103" t="s">
        <v>16</v>
      </c>
      <c r="H1103" s="2">
        <v>44</v>
      </c>
      <c r="I1103">
        <v>208</v>
      </c>
      <c r="J1103">
        <v>915</v>
      </c>
      <c r="K1103" s="4">
        <v>549</v>
      </c>
      <c r="L1103" t="s">
        <v>17</v>
      </c>
    </row>
    <row r="1104" spans="1:12" x14ac:dyDescent="0.35">
      <c r="A1104" t="s">
        <v>18</v>
      </c>
      <c r="B1104">
        <v>1185732</v>
      </c>
      <c r="C1104" s="1">
        <v>44081</v>
      </c>
      <c r="D1104" t="s">
        <v>13</v>
      </c>
      <c r="E1104" t="s">
        <v>14</v>
      </c>
      <c r="F1104" t="s">
        <v>73</v>
      </c>
      <c r="G1104" t="s">
        <v>32</v>
      </c>
      <c r="H1104" s="2">
        <v>49</v>
      </c>
      <c r="I1104">
        <v>208</v>
      </c>
      <c r="J1104" s="3">
        <v>1019</v>
      </c>
      <c r="K1104" s="4">
        <v>357</v>
      </c>
      <c r="L1104" t="s">
        <v>17</v>
      </c>
    </row>
    <row r="1105" spans="1:12" x14ac:dyDescent="0.35">
      <c r="A1105" t="s">
        <v>18</v>
      </c>
      <c r="B1105">
        <v>1185732</v>
      </c>
      <c r="C1105" s="1">
        <v>44089</v>
      </c>
      <c r="D1105" t="s">
        <v>13</v>
      </c>
      <c r="E1105" t="s">
        <v>14</v>
      </c>
      <c r="F1105" t="s">
        <v>73</v>
      </c>
      <c r="G1105" t="s">
        <v>70</v>
      </c>
      <c r="H1105" s="2">
        <v>61</v>
      </c>
      <c r="I1105">
        <v>208</v>
      </c>
      <c r="J1105" s="3">
        <v>1269</v>
      </c>
      <c r="K1105" s="4">
        <v>622</v>
      </c>
      <c r="L1105" t="s">
        <v>17</v>
      </c>
    </row>
    <row r="1106" spans="1:12" x14ac:dyDescent="0.35">
      <c r="A1106" t="s">
        <v>42</v>
      </c>
      <c r="B1106">
        <v>1128299</v>
      </c>
      <c r="C1106" s="1">
        <v>44386</v>
      </c>
      <c r="D1106" t="s">
        <v>48</v>
      </c>
      <c r="E1106" t="s">
        <v>129</v>
      </c>
      <c r="F1106" t="s">
        <v>130</v>
      </c>
      <c r="G1106" t="s">
        <v>26</v>
      </c>
      <c r="H1106" s="2">
        <v>74</v>
      </c>
      <c r="I1106">
        <v>208</v>
      </c>
      <c r="J1106" s="3">
        <v>1539</v>
      </c>
      <c r="K1106" s="4">
        <v>570</v>
      </c>
      <c r="L1106" t="s">
        <v>17</v>
      </c>
    </row>
    <row r="1107" spans="1:12" x14ac:dyDescent="0.35">
      <c r="A1107" t="s">
        <v>18</v>
      </c>
      <c r="B1107">
        <v>1185732</v>
      </c>
      <c r="C1107" s="1">
        <v>44479</v>
      </c>
      <c r="D1107" t="s">
        <v>43</v>
      </c>
      <c r="E1107" t="s">
        <v>44</v>
      </c>
      <c r="F1107" t="s">
        <v>101</v>
      </c>
      <c r="G1107" t="s">
        <v>26</v>
      </c>
      <c r="H1107" s="2">
        <v>57</v>
      </c>
      <c r="I1107">
        <v>208</v>
      </c>
      <c r="J1107" s="3">
        <v>1186</v>
      </c>
      <c r="K1107" s="4">
        <v>676</v>
      </c>
      <c r="L1107" t="s">
        <v>17</v>
      </c>
    </row>
    <row r="1108" spans="1:12" x14ac:dyDescent="0.35">
      <c r="A1108" t="s">
        <v>63</v>
      </c>
      <c r="B1108">
        <v>1185732</v>
      </c>
      <c r="C1108" s="1">
        <v>44297</v>
      </c>
      <c r="D1108" t="s">
        <v>48</v>
      </c>
      <c r="E1108" t="s">
        <v>102</v>
      </c>
      <c r="F1108" t="s">
        <v>103</v>
      </c>
      <c r="G1108" t="s">
        <v>26</v>
      </c>
      <c r="H1108" s="2">
        <v>39</v>
      </c>
      <c r="I1108">
        <v>208</v>
      </c>
      <c r="J1108">
        <v>811</v>
      </c>
      <c r="K1108" s="4">
        <v>503</v>
      </c>
      <c r="L1108" t="s">
        <v>17</v>
      </c>
    </row>
    <row r="1109" spans="1:12" x14ac:dyDescent="0.35">
      <c r="A1109" t="s">
        <v>63</v>
      </c>
      <c r="B1109">
        <v>1185732</v>
      </c>
      <c r="C1109" s="1">
        <v>44449</v>
      </c>
      <c r="D1109" t="s">
        <v>48</v>
      </c>
      <c r="E1109" t="s">
        <v>102</v>
      </c>
      <c r="F1109" t="s">
        <v>103</v>
      </c>
      <c r="G1109" t="s">
        <v>26</v>
      </c>
      <c r="H1109" s="2">
        <v>48</v>
      </c>
      <c r="I1109">
        <v>208</v>
      </c>
      <c r="J1109">
        <v>998</v>
      </c>
      <c r="K1109" s="4">
        <v>639</v>
      </c>
      <c r="L1109" t="s">
        <v>17</v>
      </c>
    </row>
    <row r="1110" spans="1:12" x14ac:dyDescent="0.35">
      <c r="A1110" t="s">
        <v>42</v>
      </c>
      <c r="B1110">
        <v>1197831</v>
      </c>
      <c r="C1110" s="1">
        <v>44383</v>
      </c>
      <c r="D1110" t="s">
        <v>48</v>
      </c>
      <c r="E1110" t="s">
        <v>79</v>
      </c>
      <c r="F1110" t="s">
        <v>80</v>
      </c>
      <c r="G1110" t="s">
        <v>16</v>
      </c>
      <c r="H1110" s="2">
        <v>64</v>
      </c>
      <c r="I1110">
        <v>208</v>
      </c>
      <c r="J1110" s="3">
        <v>1331</v>
      </c>
      <c r="K1110" s="4">
        <v>919</v>
      </c>
      <c r="L1110" t="s">
        <v>17</v>
      </c>
    </row>
    <row r="1111" spans="1:12" x14ac:dyDescent="0.35">
      <c r="A1111" t="s">
        <v>42</v>
      </c>
      <c r="B1111">
        <v>1185732</v>
      </c>
      <c r="C1111" s="1">
        <v>44476</v>
      </c>
      <c r="D1111" t="s">
        <v>13</v>
      </c>
      <c r="E1111" t="s">
        <v>69</v>
      </c>
      <c r="F1111" t="s">
        <v>65</v>
      </c>
      <c r="G1111" t="s">
        <v>39</v>
      </c>
      <c r="H1111" s="2">
        <v>42</v>
      </c>
      <c r="I1111">
        <v>208</v>
      </c>
      <c r="J1111">
        <v>874</v>
      </c>
      <c r="K1111" s="4">
        <v>437</v>
      </c>
      <c r="L1111" t="s">
        <v>17</v>
      </c>
    </row>
    <row r="1112" spans="1:12" x14ac:dyDescent="0.35">
      <c r="A1112" t="s">
        <v>12</v>
      </c>
      <c r="B1112">
        <v>1197831</v>
      </c>
      <c r="C1112" s="1">
        <v>44134</v>
      </c>
      <c r="D1112" t="s">
        <v>19</v>
      </c>
      <c r="E1112" t="s">
        <v>59</v>
      </c>
      <c r="F1112" t="s">
        <v>60</v>
      </c>
      <c r="G1112" t="s">
        <v>70</v>
      </c>
      <c r="H1112" s="2">
        <v>30</v>
      </c>
      <c r="I1112">
        <v>208</v>
      </c>
      <c r="J1112">
        <v>624</v>
      </c>
      <c r="K1112" s="4">
        <v>225</v>
      </c>
      <c r="L1112" t="s">
        <v>27</v>
      </c>
    </row>
    <row r="1113" spans="1:12" x14ac:dyDescent="0.35">
      <c r="A1113" t="s">
        <v>63</v>
      </c>
      <c r="B1113">
        <v>1189833</v>
      </c>
      <c r="C1113" s="1">
        <v>44273</v>
      </c>
      <c r="D1113" t="s">
        <v>48</v>
      </c>
      <c r="E1113" t="s">
        <v>66</v>
      </c>
      <c r="F1113" t="s">
        <v>76</v>
      </c>
      <c r="G1113" t="s">
        <v>16</v>
      </c>
      <c r="H1113" s="2">
        <v>32</v>
      </c>
      <c r="I1113">
        <v>208</v>
      </c>
      <c r="J1113">
        <v>666</v>
      </c>
      <c r="K1113" s="4">
        <v>173</v>
      </c>
      <c r="L1113" t="s">
        <v>27</v>
      </c>
    </row>
    <row r="1114" spans="1:12" x14ac:dyDescent="0.35">
      <c r="A1114" t="s">
        <v>63</v>
      </c>
      <c r="B1114">
        <v>1189833</v>
      </c>
      <c r="C1114" s="1">
        <v>44322</v>
      </c>
      <c r="D1114" t="s">
        <v>48</v>
      </c>
      <c r="E1114" t="s">
        <v>66</v>
      </c>
      <c r="F1114" t="s">
        <v>76</v>
      </c>
      <c r="G1114" t="s">
        <v>16</v>
      </c>
      <c r="H1114" s="2">
        <v>46</v>
      </c>
      <c r="I1114">
        <v>208</v>
      </c>
      <c r="J1114">
        <v>957</v>
      </c>
      <c r="K1114" s="4">
        <v>220</v>
      </c>
      <c r="L1114" t="s">
        <v>27</v>
      </c>
    </row>
    <row r="1115" spans="1:12" x14ac:dyDescent="0.35">
      <c r="A1115" t="s">
        <v>63</v>
      </c>
      <c r="B1115">
        <v>1189833</v>
      </c>
      <c r="C1115" s="1">
        <v>44331</v>
      </c>
      <c r="D1115" t="s">
        <v>48</v>
      </c>
      <c r="E1115" t="s">
        <v>66</v>
      </c>
      <c r="F1115" t="s">
        <v>76</v>
      </c>
      <c r="G1115" t="s">
        <v>32</v>
      </c>
      <c r="H1115" s="2">
        <v>33</v>
      </c>
      <c r="I1115">
        <v>208</v>
      </c>
      <c r="J1115">
        <v>686</v>
      </c>
      <c r="K1115" s="4">
        <v>288</v>
      </c>
      <c r="L1115" t="s">
        <v>27</v>
      </c>
    </row>
    <row r="1116" spans="1:12" x14ac:dyDescent="0.35">
      <c r="A1116" t="s">
        <v>63</v>
      </c>
      <c r="B1116">
        <v>1189833</v>
      </c>
      <c r="C1116" s="1">
        <v>44334</v>
      </c>
      <c r="D1116" t="s">
        <v>48</v>
      </c>
      <c r="E1116" t="s">
        <v>66</v>
      </c>
      <c r="F1116" t="s">
        <v>76</v>
      </c>
      <c r="G1116" t="s">
        <v>16</v>
      </c>
      <c r="H1116" s="2">
        <v>46</v>
      </c>
      <c r="I1116">
        <v>208</v>
      </c>
      <c r="J1116">
        <v>957</v>
      </c>
      <c r="K1116" s="4">
        <v>230</v>
      </c>
      <c r="L1116" t="s">
        <v>27</v>
      </c>
    </row>
    <row r="1117" spans="1:12" x14ac:dyDescent="0.35">
      <c r="A1117" t="s">
        <v>18</v>
      </c>
      <c r="B1117">
        <v>1128299</v>
      </c>
      <c r="C1117" s="1">
        <v>43875</v>
      </c>
      <c r="D1117" t="s">
        <v>48</v>
      </c>
      <c r="E1117" t="s">
        <v>116</v>
      </c>
      <c r="F1117" t="s">
        <v>117</v>
      </c>
      <c r="G1117" t="s">
        <v>39</v>
      </c>
      <c r="H1117" s="2">
        <v>56</v>
      </c>
      <c r="I1117">
        <v>208</v>
      </c>
      <c r="J1117" s="3">
        <v>1165</v>
      </c>
      <c r="K1117" s="4">
        <v>338</v>
      </c>
      <c r="L1117" t="s">
        <v>27</v>
      </c>
    </row>
    <row r="1118" spans="1:12" x14ac:dyDescent="0.35">
      <c r="A1118" t="s">
        <v>12</v>
      </c>
      <c r="B1118">
        <v>1128299</v>
      </c>
      <c r="C1118" s="1">
        <v>44393</v>
      </c>
      <c r="D1118" t="s">
        <v>13</v>
      </c>
      <c r="E1118" t="s">
        <v>14</v>
      </c>
      <c r="F1118" t="s">
        <v>15</v>
      </c>
      <c r="G1118" t="s">
        <v>70</v>
      </c>
      <c r="H1118" s="2">
        <v>68</v>
      </c>
      <c r="I1118">
        <v>208</v>
      </c>
      <c r="J1118" s="3">
        <v>1414</v>
      </c>
      <c r="K1118" s="4">
        <v>311</v>
      </c>
      <c r="L1118" t="s">
        <v>27</v>
      </c>
    </row>
    <row r="1119" spans="1:12" x14ac:dyDescent="0.35">
      <c r="A1119" t="s">
        <v>42</v>
      </c>
      <c r="B1119">
        <v>1128299</v>
      </c>
      <c r="C1119" s="1">
        <v>44371</v>
      </c>
      <c r="D1119" t="s">
        <v>13</v>
      </c>
      <c r="E1119" t="s">
        <v>99</v>
      </c>
      <c r="F1119" t="s">
        <v>100</v>
      </c>
      <c r="G1119" t="s">
        <v>32</v>
      </c>
      <c r="H1119" s="2">
        <v>58</v>
      </c>
      <c r="I1119">
        <v>208</v>
      </c>
      <c r="J1119" s="3">
        <v>1206</v>
      </c>
      <c r="K1119" s="4">
        <v>446</v>
      </c>
      <c r="L1119" t="s">
        <v>27</v>
      </c>
    </row>
    <row r="1120" spans="1:12" x14ac:dyDescent="0.35">
      <c r="A1120" t="s">
        <v>42</v>
      </c>
      <c r="B1120">
        <v>1128299</v>
      </c>
      <c r="C1120" s="1">
        <v>44400</v>
      </c>
      <c r="D1120" t="s">
        <v>13</v>
      </c>
      <c r="E1120" t="s">
        <v>99</v>
      </c>
      <c r="F1120" t="s">
        <v>100</v>
      </c>
      <c r="G1120" t="s">
        <v>32</v>
      </c>
      <c r="H1120" s="2">
        <v>62</v>
      </c>
      <c r="I1120">
        <v>208</v>
      </c>
      <c r="J1120" s="3">
        <v>1290</v>
      </c>
      <c r="K1120" s="4">
        <v>490</v>
      </c>
      <c r="L1120" t="s">
        <v>27</v>
      </c>
    </row>
    <row r="1121" spans="1:12" x14ac:dyDescent="0.35">
      <c r="A1121" t="s">
        <v>18</v>
      </c>
      <c r="B1121">
        <v>1185732</v>
      </c>
      <c r="C1121" s="1">
        <v>44358</v>
      </c>
      <c r="D1121" t="s">
        <v>48</v>
      </c>
      <c r="E1121" t="s">
        <v>49</v>
      </c>
      <c r="F1121" t="s">
        <v>50</v>
      </c>
      <c r="G1121" t="s">
        <v>26</v>
      </c>
      <c r="H1121" s="2">
        <v>21</v>
      </c>
      <c r="I1121">
        <v>208</v>
      </c>
      <c r="J1121">
        <v>437</v>
      </c>
      <c r="K1121" s="4">
        <v>188</v>
      </c>
      <c r="L1121" t="s">
        <v>27</v>
      </c>
    </row>
    <row r="1122" spans="1:12" x14ac:dyDescent="0.35">
      <c r="A1122" t="s">
        <v>18</v>
      </c>
      <c r="B1122">
        <v>1128299</v>
      </c>
      <c r="C1122" s="1">
        <v>44371</v>
      </c>
      <c r="D1122" t="s">
        <v>48</v>
      </c>
      <c r="E1122" t="s">
        <v>85</v>
      </c>
      <c r="F1122" t="s">
        <v>86</v>
      </c>
      <c r="G1122" t="s">
        <v>32</v>
      </c>
      <c r="H1122" s="2">
        <v>53</v>
      </c>
      <c r="I1122">
        <v>208</v>
      </c>
      <c r="J1122" s="3">
        <v>1102</v>
      </c>
      <c r="K1122" s="4">
        <v>430</v>
      </c>
      <c r="L1122" t="s">
        <v>27</v>
      </c>
    </row>
    <row r="1123" spans="1:12" x14ac:dyDescent="0.35">
      <c r="A1123" t="s">
        <v>18</v>
      </c>
      <c r="B1123">
        <v>1128299</v>
      </c>
      <c r="C1123" s="1">
        <v>44393</v>
      </c>
      <c r="D1123" t="s">
        <v>19</v>
      </c>
      <c r="E1123" t="s">
        <v>20</v>
      </c>
      <c r="F1123" t="s">
        <v>21</v>
      </c>
      <c r="G1123" t="s">
        <v>16</v>
      </c>
      <c r="H1123" s="2">
        <v>81</v>
      </c>
      <c r="I1123">
        <v>208</v>
      </c>
      <c r="J1123" s="3">
        <v>1685</v>
      </c>
      <c r="K1123" s="4">
        <v>691</v>
      </c>
      <c r="L1123" t="s">
        <v>27</v>
      </c>
    </row>
    <row r="1124" spans="1:12" x14ac:dyDescent="0.35">
      <c r="A1124" t="s">
        <v>63</v>
      </c>
      <c r="B1124">
        <v>1128299</v>
      </c>
      <c r="C1124" s="1">
        <v>44434</v>
      </c>
      <c r="D1124" t="s">
        <v>48</v>
      </c>
      <c r="E1124" t="s">
        <v>114</v>
      </c>
      <c r="F1124" t="s">
        <v>115</v>
      </c>
      <c r="G1124" t="s">
        <v>39</v>
      </c>
      <c r="H1124" s="2">
        <v>44</v>
      </c>
      <c r="I1124">
        <v>208</v>
      </c>
      <c r="J1124">
        <v>915</v>
      </c>
      <c r="K1124" s="4">
        <v>403</v>
      </c>
      <c r="L1124" t="s">
        <v>27</v>
      </c>
    </row>
    <row r="1125" spans="1:12" x14ac:dyDescent="0.35">
      <c r="A1125" t="s">
        <v>23</v>
      </c>
      <c r="B1125">
        <v>1185732</v>
      </c>
      <c r="C1125" s="1">
        <v>44331</v>
      </c>
      <c r="D1125" t="s">
        <v>33</v>
      </c>
      <c r="E1125" t="s">
        <v>45</v>
      </c>
      <c r="F1125" t="s">
        <v>46</v>
      </c>
      <c r="G1125" t="s">
        <v>26</v>
      </c>
      <c r="H1125" s="2">
        <v>48</v>
      </c>
      <c r="I1125">
        <v>207</v>
      </c>
      <c r="J1125">
        <v>994</v>
      </c>
      <c r="K1125" s="4">
        <v>606</v>
      </c>
      <c r="L1125" t="s">
        <v>17</v>
      </c>
    </row>
    <row r="1126" spans="1:12" x14ac:dyDescent="0.35">
      <c r="A1126" t="s">
        <v>51</v>
      </c>
      <c r="B1126">
        <v>1185732</v>
      </c>
      <c r="C1126" s="1">
        <v>44325</v>
      </c>
      <c r="D1126" t="s">
        <v>33</v>
      </c>
      <c r="E1126" t="s">
        <v>52</v>
      </c>
      <c r="F1126" t="s">
        <v>53</v>
      </c>
      <c r="G1126" t="s">
        <v>26</v>
      </c>
      <c r="H1126" s="2">
        <v>42</v>
      </c>
      <c r="I1126">
        <v>207</v>
      </c>
      <c r="J1126">
        <v>869</v>
      </c>
      <c r="K1126" s="4">
        <v>435</v>
      </c>
      <c r="L1126" t="s">
        <v>17</v>
      </c>
    </row>
    <row r="1127" spans="1:12" x14ac:dyDescent="0.35">
      <c r="A1127" t="s">
        <v>42</v>
      </c>
      <c r="B1127">
        <v>1185732</v>
      </c>
      <c r="C1127" s="1">
        <v>43852</v>
      </c>
      <c r="D1127" t="s">
        <v>43</v>
      </c>
      <c r="E1127" t="s">
        <v>44</v>
      </c>
      <c r="F1127" t="s">
        <v>44</v>
      </c>
      <c r="G1127" t="s">
        <v>56</v>
      </c>
      <c r="H1127" s="2">
        <v>44</v>
      </c>
      <c r="I1127">
        <v>206</v>
      </c>
      <c r="J1127">
        <v>906</v>
      </c>
      <c r="K1127" s="4">
        <v>444</v>
      </c>
      <c r="L1127" t="s">
        <v>17</v>
      </c>
    </row>
    <row r="1128" spans="1:12" x14ac:dyDescent="0.35">
      <c r="A1128" t="s">
        <v>12</v>
      </c>
      <c r="B1128">
        <v>1197831</v>
      </c>
      <c r="C1128" s="1">
        <v>44126</v>
      </c>
      <c r="D1128" t="s">
        <v>19</v>
      </c>
      <c r="E1128" t="s">
        <v>59</v>
      </c>
      <c r="F1128" t="s">
        <v>60</v>
      </c>
      <c r="G1128" t="s">
        <v>32</v>
      </c>
      <c r="H1128" s="2">
        <v>47</v>
      </c>
      <c r="I1128">
        <v>206</v>
      </c>
      <c r="J1128">
        <v>968</v>
      </c>
      <c r="K1128" s="4">
        <v>465</v>
      </c>
      <c r="L1128" t="s">
        <v>17</v>
      </c>
    </row>
    <row r="1129" spans="1:12" x14ac:dyDescent="0.35">
      <c r="A1129" t="s">
        <v>18</v>
      </c>
      <c r="B1129">
        <v>1128299</v>
      </c>
      <c r="C1129" s="1">
        <v>44204</v>
      </c>
      <c r="D1129" t="s">
        <v>48</v>
      </c>
      <c r="E1129" t="s">
        <v>66</v>
      </c>
      <c r="F1129" t="s">
        <v>67</v>
      </c>
      <c r="G1129" t="s">
        <v>32</v>
      </c>
      <c r="H1129" s="2">
        <v>64</v>
      </c>
      <c r="I1129">
        <v>206</v>
      </c>
      <c r="J1129" s="3">
        <v>1318</v>
      </c>
      <c r="K1129" s="4">
        <v>725</v>
      </c>
      <c r="L1129" t="s">
        <v>17</v>
      </c>
    </row>
    <row r="1130" spans="1:12" x14ac:dyDescent="0.35">
      <c r="A1130" t="s">
        <v>18</v>
      </c>
      <c r="B1130">
        <v>1185732</v>
      </c>
      <c r="C1130" s="1">
        <v>43945</v>
      </c>
      <c r="D1130" t="s">
        <v>13</v>
      </c>
      <c r="E1130" t="s">
        <v>14</v>
      </c>
      <c r="F1130" t="s">
        <v>73</v>
      </c>
      <c r="G1130" t="s">
        <v>39</v>
      </c>
      <c r="H1130" s="2">
        <v>54</v>
      </c>
      <c r="I1130">
        <v>206</v>
      </c>
      <c r="J1130" s="3">
        <v>1112</v>
      </c>
      <c r="K1130" s="4">
        <v>545</v>
      </c>
      <c r="L1130" t="s">
        <v>17</v>
      </c>
    </row>
    <row r="1131" spans="1:12" x14ac:dyDescent="0.35">
      <c r="A1131" t="s">
        <v>23</v>
      </c>
      <c r="B1131">
        <v>1197831</v>
      </c>
      <c r="C1131" s="1">
        <v>44302</v>
      </c>
      <c r="D1131" t="s">
        <v>19</v>
      </c>
      <c r="E1131" t="s">
        <v>74</v>
      </c>
      <c r="F1131" t="s">
        <v>75</v>
      </c>
      <c r="G1131" t="s">
        <v>39</v>
      </c>
      <c r="H1131" s="2">
        <v>43</v>
      </c>
      <c r="I1131">
        <v>206</v>
      </c>
      <c r="J1131">
        <v>886</v>
      </c>
      <c r="K1131" s="4">
        <v>514</v>
      </c>
      <c r="L1131" t="s">
        <v>17</v>
      </c>
    </row>
    <row r="1132" spans="1:12" x14ac:dyDescent="0.35">
      <c r="A1132" t="s">
        <v>23</v>
      </c>
      <c r="B1132">
        <v>1197831</v>
      </c>
      <c r="C1132" s="1">
        <v>44445</v>
      </c>
      <c r="D1132" t="s">
        <v>19</v>
      </c>
      <c r="E1132" t="s">
        <v>24</v>
      </c>
      <c r="F1132" t="s">
        <v>25</v>
      </c>
      <c r="G1132" t="s">
        <v>26</v>
      </c>
      <c r="H1132" s="2">
        <v>44</v>
      </c>
      <c r="I1132">
        <v>206</v>
      </c>
      <c r="J1132">
        <v>906</v>
      </c>
      <c r="K1132" s="4">
        <v>580</v>
      </c>
      <c r="L1132" t="s">
        <v>17</v>
      </c>
    </row>
    <row r="1133" spans="1:12" x14ac:dyDescent="0.35">
      <c r="A1133" t="s">
        <v>12</v>
      </c>
      <c r="B1133">
        <v>1128299</v>
      </c>
      <c r="C1133" s="1">
        <v>44425</v>
      </c>
      <c r="D1133" t="s">
        <v>13</v>
      </c>
      <c r="E1133" t="s">
        <v>14</v>
      </c>
      <c r="F1133" t="s">
        <v>15</v>
      </c>
      <c r="G1133" t="s">
        <v>39</v>
      </c>
      <c r="H1133" s="2">
        <v>77</v>
      </c>
      <c r="I1133">
        <v>206</v>
      </c>
      <c r="J1133" s="3">
        <v>1586</v>
      </c>
      <c r="K1133" s="4">
        <v>555</v>
      </c>
      <c r="L1133" t="s">
        <v>17</v>
      </c>
    </row>
    <row r="1134" spans="1:12" x14ac:dyDescent="0.35">
      <c r="A1134" t="s">
        <v>23</v>
      </c>
      <c r="B1134">
        <v>1185732</v>
      </c>
      <c r="C1134" s="1">
        <v>44364</v>
      </c>
      <c r="D1134" t="s">
        <v>33</v>
      </c>
      <c r="E1134" t="s">
        <v>45</v>
      </c>
      <c r="F1134" t="s">
        <v>46</v>
      </c>
      <c r="G1134" t="s">
        <v>26</v>
      </c>
      <c r="H1134" s="2">
        <v>52</v>
      </c>
      <c r="I1134">
        <v>206</v>
      </c>
      <c r="J1134" s="3">
        <v>1071</v>
      </c>
      <c r="K1134" s="4">
        <v>664</v>
      </c>
      <c r="L1134" t="s">
        <v>17</v>
      </c>
    </row>
    <row r="1135" spans="1:12" x14ac:dyDescent="0.35">
      <c r="A1135" t="s">
        <v>42</v>
      </c>
      <c r="B1135">
        <v>1185732</v>
      </c>
      <c r="C1135" s="1">
        <v>44205</v>
      </c>
      <c r="D1135" t="s">
        <v>13</v>
      </c>
      <c r="E1135" t="s">
        <v>57</v>
      </c>
      <c r="F1135" t="s">
        <v>58</v>
      </c>
      <c r="G1135" t="s">
        <v>39</v>
      </c>
      <c r="H1135" s="2">
        <v>37</v>
      </c>
      <c r="I1135">
        <v>206</v>
      </c>
      <c r="J1135">
        <v>762</v>
      </c>
      <c r="K1135" s="4">
        <v>343</v>
      </c>
      <c r="L1135" t="s">
        <v>17</v>
      </c>
    </row>
    <row r="1136" spans="1:12" x14ac:dyDescent="0.35">
      <c r="A1136" t="s">
        <v>42</v>
      </c>
      <c r="B1136">
        <v>1185732</v>
      </c>
      <c r="C1136" s="1">
        <v>44506</v>
      </c>
      <c r="D1136" t="s">
        <v>13</v>
      </c>
      <c r="E1136" t="s">
        <v>69</v>
      </c>
      <c r="F1136" t="s">
        <v>65</v>
      </c>
      <c r="G1136" t="s">
        <v>16</v>
      </c>
      <c r="H1136" s="2">
        <v>74</v>
      </c>
      <c r="I1136">
        <v>206</v>
      </c>
      <c r="J1136" s="3">
        <v>1524</v>
      </c>
      <c r="K1136" s="4">
        <v>960</v>
      </c>
      <c r="L1136" t="s">
        <v>17</v>
      </c>
    </row>
    <row r="1137" spans="1:12" x14ac:dyDescent="0.35">
      <c r="A1137" t="s">
        <v>12</v>
      </c>
      <c r="B1137">
        <v>1197831</v>
      </c>
      <c r="C1137" s="1">
        <v>44083</v>
      </c>
      <c r="D1137" t="s">
        <v>19</v>
      </c>
      <c r="E1137" t="s">
        <v>59</v>
      </c>
      <c r="F1137" t="s">
        <v>60</v>
      </c>
      <c r="G1137" t="s">
        <v>70</v>
      </c>
      <c r="H1137" s="2">
        <v>36</v>
      </c>
      <c r="I1137">
        <v>206</v>
      </c>
      <c r="J1137">
        <v>742</v>
      </c>
      <c r="K1137" s="4">
        <v>267</v>
      </c>
      <c r="L1137" t="s">
        <v>27</v>
      </c>
    </row>
    <row r="1138" spans="1:12" x14ac:dyDescent="0.35">
      <c r="A1138" t="s">
        <v>63</v>
      </c>
      <c r="B1138">
        <v>1189833</v>
      </c>
      <c r="C1138" s="1">
        <v>44295</v>
      </c>
      <c r="D1138" t="s">
        <v>48</v>
      </c>
      <c r="E1138" t="s">
        <v>66</v>
      </c>
      <c r="F1138" t="s">
        <v>76</v>
      </c>
      <c r="G1138" t="s">
        <v>32</v>
      </c>
      <c r="H1138" s="2">
        <v>38</v>
      </c>
      <c r="I1138">
        <v>206</v>
      </c>
      <c r="J1138">
        <v>783</v>
      </c>
      <c r="K1138" s="4">
        <v>368</v>
      </c>
      <c r="L1138" t="s">
        <v>27</v>
      </c>
    </row>
    <row r="1139" spans="1:12" x14ac:dyDescent="0.35">
      <c r="A1139" t="s">
        <v>63</v>
      </c>
      <c r="B1139">
        <v>1189833</v>
      </c>
      <c r="C1139" s="1">
        <v>44304</v>
      </c>
      <c r="D1139" t="s">
        <v>48</v>
      </c>
      <c r="E1139" t="s">
        <v>66</v>
      </c>
      <c r="F1139" t="s">
        <v>76</v>
      </c>
      <c r="G1139" t="s">
        <v>16</v>
      </c>
      <c r="H1139" s="2">
        <v>43</v>
      </c>
      <c r="I1139">
        <v>206</v>
      </c>
      <c r="J1139">
        <v>886</v>
      </c>
      <c r="K1139" s="4">
        <v>195</v>
      </c>
      <c r="L1139" t="s">
        <v>27</v>
      </c>
    </row>
    <row r="1140" spans="1:12" x14ac:dyDescent="0.35">
      <c r="A1140" t="s">
        <v>23</v>
      </c>
      <c r="B1140">
        <v>1197831</v>
      </c>
      <c r="C1140" s="1">
        <v>44415</v>
      </c>
      <c r="D1140" t="s">
        <v>19</v>
      </c>
      <c r="E1140" t="s">
        <v>24</v>
      </c>
      <c r="F1140" t="s">
        <v>25</v>
      </c>
      <c r="G1140" t="s">
        <v>26</v>
      </c>
      <c r="H1140" s="2">
        <v>16</v>
      </c>
      <c r="I1140">
        <v>206</v>
      </c>
      <c r="J1140">
        <v>330</v>
      </c>
      <c r="K1140" s="4">
        <v>155</v>
      </c>
      <c r="L1140" t="s">
        <v>27</v>
      </c>
    </row>
    <row r="1141" spans="1:12" x14ac:dyDescent="0.35">
      <c r="A1141" t="s">
        <v>23</v>
      </c>
      <c r="B1141">
        <v>1197831</v>
      </c>
      <c r="C1141" s="1">
        <v>44457</v>
      </c>
      <c r="D1141" t="s">
        <v>19</v>
      </c>
      <c r="E1141" t="s">
        <v>24</v>
      </c>
      <c r="F1141" t="s">
        <v>25</v>
      </c>
      <c r="G1141" t="s">
        <v>26</v>
      </c>
      <c r="H1141" s="2">
        <v>38</v>
      </c>
      <c r="I1141">
        <v>206</v>
      </c>
      <c r="J1141">
        <v>783</v>
      </c>
      <c r="K1141" s="4">
        <v>431</v>
      </c>
      <c r="L1141" t="s">
        <v>27</v>
      </c>
    </row>
    <row r="1142" spans="1:12" x14ac:dyDescent="0.35">
      <c r="A1142" t="s">
        <v>63</v>
      </c>
      <c r="B1142">
        <v>1128299</v>
      </c>
      <c r="C1142" s="1">
        <v>44466</v>
      </c>
      <c r="D1142" t="s">
        <v>48</v>
      </c>
      <c r="E1142" t="s">
        <v>114</v>
      </c>
      <c r="F1142" t="s">
        <v>115</v>
      </c>
      <c r="G1142" t="s">
        <v>26</v>
      </c>
      <c r="H1142" s="2">
        <v>37</v>
      </c>
      <c r="I1142">
        <v>206</v>
      </c>
      <c r="J1142">
        <v>762</v>
      </c>
      <c r="K1142" s="4">
        <v>320</v>
      </c>
      <c r="L1142" t="s">
        <v>27</v>
      </c>
    </row>
    <row r="1143" spans="1:12" x14ac:dyDescent="0.35">
      <c r="A1143" t="s">
        <v>12</v>
      </c>
      <c r="B1143">
        <v>1185732</v>
      </c>
      <c r="C1143" s="1">
        <v>44425</v>
      </c>
      <c r="D1143" t="s">
        <v>19</v>
      </c>
      <c r="E1143" t="s">
        <v>37</v>
      </c>
      <c r="F1143" t="s">
        <v>38</v>
      </c>
      <c r="G1143" t="s">
        <v>16</v>
      </c>
      <c r="H1143" s="2">
        <v>42</v>
      </c>
      <c r="I1143">
        <v>206</v>
      </c>
      <c r="J1143">
        <v>865</v>
      </c>
      <c r="K1143" s="4">
        <v>476</v>
      </c>
      <c r="L1143" t="s">
        <v>27</v>
      </c>
    </row>
    <row r="1144" spans="1:12" x14ac:dyDescent="0.35">
      <c r="A1144" t="s">
        <v>23</v>
      </c>
      <c r="B1144">
        <v>1185732</v>
      </c>
      <c r="C1144" s="1">
        <v>44517</v>
      </c>
      <c r="D1144" t="s">
        <v>19</v>
      </c>
      <c r="E1144" t="s">
        <v>37</v>
      </c>
      <c r="F1144" t="s">
        <v>38</v>
      </c>
      <c r="G1144" t="s">
        <v>26</v>
      </c>
      <c r="H1144" s="2">
        <v>22</v>
      </c>
      <c r="I1144">
        <v>206</v>
      </c>
      <c r="J1144">
        <v>453</v>
      </c>
      <c r="K1144" s="4">
        <v>199</v>
      </c>
      <c r="L1144" t="s">
        <v>27</v>
      </c>
    </row>
    <row r="1145" spans="1:12" x14ac:dyDescent="0.35">
      <c r="A1145" t="s">
        <v>12</v>
      </c>
      <c r="B1145">
        <v>1197831</v>
      </c>
      <c r="C1145" s="1">
        <v>44274</v>
      </c>
      <c r="D1145" t="s">
        <v>19</v>
      </c>
      <c r="E1145" t="s">
        <v>54</v>
      </c>
      <c r="F1145" t="s">
        <v>55</v>
      </c>
      <c r="G1145" t="s">
        <v>26</v>
      </c>
      <c r="H1145" s="2">
        <v>15</v>
      </c>
      <c r="I1145">
        <v>206</v>
      </c>
      <c r="J1145">
        <v>309</v>
      </c>
      <c r="K1145" s="4">
        <v>145</v>
      </c>
      <c r="L1145" t="s">
        <v>27</v>
      </c>
    </row>
    <row r="1146" spans="1:12" x14ac:dyDescent="0.35">
      <c r="A1146" t="s">
        <v>18</v>
      </c>
      <c r="B1146">
        <v>1197831</v>
      </c>
      <c r="C1146" s="1">
        <v>44248</v>
      </c>
      <c r="D1146" t="s">
        <v>19</v>
      </c>
      <c r="E1146" t="s">
        <v>54</v>
      </c>
      <c r="F1146" t="s">
        <v>55</v>
      </c>
      <c r="G1146" t="s">
        <v>26</v>
      </c>
      <c r="H1146" s="2">
        <v>18</v>
      </c>
      <c r="I1146">
        <v>206</v>
      </c>
      <c r="J1146">
        <v>371</v>
      </c>
      <c r="K1146" s="4">
        <v>163</v>
      </c>
      <c r="L1146" t="s">
        <v>27</v>
      </c>
    </row>
    <row r="1147" spans="1:12" x14ac:dyDescent="0.35">
      <c r="A1147" t="s">
        <v>23</v>
      </c>
      <c r="B1147">
        <v>1185732</v>
      </c>
      <c r="C1147" s="1">
        <v>44352</v>
      </c>
      <c r="D1147" t="s">
        <v>43</v>
      </c>
      <c r="E1147" t="s">
        <v>108</v>
      </c>
      <c r="F1147" t="s">
        <v>109</v>
      </c>
      <c r="G1147" t="s">
        <v>26</v>
      </c>
      <c r="H1147" s="2">
        <v>40</v>
      </c>
      <c r="I1147">
        <v>206</v>
      </c>
      <c r="J1147">
        <v>824</v>
      </c>
      <c r="K1147" s="4">
        <v>387</v>
      </c>
      <c r="L1147" t="s">
        <v>27</v>
      </c>
    </row>
    <row r="1148" spans="1:12" x14ac:dyDescent="0.35">
      <c r="A1148" t="s">
        <v>23</v>
      </c>
      <c r="B1148">
        <v>1197831</v>
      </c>
      <c r="C1148" s="1">
        <v>44046</v>
      </c>
      <c r="D1148" t="s">
        <v>19</v>
      </c>
      <c r="E1148" t="s">
        <v>59</v>
      </c>
      <c r="F1148" t="s">
        <v>60</v>
      </c>
      <c r="G1148" t="s">
        <v>56</v>
      </c>
      <c r="H1148" s="2">
        <v>30</v>
      </c>
      <c r="I1148">
        <v>204</v>
      </c>
      <c r="J1148">
        <v>612</v>
      </c>
      <c r="K1148" s="4">
        <v>294</v>
      </c>
      <c r="L1148" t="s">
        <v>27</v>
      </c>
    </row>
    <row r="1149" spans="1:12" x14ac:dyDescent="0.35">
      <c r="A1149" t="s">
        <v>12</v>
      </c>
      <c r="B1149">
        <v>1197831</v>
      </c>
      <c r="C1149" s="1">
        <v>44088</v>
      </c>
      <c r="D1149" t="s">
        <v>19</v>
      </c>
      <c r="E1149" t="s">
        <v>59</v>
      </c>
      <c r="F1149" t="s">
        <v>60</v>
      </c>
      <c r="G1149" t="s">
        <v>56</v>
      </c>
      <c r="H1149" s="2">
        <v>36</v>
      </c>
      <c r="I1149">
        <v>204</v>
      </c>
      <c r="J1149">
        <v>734</v>
      </c>
      <c r="K1149" s="4">
        <v>345</v>
      </c>
      <c r="L1149" t="s">
        <v>27</v>
      </c>
    </row>
    <row r="1150" spans="1:12" x14ac:dyDescent="0.35">
      <c r="A1150" t="s">
        <v>18</v>
      </c>
      <c r="B1150">
        <v>1128299</v>
      </c>
      <c r="C1150" s="1">
        <v>44187</v>
      </c>
      <c r="D1150" t="s">
        <v>48</v>
      </c>
      <c r="E1150" t="s">
        <v>66</v>
      </c>
      <c r="F1150" t="s">
        <v>67</v>
      </c>
      <c r="G1150" t="s">
        <v>56</v>
      </c>
      <c r="H1150" s="2">
        <v>48</v>
      </c>
      <c r="I1150">
        <v>204</v>
      </c>
      <c r="J1150">
        <v>979</v>
      </c>
      <c r="K1150" s="4">
        <v>313</v>
      </c>
      <c r="L1150" t="s">
        <v>27</v>
      </c>
    </row>
    <row r="1151" spans="1:12" x14ac:dyDescent="0.35">
      <c r="A1151" t="s">
        <v>63</v>
      </c>
      <c r="B1151">
        <v>1189833</v>
      </c>
      <c r="C1151" s="1">
        <v>44339</v>
      </c>
      <c r="D1151" t="s">
        <v>48</v>
      </c>
      <c r="E1151" t="s">
        <v>66</v>
      </c>
      <c r="F1151" t="s">
        <v>76</v>
      </c>
      <c r="G1151" t="s">
        <v>70</v>
      </c>
      <c r="H1151" s="2">
        <v>46</v>
      </c>
      <c r="I1151">
        <v>204</v>
      </c>
      <c r="J1151">
        <v>938</v>
      </c>
      <c r="K1151" s="4">
        <v>535</v>
      </c>
      <c r="L1151" t="s">
        <v>27</v>
      </c>
    </row>
    <row r="1152" spans="1:12" x14ac:dyDescent="0.35">
      <c r="A1152" t="s">
        <v>18</v>
      </c>
      <c r="B1152">
        <v>1128299</v>
      </c>
      <c r="C1152" s="1">
        <v>43869</v>
      </c>
      <c r="D1152" t="s">
        <v>48</v>
      </c>
      <c r="E1152" t="s">
        <v>116</v>
      </c>
      <c r="F1152" t="s">
        <v>117</v>
      </c>
      <c r="G1152" t="s">
        <v>39</v>
      </c>
      <c r="H1152" s="2">
        <v>46</v>
      </c>
      <c r="I1152">
        <v>204</v>
      </c>
      <c r="J1152">
        <v>938</v>
      </c>
      <c r="K1152" s="4">
        <v>253</v>
      </c>
      <c r="L1152" t="s">
        <v>27</v>
      </c>
    </row>
    <row r="1153" spans="1:12" x14ac:dyDescent="0.35">
      <c r="A1153" t="s">
        <v>23</v>
      </c>
      <c r="B1153">
        <v>1197831</v>
      </c>
      <c r="C1153" s="1">
        <v>44291</v>
      </c>
      <c r="D1153" t="s">
        <v>19</v>
      </c>
      <c r="E1153" t="s">
        <v>74</v>
      </c>
      <c r="F1153" t="s">
        <v>75</v>
      </c>
      <c r="G1153" t="s">
        <v>32</v>
      </c>
      <c r="H1153" s="2">
        <v>14</v>
      </c>
      <c r="I1153">
        <v>204</v>
      </c>
      <c r="J1153">
        <v>286</v>
      </c>
      <c r="K1153" s="4">
        <v>131</v>
      </c>
      <c r="L1153" t="s">
        <v>27</v>
      </c>
    </row>
    <row r="1154" spans="1:12" x14ac:dyDescent="0.35">
      <c r="A1154" t="s">
        <v>23</v>
      </c>
      <c r="B1154">
        <v>1197831</v>
      </c>
      <c r="C1154" s="1">
        <v>44327</v>
      </c>
      <c r="D1154" t="s">
        <v>19</v>
      </c>
      <c r="E1154" t="s">
        <v>74</v>
      </c>
      <c r="F1154" t="s">
        <v>75</v>
      </c>
      <c r="G1154" t="s">
        <v>32</v>
      </c>
      <c r="H1154" s="2">
        <v>37</v>
      </c>
      <c r="I1154">
        <v>204</v>
      </c>
      <c r="J1154">
        <v>755</v>
      </c>
      <c r="K1154" s="4">
        <v>355</v>
      </c>
      <c r="L1154" t="s">
        <v>27</v>
      </c>
    </row>
    <row r="1155" spans="1:12" x14ac:dyDescent="0.35">
      <c r="A1155" t="s">
        <v>18</v>
      </c>
      <c r="B1155">
        <v>1128299</v>
      </c>
      <c r="C1155" s="1">
        <v>44546</v>
      </c>
      <c r="D1155" t="s">
        <v>13</v>
      </c>
      <c r="E1155" t="s">
        <v>14</v>
      </c>
      <c r="F1155" t="s">
        <v>15</v>
      </c>
      <c r="G1155" t="s">
        <v>32</v>
      </c>
      <c r="H1155" s="2">
        <v>64</v>
      </c>
      <c r="I1155">
        <v>204</v>
      </c>
      <c r="J1155" s="3">
        <v>1306</v>
      </c>
      <c r="K1155" s="4">
        <v>431</v>
      </c>
      <c r="L1155" t="s">
        <v>27</v>
      </c>
    </row>
    <row r="1156" spans="1:12" x14ac:dyDescent="0.35">
      <c r="A1156" t="s">
        <v>18</v>
      </c>
      <c r="B1156">
        <v>1128299</v>
      </c>
      <c r="C1156" s="1">
        <v>44546</v>
      </c>
      <c r="D1156" t="s">
        <v>13</v>
      </c>
      <c r="E1156" t="s">
        <v>14</v>
      </c>
      <c r="F1156" t="s">
        <v>15</v>
      </c>
      <c r="G1156" t="s">
        <v>56</v>
      </c>
      <c r="H1156" s="2">
        <v>58</v>
      </c>
      <c r="I1156">
        <v>204</v>
      </c>
      <c r="J1156" s="3">
        <v>1183</v>
      </c>
      <c r="K1156" s="4">
        <v>402</v>
      </c>
      <c r="L1156" t="s">
        <v>27</v>
      </c>
    </row>
    <row r="1157" spans="1:12" x14ac:dyDescent="0.35">
      <c r="A1157" t="s">
        <v>18</v>
      </c>
      <c r="B1157">
        <v>1185732</v>
      </c>
      <c r="C1157" s="1">
        <v>44237</v>
      </c>
      <c r="D1157" t="s">
        <v>13</v>
      </c>
      <c r="E1157" t="s">
        <v>14</v>
      </c>
      <c r="F1157" t="s">
        <v>15</v>
      </c>
      <c r="G1157" t="s">
        <v>32</v>
      </c>
      <c r="H1157" s="2">
        <v>23</v>
      </c>
      <c r="I1157">
        <v>204</v>
      </c>
      <c r="J1157">
        <v>469</v>
      </c>
      <c r="K1157" s="4">
        <v>150</v>
      </c>
      <c r="L1157" t="s">
        <v>27</v>
      </c>
    </row>
    <row r="1158" spans="1:12" x14ac:dyDescent="0.35">
      <c r="A1158" t="s">
        <v>18</v>
      </c>
      <c r="B1158">
        <v>1185732</v>
      </c>
      <c r="C1158" s="1">
        <v>44387</v>
      </c>
      <c r="D1158" t="s">
        <v>48</v>
      </c>
      <c r="E1158" t="s">
        <v>49</v>
      </c>
      <c r="F1158" t="s">
        <v>50</v>
      </c>
      <c r="G1158" t="s">
        <v>16</v>
      </c>
      <c r="H1158" s="2">
        <v>32</v>
      </c>
      <c r="I1158">
        <v>204</v>
      </c>
      <c r="J1158">
        <v>653</v>
      </c>
      <c r="K1158" s="4">
        <v>359</v>
      </c>
      <c r="L1158" t="s">
        <v>27</v>
      </c>
    </row>
    <row r="1159" spans="1:12" x14ac:dyDescent="0.35">
      <c r="A1159" t="s">
        <v>18</v>
      </c>
      <c r="B1159">
        <v>1128299</v>
      </c>
      <c r="C1159" s="1">
        <v>44400</v>
      </c>
      <c r="D1159" t="s">
        <v>48</v>
      </c>
      <c r="E1159" t="s">
        <v>85</v>
      </c>
      <c r="F1159" t="s">
        <v>86</v>
      </c>
      <c r="G1159" t="s">
        <v>16</v>
      </c>
      <c r="H1159" s="2">
        <v>78</v>
      </c>
      <c r="I1159">
        <v>204</v>
      </c>
      <c r="J1159" s="3">
        <v>1591</v>
      </c>
      <c r="K1159" s="4">
        <v>557</v>
      </c>
      <c r="L1159" t="s">
        <v>27</v>
      </c>
    </row>
    <row r="1160" spans="1:12" x14ac:dyDescent="0.35">
      <c r="A1160" t="s">
        <v>23</v>
      </c>
      <c r="B1160">
        <v>1128299</v>
      </c>
      <c r="C1160" s="1">
        <v>44453</v>
      </c>
      <c r="D1160" t="s">
        <v>13</v>
      </c>
      <c r="E1160" t="s">
        <v>57</v>
      </c>
      <c r="F1160" t="s">
        <v>58</v>
      </c>
      <c r="G1160" t="s">
        <v>26</v>
      </c>
      <c r="H1160" s="2">
        <v>31</v>
      </c>
      <c r="I1160">
        <v>204</v>
      </c>
      <c r="J1160">
        <v>632</v>
      </c>
      <c r="K1160" s="4">
        <v>291</v>
      </c>
      <c r="L1160" t="s">
        <v>27</v>
      </c>
    </row>
    <row r="1161" spans="1:12" x14ac:dyDescent="0.35">
      <c r="A1161" t="s">
        <v>12</v>
      </c>
      <c r="B1161">
        <v>1197831</v>
      </c>
      <c r="C1161" s="1">
        <v>44306</v>
      </c>
      <c r="D1161" t="s">
        <v>19</v>
      </c>
      <c r="E1161" t="s">
        <v>54</v>
      </c>
      <c r="F1161" t="s">
        <v>55</v>
      </c>
      <c r="G1161" t="s">
        <v>26</v>
      </c>
      <c r="H1161" s="2">
        <v>19</v>
      </c>
      <c r="I1161">
        <v>204</v>
      </c>
      <c r="J1161">
        <v>388</v>
      </c>
      <c r="K1161" s="4">
        <v>174</v>
      </c>
      <c r="L1161" t="s">
        <v>27</v>
      </c>
    </row>
    <row r="1162" spans="1:12" x14ac:dyDescent="0.35">
      <c r="A1162" t="s">
        <v>63</v>
      </c>
      <c r="B1162">
        <v>1197831</v>
      </c>
      <c r="C1162" s="1">
        <v>44241</v>
      </c>
      <c r="D1162" t="s">
        <v>19</v>
      </c>
      <c r="E1162" t="s">
        <v>61</v>
      </c>
      <c r="F1162" t="s">
        <v>62</v>
      </c>
      <c r="G1162" t="s">
        <v>26</v>
      </c>
      <c r="H1162" s="2">
        <v>18</v>
      </c>
      <c r="I1162">
        <v>204</v>
      </c>
      <c r="J1162">
        <v>367</v>
      </c>
      <c r="K1162" s="4">
        <v>147</v>
      </c>
      <c r="L1162" t="s">
        <v>27</v>
      </c>
    </row>
    <row r="1163" spans="1:12" x14ac:dyDescent="0.35">
      <c r="A1163" t="s">
        <v>23</v>
      </c>
      <c r="B1163">
        <v>1197831</v>
      </c>
      <c r="C1163" s="1">
        <v>44036</v>
      </c>
      <c r="D1163" t="s">
        <v>19</v>
      </c>
      <c r="E1163" t="s">
        <v>59</v>
      </c>
      <c r="F1163" t="s">
        <v>60</v>
      </c>
      <c r="G1163" t="s">
        <v>16</v>
      </c>
      <c r="H1163" s="2">
        <v>34</v>
      </c>
      <c r="I1163">
        <v>203</v>
      </c>
      <c r="J1163">
        <v>690</v>
      </c>
      <c r="K1163" s="4">
        <v>442</v>
      </c>
      <c r="L1163" t="s">
        <v>17</v>
      </c>
    </row>
    <row r="1164" spans="1:12" x14ac:dyDescent="0.35">
      <c r="A1164" t="s">
        <v>23</v>
      </c>
      <c r="B1164">
        <v>1197831</v>
      </c>
      <c r="C1164" s="1">
        <v>44051</v>
      </c>
      <c r="D1164" t="s">
        <v>19</v>
      </c>
      <c r="E1164" t="s">
        <v>59</v>
      </c>
      <c r="F1164" t="s">
        <v>60</v>
      </c>
      <c r="G1164" t="s">
        <v>32</v>
      </c>
      <c r="H1164" s="2">
        <v>34</v>
      </c>
      <c r="I1164">
        <v>203</v>
      </c>
      <c r="J1164">
        <v>690</v>
      </c>
      <c r="K1164" s="4">
        <v>317</v>
      </c>
      <c r="L1164" t="s">
        <v>17</v>
      </c>
    </row>
    <row r="1165" spans="1:12" x14ac:dyDescent="0.35">
      <c r="A1165" t="s">
        <v>12</v>
      </c>
      <c r="B1165">
        <v>1197831</v>
      </c>
      <c r="C1165" s="1">
        <v>44064</v>
      </c>
      <c r="D1165" t="s">
        <v>19</v>
      </c>
      <c r="E1165" t="s">
        <v>59</v>
      </c>
      <c r="F1165" t="s">
        <v>60</v>
      </c>
      <c r="G1165" t="s">
        <v>56</v>
      </c>
      <c r="H1165" s="2">
        <v>38</v>
      </c>
      <c r="I1165">
        <v>203</v>
      </c>
      <c r="J1165">
        <v>771</v>
      </c>
      <c r="K1165" s="4">
        <v>440</v>
      </c>
      <c r="L1165" t="s">
        <v>17</v>
      </c>
    </row>
    <row r="1166" spans="1:12" x14ac:dyDescent="0.35">
      <c r="A1166" t="s">
        <v>12</v>
      </c>
      <c r="B1166">
        <v>1197831</v>
      </c>
      <c r="C1166" s="1">
        <v>44127</v>
      </c>
      <c r="D1166" t="s">
        <v>19</v>
      </c>
      <c r="E1166" t="s">
        <v>59</v>
      </c>
      <c r="F1166" t="s">
        <v>60</v>
      </c>
      <c r="G1166" t="s">
        <v>56</v>
      </c>
      <c r="H1166" s="2">
        <v>48</v>
      </c>
      <c r="I1166">
        <v>203</v>
      </c>
      <c r="J1166">
        <v>974</v>
      </c>
      <c r="K1166" s="4">
        <v>536</v>
      </c>
      <c r="L1166" t="s">
        <v>17</v>
      </c>
    </row>
    <row r="1167" spans="1:12" x14ac:dyDescent="0.35">
      <c r="A1167" t="s">
        <v>18</v>
      </c>
      <c r="B1167">
        <v>1128299</v>
      </c>
      <c r="C1167" s="1">
        <v>44150</v>
      </c>
      <c r="D1167" t="s">
        <v>48</v>
      </c>
      <c r="E1167" t="s">
        <v>66</v>
      </c>
      <c r="F1167" t="s">
        <v>67</v>
      </c>
      <c r="G1167" t="s">
        <v>32</v>
      </c>
      <c r="H1167" s="2">
        <v>55</v>
      </c>
      <c r="I1167">
        <v>203</v>
      </c>
      <c r="J1167" s="3">
        <v>1117</v>
      </c>
      <c r="K1167" s="4">
        <v>525</v>
      </c>
      <c r="L1167" t="s">
        <v>17</v>
      </c>
    </row>
    <row r="1168" spans="1:12" x14ac:dyDescent="0.35">
      <c r="A1168" t="s">
        <v>18</v>
      </c>
      <c r="B1168">
        <v>1128299</v>
      </c>
      <c r="C1168" s="1">
        <v>44191</v>
      </c>
      <c r="D1168" t="s">
        <v>48</v>
      </c>
      <c r="E1168" t="s">
        <v>66</v>
      </c>
      <c r="F1168" t="s">
        <v>67</v>
      </c>
      <c r="G1168" t="s">
        <v>39</v>
      </c>
      <c r="H1168" s="2">
        <v>62</v>
      </c>
      <c r="I1168">
        <v>203</v>
      </c>
      <c r="J1168" s="3">
        <v>1259</v>
      </c>
      <c r="K1168" s="4">
        <v>378</v>
      </c>
      <c r="L1168" t="s">
        <v>17</v>
      </c>
    </row>
    <row r="1169" spans="1:12" x14ac:dyDescent="0.35">
      <c r="A1169" t="s">
        <v>18</v>
      </c>
      <c r="B1169">
        <v>1128299</v>
      </c>
      <c r="C1169" s="1">
        <v>44195</v>
      </c>
      <c r="D1169" t="s">
        <v>48</v>
      </c>
      <c r="E1169" t="s">
        <v>66</v>
      </c>
      <c r="F1169" t="s">
        <v>67</v>
      </c>
      <c r="G1169" t="s">
        <v>16</v>
      </c>
      <c r="H1169" s="2">
        <v>72</v>
      </c>
      <c r="I1169">
        <v>203</v>
      </c>
      <c r="J1169" s="3">
        <v>1462</v>
      </c>
      <c r="K1169" s="4">
        <v>395</v>
      </c>
      <c r="L1169" t="s">
        <v>17</v>
      </c>
    </row>
    <row r="1170" spans="1:12" x14ac:dyDescent="0.35">
      <c r="A1170" t="s">
        <v>18</v>
      </c>
      <c r="B1170">
        <v>1128299</v>
      </c>
      <c r="C1170" s="1">
        <v>44223</v>
      </c>
      <c r="D1170" t="s">
        <v>48</v>
      </c>
      <c r="E1170" t="s">
        <v>66</v>
      </c>
      <c r="F1170" t="s">
        <v>67</v>
      </c>
      <c r="G1170" t="s">
        <v>56</v>
      </c>
      <c r="H1170" s="2">
        <v>53</v>
      </c>
      <c r="I1170">
        <v>203</v>
      </c>
      <c r="J1170" s="3">
        <v>1076</v>
      </c>
      <c r="K1170" s="4">
        <v>377</v>
      </c>
      <c r="L1170" t="s">
        <v>17</v>
      </c>
    </row>
    <row r="1171" spans="1:12" x14ac:dyDescent="0.35">
      <c r="A1171" t="s">
        <v>18</v>
      </c>
      <c r="B1171">
        <v>1128299</v>
      </c>
      <c r="C1171" s="1">
        <v>44229</v>
      </c>
      <c r="D1171" t="s">
        <v>48</v>
      </c>
      <c r="E1171" t="s">
        <v>66</v>
      </c>
      <c r="F1171" t="s">
        <v>67</v>
      </c>
      <c r="G1171" t="s">
        <v>56</v>
      </c>
      <c r="H1171" s="2">
        <v>51</v>
      </c>
      <c r="I1171">
        <v>203</v>
      </c>
      <c r="J1171" s="3">
        <v>1035</v>
      </c>
      <c r="K1171" s="4">
        <v>373</v>
      </c>
      <c r="L1171" t="s">
        <v>17</v>
      </c>
    </row>
    <row r="1172" spans="1:12" x14ac:dyDescent="0.35">
      <c r="A1172" t="s">
        <v>63</v>
      </c>
      <c r="B1172">
        <v>1189833</v>
      </c>
      <c r="C1172" s="1">
        <v>44244</v>
      </c>
      <c r="D1172" t="s">
        <v>48</v>
      </c>
      <c r="E1172" t="s">
        <v>66</v>
      </c>
      <c r="F1172" t="s">
        <v>67</v>
      </c>
      <c r="G1172" t="s">
        <v>26</v>
      </c>
      <c r="H1172" s="2">
        <v>32</v>
      </c>
      <c r="I1172">
        <v>203</v>
      </c>
      <c r="J1172">
        <v>650</v>
      </c>
      <c r="K1172" s="4">
        <v>331</v>
      </c>
      <c r="L1172" t="s">
        <v>17</v>
      </c>
    </row>
    <row r="1173" spans="1:12" x14ac:dyDescent="0.35">
      <c r="A1173" t="s">
        <v>63</v>
      </c>
      <c r="B1173">
        <v>1189833</v>
      </c>
      <c r="C1173" s="1">
        <v>44307</v>
      </c>
      <c r="D1173" t="s">
        <v>48</v>
      </c>
      <c r="E1173" t="s">
        <v>66</v>
      </c>
      <c r="F1173" t="s">
        <v>76</v>
      </c>
      <c r="G1173" t="s">
        <v>32</v>
      </c>
      <c r="H1173" s="2">
        <v>48</v>
      </c>
      <c r="I1173">
        <v>203</v>
      </c>
      <c r="J1173">
        <v>974</v>
      </c>
      <c r="K1173" s="4">
        <v>536</v>
      </c>
      <c r="L1173" t="s">
        <v>17</v>
      </c>
    </row>
    <row r="1174" spans="1:12" x14ac:dyDescent="0.35">
      <c r="A1174" t="s">
        <v>63</v>
      </c>
      <c r="B1174">
        <v>1189833</v>
      </c>
      <c r="C1174" s="1">
        <v>44316</v>
      </c>
      <c r="D1174" t="s">
        <v>48</v>
      </c>
      <c r="E1174" t="s">
        <v>66</v>
      </c>
      <c r="F1174" t="s">
        <v>76</v>
      </c>
      <c r="G1174" t="s">
        <v>16</v>
      </c>
      <c r="H1174" s="2">
        <v>59</v>
      </c>
      <c r="I1174">
        <v>203</v>
      </c>
      <c r="J1174" s="3">
        <v>1198</v>
      </c>
      <c r="K1174" s="4">
        <v>359</v>
      </c>
      <c r="L1174" t="s">
        <v>17</v>
      </c>
    </row>
    <row r="1175" spans="1:12" x14ac:dyDescent="0.35">
      <c r="A1175" t="s">
        <v>23</v>
      </c>
      <c r="B1175">
        <v>1197831</v>
      </c>
      <c r="C1175" s="1">
        <v>44469</v>
      </c>
      <c r="D1175" t="s">
        <v>19</v>
      </c>
      <c r="E1175" t="s">
        <v>59</v>
      </c>
      <c r="F1175" t="s">
        <v>68</v>
      </c>
      <c r="G1175" t="s">
        <v>32</v>
      </c>
      <c r="H1175" s="2">
        <v>59</v>
      </c>
      <c r="I1175">
        <v>203</v>
      </c>
      <c r="J1175" s="3">
        <v>1198</v>
      </c>
      <c r="K1175" s="4">
        <v>635</v>
      </c>
      <c r="L1175" t="s">
        <v>17</v>
      </c>
    </row>
    <row r="1176" spans="1:12" x14ac:dyDescent="0.35">
      <c r="A1176" t="s">
        <v>23</v>
      </c>
      <c r="B1176">
        <v>1197831</v>
      </c>
      <c r="C1176" s="1">
        <v>44472</v>
      </c>
      <c r="D1176" t="s">
        <v>19</v>
      </c>
      <c r="E1176" t="s">
        <v>59</v>
      </c>
      <c r="F1176" t="s">
        <v>68</v>
      </c>
      <c r="G1176" t="s">
        <v>16</v>
      </c>
      <c r="H1176" s="2">
        <v>48</v>
      </c>
      <c r="I1176">
        <v>203</v>
      </c>
      <c r="J1176">
        <v>974</v>
      </c>
      <c r="K1176" s="4">
        <v>682</v>
      </c>
      <c r="L1176" t="s">
        <v>17</v>
      </c>
    </row>
    <row r="1177" spans="1:12" x14ac:dyDescent="0.35">
      <c r="A1177" t="s">
        <v>18</v>
      </c>
      <c r="B1177">
        <v>1128299</v>
      </c>
      <c r="C1177" s="1">
        <v>43971</v>
      </c>
      <c r="D1177" t="s">
        <v>48</v>
      </c>
      <c r="E1177" t="s">
        <v>133</v>
      </c>
      <c r="F1177" t="s">
        <v>134</v>
      </c>
      <c r="G1177" t="s">
        <v>26</v>
      </c>
      <c r="H1177" s="2">
        <v>59</v>
      </c>
      <c r="I1177">
        <v>203</v>
      </c>
      <c r="J1177" s="3">
        <v>1198</v>
      </c>
      <c r="K1177" s="4">
        <v>623</v>
      </c>
      <c r="L1177" t="s">
        <v>17</v>
      </c>
    </row>
    <row r="1178" spans="1:12" x14ac:dyDescent="0.35">
      <c r="A1178" t="s">
        <v>18</v>
      </c>
      <c r="B1178">
        <v>1185732</v>
      </c>
      <c r="C1178" s="1">
        <v>43945</v>
      </c>
      <c r="D1178" t="s">
        <v>13</v>
      </c>
      <c r="E1178" t="s">
        <v>14</v>
      </c>
      <c r="F1178" t="s">
        <v>73</v>
      </c>
      <c r="G1178" t="s">
        <v>32</v>
      </c>
      <c r="H1178" s="2">
        <v>32</v>
      </c>
      <c r="I1178">
        <v>203</v>
      </c>
      <c r="J1178">
        <v>650</v>
      </c>
      <c r="K1178" s="4">
        <v>260</v>
      </c>
      <c r="L1178" t="s">
        <v>17</v>
      </c>
    </row>
    <row r="1179" spans="1:12" x14ac:dyDescent="0.35">
      <c r="A1179" t="s">
        <v>23</v>
      </c>
      <c r="B1179">
        <v>1185732</v>
      </c>
      <c r="C1179" s="1">
        <v>44105</v>
      </c>
      <c r="D1179" t="s">
        <v>13</v>
      </c>
      <c r="E1179" t="s">
        <v>14</v>
      </c>
      <c r="F1179" t="s">
        <v>73</v>
      </c>
      <c r="G1179" t="s">
        <v>32</v>
      </c>
      <c r="H1179" s="2">
        <v>47</v>
      </c>
      <c r="I1179">
        <v>203</v>
      </c>
      <c r="J1179">
        <v>954</v>
      </c>
      <c r="K1179" s="4">
        <v>372</v>
      </c>
      <c r="L1179" t="s">
        <v>17</v>
      </c>
    </row>
    <row r="1180" spans="1:12" x14ac:dyDescent="0.35">
      <c r="A1180" t="s">
        <v>63</v>
      </c>
      <c r="B1180">
        <v>1189833</v>
      </c>
      <c r="C1180" s="1">
        <v>44229</v>
      </c>
      <c r="D1180" t="s">
        <v>33</v>
      </c>
      <c r="E1180" t="s">
        <v>131</v>
      </c>
      <c r="F1180" t="s">
        <v>132</v>
      </c>
      <c r="G1180" t="s">
        <v>26</v>
      </c>
      <c r="H1180" s="2">
        <v>37</v>
      </c>
      <c r="I1180">
        <v>203</v>
      </c>
      <c r="J1180">
        <v>751</v>
      </c>
      <c r="K1180" s="4">
        <v>443</v>
      </c>
      <c r="L1180" t="s">
        <v>17</v>
      </c>
    </row>
    <row r="1181" spans="1:12" x14ac:dyDescent="0.35">
      <c r="A1181" t="s">
        <v>63</v>
      </c>
      <c r="B1181">
        <v>1189833</v>
      </c>
      <c r="C1181" s="1">
        <v>44235</v>
      </c>
      <c r="D1181" t="s">
        <v>33</v>
      </c>
      <c r="E1181" t="s">
        <v>131</v>
      </c>
      <c r="F1181" t="s">
        <v>132</v>
      </c>
      <c r="G1181" t="s">
        <v>26</v>
      </c>
      <c r="H1181" s="2">
        <v>42</v>
      </c>
      <c r="I1181">
        <v>203</v>
      </c>
      <c r="J1181">
        <v>853</v>
      </c>
      <c r="K1181" s="4">
        <v>495</v>
      </c>
      <c r="L1181" t="s">
        <v>17</v>
      </c>
    </row>
    <row r="1182" spans="1:12" x14ac:dyDescent="0.35">
      <c r="A1182" t="s">
        <v>23</v>
      </c>
      <c r="B1182">
        <v>1197831</v>
      </c>
      <c r="C1182" s="1">
        <v>44409</v>
      </c>
      <c r="D1182" t="s">
        <v>33</v>
      </c>
      <c r="E1182" t="s">
        <v>120</v>
      </c>
      <c r="F1182" t="s">
        <v>121</v>
      </c>
      <c r="G1182" t="s">
        <v>26</v>
      </c>
      <c r="H1182" s="2">
        <v>19</v>
      </c>
      <c r="I1182">
        <v>203</v>
      </c>
      <c r="J1182">
        <v>386</v>
      </c>
      <c r="K1182" s="4">
        <v>204</v>
      </c>
      <c r="L1182" t="s">
        <v>17</v>
      </c>
    </row>
    <row r="1183" spans="1:12" x14ac:dyDescent="0.35">
      <c r="A1183" t="s">
        <v>23</v>
      </c>
      <c r="B1183">
        <v>1197831</v>
      </c>
      <c r="C1183" s="1">
        <v>44433</v>
      </c>
      <c r="D1183" t="s">
        <v>19</v>
      </c>
      <c r="E1183" t="s">
        <v>24</v>
      </c>
      <c r="F1183" t="s">
        <v>25</v>
      </c>
      <c r="G1183" t="s">
        <v>26</v>
      </c>
      <c r="H1183" s="2">
        <v>9</v>
      </c>
      <c r="I1183">
        <v>203</v>
      </c>
      <c r="J1183">
        <v>183</v>
      </c>
      <c r="K1183" s="4">
        <v>108</v>
      </c>
      <c r="L1183" t="s">
        <v>17</v>
      </c>
    </row>
    <row r="1184" spans="1:12" x14ac:dyDescent="0.35">
      <c r="A1184" t="s">
        <v>23</v>
      </c>
      <c r="B1184">
        <v>1197831</v>
      </c>
      <c r="C1184" s="1">
        <v>44438</v>
      </c>
      <c r="D1184" t="s">
        <v>19</v>
      </c>
      <c r="E1184" t="s">
        <v>24</v>
      </c>
      <c r="F1184" t="s">
        <v>25</v>
      </c>
      <c r="G1184" t="s">
        <v>16</v>
      </c>
      <c r="H1184" s="2">
        <v>43</v>
      </c>
      <c r="I1184">
        <v>203</v>
      </c>
      <c r="J1184">
        <v>873</v>
      </c>
      <c r="K1184" s="4">
        <v>628</v>
      </c>
      <c r="L1184" t="s">
        <v>17</v>
      </c>
    </row>
    <row r="1185" spans="1:12" x14ac:dyDescent="0.35">
      <c r="A1185" t="s">
        <v>23</v>
      </c>
      <c r="B1185">
        <v>1197831</v>
      </c>
      <c r="C1185" s="1">
        <v>44439</v>
      </c>
      <c r="D1185" t="s">
        <v>19</v>
      </c>
      <c r="E1185" t="s">
        <v>24</v>
      </c>
      <c r="F1185" t="s">
        <v>25</v>
      </c>
      <c r="G1185" t="s">
        <v>26</v>
      </c>
      <c r="H1185" s="2">
        <v>43</v>
      </c>
      <c r="I1185">
        <v>203</v>
      </c>
      <c r="J1185">
        <v>873</v>
      </c>
      <c r="K1185" s="4">
        <v>480</v>
      </c>
      <c r="L1185" t="s">
        <v>17</v>
      </c>
    </row>
    <row r="1186" spans="1:12" x14ac:dyDescent="0.35">
      <c r="A1186" t="s">
        <v>23</v>
      </c>
      <c r="B1186">
        <v>1197831</v>
      </c>
      <c r="C1186" s="1">
        <v>44440</v>
      </c>
      <c r="D1186" t="s">
        <v>19</v>
      </c>
      <c r="E1186" t="s">
        <v>24</v>
      </c>
      <c r="F1186" t="s">
        <v>25</v>
      </c>
      <c r="G1186" t="s">
        <v>39</v>
      </c>
      <c r="H1186" s="2">
        <v>49</v>
      </c>
      <c r="I1186">
        <v>203</v>
      </c>
      <c r="J1186">
        <v>995</v>
      </c>
      <c r="K1186" s="4">
        <v>557</v>
      </c>
      <c r="L1186" t="s">
        <v>17</v>
      </c>
    </row>
    <row r="1187" spans="1:12" x14ac:dyDescent="0.35">
      <c r="A1187" t="s">
        <v>23</v>
      </c>
      <c r="B1187">
        <v>1197831</v>
      </c>
      <c r="C1187" s="1">
        <v>44480</v>
      </c>
      <c r="D1187" t="s">
        <v>19</v>
      </c>
      <c r="E1187" t="s">
        <v>24</v>
      </c>
      <c r="F1187" t="s">
        <v>25</v>
      </c>
      <c r="G1187" t="s">
        <v>16</v>
      </c>
      <c r="H1187" s="2">
        <v>68</v>
      </c>
      <c r="I1187">
        <v>203</v>
      </c>
      <c r="J1187" s="3">
        <v>1380</v>
      </c>
      <c r="K1187" s="4">
        <v>1104</v>
      </c>
      <c r="L1187" t="s">
        <v>17</v>
      </c>
    </row>
    <row r="1188" spans="1:12" x14ac:dyDescent="0.35">
      <c r="A1188" t="s">
        <v>12</v>
      </c>
      <c r="B1188">
        <v>1128299</v>
      </c>
      <c r="C1188" s="1">
        <v>44364</v>
      </c>
      <c r="D1188" t="s">
        <v>13</v>
      </c>
      <c r="E1188" t="s">
        <v>14</v>
      </c>
      <c r="F1188" t="s">
        <v>15</v>
      </c>
      <c r="G1188" t="s">
        <v>39</v>
      </c>
      <c r="H1188" s="2">
        <v>64</v>
      </c>
      <c r="I1188">
        <v>203</v>
      </c>
      <c r="J1188" s="3">
        <v>1299</v>
      </c>
      <c r="K1188" s="4">
        <v>455</v>
      </c>
      <c r="L1188" t="s">
        <v>17</v>
      </c>
    </row>
    <row r="1189" spans="1:12" x14ac:dyDescent="0.35">
      <c r="A1189" t="s">
        <v>42</v>
      </c>
      <c r="B1189">
        <v>1128299</v>
      </c>
      <c r="C1189" s="1">
        <v>44400</v>
      </c>
      <c r="D1189" t="s">
        <v>13</v>
      </c>
      <c r="E1189" t="s">
        <v>99</v>
      </c>
      <c r="F1189" t="s">
        <v>100</v>
      </c>
      <c r="G1189" t="s">
        <v>39</v>
      </c>
      <c r="H1189" s="2">
        <v>81</v>
      </c>
      <c r="I1189">
        <v>203</v>
      </c>
      <c r="J1189" s="3">
        <v>1644</v>
      </c>
      <c r="K1189" s="4">
        <v>822</v>
      </c>
      <c r="L1189" t="s">
        <v>17</v>
      </c>
    </row>
    <row r="1190" spans="1:12" x14ac:dyDescent="0.35">
      <c r="A1190" t="s">
        <v>23</v>
      </c>
      <c r="B1190">
        <v>1185732</v>
      </c>
      <c r="C1190" s="1">
        <v>44215</v>
      </c>
      <c r="D1190" t="s">
        <v>13</v>
      </c>
      <c r="E1190" t="s">
        <v>99</v>
      </c>
      <c r="F1190" t="s">
        <v>100</v>
      </c>
      <c r="G1190" t="s">
        <v>26</v>
      </c>
      <c r="H1190" s="2">
        <v>34</v>
      </c>
      <c r="I1190">
        <v>203</v>
      </c>
      <c r="J1190">
        <v>690</v>
      </c>
      <c r="K1190" s="4">
        <v>421</v>
      </c>
      <c r="L1190" t="s">
        <v>17</v>
      </c>
    </row>
    <row r="1191" spans="1:12" x14ac:dyDescent="0.35">
      <c r="A1191" t="s">
        <v>42</v>
      </c>
      <c r="B1191">
        <v>1185732</v>
      </c>
      <c r="C1191" s="1">
        <v>44394</v>
      </c>
      <c r="D1191" t="s">
        <v>33</v>
      </c>
      <c r="E1191" t="s">
        <v>34</v>
      </c>
      <c r="F1191" t="s">
        <v>35</v>
      </c>
      <c r="G1191" t="s">
        <v>26</v>
      </c>
      <c r="H1191" s="2">
        <v>36</v>
      </c>
      <c r="I1191">
        <v>203</v>
      </c>
      <c r="J1191">
        <v>731</v>
      </c>
      <c r="K1191" s="4">
        <v>402</v>
      </c>
      <c r="L1191" t="s">
        <v>17</v>
      </c>
    </row>
    <row r="1192" spans="1:12" x14ac:dyDescent="0.35">
      <c r="A1192" t="s">
        <v>42</v>
      </c>
      <c r="B1192">
        <v>1185732</v>
      </c>
      <c r="C1192" s="1">
        <v>44426</v>
      </c>
      <c r="D1192" t="s">
        <v>33</v>
      </c>
      <c r="E1192" t="s">
        <v>34</v>
      </c>
      <c r="F1192" t="s">
        <v>35</v>
      </c>
      <c r="G1192" t="s">
        <v>26</v>
      </c>
      <c r="H1192" s="2">
        <v>38</v>
      </c>
      <c r="I1192">
        <v>203</v>
      </c>
      <c r="J1192">
        <v>771</v>
      </c>
      <c r="K1192" s="4">
        <v>386</v>
      </c>
      <c r="L1192" t="s">
        <v>17</v>
      </c>
    </row>
    <row r="1193" spans="1:12" x14ac:dyDescent="0.35">
      <c r="A1193" t="s">
        <v>18</v>
      </c>
      <c r="B1193">
        <v>1185732</v>
      </c>
      <c r="C1193" s="1">
        <v>44419</v>
      </c>
      <c r="D1193" t="s">
        <v>48</v>
      </c>
      <c r="E1193" t="s">
        <v>49</v>
      </c>
      <c r="F1193" t="s">
        <v>50</v>
      </c>
      <c r="G1193" t="s">
        <v>26</v>
      </c>
      <c r="H1193" s="2">
        <v>33</v>
      </c>
      <c r="I1193">
        <v>203</v>
      </c>
      <c r="J1193">
        <v>670</v>
      </c>
      <c r="K1193" s="4">
        <v>335</v>
      </c>
      <c r="L1193" t="s">
        <v>17</v>
      </c>
    </row>
    <row r="1194" spans="1:12" x14ac:dyDescent="0.35">
      <c r="A1194" t="s">
        <v>18</v>
      </c>
      <c r="B1194">
        <v>1185732</v>
      </c>
      <c r="C1194" s="1">
        <v>44540</v>
      </c>
      <c r="D1194" t="s">
        <v>48</v>
      </c>
      <c r="E1194" t="s">
        <v>49</v>
      </c>
      <c r="F1194" t="s">
        <v>50</v>
      </c>
      <c r="G1194" t="s">
        <v>26</v>
      </c>
      <c r="H1194" s="2">
        <v>39</v>
      </c>
      <c r="I1194">
        <v>203</v>
      </c>
      <c r="J1194">
        <v>792</v>
      </c>
      <c r="K1194" s="4">
        <v>435</v>
      </c>
      <c r="L1194" t="s">
        <v>17</v>
      </c>
    </row>
    <row r="1195" spans="1:12" x14ac:dyDescent="0.35">
      <c r="A1195" t="s">
        <v>18</v>
      </c>
      <c r="B1195">
        <v>1128299</v>
      </c>
      <c r="C1195" s="1">
        <v>44364</v>
      </c>
      <c r="D1195" t="s">
        <v>19</v>
      </c>
      <c r="E1195" t="s">
        <v>20</v>
      </c>
      <c r="F1195" t="s">
        <v>21</v>
      </c>
      <c r="G1195" t="s">
        <v>32</v>
      </c>
      <c r="H1195" s="2">
        <v>83</v>
      </c>
      <c r="I1195">
        <v>203</v>
      </c>
      <c r="J1195" s="3">
        <v>1685</v>
      </c>
      <c r="K1195" s="4">
        <v>927</v>
      </c>
      <c r="L1195" t="s">
        <v>17</v>
      </c>
    </row>
    <row r="1196" spans="1:12" x14ac:dyDescent="0.35">
      <c r="A1196" t="s">
        <v>18</v>
      </c>
      <c r="B1196">
        <v>1128299</v>
      </c>
      <c r="C1196" s="1">
        <v>44393</v>
      </c>
      <c r="D1196" t="s">
        <v>19</v>
      </c>
      <c r="E1196" t="s">
        <v>20</v>
      </c>
      <c r="F1196" t="s">
        <v>21</v>
      </c>
      <c r="G1196" t="s">
        <v>39</v>
      </c>
      <c r="H1196" s="2">
        <v>92</v>
      </c>
      <c r="I1196">
        <v>203</v>
      </c>
      <c r="J1196" s="3">
        <v>1868</v>
      </c>
      <c r="K1196" s="4">
        <v>1027</v>
      </c>
      <c r="L1196" t="s">
        <v>17</v>
      </c>
    </row>
    <row r="1197" spans="1:12" x14ac:dyDescent="0.35">
      <c r="A1197" t="s">
        <v>18</v>
      </c>
      <c r="B1197">
        <v>1197831</v>
      </c>
      <c r="C1197" s="1">
        <v>44321</v>
      </c>
      <c r="D1197" t="s">
        <v>48</v>
      </c>
      <c r="E1197" t="s">
        <v>79</v>
      </c>
      <c r="F1197" t="s">
        <v>80</v>
      </c>
      <c r="G1197" t="s">
        <v>26</v>
      </c>
      <c r="H1197" s="2">
        <v>18</v>
      </c>
      <c r="I1197">
        <v>203</v>
      </c>
      <c r="J1197">
        <v>365</v>
      </c>
      <c r="K1197" s="4">
        <v>183</v>
      </c>
      <c r="L1197" t="s">
        <v>17</v>
      </c>
    </row>
    <row r="1198" spans="1:12" x14ac:dyDescent="0.35">
      <c r="A1198" t="s">
        <v>63</v>
      </c>
      <c r="B1198">
        <v>1128299</v>
      </c>
      <c r="C1198" s="1">
        <v>44373</v>
      </c>
      <c r="D1198" t="s">
        <v>48</v>
      </c>
      <c r="E1198" t="s">
        <v>114</v>
      </c>
      <c r="F1198" t="s">
        <v>115</v>
      </c>
      <c r="G1198" t="s">
        <v>26</v>
      </c>
      <c r="H1198" s="2">
        <v>52</v>
      </c>
      <c r="I1198">
        <v>203</v>
      </c>
      <c r="J1198" s="3">
        <v>1056</v>
      </c>
      <c r="K1198" s="4">
        <v>507</v>
      </c>
      <c r="L1198" t="s">
        <v>17</v>
      </c>
    </row>
    <row r="1199" spans="1:12" x14ac:dyDescent="0.35">
      <c r="A1199" t="s">
        <v>63</v>
      </c>
      <c r="B1199">
        <v>1128299</v>
      </c>
      <c r="C1199" s="1">
        <v>44402</v>
      </c>
      <c r="D1199" t="s">
        <v>48</v>
      </c>
      <c r="E1199" t="s">
        <v>114</v>
      </c>
      <c r="F1199" t="s">
        <v>115</v>
      </c>
      <c r="G1199" t="s">
        <v>26</v>
      </c>
      <c r="H1199" s="2">
        <v>54</v>
      </c>
      <c r="I1199">
        <v>203</v>
      </c>
      <c r="J1199" s="3">
        <v>1096</v>
      </c>
      <c r="K1199" s="4">
        <v>515</v>
      </c>
      <c r="L1199" t="s">
        <v>17</v>
      </c>
    </row>
    <row r="1200" spans="1:12" x14ac:dyDescent="0.35">
      <c r="A1200" t="s">
        <v>23</v>
      </c>
      <c r="B1200">
        <v>1128299</v>
      </c>
      <c r="C1200" s="1">
        <v>44542</v>
      </c>
      <c r="D1200" t="s">
        <v>13</v>
      </c>
      <c r="E1200" t="s">
        <v>57</v>
      </c>
      <c r="F1200" t="s">
        <v>58</v>
      </c>
      <c r="G1200" t="s">
        <v>26</v>
      </c>
      <c r="H1200" s="2">
        <v>50</v>
      </c>
      <c r="I1200">
        <v>203</v>
      </c>
      <c r="J1200" s="3">
        <v>1015</v>
      </c>
      <c r="K1200" s="4">
        <v>558</v>
      </c>
      <c r="L1200" t="s">
        <v>17</v>
      </c>
    </row>
    <row r="1201" spans="1:12" x14ac:dyDescent="0.35">
      <c r="A1201" t="s">
        <v>42</v>
      </c>
      <c r="B1201">
        <v>1185732</v>
      </c>
      <c r="C1201" s="1">
        <v>44205</v>
      </c>
      <c r="D1201" t="s">
        <v>13</v>
      </c>
      <c r="E1201" t="s">
        <v>57</v>
      </c>
      <c r="F1201" t="s">
        <v>58</v>
      </c>
      <c r="G1201" t="s">
        <v>56</v>
      </c>
      <c r="H1201" s="2">
        <v>34</v>
      </c>
      <c r="I1201">
        <v>203</v>
      </c>
      <c r="J1201">
        <v>690</v>
      </c>
      <c r="K1201" s="4">
        <v>304</v>
      </c>
      <c r="L1201" t="s">
        <v>17</v>
      </c>
    </row>
    <row r="1202" spans="1:12" x14ac:dyDescent="0.35">
      <c r="A1202" t="s">
        <v>23</v>
      </c>
      <c r="B1202">
        <v>1185732</v>
      </c>
      <c r="C1202" s="1">
        <v>44231</v>
      </c>
      <c r="D1202" t="s">
        <v>13</v>
      </c>
      <c r="E1202" t="s">
        <v>77</v>
      </c>
      <c r="F1202" t="s">
        <v>78</v>
      </c>
      <c r="G1202" t="s">
        <v>16</v>
      </c>
      <c r="H1202" s="2">
        <v>29</v>
      </c>
      <c r="I1202">
        <v>203</v>
      </c>
      <c r="J1202">
        <v>589</v>
      </c>
      <c r="K1202" s="4">
        <v>353</v>
      </c>
      <c r="L1202" t="s">
        <v>17</v>
      </c>
    </row>
    <row r="1203" spans="1:12" x14ac:dyDescent="0.35">
      <c r="A1203" t="s">
        <v>23</v>
      </c>
      <c r="B1203">
        <v>1185732</v>
      </c>
      <c r="C1203" s="1">
        <v>44318</v>
      </c>
      <c r="D1203" t="s">
        <v>13</v>
      </c>
      <c r="E1203" t="s">
        <v>77</v>
      </c>
      <c r="F1203" t="s">
        <v>78</v>
      </c>
      <c r="G1203" t="s">
        <v>16</v>
      </c>
      <c r="H1203" s="2">
        <v>51</v>
      </c>
      <c r="I1203">
        <v>203</v>
      </c>
      <c r="J1203" s="3">
        <v>1035</v>
      </c>
      <c r="K1203" s="4">
        <v>642</v>
      </c>
      <c r="L1203" t="s">
        <v>17</v>
      </c>
    </row>
    <row r="1204" spans="1:12" x14ac:dyDescent="0.35">
      <c r="A1204" t="s">
        <v>23</v>
      </c>
      <c r="B1204">
        <v>1185732</v>
      </c>
      <c r="C1204" s="1">
        <v>44379</v>
      </c>
      <c r="D1204" t="s">
        <v>13</v>
      </c>
      <c r="E1204" t="s">
        <v>77</v>
      </c>
      <c r="F1204" t="s">
        <v>78</v>
      </c>
      <c r="G1204" t="s">
        <v>56</v>
      </c>
      <c r="H1204" s="2">
        <v>52</v>
      </c>
      <c r="I1204">
        <v>203</v>
      </c>
      <c r="J1204" s="3">
        <v>1056</v>
      </c>
      <c r="K1204" s="4">
        <v>538</v>
      </c>
      <c r="L1204" t="s">
        <v>17</v>
      </c>
    </row>
    <row r="1205" spans="1:12" x14ac:dyDescent="0.35">
      <c r="A1205" t="s">
        <v>23</v>
      </c>
      <c r="B1205">
        <v>1185732</v>
      </c>
      <c r="C1205" s="1">
        <v>44441</v>
      </c>
      <c r="D1205" t="s">
        <v>13</v>
      </c>
      <c r="E1205" t="s">
        <v>77</v>
      </c>
      <c r="F1205" t="s">
        <v>78</v>
      </c>
      <c r="G1205" t="s">
        <v>16</v>
      </c>
      <c r="H1205" s="2">
        <v>41</v>
      </c>
      <c r="I1205">
        <v>203</v>
      </c>
      <c r="J1205">
        <v>832</v>
      </c>
      <c r="K1205" s="4">
        <v>508</v>
      </c>
      <c r="L1205" t="s">
        <v>17</v>
      </c>
    </row>
    <row r="1206" spans="1:12" x14ac:dyDescent="0.35">
      <c r="A1206" t="s">
        <v>12</v>
      </c>
      <c r="B1206">
        <v>1185732</v>
      </c>
      <c r="C1206" s="1">
        <v>44455</v>
      </c>
      <c r="D1206" t="s">
        <v>19</v>
      </c>
      <c r="E1206" t="s">
        <v>37</v>
      </c>
      <c r="F1206" t="s">
        <v>38</v>
      </c>
      <c r="G1206" t="s">
        <v>26</v>
      </c>
      <c r="H1206" s="2">
        <v>47</v>
      </c>
      <c r="I1206">
        <v>203</v>
      </c>
      <c r="J1206">
        <v>954</v>
      </c>
      <c r="K1206" s="4">
        <v>515</v>
      </c>
      <c r="L1206" t="s">
        <v>17</v>
      </c>
    </row>
    <row r="1207" spans="1:12" x14ac:dyDescent="0.35">
      <c r="A1207" t="s">
        <v>12</v>
      </c>
      <c r="B1207">
        <v>1197831</v>
      </c>
      <c r="C1207" s="1">
        <v>44368</v>
      </c>
      <c r="D1207" t="s">
        <v>19</v>
      </c>
      <c r="E1207" t="s">
        <v>54</v>
      </c>
      <c r="F1207" t="s">
        <v>55</v>
      </c>
      <c r="G1207" t="s">
        <v>26</v>
      </c>
      <c r="H1207" s="2">
        <v>36</v>
      </c>
      <c r="I1207">
        <v>203</v>
      </c>
      <c r="J1207">
        <v>731</v>
      </c>
      <c r="K1207" s="4">
        <v>365</v>
      </c>
      <c r="L1207" t="s">
        <v>17</v>
      </c>
    </row>
    <row r="1208" spans="1:12" x14ac:dyDescent="0.35">
      <c r="A1208" t="s">
        <v>18</v>
      </c>
      <c r="B1208">
        <v>1197831</v>
      </c>
      <c r="C1208" s="1">
        <v>44549</v>
      </c>
      <c r="D1208" t="s">
        <v>19</v>
      </c>
      <c r="E1208" t="s">
        <v>54</v>
      </c>
      <c r="F1208" t="s">
        <v>55</v>
      </c>
      <c r="G1208" t="s">
        <v>26</v>
      </c>
      <c r="H1208" s="2">
        <v>67</v>
      </c>
      <c r="I1208">
        <v>203</v>
      </c>
      <c r="J1208" s="3">
        <v>1360</v>
      </c>
      <c r="K1208" s="4">
        <v>748</v>
      </c>
      <c r="L1208" t="s">
        <v>17</v>
      </c>
    </row>
    <row r="1209" spans="1:12" x14ac:dyDescent="0.35">
      <c r="A1209" t="s">
        <v>23</v>
      </c>
      <c r="B1209">
        <v>1197831</v>
      </c>
      <c r="C1209" s="1">
        <v>44431</v>
      </c>
      <c r="D1209" t="s">
        <v>19</v>
      </c>
      <c r="E1209" t="s">
        <v>59</v>
      </c>
      <c r="F1209" t="s">
        <v>68</v>
      </c>
      <c r="G1209" t="s">
        <v>26</v>
      </c>
      <c r="H1209" s="2">
        <v>21</v>
      </c>
      <c r="I1209">
        <v>203</v>
      </c>
      <c r="J1209">
        <v>426</v>
      </c>
      <c r="K1209" s="4">
        <v>166</v>
      </c>
      <c r="L1209" t="s">
        <v>27</v>
      </c>
    </row>
    <row r="1210" spans="1:12" x14ac:dyDescent="0.35">
      <c r="A1210" t="s">
        <v>23</v>
      </c>
      <c r="B1210">
        <v>1197831</v>
      </c>
      <c r="C1210" s="1">
        <v>44468</v>
      </c>
      <c r="D1210" t="s">
        <v>19</v>
      </c>
      <c r="E1210" t="s">
        <v>59</v>
      </c>
      <c r="F1210" t="s">
        <v>68</v>
      </c>
      <c r="G1210" t="s">
        <v>39</v>
      </c>
      <c r="H1210" s="2">
        <v>38</v>
      </c>
      <c r="I1210">
        <v>203</v>
      </c>
      <c r="J1210">
        <v>771</v>
      </c>
      <c r="K1210" s="4">
        <v>363</v>
      </c>
      <c r="L1210" t="s">
        <v>27</v>
      </c>
    </row>
    <row r="1211" spans="1:12" x14ac:dyDescent="0.35">
      <c r="A1211" t="s">
        <v>23</v>
      </c>
      <c r="B1211">
        <v>1197831</v>
      </c>
      <c r="C1211" s="1">
        <v>44283</v>
      </c>
      <c r="D1211" t="s">
        <v>19</v>
      </c>
      <c r="E1211" t="s">
        <v>74</v>
      </c>
      <c r="F1211" t="s">
        <v>75</v>
      </c>
      <c r="G1211" t="s">
        <v>26</v>
      </c>
      <c r="H1211" s="2">
        <v>13</v>
      </c>
      <c r="I1211">
        <v>203</v>
      </c>
      <c r="J1211">
        <v>264</v>
      </c>
      <c r="K1211" s="4">
        <v>119</v>
      </c>
      <c r="L1211" t="s">
        <v>27</v>
      </c>
    </row>
    <row r="1212" spans="1:12" x14ac:dyDescent="0.35">
      <c r="A1212" t="s">
        <v>23</v>
      </c>
      <c r="B1212">
        <v>1197831</v>
      </c>
      <c r="C1212" s="1">
        <v>44284</v>
      </c>
      <c r="D1212" t="s">
        <v>19</v>
      </c>
      <c r="E1212" t="s">
        <v>74</v>
      </c>
      <c r="F1212" t="s">
        <v>75</v>
      </c>
      <c r="G1212" t="s">
        <v>39</v>
      </c>
      <c r="H1212" s="2">
        <v>17</v>
      </c>
      <c r="I1212">
        <v>203</v>
      </c>
      <c r="J1212">
        <v>345</v>
      </c>
      <c r="K1212" s="4">
        <v>145</v>
      </c>
      <c r="L1212" t="s">
        <v>27</v>
      </c>
    </row>
    <row r="1213" spans="1:12" x14ac:dyDescent="0.35">
      <c r="A1213" t="s">
        <v>23</v>
      </c>
      <c r="B1213">
        <v>1197831</v>
      </c>
      <c r="C1213" s="1">
        <v>44315</v>
      </c>
      <c r="D1213" t="s">
        <v>19</v>
      </c>
      <c r="E1213" t="s">
        <v>74</v>
      </c>
      <c r="F1213" t="s">
        <v>75</v>
      </c>
      <c r="G1213" t="s">
        <v>32</v>
      </c>
      <c r="H1213" s="2">
        <v>40</v>
      </c>
      <c r="I1213">
        <v>203</v>
      </c>
      <c r="J1213">
        <v>812</v>
      </c>
      <c r="K1213" s="4">
        <v>414</v>
      </c>
      <c r="L1213" t="s">
        <v>27</v>
      </c>
    </row>
    <row r="1214" spans="1:12" x14ac:dyDescent="0.35">
      <c r="A1214" t="s">
        <v>23</v>
      </c>
      <c r="B1214">
        <v>1197831</v>
      </c>
      <c r="C1214" s="1">
        <v>44325</v>
      </c>
      <c r="D1214" t="s">
        <v>19</v>
      </c>
      <c r="E1214" t="s">
        <v>74</v>
      </c>
      <c r="F1214" t="s">
        <v>75</v>
      </c>
      <c r="G1214" t="s">
        <v>26</v>
      </c>
      <c r="H1214" s="2">
        <v>24</v>
      </c>
      <c r="I1214">
        <v>203</v>
      </c>
      <c r="J1214">
        <v>487</v>
      </c>
      <c r="K1214" s="4">
        <v>234</v>
      </c>
      <c r="L1214" t="s">
        <v>27</v>
      </c>
    </row>
    <row r="1215" spans="1:12" x14ac:dyDescent="0.35">
      <c r="A1215" t="s">
        <v>23</v>
      </c>
      <c r="B1215">
        <v>1197831</v>
      </c>
      <c r="C1215" s="1">
        <v>44456</v>
      </c>
      <c r="D1215" t="s">
        <v>19</v>
      </c>
      <c r="E1215" t="s">
        <v>24</v>
      </c>
      <c r="F1215" t="s">
        <v>25</v>
      </c>
      <c r="G1215" t="s">
        <v>16</v>
      </c>
      <c r="H1215" s="2">
        <v>39</v>
      </c>
      <c r="I1215">
        <v>203</v>
      </c>
      <c r="J1215">
        <v>792</v>
      </c>
      <c r="K1215" s="4">
        <v>562</v>
      </c>
      <c r="L1215" t="s">
        <v>27</v>
      </c>
    </row>
    <row r="1216" spans="1:12" x14ac:dyDescent="0.35">
      <c r="A1216" t="s">
        <v>23</v>
      </c>
      <c r="B1216">
        <v>1197831</v>
      </c>
      <c r="C1216" s="1">
        <v>44444</v>
      </c>
      <c r="D1216" t="s">
        <v>48</v>
      </c>
      <c r="E1216" t="s">
        <v>79</v>
      </c>
      <c r="F1216" t="s">
        <v>80</v>
      </c>
      <c r="G1216" t="s">
        <v>32</v>
      </c>
      <c r="H1216" s="2">
        <v>43</v>
      </c>
      <c r="I1216">
        <v>203</v>
      </c>
      <c r="J1216">
        <v>873</v>
      </c>
      <c r="K1216" s="4">
        <v>393</v>
      </c>
      <c r="L1216" t="s">
        <v>27</v>
      </c>
    </row>
    <row r="1217" spans="1:12" x14ac:dyDescent="0.35">
      <c r="A1217" t="s">
        <v>23</v>
      </c>
      <c r="B1217">
        <v>1197831</v>
      </c>
      <c r="C1217" s="1">
        <v>44505</v>
      </c>
      <c r="D1217" t="s">
        <v>48</v>
      </c>
      <c r="E1217" t="s">
        <v>79</v>
      </c>
      <c r="F1217" t="s">
        <v>80</v>
      </c>
      <c r="G1217" t="s">
        <v>26</v>
      </c>
      <c r="H1217" s="2">
        <v>27</v>
      </c>
      <c r="I1217">
        <v>203</v>
      </c>
      <c r="J1217">
        <v>548</v>
      </c>
      <c r="K1217" s="4">
        <v>252</v>
      </c>
      <c r="L1217" t="s">
        <v>27</v>
      </c>
    </row>
    <row r="1218" spans="1:12" x14ac:dyDescent="0.35">
      <c r="A1218" t="s">
        <v>23</v>
      </c>
      <c r="B1218">
        <v>1128299</v>
      </c>
      <c r="C1218" s="1">
        <v>44360</v>
      </c>
      <c r="D1218" t="s">
        <v>13</v>
      </c>
      <c r="E1218" t="s">
        <v>57</v>
      </c>
      <c r="F1218" t="s">
        <v>58</v>
      </c>
      <c r="G1218" t="s">
        <v>26</v>
      </c>
      <c r="H1218" s="2">
        <v>35</v>
      </c>
      <c r="I1218">
        <v>203</v>
      </c>
      <c r="J1218">
        <v>711</v>
      </c>
      <c r="K1218" s="4">
        <v>306</v>
      </c>
      <c r="L1218" t="s">
        <v>27</v>
      </c>
    </row>
    <row r="1219" spans="1:12" x14ac:dyDescent="0.35">
      <c r="A1219" t="s">
        <v>51</v>
      </c>
      <c r="B1219">
        <v>1185732</v>
      </c>
      <c r="C1219" s="1">
        <v>44426</v>
      </c>
      <c r="D1219" t="s">
        <v>43</v>
      </c>
      <c r="E1219" t="s">
        <v>127</v>
      </c>
      <c r="F1219" t="s">
        <v>128</v>
      </c>
      <c r="G1219" t="s">
        <v>26</v>
      </c>
      <c r="H1219" s="2">
        <v>48</v>
      </c>
      <c r="I1219">
        <v>203</v>
      </c>
      <c r="J1219">
        <v>974</v>
      </c>
      <c r="K1219" s="4">
        <v>448</v>
      </c>
      <c r="L1219" t="s">
        <v>27</v>
      </c>
    </row>
    <row r="1220" spans="1:12" x14ac:dyDescent="0.35">
      <c r="A1220" t="s">
        <v>18</v>
      </c>
      <c r="B1220">
        <v>1128299</v>
      </c>
      <c r="C1220" s="1">
        <v>44237</v>
      </c>
      <c r="D1220" t="s">
        <v>48</v>
      </c>
      <c r="E1220" t="s">
        <v>66</v>
      </c>
      <c r="F1220" t="s">
        <v>67</v>
      </c>
      <c r="G1220" t="s">
        <v>16</v>
      </c>
      <c r="H1220" s="2">
        <v>67</v>
      </c>
      <c r="I1220">
        <v>202</v>
      </c>
      <c r="J1220" s="3">
        <v>1353</v>
      </c>
      <c r="K1220" s="4">
        <v>284</v>
      </c>
      <c r="L1220" t="s">
        <v>17</v>
      </c>
    </row>
    <row r="1221" spans="1:12" x14ac:dyDescent="0.35">
      <c r="A1221" t="s">
        <v>18</v>
      </c>
      <c r="B1221">
        <v>1128299</v>
      </c>
      <c r="C1221" s="1">
        <v>43941</v>
      </c>
      <c r="D1221" t="s">
        <v>48</v>
      </c>
      <c r="E1221" t="s">
        <v>133</v>
      </c>
      <c r="F1221" t="s">
        <v>134</v>
      </c>
      <c r="G1221" t="s">
        <v>26</v>
      </c>
      <c r="H1221" s="2">
        <v>64</v>
      </c>
      <c r="I1221">
        <v>202</v>
      </c>
      <c r="J1221" s="3">
        <v>1293</v>
      </c>
      <c r="K1221" s="4">
        <v>776</v>
      </c>
      <c r="L1221" t="s">
        <v>17</v>
      </c>
    </row>
    <row r="1222" spans="1:12" x14ac:dyDescent="0.35">
      <c r="A1222" t="s">
        <v>23</v>
      </c>
      <c r="B1222">
        <v>1185732</v>
      </c>
      <c r="C1222" s="1">
        <v>44112</v>
      </c>
      <c r="D1222" t="s">
        <v>13</v>
      </c>
      <c r="E1222" t="s">
        <v>14</v>
      </c>
      <c r="F1222" t="s">
        <v>73</v>
      </c>
      <c r="G1222" t="s">
        <v>56</v>
      </c>
      <c r="H1222" s="2">
        <v>49</v>
      </c>
      <c r="I1222">
        <v>202</v>
      </c>
      <c r="J1222">
        <v>990</v>
      </c>
      <c r="K1222" s="4">
        <v>436</v>
      </c>
      <c r="L1222" t="s">
        <v>17</v>
      </c>
    </row>
    <row r="1223" spans="1:12" x14ac:dyDescent="0.35">
      <c r="A1223" t="s">
        <v>42</v>
      </c>
      <c r="B1223">
        <v>1185732</v>
      </c>
      <c r="C1223" s="1">
        <v>43975</v>
      </c>
      <c r="D1223" t="s">
        <v>13</v>
      </c>
      <c r="E1223" t="s">
        <v>14</v>
      </c>
      <c r="F1223" t="s">
        <v>73</v>
      </c>
      <c r="G1223" t="s">
        <v>70</v>
      </c>
      <c r="H1223" s="2">
        <v>60</v>
      </c>
      <c r="I1223">
        <v>202</v>
      </c>
      <c r="J1223" s="3">
        <v>1212</v>
      </c>
      <c r="K1223" s="4">
        <v>594</v>
      </c>
      <c r="L1223" t="s">
        <v>17</v>
      </c>
    </row>
    <row r="1224" spans="1:12" x14ac:dyDescent="0.35">
      <c r="A1224" t="s">
        <v>23</v>
      </c>
      <c r="B1224">
        <v>1197831</v>
      </c>
      <c r="C1224" s="1">
        <v>44294</v>
      </c>
      <c r="D1224" t="s">
        <v>19</v>
      </c>
      <c r="E1224" t="s">
        <v>74</v>
      </c>
      <c r="F1224" t="s">
        <v>75</v>
      </c>
      <c r="G1224" t="s">
        <v>16</v>
      </c>
      <c r="H1224" s="2">
        <v>38</v>
      </c>
      <c r="I1224">
        <v>202</v>
      </c>
      <c r="J1224">
        <v>768</v>
      </c>
      <c r="K1224" s="4">
        <v>514</v>
      </c>
      <c r="L1224" t="s">
        <v>17</v>
      </c>
    </row>
    <row r="1225" spans="1:12" x14ac:dyDescent="0.35">
      <c r="A1225" t="s">
        <v>23</v>
      </c>
      <c r="B1225">
        <v>1197831</v>
      </c>
      <c r="C1225" s="1">
        <v>44296</v>
      </c>
      <c r="D1225" t="s">
        <v>19</v>
      </c>
      <c r="E1225" t="s">
        <v>74</v>
      </c>
      <c r="F1225" t="s">
        <v>75</v>
      </c>
      <c r="G1225" t="s">
        <v>39</v>
      </c>
      <c r="H1225" s="2">
        <v>42</v>
      </c>
      <c r="I1225">
        <v>202</v>
      </c>
      <c r="J1225">
        <v>848</v>
      </c>
      <c r="K1225" s="4">
        <v>433</v>
      </c>
      <c r="L1225" t="s">
        <v>17</v>
      </c>
    </row>
    <row r="1226" spans="1:12" x14ac:dyDescent="0.35">
      <c r="A1226" t="s">
        <v>63</v>
      </c>
      <c r="B1226">
        <v>1185732</v>
      </c>
      <c r="C1226" s="1">
        <v>44481</v>
      </c>
      <c r="D1226" t="s">
        <v>48</v>
      </c>
      <c r="E1226" t="s">
        <v>102</v>
      </c>
      <c r="F1226" t="s">
        <v>103</v>
      </c>
      <c r="G1226" t="s">
        <v>26</v>
      </c>
      <c r="H1226" s="2">
        <v>50</v>
      </c>
      <c r="I1226">
        <v>202</v>
      </c>
      <c r="J1226" s="3">
        <v>1010</v>
      </c>
      <c r="K1226" s="4">
        <v>646</v>
      </c>
      <c r="L1226" t="s">
        <v>17</v>
      </c>
    </row>
    <row r="1227" spans="1:12" x14ac:dyDescent="0.35">
      <c r="A1227" t="s">
        <v>42</v>
      </c>
      <c r="B1227">
        <v>1128299</v>
      </c>
      <c r="C1227" s="1">
        <v>44432</v>
      </c>
      <c r="D1227" t="s">
        <v>13</v>
      </c>
      <c r="E1227" t="s">
        <v>99</v>
      </c>
      <c r="F1227" t="s">
        <v>100</v>
      </c>
      <c r="G1227" t="s">
        <v>39</v>
      </c>
      <c r="H1227" s="2">
        <v>76</v>
      </c>
      <c r="I1227">
        <v>202</v>
      </c>
      <c r="J1227" s="3">
        <v>1535</v>
      </c>
      <c r="K1227" s="4">
        <v>737</v>
      </c>
      <c r="L1227" t="s">
        <v>17</v>
      </c>
    </row>
    <row r="1228" spans="1:12" x14ac:dyDescent="0.35">
      <c r="A1228" t="s">
        <v>18</v>
      </c>
      <c r="B1228">
        <v>1197831</v>
      </c>
      <c r="C1228" s="1">
        <v>44383</v>
      </c>
      <c r="D1228" t="s">
        <v>48</v>
      </c>
      <c r="E1228" t="s">
        <v>79</v>
      </c>
      <c r="F1228" t="s">
        <v>80</v>
      </c>
      <c r="G1228" t="s">
        <v>39</v>
      </c>
      <c r="H1228" s="2">
        <v>52</v>
      </c>
      <c r="I1228">
        <v>202</v>
      </c>
      <c r="J1228" s="3">
        <v>1050</v>
      </c>
      <c r="K1228" s="4">
        <v>546</v>
      </c>
      <c r="L1228" t="s">
        <v>17</v>
      </c>
    </row>
    <row r="1229" spans="1:12" x14ac:dyDescent="0.35">
      <c r="A1229" t="s">
        <v>42</v>
      </c>
      <c r="B1229">
        <v>1185732</v>
      </c>
      <c r="C1229" s="1">
        <v>44382</v>
      </c>
      <c r="D1229" t="s">
        <v>13</v>
      </c>
      <c r="E1229" t="s">
        <v>69</v>
      </c>
      <c r="F1229" t="s">
        <v>65</v>
      </c>
      <c r="G1229" t="s">
        <v>56</v>
      </c>
      <c r="H1229" s="2">
        <v>52</v>
      </c>
      <c r="I1229">
        <v>202</v>
      </c>
      <c r="J1229" s="3">
        <v>1050</v>
      </c>
      <c r="K1229" s="4">
        <v>441</v>
      </c>
      <c r="L1229" t="s">
        <v>17</v>
      </c>
    </row>
    <row r="1230" spans="1:12" x14ac:dyDescent="0.35">
      <c r="A1230" t="s">
        <v>42</v>
      </c>
      <c r="B1230">
        <v>1185732</v>
      </c>
      <c r="C1230" s="1">
        <v>44506</v>
      </c>
      <c r="D1230" t="s">
        <v>13</v>
      </c>
      <c r="E1230" t="s">
        <v>69</v>
      </c>
      <c r="F1230" t="s">
        <v>65</v>
      </c>
      <c r="G1230" t="s">
        <v>32</v>
      </c>
      <c r="H1230" s="2">
        <v>43</v>
      </c>
      <c r="I1230">
        <v>202</v>
      </c>
      <c r="J1230">
        <v>869</v>
      </c>
      <c r="K1230" s="4">
        <v>304</v>
      </c>
      <c r="L1230" t="s">
        <v>17</v>
      </c>
    </row>
    <row r="1231" spans="1:12" x14ac:dyDescent="0.35">
      <c r="A1231" t="s">
        <v>23</v>
      </c>
      <c r="B1231">
        <v>1185732</v>
      </c>
      <c r="C1231" s="1">
        <v>44532</v>
      </c>
      <c r="D1231" t="s">
        <v>13</v>
      </c>
      <c r="E1231" t="s">
        <v>77</v>
      </c>
      <c r="F1231" t="s">
        <v>78</v>
      </c>
      <c r="G1231" t="s">
        <v>39</v>
      </c>
      <c r="H1231" s="2">
        <v>55</v>
      </c>
      <c r="I1231">
        <v>202</v>
      </c>
      <c r="J1231" s="3">
        <v>1111</v>
      </c>
      <c r="K1231" s="4">
        <v>500</v>
      </c>
      <c r="L1231" t="s">
        <v>17</v>
      </c>
    </row>
    <row r="1232" spans="1:12" x14ac:dyDescent="0.35">
      <c r="A1232" t="s">
        <v>23</v>
      </c>
      <c r="B1232">
        <v>1197831</v>
      </c>
      <c r="C1232" s="1">
        <v>44271</v>
      </c>
      <c r="D1232" t="s">
        <v>19</v>
      </c>
      <c r="E1232" t="s">
        <v>74</v>
      </c>
      <c r="F1232" t="s">
        <v>75</v>
      </c>
      <c r="G1232" t="s">
        <v>26</v>
      </c>
      <c r="H1232" s="2">
        <v>18</v>
      </c>
      <c r="I1232">
        <v>202</v>
      </c>
      <c r="J1232">
        <v>364</v>
      </c>
      <c r="K1232" s="4">
        <v>135</v>
      </c>
      <c r="L1232" t="s">
        <v>27</v>
      </c>
    </row>
    <row r="1233" spans="1:12" x14ac:dyDescent="0.35">
      <c r="A1233" t="s">
        <v>23</v>
      </c>
      <c r="B1233">
        <v>1197831</v>
      </c>
      <c r="C1233" s="1">
        <v>44297</v>
      </c>
      <c r="D1233" t="s">
        <v>19</v>
      </c>
      <c r="E1233" t="s">
        <v>74</v>
      </c>
      <c r="F1233" t="s">
        <v>75</v>
      </c>
      <c r="G1233" t="s">
        <v>32</v>
      </c>
      <c r="H1233" s="2">
        <v>26</v>
      </c>
      <c r="I1233">
        <v>202</v>
      </c>
      <c r="J1233">
        <v>525</v>
      </c>
      <c r="K1233" s="4">
        <v>231</v>
      </c>
      <c r="L1233" t="s">
        <v>27</v>
      </c>
    </row>
    <row r="1234" spans="1:12" x14ac:dyDescent="0.35">
      <c r="A1234" t="s">
        <v>23</v>
      </c>
      <c r="B1234">
        <v>1197831</v>
      </c>
      <c r="C1234" s="1">
        <v>44330</v>
      </c>
      <c r="D1234" t="s">
        <v>19</v>
      </c>
      <c r="E1234" t="s">
        <v>74</v>
      </c>
      <c r="F1234" t="s">
        <v>75</v>
      </c>
      <c r="G1234" t="s">
        <v>16</v>
      </c>
      <c r="H1234" s="2">
        <v>43</v>
      </c>
      <c r="I1234">
        <v>202</v>
      </c>
      <c r="J1234">
        <v>869</v>
      </c>
      <c r="K1234" s="4">
        <v>573</v>
      </c>
      <c r="L1234" t="s">
        <v>27</v>
      </c>
    </row>
    <row r="1235" spans="1:12" x14ac:dyDescent="0.35">
      <c r="A1235" t="s">
        <v>23</v>
      </c>
      <c r="B1235">
        <v>1197831</v>
      </c>
      <c r="C1235" s="1">
        <v>44428</v>
      </c>
      <c r="D1235" t="s">
        <v>19</v>
      </c>
      <c r="E1235" t="s">
        <v>24</v>
      </c>
      <c r="F1235" t="s">
        <v>25</v>
      </c>
      <c r="G1235" t="s">
        <v>39</v>
      </c>
      <c r="H1235" s="2">
        <v>16</v>
      </c>
      <c r="I1235">
        <v>202</v>
      </c>
      <c r="J1235">
        <v>323</v>
      </c>
      <c r="K1235" s="4">
        <v>152</v>
      </c>
      <c r="L1235" t="s">
        <v>27</v>
      </c>
    </row>
    <row r="1236" spans="1:12" x14ac:dyDescent="0.35">
      <c r="A1236" t="s">
        <v>18</v>
      </c>
      <c r="B1236">
        <v>1185732</v>
      </c>
      <c r="C1236" s="1">
        <v>44208</v>
      </c>
      <c r="D1236" t="s">
        <v>13</v>
      </c>
      <c r="E1236" t="s">
        <v>14</v>
      </c>
      <c r="F1236" t="s">
        <v>15</v>
      </c>
      <c r="G1236" t="s">
        <v>32</v>
      </c>
      <c r="H1236" s="2">
        <v>26</v>
      </c>
      <c r="I1236">
        <v>202</v>
      </c>
      <c r="J1236">
        <v>525</v>
      </c>
      <c r="K1236" s="4">
        <v>152</v>
      </c>
      <c r="L1236" t="s">
        <v>27</v>
      </c>
    </row>
    <row r="1237" spans="1:12" x14ac:dyDescent="0.35">
      <c r="A1237" t="s">
        <v>18</v>
      </c>
      <c r="B1237">
        <v>1128299</v>
      </c>
      <c r="C1237" s="1">
        <v>44371</v>
      </c>
      <c r="D1237" t="s">
        <v>48</v>
      </c>
      <c r="E1237" t="s">
        <v>85</v>
      </c>
      <c r="F1237" t="s">
        <v>86</v>
      </c>
      <c r="G1237" t="s">
        <v>39</v>
      </c>
      <c r="H1237" s="2">
        <v>47</v>
      </c>
      <c r="I1237">
        <v>202</v>
      </c>
      <c r="J1237">
        <v>949</v>
      </c>
      <c r="K1237" s="4">
        <v>389</v>
      </c>
      <c r="L1237" t="s">
        <v>27</v>
      </c>
    </row>
    <row r="1238" spans="1:12" x14ac:dyDescent="0.35">
      <c r="A1238" t="s">
        <v>18</v>
      </c>
      <c r="B1238">
        <v>1128299</v>
      </c>
      <c r="C1238" s="1">
        <v>44524</v>
      </c>
      <c r="D1238" t="s">
        <v>48</v>
      </c>
      <c r="E1238" t="s">
        <v>85</v>
      </c>
      <c r="F1238" t="s">
        <v>86</v>
      </c>
      <c r="G1238" t="s">
        <v>39</v>
      </c>
      <c r="H1238" s="2">
        <v>37</v>
      </c>
      <c r="I1238">
        <v>202</v>
      </c>
      <c r="J1238">
        <v>747</v>
      </c>
      <c r="K1238" s="4">
        <v>291</v>
      </c>
      <c r="L1238" t="s">
        <v>27</v>
      </c>
    </row>
    <row r="1239" spans="1:12" x14ac:dyDescent="0.35">
      <c r="A1239" t="s">
        <v>23</v>
      </c>
      <c r="B1239">
        <v>1197831</v>
      </c>
      <c r="C1239" s="1">
        <v>44458</v>
      </c>
      <c r="D1239" t="s">
        <v>19</v>
      </c>
      <c r="E1239" t="s">
        <v>59</v>
      </c>
      <c r="F1239" t="s">
        <v>68</v>
      </c>
      <c r="G1239" t="s">
        <v>56</v>
      </c>
      <c r="H1239" s="2">
        <v>32</v>
      </c>
      <c r="I1239">
        <v>201</v>
      </c>
      <c r="J1239">
        <v>643</v>
      </c>
      <c r="K1239" s="4">
        <v>354</v>
      </c>
      <c r="L1239" t="s">
        <v>27</v>
      </c>
    </row>
    <row r="1240" spans="1:12" x14ac:dyDescent="0.35">
      <c r="A1240" t="s">
        <v>18</v>
      </c>
      <c r="B1240">
        <v>1128299</v>
      </c>
      <c r="C1240" s="1">
        <v>43894</v>
      </c>
      <c r="D1240" t="s">
        <v>48</v>
      </c>
      <c r="E1240" t="s">
        <v>116</v>
      </c>
      <c r="F1240" t="s">
        <v>117</v>
      </c>
      <c r="G1240" t="s">
        <v>39</v>
      </c>
      <c r="H1240" s="2">
        <v>52</v>
      </c>
      <c r="I1240">
        <v>201</v>
      </c>
      <c r="J1240" s="3">
        <v>1045</v>
      </c>
      <c r="K1240" s="4">
        <v>261</v>
      </c>
      <c r="L1240" t="s">
        <v>27</v>
      </c>
    </row>
    <row r="1241" spans="1:12" x14ac:dyDescent="0.35">
      <c r="A1241" t="s">
        <v>23</v>
      </c>
      <c r="B1241">
        <v>1197831</v>
      </c>
      <c r="C1241" s="1">
        <v>44319</v>
      </c>
      <c r="D1241" t="s">
        <v>19</v>
      </c>
      <c r="E1241" t="s">
        <v>74</v>
      </c>
      <c r="F1241" t="s">
        <v>75</v>
      </c>
      <c r="G1241" t="s">
        <v>26</v>
      </c>
      <c r="H1241" s="2">
        <v>28</v>
      </c>
      <c r="I1241">
        <v>201</v>
      </c>
      <c r="J1241">
        <v>563</v>
      </c>
      <c r="K1241" s="4">
        <v>293</v>
      </c>
      <c r="L1241" t="s">
        <v>27</v>
      </c>
    </row>
    <row r="1242" spans="1:12" x14ac:dyDescent="0.35">
      <c r="A1242" t="s">
        <v>12</v>
      </c>
      <c r="B1242">
        <v>1128299</v>
      </c>
      <c r="C1242" s="1">
        <v>44334</v>
      </c>
      <c r="D1242" t="s">
        <v>13</v>
      </c>
      <c r="E1242" t="s">
        <v>14</v>
      </c>
      <c r="F1242" t="s">
        <v>15</v>
      </c>
      <c r="G1242" t="s">
        <v>26</v>
      </c>
      <c r="H1242" s="2">
        <v>44</v>
      </c>
      <c r="I1242">
        <v>201</v>
      </c>
      <c r="J1242">
        <v>884</v>
      </c>
      <c r="K1242" s="4">
        <v>292</v>
      </c>
      <c r="L1242" t="s">
        <v>27</v>
      </c>
    </row>
    <row r="1243" spans="1:12" x14ac:dyDescent="0.35">
      <c r="A1243" t="s">
        <v>18</v>
      </c>
      <c r="B1243">
        <v>1185732</v>
      </c>
      <c r="C1243" s="1">
        <v>44480</v>
      </c>
      <c r="D1243" t="s">
        <v>48</v>
      </c>
      <c r="E1243" t="s">
        <v>49</v>
      </c>
      <c r="F1243" t="s">
        <v>50</v>
      </c>
      <c r="G1243" t="s">
        <v>26</v>
      </c>
      <c r="H1243" s="2">
        <v>24</v>
      </c>
      <c r="I1243">
        <v>201</v>
      </c>
      <c r="J1243">
        <v>482</v>
      </c>
      <c r="K1243" s="4">
        <v>227</v>
      </c>
      <c r="L1243" t="s">
        <v>27</v>
      </c>
    </row>
    <row r="1244" spans="1:12" x14ac:dyDescent="0.35">
      <c r="A1244" t="s">
        <v>18</v>
      </c>
      <c r="B1244">
        <v>1128299</v>
      </c>
      <c r="C1244" s="1">
        <v>44553</v>
      </c>
      <c r="D1244" t="s">
        <v>48</v>
      </c>
      <c r="E1244" t="s">
        <v>85</v>
      </c>
      <c r="F1244" t="s">
        <v>86</v>
      </c>
      <c r="G1244" t="s">
        <v>16</v>
      </c>
      <c r="H1244" s="2">
        <v>55</v>
      </c>
      <c r="I1244">
        <v>201</v>
      </c>
      <c r="J1244" s="3">
        <v>1106</v>
      </c>
      <c r="K1244" s="4">
        <v>376</v>
      </c>
      <c r="L1244" t="s">
        <v>27</v>
      </c>
    </row>
    <row r="1245" spans="1:12" x14ac:dyDescent="0.35">
      <c r="A1245" t="s">
        <v>23</v>
      </c>
      <c r="B1245">
        <v>1197831</v>
      </c>
      <c r="C1245" s="1">
        <v>44473</v>
      </c>
      <c r="D1245" t="s">
        <v>48</v>
      </c>
      <c r="E1245" t="s">
        <v>79</v>
      </c>
      <c r="F1245" t="s">
        <v>80</v>
      </c>
      <c r="G1245" t="s">
        <v>26</v>
      </c>
      <c r="H1245" s="2">
        <v>30</v>
      </c>
      <c r="I1245">
        <v>201</v>
      </c>
      <c r="J1245">
        <v>603</v>
      </c>
      <c r="K1245" s="4">
        <v>277</v>
      </c>
      <c r="L1245" t="s">
        <v>27</v>
      </c>
    </row>
    <row r="1246" spans="1:12" x14ac:dyDescent="0.35">
      <c r="A1246" t="s">
        <v>42</v>
      </c>
      <c r="B1246">
        <v>1128299</v>
      </c>
      <c r="C1246" s="1">
        <v>44463</v>
      </c>
      <c r="D1246" t="s">
        <v>48</v>
      </c>
      <c r="E1246" t="s">
        <v>123</v>
      </c>
      <c r="F1246" t="s">
        <v>124</v>
      </c>
      <c r="G1246" t="s">
        <v>39</v>
      </c>
      <c r="H1246" s="2">
        <v>34</v>
      </c>
      <c r="I1246">
        <v>201</v>
      </c>
      <c r="J1246">
        <v>683</v>
      </c>
      <c r="K1246" s="4">
        <v>321</v>
      </c>
      <c r="L1246" t="s">
        <v>27</v>
      </c>
    </row>
    <row r="1247" spans="1:12" x14ac:dyDescent="0.35">
      <c r="A1247" t="s">
        <v>23</v>
      </c>
      <c r="B1247">
        <v>1185732</v>
      </c>
      <c r="C1247" s="1">
        <v>44546</v>
      </c>
      <c r="D1247" t="s">
        <v>19</v>
      </c>
      <c r="E1247" t="s">
        <v>37</v>
      </c>
      <c r="F1247" t="s">
        <v>38</v>
      </c>
      <c r="G1247" t="s">
        <v>39</v>
      </c>
      <c r="H1247" s="2">
        <v>44</v>
      </c>
      <c r="I1247">
        <v>201</v>
      </c>
      <c r="J1247">
        <v>884</v>
      </c>
      <c r="K1247" s="4">
        <v>327</v>
      </c>
      <c r="L1247" t="s">
        <v>27</v>
      </c>
    </row>
    <row r="1248" spans="1:12" x14ac:dyDescent="0.35">
      <c r="A1248" t="s">
        <v>42</v>
      </c>
      <c r="B1248">
        <v>1185732</v>
      </c>
      <c r="C1248" s="1">
        <v>44379</v>
      </c>
      <c r="D1248" t="s">
        <v>33</v>
      </c>
      <c r="E1248" t="s">
        <v>118</v>
      </c>
      <c r="F1248" t="s">
        <v>119</v>
      </c>
      <c r="G1248" t="s">
        <v>32</v>
      </c>
      <c r="H1248" s="2">
        <v>40</v>
      </c>
      <c r="I1248">
        <v>200</v>
      </c>
      <c r="J1248" s="3">
        <v>8000</v>
      </c>
      <c r="K1248" s="4">
        <v>2800</v>
      </c>
      <c r="L1248" t="s">
        <v>27</v>
      </c>
    </row>
    <row r="1249" spans="1:12" x14ac:dyDescent="0.35">
      <c r="A1249" t="s">
        <v>42</v>
      </c>
      <c r="B1249">
        <v>1185732</v>
      </c>
      <c r="C1249" s="1">
        <v>44386</v>
      </c>
      <c r="D1249" t="s">
        <v>33</v>
      </c>
      <c r="E1249" t="s">
        <v>118</v>
      </c>
      <c r="F1249" t="s">
        <v>119</v>
      </c>
      <c r="G1249" t="s">
        <v>56</v>
      </c>
      <c r="H1249" s="2">
        <v>40</v>
      </c>
      <c r="I1249">
        <v>200</v>
      </c>
      <c r="J1249" s="3">
        <v>8000</v>
      </c>
      <c r="K1249" s="4">
        <v>3200</v>
      </c>
      <c r="L1249" t="s">
        <v>27</v>
      </c>
    </row>
    <row r="1250" spans="1:12" x14ac:dyDescent="0.35">
      <c r="A1250" t="s">
        <v>42</v>
      </c>
      <c r="B1250">
        <v>1185732</v>
      </c>
      <c r="C1250" s="1">
        <v>44397</v>
      </c>
      <c r="D1250" t="s">
        <v>33</v>
      </c>
      <c r="E1250" t="s">
        <v>118</v>
      </c>
      <c r="F1250" t="s">
        <v>119</v>
      </c>
      <c r="G1250" t="s">
        <v>32</v>
      </c>
      <c r="H1250" s="2">
        <v>40</v>
      </c>
      <c r="I1250">
        <v>200</v>
      </c>
      <c r="J1250" s="3">
        <v>8000</v>
      </c>
      <c r="K1250" s="4">
        <v>2800</v>
      </c>
      <c r="L1250" t="s">
        <v>27</v>
      </c>
    </row>
    <row r="1251" spans="1:12" x14ac:dyDescent="0.35">
      <c r="A1251" t="s">
        <v>42</v>
      </c>
      <c r="B1251">
        <v>1185732</v>
      </c>
      <c r="C1251" s="1">
        <v>44541</v>
      </c>
      <c r="D1251" t="s">
        <v>43</v>
      </c>
      <c r="E1251" t="s">
        <v>135</v>
      </c>
      <c r="F1251" t="s">
        <v>136</v>
      </c>
      <c r="G1251" t="s">
        <v>32</v>
      </c>
      <c r="H1251" s="2">
        <v>45</v>
      </c>
      <c r="I1251">
        <v>200</v>
      </c>
      <c r="J1251" s="3">
        <v>9000</v>
      </c>
      <c r="K1251" s="4">
        <v>3150</v>
      </c>
      <c r="L1251" t="s">
        <v>27</v>
      </c>
    </row>
    <row r="1252" spans="1:12" x14ac:dyDescent="0.35">
      <c r="A1252" t="s">
        <v>18</v>
      </c>
      <c r="B1252">
        <v>1128299</v>
      </c>
      <c r="C1252" s="1">
        <v>43915</v>
      </c>
      <c r="D1252" t="s">
        <v>48</v>
      </c>
      <c r="E1252" t="s">
        <v>133</v>
      </c>
      <c r="F1252" t="s">
        <v>134</v>
      </c>
      <c r="G1252" t="s">
        <v>70</v>
      </c>
      <c r="H1252" s="2">
        <v>45</v>
      </c>
      <c r="I1252">
        <v>200</v>
      </c>
      <c r="J1252" s="3">
        <v>9000</v>
      </c>
      <c r="K1252" s="4">
        <v>4500</v>
      </c>
      <c r="L1252" t="s">
        <v>36</v>
      </c>
    </row>
    <row r="1253" spans="1:12" x14ac:dyDescent="0.35">
      <c r="A1253" t="s">
        <v>42</v>
      </c>
      <c r="B1253">
        <v>1185732</v>
      </c>
      <c r="C1253" s="1">
        <v>44129</v>
      </c>
      <c r="D1253" t="s">
        <v>33</v>
      </c>
      <c r="E1253" t="s">
        <v>104</v>
      </c>
      <c r="F1253" t="s">
        <v>105</v>
      </c>
      <c r="G1253" t="s">
        <v>32</v>
      </c>
      <c r="H1253" s="2">
        <v>25</v>
      </c>
      <c r="I1253">
        <v>200</v>
      </c>
      <c r="J1253" s="3">
        <v>5000</v>
      </c>
      <c r="K1253" s="4">
        <v>1500</v>
      </c>
      <c r="L1253" t="s">
        <v>36</v>
      </c>
    </row>
    <row r="1254" spans="1:12" x14ac:dyDescent="0.35">
      <c r="A1254" t="s">
        <v>42</v>
      </c>
      <c r="B1254">
        <v>1185732</v>
      </c>
      <c r="C1254" s="1">
        <v>44174</v>
      </c>
      <c r="D1254" t="s">
        <v>33</v>
      </c>
      <c r="E1254" t="s">
        <v>104</v>
      </c>
      <c r="F1254" t="s">
        <v>105</v>
      </c>
      <c r="G1254" t="s">
        <v>16</v>
      </c>
      <c r="H1254" s="2">
        <v>40</v>
      </c>
      <c r="I1254">
        <v>200</v>
      </c>
      <c r="J1254" s="3">
        <v>8000</v>
      </c>
      <c r="K1254" s="4">
        <v>3600</v>
      </c>
      <c r="L1254" t="s">
        <v>27</v>
      </c>
    </row>
    <row r="1255" spans="1:12" x14ac:dyDescent="0.35">
      <c r="A1255" t="s">
        <v>42</v>
      </c>
      <c r="B1255">
        <v>1185732</v>
      </c>
      <c r="C1255" s="1">
        <v>44176</v>
      </c>
      <c r="D1255" t="s">
        <v>33</v>
      </c>
      <c r="E1255" t="s">
        <v>104</v>
      </c>
      <c r="F1255" t="s">
        <v>105</v>
      </c>
      <c r="G1255" t="s">
        <v>39</v>
      </c>
      <c r="H1255" s="2">
        <v>35</v>
      </c>
      <c r="I1255">
        <v>200</v>
      </c>
      <c r="J1255" s="3">
        <v>7000</v>
      </c>
      <c r="K1255" s="4">
        <v>2100</v>
      </c>
      <c r="L1255" t="s">
        <v>27</v>
      </c>
    </row>
    <row r="1256" spans="1:12" x14ac:dyDescent="0.35">
      <c r="A1256" t="s">
        <v>42</v>
      </c>
      <c r="B1256">
        <v>1185732</v>
      </c>
      <c r="C1256" s="1">
        <v>44182</v>
      </c>
      <c r="D1256" t="s">
        <v>33</v>
      </c>
      <c r="E1256" t="s">
        <v>104</v>
      </c>
      <c r="F1256" t="s">
        <v>105</v>
      </c>
      <c r="G1256" t="s">
        <v>39</v>
      </c>
      <c r="H1256" s="2">
        <v>40</v>
      </c>
      <c r="I1256">
        <v>200</v>
      </c>
      <c r="J1256" s="3">
        <v>8000</v>
      </c>
      <c r="K1256" s="4">
        <v>2400</v>
      </c>
      <c r="L1256" t="s">
        <v>27</v>
      </c>
    </row>
    <row r="1257" spans="1:12" x14ac:dyDescent="0.35">
      <c r="A1257" t="s">
        <v>63</v>
      </c>
      <c r="B1257">
        <v>1189833</v>
      </c>
      <c r="C1257" s="1">
        <v>44215</v>
      </c>
      <c r="D1257" t="s">
        <v>33</v>
      </c>
      <c r="E1257" t="s">
        <v>131</v>
      </c>
      <c r="F1257" t="s">
        <v>132</v>
      </c>
      <c r="G1257" t="s">
        <v>70</v>
      </c>
      <c r="H1257" s="2">
        <v>45</v>
      </c>
      <c r="I1257">
        <v>200</v>
      </c>
      <c r="J1257" s="3">
        <v>9000</v>
      </c>
      <c r="K1257" s="4">
        <v>5400</v>
      </c>
      <c r="L1257" t="s">
        <v>27</v>
      </c>
    </row>
    <row r="1258" spans="1:12" x14ac:dyDescent="0.35">
      <c r="A1258" t="s">
        <v>42</v>
      </c>
      <c r="B1258">
        <v>1185732</v>
      </c>
      <c r="C1258" s="1">
        <v>44348</v>
      </c>
      <c r="D1258" t="s">
        <v>33</v>
      </c>
      <c r="E1258" t="s">
        <v>120</v>
      </c>
      <c r="F1258" t="s">
        <v>121</v>
      </c>
      <c r="G1258" t="s">
        <v>16</v>
      </c>
      <c r="H1258" s="2">
        <v>35</v>
      </c>
      <c r="I1258">
        <v>200</v>
      </c>
      <c r="J1258" s="3">
        <v>7000</v>
      </c>
      <c r="K1258" s="4">
        <v>3500</v>
      </c>
      <c r="L1258" t="s">
        <v>27</v>
      </c>
    </row>
    <row r="1259" spans="1:12" x14ac:dyDescent="0.35">
      <c r="A1259" t="s">
        <v>42</v>
      </c>
      <c r="B1259">
        <v>1185732</v>
      </c>
      <c r="C1259" s="1">
        <v>44381</v>
      </c>
      <c r="D1259" t="s">
        <v>33</v>
      </c>
      <c r="E1259" t="s">
        <v>120</v>
      </c>
      <c r="F1259" t="s">
        <v>121</v>
      </c>
      <c r="G1259" t="s">
        <v>32</v>
      </c>
      <c r="H1259" s="2">
        <v>40</v>
      </c>
      <c r="I1259">
        <v>200</v>
      </c>
      <c r="J1259" s="3">
        <v>8000</v>
      </c>
      <c r="K1259" s="4">
        <v>2800</v>
      </c>
      <c r="L1259" t="s">
        <v>27</v>
      </c>
    </row>
    <row r="1260" spans="1:12" x14ac:dyDescent="0.35">
      <c r="A1260" t="s">
        <v>42</v>
      </c>
      <c r="B1260">
        <v>1185732</v>
      </c>
      <c r="C1260" s="1">
        <v>44386</v>
      </c>
      <c r="D1260" t="s">
        <v>33</v>
      </c>
      <c r="E1260" t="s">
        <v>120</v>
      </c>
      <c r="F1260" t="s">
        <v>121</v>
      </c>
      <c r="G1260" t="s">
        <v>39</v>
      </c>
      <c r="H1260" s="2">
        <v>35</v>
      </c>
      <c r="I1260">
        <v>200</v>
      </c>
      <c r="J1260" s="3">
        <v>7000</v>
      </c>
      <c r="K1260" s="4">
        <v>2450</v>
      </c>
      <c r="L1260" t="s">
        <v>27</v>
      </c>
    </row>
    <row r="1261" spans="1:12" x14ac:dyDescent="0.35">
      <c r="A1261" t="s">
        <v>42</v>
      </c>
      <c r="B1261">
        <v>1185732</v>
      </c>
      <c r="C1261" s="1">
        <v>44405</v>
      </c>
      <c r="D1261" t="s">
        <v>33</v>
      </c>
      <c r="E1261" t="s">
        <v>120</v>
      </c>
      <c r="F1261" t="s">
        <v>121</v>
      </c>
      <c r="G1261" t="s">
        <v>32</v>
      </c>
      <c r="H1261" s="2">
        <v>40</v>
      </c>
      <c r="I1261">
        <v>200</v>
      </c>
      <c r="J1261" s="3">
        <v>8000</v>
      </c>
      <c r="K1261" s="4">
        <v>2800</v>
      </c>
      <c r="L1261" t="s">
        <v>27</v>
      </c>
    </row>
    <row r="1262" spans="1:12" x14ac:dyDescent="0.35">
      <c r="A1262" t="s">
        <v>51</v>
      </c>
      <c r="B1262">
        <v>1185732</v>
      </c>
      <c r="C1262" s="1">
        <v>44489</v>
      </c>
      <c r="D1262" t="s">
        <v>43</v>
      </c>
      <c r="E1262" t="s">
        <v>122</v>
      </c>
      <c r="F1262" t="s">
        <v>86</v>
      </c>
      <c r="G1262" t="s">
        <v>32</v>
      </c>
      <c r="H1262" s="2">
        <v>30</v>
      </c>
      <c r="I1262">
        <v>200</v>
      </c>
      <c r="J1262" s="3">
        <v>6000</v>
      </c>
      <c r="K1262" s="4">
        <v>2400</v>
      </c>
      <c r="L1262" t="s">
        <v>27</v>
      </c>
    </row>
    <row r="1263" spans="1:12" x14ac:dyDescent="0.35">
      <c r="A1263" t="s">
        <v>51</v>
      </c>
      <c r="B1263">
        <v>1185732</v>
      </c>
      <c r="C1263" s="1">
        <v>44495</v>
      </c>
      <c r="D1263" t="s">
        <v>43</v>
      </c>
      <c r="E1263" t="s">
        <v>122</v>
      </c>
      <c r="F1263" t="s">
        <v>86</v>
      </c>
      <c r="G1263" t="s">
        <v>32</v>
      </c>
      <c r="H1263" s="2">
        <v>30</v>
      </c>
      <c r="I1263">
        <v>200</v>
      </c>
      <c r="J1263" s="3">
        <v>6000</v>
      </c>
      <c r="K1263" s="4">
        <v>2400</v>
      </c>
      <c r="L1263" t="s">
        <v>27</v>
      </c>
    </row>
    <row r="1264" spans="1:12" x14ac:dyDescent="0.35">
      <c r="A1264" t="s">
        <v>51</v>
      </c>
      <c r="B1264">
        <v>1185732</v>
      </c>
      <c r="C1264" s="1">
        <v>44498</v>
      </c>
      <c r="D1264" t="s">
        <v>43</v>
      </c>
      <c r="E1264" t="s">
        <v>122</v>
      </c>
      <c r="F1264" t="s">
        <v>86</v>
      </c>
      <c r="G1264" t="s">
        <v>16</v>
      </c>
      <c r="H1264" s="2">
        <v>40</v>
      </c>
      <c r="I1264">
        <v>200</v>
      </c>
      <c r="J1264" s="3">
        <v>8000</v>
      </c>
      <c r="K1264" s="4">
        <v>3200</v>
      </c>
      <c r="L1264" t="s">
        <v>27</v>
      </c>
    </row>
    <row r="1265" spans="1:12" x14ac:dyDescent="0.35">
      <c r="A1265" t="s">
        <v>51</v>
      </c>
      <c r="B1265">
        <v>1185732</v>
      </c>
      <c r="C1265" s="1">
        <v>44513</v>
      </c>
      <c r="D1265" t="s">
        <v>43</v>
      </c>
      <c r="E1265" t="s">
        <v>122</v>
      </c>
      <c r="F1265" t="s">
        <v>86</v>
      </c>
      <c r="G1265" t="s">
        <v>32</v>
      </c>
      <c r="H1265" s="2">
        <v>45</v>
      </c>
      <c r="I1265">
        <v>200</v>
      </c>
      <c r="J1265" s="3">
        <v>9000</v>
      </c>
      <c r="K1265" s="4">
        <v>3600</v>
      </c>
      <c r="L1265" t="s">
        <v>27</v>
      </c>
    </row>
    <row r="1266" spans="1:12" x14ac:dyDescent="0.35">
      <c r="A1266" t="s">
        <v>42</v>
      </c>
      <c r="B1266">
        <v>1128299</v>
      </c>
      <c r="C1266" s="1">
        <v>44220</v>
      </c>
      <c r="D1266" t="s">
        <v>48</v>
      </c>
      <c r="E1266" t="s">
        <v>102</v>
      </c>
      <c r="F1266" t="s">
        <v>103</v>
      </c>
      <c r="G1266" t="s">
        <v>56</v>
      </c>
      <c r="H1266" s="2">
        <v>40</v>
      </c>
      <c r="I1266">
        <v>200</v>
      </c>
      <c r="J1266" s="3">
        <v>8000</v>
      </c>
      <c r="K1266" s="4">
        <v>2800</v>
      </c>
      <c r="L1266" t="s">
        <v>36</v>
      </c>
    </row>
    <row r="1267" spans="1:12" x14ac:dyDescent="0.35">
      <c r="A1267" t="s">
        <v>42</v>
      </c>
      <c r="B1267">
        <v>1128299</v>
      </c>
      <c r="C1267" s="1">
        <v>44251</v>
      </c>
      <c r="D1267" t="s">
        <v>13</v>
      </c>
      <c r="E1267" t="s">
        <v>99</v>
      </c>
      <c r="F1267" t="s">
        <v>100</v>
      </c>
      <c r="G1267" t="s">
        <v>56</v>
      </c>
      <c r="H1267" s="2">
        <v>40</v>
      </c>
      <c r="I1267">
        <v>200</v>
      </c>
      <c r="J1267" s="3">
        <v>8000</v>
      </c>
      <c r="K1267" s="4">
        <v>2800</v>
      </c>
      <c r="L1267" t="s">
        <v>36</v>
      </c>
    </row>
    <row r="1268" spans="1:12" x14ac:dyDescent="0.35">
      <c r="A1268" t="s">
        <v>42</v>
      </c>
      <c r="B1268">
        <v>1185732</v>
      </c>
      <c r="C1268" s="1">
        <v>44272</v>
      </c>
      <c r="D1268" t="s">
        <v>33</v>
      </c>
      <c r="E1268" t="s">
        <v>34</v>
      </c>
      <c r="F1268" t="s">
        <v>35</v>
      </c>
      <c r="G1268" t="s">
        <v>56</v>
      </c>
      <c r="H1268" s="2">
        <v>30</v>
      </c>
      <c r="I1268">
        <v>200</v>
      </c>
      <c r="J1268" s="3">
        <v>6000</v>
      </c>
      <c r="K1268" s="4">
        <v>2400</v>
      </c>
      <c r="L1268" t="s">
        <v>36</v>
      </c>
    </row>
    <row r="1269" spans="1:12" x14ac:dyDescent="0.35">
      <c r="A1269" t="s">
        <v>42</v>
      </c>
      <c r="B1269">
        <v>1185732</v>
      </c>
      <c r="C1269" s="1">
        <v>44304</v>
      </c>
      <c r="D1269" t="s">
        <v>33</v>
      </c>
      <c r="E1269" t="s">
        <v>34</v>
      </c>
      <c r="F1269" t="s">
        <v>35</v>
      </c>
      <c r="G1269" t="s">
        <v>56</v>
      </c>
      <c r="H1269" s="2">
        <v>25</v>
      </c>
      <c r="I1269">
        <v>200</v>
      </c>
      <c r="J1269" s="3">
        <v>5000</v>
      </c>
      <c r="K1269" s="4">
        <v>2000</v>
      </c>
      <c r="L1269" t="s">
        <v>36</v>
      </c>
    </row>
    <row r="1270" spans="1:12" x14ac:dyDescent="0.35">
      <c r="A1270" t="s">
        <v>18</v>
      </c>
      <c r="B1270">
        <v>1128299</v>
      </c>
      <c r="C1270" s="1">
        <v>44220</v>
      </c>
      <c r="D1270" t="s">
        <v>48</v>
      </c>
      <c r="E1270" t="s">
        <v>49</v>
      </c>
      <c r="F1270" t="s">
        <v>50</v>
      </c>
      <c r="G1270" t="s">
        <v>56</v>
      </c>
      <c r="H1270" s="2">
        <v>40</v>
      </c>
      <c r="I1270">
        <v>200</v>
      </c>
      <c r="J1270" s="3">
        <v>8000</v>
      </c>
      <c r="K1270" s="4">
        <v>2800</v>
      </c>
      <c r="L1270" t="s">
        <v>36</v>
      </c>
    </row>
    <row r="1271" spans="1:12" x14ac:dyDescent="0.35">
      <c r="A1271" t="s">
        <v>18</v>
      </c>
      <c r="B1271">
        <v>1128299</v>
      </c>
      <c r="C1271" s="1">
        <v>44251</v>
      </c>
      <c r="D1271" t="s">
        <v>48</v>
      </c>
      <c r="E1271" t="s">
        <v>85</v>
      </c>
      <c r="F1271" t="s">
        <v>86</v>
      </c>
      <c r="G1271" t="s">
        <v>56</v>
      </c>
      <c r="H1271" s="2">
        <v>40</v>
      </c>
      <c r="I1271">
        <v>200</v>
      </c>
      <c r="J1271" s="3">
        <v>8000</v>
      </c>
      <c r="K1271" s="4">
        <v>2800</v>
      </c>
      <c r="L1271" t="s">
        <v>36</v>
      </c>
    </row>
    <row r="1272" spans="1:12" x14ac:dyDescent="0.35">
      <c r="A1272" t="s">
        <v>51</v>
      </c>
      <c r="B1272">
        <v>1185732</v>
      </c>
      <c r="C1272" s="1">
        <v>44249</v>
      </c>
      <c r="D1272" t="s">
        <v>33</v>
      </c>
      <c r="E1272" t="s">
        <v>52</v>
      </c>
      <c r="F1272" t="s">
        <v>53</v>
      </c>
      <c r="G1272" t="s">
        <v>39</v>
      </c>
      <c r="H1272" s="2">
        <v>40</v>
      </c>
      <c r="I1272">
        <v>200</v>
      </c>
      <c r="J1272" s="3">
        <v>8000</v>
      </c>
      <c r="K1272" s="4">
        <v>2800</v>
      </c>
      <c r="L1272" t="s">
        <v>17</v>
      </c>
    </row>
    <row r="1273" spans="1:12" x14ac:dyDescent="0.35">
      <c r="A1273" t="s">
        <v>51</v>
      </c>
      <c r="B1273">
        <v>1185732</v>
      </c>
      <c r="C1273" s="1">
        <v>44339</v>
      </c>
      <c r="D1273" t="s">
        <v>13</v>
      </c>
      <c r="E1273" t="s">
        <v>106</v>
      </c>
      <c r="F1273" t="s">
        <v>107</v>
      </c>
      <c r="G1273" t="s">
        <v>32</v>
      </c>
      <c r="H1273" s="2">
        <v>40</v>
      </c>
      <c r="I1273">
        <v>200</v>
      </c>
      <c r="J1273" s="3">
        <v>8000</v>
      </c>
      <c r="K1273" s="4">
        <v>3200</v>
      </c>
      <c r="L1273" t="s">
        <v>17</v>
      </c>
    </row>
    <row r="1274" spans="1:12" x14ac:dyDescent="0.35">
      <c r="A1274" t="s">
        <v>51</v>
      </c>
      <c r="B1274">
        <v>1185732</v>
      </c>
      <c r="C1274" s="1">
        <v>44369</v>
      </c>
      <c r="D1274" t="s">
        <v>13</v>
      </c>
      <c r="E1274" t="s">
        <v>106</v>
      </c>
      <c r="F1274" t="s">
        <v>107</v>
      </c>
      <c r="G1274" t="s">
        <v>56</v>
      </c>
      <c r="H1274" s="2">
        <v>30</v>
      </c>
      <c r="I1274">
        <v>200</v>
      </c>
      <c r="J1274" s="3">
        <v>6000</v>
      </c>
      <c r="K1274" s="4">
        <v>2400</v>
      </c>
      <c r="L1274" t="s">
        <v>17</v>
      </c>
    </row>
    <row r="1275" spans="1:12" x14ac:dyDescent="0.35">
      <c r="A1275" t="s">
        <v>51</v>
      </c>
      <c r="B1275">
        <v>1185732</v>
      </c>
      <c r="C1275" s="1">
        <v>44462</v>
      </c>
      <c r="D1275" t="s">
        <v>13</v>
      </c>
      <c r="E1275" t="s">
        <v>106</v>
      </c>
      <c r="F1275" t="s">
        <v>107</v>
      </c>
      <c r="G1275" t="s">
        <v>56</v>
      </c>
      <c r="H1275" s="2">
        <v>35</v>
      </c>
      <c r="I1275">
        <v>200</v>
      </c>
      <c r="J1275" s="3">
        <v>7000</v>
      </c>
      <c r="K1275" s="4">
        <v>2800</v>
      </c>
      <c r="L1275" t="s">
        <v>17</v>
      </c>
    </row>
    <row r="1276" spans="1:12" x14ac:dyDescent="0.35">
      <c r="A1276" t="s">
        <v>51</v>
      </c>
      <c r="B1276">
        <v>1185732</v>
      </c>
      <c r="C1276" s="1">
        <v>44462</v>
      </c>
      <c r="D1276" t="s">
        <v>13</v>
      </c>
      <c r="E1276" t="s">
        <v>106</v>
      </c>
      <c r="F1276" t="s">
        <v>107</v>
      </c>
      <c r="G1276" t="s">
        <v>70</v>
      </c>
      <c r="H1276" s="2">
        <v>45</v>
      </c>
      <c r="I1276">
        <v>200</v>
      </c>
      <c r="J1276" s="3">
        <v>9000</v>
      </c>
      <c r="K1276" s="4">
        <v>3150</v>
      </c>
      <c r="L1276" t="s">
        <v>17</v>
      </c>
    </row>
    <row r="1277" spans="1:12" x14ac:dyDescent="0.35">
      <c r="A1277" t="s">
        <v>12</v>
      </c>
      <c r="B1277">
        <v>1197831</v>
      </c>
      <c r="C1277" s="1">
        <v>44274</v>
      </c>
      <c r="D1277" t="s">
        <v>19</v>
      </c>
      <c r="E1277" t="s">
        <v>54</v>
      </c>
      <c r="F1277" t="s">
        <v>55</v>
      </c>
      <c r="G1277" t="s">
        <v>56</v>
      </c>
      <c r="H1277" s="2">
        <v>20</v>
      </c>
      <c r="I1277">
        <v>200</v>
      </c>
      <c r="J1277" s="3">
        <v>4000</v>
      </c>
      <c r="K1277" s="4">
        <v>1600</v>
      </c>
      <c r="L1277" t="s">
        <v>17</v>
      </c>
    </row>
    <row r="1278" spans="1:12" x14ac:dyDescent="0.35">
      <c r="A1278" t="s">
        <v>18</v>
      </c>
      <c r="B1278">
        <v>1197831</v>
      </c>
      <c r="C1278" s="1">
        <v>44490</v>
      </c>
      <c r="D1278" t="s">
        <v>19</v>
      </c>
      <c r="E1278" t="s">
        <v>61</v>
      </c>
      <c r="F1278" t="s">
        <v>62</v>
      </c>
      <c r="G1278" t="s">
        <v>56</v>
      </c>
      <c r="H1278" s="2">
        <v>20</v>
      </c>
      <c r="I1278">
        <v>200</v>
      </c>
      <c r="J1278" s="3">
        <v>4000</v>
      </c>
      <c r="K1278" s="4">
        <v>1600</v>
      </c>
      <c r="L1278" t="s">
        <v>17</v>
      </c>
    </row>
    <row r="1279" spans="1:12" x14ac:dyDescent="0.35">
      <c r="A1279" t="s">
        <v>18</v>
      </c>
      <c r="B1279">
        <v>1197831</v>
      </c>
      <c r="C1279" s="1">
        <v>44490</v>
      </c>
      <c r="D1279" t="s">
        <v>19</v>
      </c>
      <c r="E1279" t="s">
        <v>61</v>
      </c>
      <c r="F1279" t="s">
        <v>62</v>
      </c>
      <c r="G1279" t="s">
        <v>70</v>
      </c>
      <c r="H1279" s="2">
        <v>30</v>
      </c>
      <c r="I1279">
        <v>200</v>
      </c>
      <c r="J1279" s="3">
        <v>6000</v>
      </c>
      <c r="K1279" s="4">
        <v>2100</v>
      </c>
      <c r="L1279" t="s">
        <v>17</v>
      </c>
    </row>
    <row r="1280" spans="1:12" x14ac:dyDescent="0.35">
      <c r="A1280" t="s">
        <v>63</v>
      </c>
      <c r="B1280">
        <v>1197831</v>
      </c>
      <c r="C1280" s="1">
        <v>44212</v>
      </c>
      <c r="D1280" t="s">
        <v>19</v>
      </c>
      <c r="E1280" t="s">
        <v>61</v>
      </c>
      <c r="F1280" t="s">
        <v>62</v>
      </c>
      <c r="G1280" t="s">
        <v>56</v>
      </c>
      <c r="H1280" s="2">
        <v>20</v>
      </c>
      <c r="I1280">
        <v>200</v>
      </c>
      <c r="J1280" s="3">
        <v>4000</v>
      </c>
      <c r="K1280" s="4">
        <v>1400</v>
      </c>
      <c r="L1280" t="s">
        <v>17</v>
      </c>
    </row>
    <row r="1281" spans="1:12" x14ac:dyDescent="0.35">
      <c r="A1281" t="s">
        <v>63</v>
      </c>
      <c r="B1281">
        <v>1197831</v>
      </c>
      <c r="C1281" s="1">
        <v>44299</v>
      </c>
      <c r="D1281" t="s">
        <v>33</v>
      </c>
      <c r="E1281" t="s">
        <v>71</v>
      </c>
      <c r="F1281" t="s">
        <v>72</v>
      </c>
      <c r="G1281" t="s">
        <v>39</v>
      </c>
      <c r="H1281" s="2">
        <v>25</v>
      </c>
      <c r="I1281">
        <v>200</v>
      </c>
      <c r="J1281" s="3">
        <v>5000</v>
      </c>
      <c r="K1281" s="4">
        <v>1750</v>
      </c>
      <c r="L1281" t="s">
        <v>17</v>
      </c>
    </row>
    <row r="1282" spans="1:12" x14ac:dyDescent="0.35">
      <c r="A1282" t="s">
        <v>63</v>
      </c>
      <c r="B1282">
        <v>1197831</v>
      </c>
      <c r="C1282" s="1">
        <v>44299</v>
      </c>
      <c r="D1282" t="s">
        <v>33</v>
      </c>
      <c r="E1282" t="s">
        <v>71</v>
      </c>
      <c r="F1282" t="s">
        <v>72</v>
      </c>
      <c r="G1282" t="s">
        <v>32</v>
      </c>
      <c r="H1282" s="2">
        <v>15</v>
      </c>
      <c r="I1282">
        <v>200</v>
      </c>
      <c r="J1282" s="3">
        <v>3000</v>
      </c>
      <c r="K1282" s="4">
        <v>1050</v>
      </c>
      <c r="L1282" t="s">
        <v>17</v>
      </c>
    </row>
    <row r="1283" spans="1:12" x14ac:dyDescent="0.35">
      <c r="A1283" t="s">
        <v>63</v>
      </c>
      <c r="B1283">
        <v>1197831</v>
      </c>
      <c r="C1283" s="1">
        <v>44328</v>
      </c>
      <c r="D1283" t="s">
        <v>33</v>
      </c>
      <c r="E1283" t="s">
        <v>71</v>
      </c>
      <c r="F1283" t="s">
        <v>72</v>
      </c>
      <c r="G1283" t="s">
        <v>56</v>
      </c>
      <c r="H1283" s="2">
        <v>35</v>
      </c>
      <c r="I1283">
        <v>200</v>
      </c>
      <c r="J1283" s="3">
        <v>7000</v>
      </c>
      <c r="K1283" s="4">
        <v>2450</v>
      </c>
      <c r="L1283" t="s">
        <v>17</v>
      </c>
    </row>
    <row r="1284" spans="1:12" x14ac:dyDescent="0.35">
      <c r="A1284" t="s">
        <v>63</v>
      </c>
      <c r="B1284">
        <v>1197831</v>
      </c>
      <c r="C1284" s="1">
        <v>44483</v>
      </c>
      <c r="D1284" t="s">
        <v>33</v>
      </c>
      <c r="E1284" t="s">
        <v>71</v>
      </c>
      <c r="F1284" t="s">
        <v>72</v>
      </c>
      <c r="G1284" t="s">
        <v>32</v>
      </c>
      <c r="H1284" s="2">
        <v>20</v>
      </c>
      <c r="I1284">
        <v>200</v>
      </c>
      <c r="J1284" s="3">
        <v>4000</v>
      </c>
      <c r="K1284" s="4">
        <v>1400</v>
      </c>
      <c r="L1284" t="s">
        <v>17</v>
      </c>
    </row>
    <row r="1285" spans="1:12" x14ac:dyDescent="0.35">
      <c r="A1285" t="s">
        <v>42</v>
      </c>
      <c r="B1285">
        <v>1185732</v>
      </c>
      <c r="C1285" s="1">
        <v>44266</v>
      </c>
      <c r="D1285" t="s">
        <v>33</v>
      </c>
      <c r="E1285" t="s">
        <v>87</v>
      </c>
      <c r="F1285" t="s">
        <v>88</v>
      </c>
      <c r="G1285" t="s">
        <v>39</v>
      </c>
      <c r="H1285" s="2">
        <v>40</v>
      </c>
      <c r="I1285">
        <v>200</v>
      </c>
      <c r="J1285" s="3">
        <v>8000</v>
      </c>
      <c r="K1285" s="4">
        <v>2400</v>
      </c>
      <c r="L1285" t="s">
        <v>17</v>
      </c>
    </row>
    <row r="1286" spans="1:12" x14ac:dyDescent="0.35">
      <c r="A1286" t="s">
        <v>42</v>
      </c>
      <c r="B1286">
        <v>1185732</v>
      </c>
      <c r="C1286" s="1">
        <v>44359</v>
      </c>
      <c r="D1286" t="s">
        <v>33</v>
      </c>
      <c r="E1286" t="s">
        <v>87</v>
      </c>
      <c r="F1286" t="s">
        <v>88</v>
      </c>
      <c r="G1286" t="s">
        <v>32</v>
      </c>
      <c r="H1286" s="2">
        <v>35</v>
      </c>
      <c r="I1286">
        <v>200</v>
      </c>
      <c r="J1286" s="3">
        <v>7000</v>
      </c>
      <c r="K1286" s="4">
        <v>2100</v>
      </c>
      <c r="L1286" t="s">
        <v>17</v>
      </c>
    </row>
    <row r="1287" spans="1:12" x14ac:dyDescent="0.35">
      <c r="A1287" t="s">
        <v>42</v>
      </c>
      <c r="B1287">
        <v>1185732</v>
      </c>
      <c r="C1287" s="1">
        <v>44420</v>
      </c>
      <c r="D1287" t="s">
        <v>33</v>
      </c>
      <c r="E1287" t="s">
        <v>87</v>
      </c>
      <c r="F1287" t="s">
        <v>88</v>
      </c>
      <c r="G1287" t="s">
        <v>56</v>
      </c>
      <c r="H1287" s="2">
        <v>40</v>
      </c>
      <c r="I1287">
        <v>200</v>
      </c>
      <c r="J1287" s="3">
        <v>8000</v>
      </c>
      <c r="K1287" s="4">
        <v>2400</v>
      </c>
      <c r="L1287" t="s">
        <v>17</v>
      </c>
    </row>
    <row r="1288" spans="1:12" x14ac:dyDescent="0.35">
      <c r="A1288" t="s">
        <v>23</v>
      </c>
      <c r="B1288">
        <v>1185732</v>
      </c>
      <c r="C1288" s="1">
        <v>44263</v>
      </c>
      <c r="D1288" t="s">
        <v>33</v>
      </c>
      <c r="E1288" t="s">
        <v>89</v>
      </c>
      <c r="F1288" t="s">
        <v>90</v>
      </c>
      <c r="G1288" t="s">
        <v>39</v>
      </c>
      <c r="H1288" s="2">
        <v>30</v>
      </c>
      <c r="I1288">
        <v>200</v>
      </c>
      <c r="J1288" s="3">
        <v>6000</v>
      </c>
      <c r="K1288" s="4">
        <v>1800</v>
      </c>
      <c r="L1288" t="s">
        <v>17</v>
      </c>
    </row>
    <row r="1289" spans="1:12" x14ac:dyDescent="0.35">
      <c r="A1289" t="s">
        <v>23</v>
      </c>
      <c r="B1289">
        <v>1185732</v>
      </c>
      <c r="C1289" s="1">
        <v>44326</v>
      </c>
      <c r="D1289" t="s">
        <v>33</v>
      </c>
      <c r="E1289" t="s">
        <v>89</v>
      </c>
      <c r="F1289" t="s">
        <v>90</v>
      </c>
      <c r="G1289" t="s">
        <v>39</v>
      </c>
      <c r="H1289" s="2">
        <v>45</v>
      </c>
      <c r="I1289">
        <v>200</v>
      </c>
      <c r="J1289" s="3">
        <v>9000</v>
      </c>
      <c r="K1289" s="4">
        <v>2700</v>
      </c>
      <c r="L1289" t="s">
        <v>36</v>
      </c>
    </row>
    <row r="1290" spans="1:12" x14ac:dyDescent="0.35">
      <c r="A1290" t="s">
        <v>23</v>
      </c>
      <c r="B1290">
        <v>1185732</v>
      </c>
      <c r="C1290" s="1">
        <v>44356</v>
      </c>
      <c r="D1290" t="s">
        <v>33</v>
      </c>
      <c r="E1290" t="s">
        <v>89</v>
      </c>
      <c r="F1290" t="s">
        <v>90</v>
      </c>
      <c r="G1290" t="s">
        <v>32</v>
      </c>
      <c r="H1290" s="2">
        <v>30</v>
      </c>
      <c r="I1290">
        <v>200</v>
      </c>
      <c r="J1290" s="3">
        <v>6000</v>
      </c>
      <c r="K1290" s="4">
        <v>1800</v>
      </c>
      <c r="L1290" t="s">
        <v>36</v>
      </c>
    </row>
    <row r="1291" spans="1:12" x14ac:dyDescent="0.35">
      <c r="A1291" t="s">
        <v>23</v>
      </c>
      <c r="B1291">
        <v>1185732</v>
      </c>
      <c r="C1291" s="1">
        <v>44417</v>
      </c>
      <c r="D1291" t="s">
        <v>33</v>
      </c>
      <c r="E1291" t="s">
        <v>89</v>
      </c>
      <c r="F1291" t="s">
        <v>90</v>
      </c>
      <c r="G1291" t="s">
        <v>56</v>
      </c>
      <c r="H1291" s="2">
        <v>40</v>
      </c>
      <c r="I1291">
        <v>200</v>
      </c>
      <c r="J1291" s="3">
        <v>8000</v>
      </c>
      <c r="K1291" s="4">
        <v>2400</v>
      </c>
      <c r="L1291" t="s">
        <v>36</v>
      </c>
    </row>
    <row r="1292" spans="1:12" x14ac:dyDescent="0.35">
      <c r="A1292" t="s">
        <v>42</v>
      </c>
      <c r="B1292">
        <v>1185732</v>
      </c>
      <c r="C1292" s="1">
        <v>44233</v>
      </c>
      <c r="D1292" t="s">
        <v>33</v>
      </c>
      <c r="E1292" t="s">
        <v>89</v>
      </c>
      <c r="F1292" t="s">
        <v>90</v>
      </c>
      <c r="G1292" t="s">
        <v>32</v>
      </c>
      <c r="H1292" s="2">
        <v>20</v>
      </c>
      <c r="I1292">
        <v>200</v>
      </c>
      <c r="J1292" s="3">
        <v>4000</v>
      </c>
      <c r="K1292" s="4">
        <v>1200</v>
      </c>
      <c r="L1292" t="s">
        <v>36</v>
      </c>
    </row>
    <row r="1293" spans="1:12" x14ac:dyDescent="0.35">
      <c r="A1293" t="s">
        <v>42</v>
      </c>
      <c r="B1293">
        <v>1185732</v>
      </c>
      <c r="C1293" s="1">
        <v>44323</v>
      </c>
      <c r="D1293" t="s">
        <v>33</v>
      </c>
      <c r="E1293" t="s">
        <v>91</v>
      </c>
      <c r="F1293" t="s">
        <v>92</v>
      </c>
      <c r="G1293" t="s">
        <v>32</v>
      </c>
      <c r="H1293" s="2">
        <v>35</v>
      </c>
      <c r="I1293">
        <v>200</v>
      </c>
      <c r="J1293" s="3">
        <v>7000</v>
      </c>
      <c r="K1293" s="4">
        <v>2100</v>
      </c>
      <c r="L1293" t="s">
        <v>36</v>
      </c>
    </row>
    <row r="1294" spans="1:12" x14ac:dyDescent="0.35">
      <c r="A1294" t="s">
        <v>42</v>
      </c>
      <c r="B1294">
        <v>1185732</v>
      </c>
      <c r="C1294" s="1">
        <v>44353</v>
      </c>
      <c r="D1294" t="s">
        <v>33</v>
      </c>
      <c r="E1294" t="s">
        <v>91</v>
      </c>
      <c r="F1294" t="s">
        <v>92</v>
      </c>
      <c r="G1294" t="s">
        <v>32</v>
      </c>
      <c r="H1294" s="2">
        <v>25</v>
      </c>
      <c r="I1294">
        <v>200</v>
      </c>
      <c r="J1294" s="3">
        <v>5000</v>
      </c>
      <c r="K1294" s="4">
        <v>1500</v>
      </c>
      <c r="L1294" t="s">
        <v>36</v>
      </c>
    </row>
    <row r="1295" spans="1:12" x14ac:dyDescent="0.35">
      <c r="A1295" t="s">
        <v>42</v>
      </c>
      <c r="B1295">
        <v>1185732</v>
      </c>
      <c r="C1295" s="1">
        <v>44414</v>
      </c>
      <c r="D1295" t="s">
        <v>33</v>
      </c>
      <c r="E1295" t="s">
        <v>91</v>
      </c>
      <c r="F1295" t="s">
        <v>92</v>
      </c>
      <c r="G1295" t="s">
        <v>56</v>
      </c>
      <c r="H1295" s="2">
        <v>40</v>
      </c>
      <c r="I1295">
        <v>200</v>
      </c>
      <c r="J1295" s="3">
        <v>8000</v>
      </c>
      <c r="K1295" s="4">
        <v>2400</v>
      </c>
      <c r="L1295" t="s">
        <v>36</v>
      </c>
    </row>
    <row r="1296" spans="1:12" x14ac:dyDescent="0.35">
      <c r="A1296" t="s">
        <v>18</v>
      </c>
      <c r="B1296">
        <v>1185732</v>
      </c>
      <c r="C1296" s="1">
        <v>44506</v>
      </c>
      <c r="D1296" t="s">
        <v>33</v>
      </c>
      <c r="E1296" t="s">
        <v>91</v>
      </c>
      <c r="F1296" t="s">
        <v>92</v>
      </c>
      <c r="G1296" t="s">
        <v>56</v>
      </c>
      <c r="H1296" s="2">
        <v>35</v>
      </c>
      <c r="I1296">
        <v>200</v>
      </c>
      <c r="J1296" s="3">
        <v>7000</v>
      </c>
      <c r="K1296" s="4">
        <v>2100</v>
      </c>
      <c r="L1296" t="s">
        <v>36</v>
      </c>
    </row>
    <row r="1297" spans="1:12" x14ac:dyDescent="0.35">
      <c r="A1297" t="s">
        <v>18</v>
      </c>
      <c r="B1297">
        <v>1185732</v>
      </c>
      <c r="C1297" s="1">
        <v>44230</v>
      </c>
      <c r="D1297" t="s">
        <v>33</v>
      </c>
      <c r="E1297" t="s">
        <v>91</v>
      </c>
      <c r="F1297" t="s">
        <v>92</v>
      </c>
      <c r="G1297" t="s">
        <v>32</v>
      </c>
      <c r="H1297" s="2">
        <v>20</v>
      </c>
      <c r="I1297">
        <v>200</v>
      </c>
      <c r="J1297" s="3">
        <v>4000</v>
      </c>
      <c r="K1297" s="4">
        <v>1200</v>
      </c>
      <c r="L1297" t="s">
        <v>36</v>
      </c>
    </row>
    <row r="1298" spans="1:12" x14ac:dyDescent="0.35">
      <c r="A1298" t="s">
        <v>18</v>
      </c>
      <c r="B1298">
        <v>1185732</v>
      </c>
      <c r="C1298" s="1">
        <v>44320</v>
      </c>
      <c r="D1298" t="s">
        <v>33</v>
      </c>
      <c r="E1298" t="s">
        <v>40</v>
      </c>
      <c r="F1298" t="s">
        <v>41</v>
      </c>
      <c r="G1298" t="s">
        <v>39</v>
      </c>
      <c r="H1298" s="2">
        <v>40</v>
      </c>
      <c r="I1298">
        <v>200</v>
      </c>
      <c r="J1298" s="3">
        <v>8000</v>
      </c>
      <c r="K1298" s="4">
        <v>2800</v>
      </c>
      <c r="L1298" t="s">
        <v>36</v>
      </c>
    </row>
    <row r="1299" spans="1:12" x14ac:dyDescent="0.35">
      <c r="A1299" t="s">
        <v>18</v>
      </c>
      <c r="B1299">
        <v>1185732</v>
      </c>
      <c r="C1299" s="1">
        <v>44350</v>
      </c>
      <c r="D1299" t="s">
        <v>33</v>
      </c>
      <c r="E1299" t="s">
        <v>40</v>
      </c>
      <c r="F1299" t="s">
        <v>41</v>
      </c>
      <c r="G1299" t="s">
        <v>32</v>
      </c>
      <c r="H1299" s="2">
        <v>25</v>
      </c>
      <c r="I1299">
        <v>200</v>
      </c>
      <c r="J1299" s="3">
        <v>5000</v>
      </c>
      <c r="K1299" s="4">
        <v>1500</v>
      </c>
      <c r="L1299" t="s">
        <v>36</v>
      </c>
    </row>
    <row r="1300" spans="1:12" x14ac:dyDescent="0.35">
      <c r="A1300" t="s">
        <v>18</v>
      </c>
      <c r="B1300">
        <v>1185732</v>
      </c>
      <c r="C1300" s="1">
        <v>44411</v>
      </c>
      <c r="D1300" t="s">
        <v>33</v>
      </c>
      <c r="E1300" t="s">
        <v>40</v>
      </c>
      <c r="F1300" t="s">
        <v>41</v>
      </c>
      <c r="G1300" t="s">
        <v>56</v>
      </c>
      <c r="H1300" s="2">
        <v>40</v>
      </c>
      <c r="I1300">
        <v>200</v>
      </c>
      <c r="J1300" s="3">
        <v>8000</v>
      </c>
      <c r="K1300" s="4">
        <v>2400</v>
      </c>
      <c r="L1300" t="s">
        <v>36</v>
      </c>
    </row>
    <row r="1301" spans="1:12" x14ac:dyDescent="0.35">
      <c r="A1301" t="s">
        <v>18</v>
      </c>
      <c r="B1301">
        <v>1185732</v>
      </c>
      <c r="C1301" s="1">
        <v>44443</v>
      </c>
      <c r="D1301" t="s">
        <v>33</v>
      </c>
      <c r="E1301" t="s">
        <v>40</v>
      </c>
      <c r="F1301" t="s">
        <v>41</v>
      </c>
      <c r="G1301" t="s">
        <v>16</v>
      </c>
      <c r="H1301" s="2">
        <v>40</v>
      </c>
      <c r="I1301">
        <v>200</v>
      </c>
      <c r="J1301" s="3">
        <v>8000</v>
      </c>
      <c r="K1301" s="4">
        <v>3200</v>
      </c>
      <c r="L1301" t="s">
        <v>36</v>
      </c>
    </row>
    <row r="1302" spans="1:12" x14ac:dyDescent="0.35">
      <c r="A1302" t="s">
        <v>18</v>
      </c>
      <c r="B1302">
        <v>1185732</v>
      </c>
      <c r="C1302" s="1">
        <v>44206</v>
      </c>
      <c r="D1302" t="s">
        <v>33</v>
      </c>
      <c r="E1302" t="s">
        <v>40</v>
      </c>
      <c r="F1302" t="s">
        <v>41</v>
      </c>
      <c r="G1302" t="s">
        <v>70</v>
      </c>
      <c r="H1302" s="2">
        <v>45</v>
      </c>
      <c r="I1302">
        <v>200</v>
      </c>
      <c r="J1302" s="3">
        <v>9000</v>
      </c>
      <c r="K1302" s="4">
        <v>2700</v>
      </c>
      <c r="L1302" t="s">
        <v>36</v>
      </c>
    </row>
    <row r="1303" spans="1:12" x14ac:dyDescent="0.35">
      <c r="A1303" t="s">
        <v>18</v>
      </c>
      <c r="B1303">
        <v>1185732</v>
      </c>
      <c r="C1303" s="1">
        <v>44237</v>
      </c>
      <c r="D1303" t="s">
        <v>33</v>
      </c>
      <c r="E1303" t="s">
        <v>40</v>
      </c>
      <c r="F1303" t="s">
        <v>41</v>
      </c>
      <c r="G1303" t="s">
        <v>39</v>
      </c>
      <c r="H1303" s="2">
        <v>35</v>
      </c>
      <c r="I1303">
        <v>200</v>
      </c>
      <c r="J1303" s="3">
        <v>7000</v>
      </c>
      <c r="K1303" s="4">
        <v>2800</v>
      </c>
      <c r="L1303" t="s">
        <v>36</v>
      </c>
    </row>
    <row r="1304" spans="1:12" x14ac:dyDescent="0.35">
      <c r="A1304" t="s">
        <v>18</v>
      </c>
      <c r="B1304">
        <v>1185732</v>
      </c>
      <c r="C1304" s="1">
        <v>44237</v>
      </c>
      <c r="D1304" t="s">
        <v>33</v>
      </c>
      <c r="E1304" t="s">
        <v>81</v>
      </c>
      <c r="F1304" t="s">
        <v>82</v>
      </c>
      <c r="G1304" t="s">
        <v>70</v>
      </c>
      <c r="H1304" s="2">
        <v>45</v>
      </c>
      <c r="I1304">
        <v>200</v>
      </c>
      <c r="J1304" s="3">
        <v>9000</v>
      </c>
      <c r="K1304" s="4">
        <v>2700</v>
      </c>
      <c r="L1304" t="s">
        <v>36</v>
      </c>
    </row>
    <row r="1305" spans="1:12" x14ac:dyDescent="0.35">
      <c r="A1305" t="s">
        <v>18</v>
      </c>
      <c r="B1305">
        <v>1185732</v>
      </c>
      <c r="C1305" s="1">
        <v>44296</v>
      </c>
      <c r="D1305" t="s">
        <v>33</v>
      </c>
      <c r="E1305" t="s">
        <v>81</v>
      </c>
      <c r="F1305" t="s">
        <v>82</v>
      </c>
      <c r="G1305" t="s">
        <v>39</v>
      </c>
      <c r="H1305" s="2">
        <v>25</v>
      </c>
      <c r="I1305">
        <v>200</v>
      </c>
      <c r="J1305" s="3">
        <v>5000</v>
      </c>
      <c r="K1305" s="4">
        <v>2000</v>
      </c>
      <c r="L1305" t="s">
        <v>36</v>
      </c>
    </row>
    <row r="1306" spans="1:12" x14ac:dyDescent="0.35">
      <c r="A1306" t="s">
        <v>18</v>
      </c>
      <c r="B1306">
        <v>1185732</v>
      </c>
      <c r="C1306" s="1">
        <v>44296</v>
      </c>
      <c r="D1306" t="s">
        <v>33</v>
      </c>
      <c r="E1306" t="s">
        <v>81</v>
      </c>
      <c r="F1306" t="s">
        <v>82</v>
      </c>
      <c r="G1306" t="s">
        <v>32</v>
      </c>
      <c r="H1306" s="2">
        <v>15</v>
      </c>
      <c r="I1306">
        <v>200</v>
      </c>
      <c r="J1306" s="3">
        <v>3000</v>
      </c>
      <c r="K1306" s="4">
        <v>1050</v>
      </c>
      <c r="L1306" t="s">
        <v>36</v>
      </c>
    </row>
    <row r="1307" spans="1:12" x14ac:dyDescent="0.35">
      <c r="A1307" t="s">
        <v>18</v>
      </c>
      <c r="B1307">
        <v>1185732</v>
      </c>
      <c r="C1307" s="1">
        <v>44327</v>
      </c>
      <c r="D1307" t="s">
        <v>33</v>
      </c>
      <c r="E1307" t="s">
        <v>81</v>
      </c>
      <c r="F1307" t="s">
        <v>82</v>
      </c>
      <c r="G1307" t="s">
        <v>70</v>
      </c>
      <c r="H1307" s="2">
        <v>45</v>
      </c>
      <c r="I1307">
        <v>200</v>
      </c>
      <c r="J1307" s="3">
        <v>9000</v>
      </c>
      <c r="K1307" s="4">
        <v>2700</v>
      </c>
      <c r="L1307" t="s">
        <v>36</v>
      </c>
    </row>
    <row r="1308" spans="1:12" x14ac:dyDescent="0.35">
      <c r="A1308" t="s">
        <v>18</v>
      </c>
      <c r="B1308">
        <v>1185732</v>
      </c>
      <c r="C1308" s="1">
        <v>44357</v>
      </c>
      <c r="D1308" t="s">
        <v>33</v>
      </c>
      <c r="E1308" t="s">
        <v>81</v>
      </c>
      <c r="F1308" t="s">
        <v>82</v>
      </c>
      <c r="G1308" t="s">
        <v>32</v>
      </c>
      <c r="H1308" s="2">
        <v>30</v>
      </c>
      <c r="I1308">
        <v>200</v>
      </c>
      <c r="J1308" s="3">
        <v>6000</v>
      </c>
      <c r="K1308" s="4">
        <v>2100</v>
      </c>
      <c r="L1308" t="s">
        <v>36</v>
      </c>
    </row>
    <row r="1309" spans="1:12" x14ac:dyDescent="0.35">
      <c r="A1309" t="s">
        <v>18</v>
      </c>
      <c r="B1309">
        <v>1185732</v>
      </c>
      <c r="C1309" s="1">
        <v>44418</v>
      </c>
      <c r="D1309" t="s">
        <v>33</v>
      </c>
      <c r="E1309" t="s">
        <v>81</v>
      </c>
      <c r="F1309" t="s">
        <v>82</v>
      </c>
      <c r="G1309" t="s">
        <v>56</v>
      </c>
      <c r="H1309" s="2">
        <v>40</v>
      </c>
      <c r="I1309">
        <v>200</v>
      </c>
      <c r="J1309" s="3">
        <v>8000</v>
      </c>
      <c r="K1309" s="4">
        <v>2800</v>
      </c>
      <c r="L1309" t="s">
        <v>36</v>
      </c>
    </row>
    <row r="1310" spans="1:12" x14ac:dyDescent="0.35">
      <c r="A1310" t="s">
        <v>18</v>
      </c>
      <c r="B1310">
        <v>1185732</v>
      </c>
      <c r="C1310" s="1">
        <v>44213</v>
      </c>
      <c r="D1310" t="s">
        <v>33</v>
      </c>
      <c r="E1310" t="s">
        <v>81</v>
      </c>
      <c r="F1310" t="s">
        <v>82</v>
      </c>
      <c r="G1310" t="s">
        <v>70</v>
      </c>
      <c r="H1310" s="2">
        <v>45</v>
      </c>
      <c r="I1310">
        <v>200</v>
      </c>
      <c r="J1310" s="3">
        <v>9000</v>
      </c>
      <c r="K1310" s="4">
        <v>3600</v>
      </c>
      <c r="L1310" t="s">
        <v>36</v>
      </c>
    </row>
    <row r="1311" spans="1:12" x14ac:dyDescent="0.35">
      <c r="A1311" t="s">
        <v>18</v>
      </c>
      <c r="B1311">
        <v>1185732</v>
      </c>
      <c r="C1311" s="1">
        <v>44244</v>
      </c>
      <c r="D1311" t="s">
        <v>33</v>
      </c>
      <c r="E1311" t="s">
        <v>81</v>
      </c>
      <c r="F1311" t="s">
        <v>82</v>
      </c>
      <c r="G1311" t="s">
        <v>39</v>
      </c>
      <c r="H1311" s="2">
        <v>40</v>
      </c>
      <c r="I1311">
        <v>200</v>
      </c>
      <c r="J1311" s="3">
        <v>8000</v>
      </c>
      <c r="K1311" s="4">
        <v>3200</v>
      </c>
      <c r="L1311" t="s">
        <v>36</v>
      </c>
    </row>
    <row r="1312" spans="1:12" x14ac:dyDescent="0.35">
      <c r="A1312" t="s">
        <v>18</v>
      </c>
      <c r="B1312">
        <v>1185732</v>
      </c>
      <c r="C1312" s="1">
        <v>44334</v>
      </c>
      <c r="D1312" t="s">
        <v>43</v>
      </c>
      <c r="E1312" t="s">
        <v>64</v>
      </c>
      <c r="F1312" t="s">
        <v>65</v>
      </c>
      <c r="G1312" t="s">
        <v>56</v>
      </c>
      <c r="H1312" s="2">
        <v>35</v>
      </c>
      <c r="I1312">
        <v>200</v>
      </c>
      <c r="J1312" s="3">
        <v>7000</v>
      </c>
      <c r="K1312" s="4">
        <v>2800</v>
      </c>
      <c r="L1312" t="s">
        <v>36</v>
      </c>
    </row>
    <row r="1313" spans="1:12" x14ac:dyDescent="0.35">
      <c r="A1313" t="s">
        <v>18</v>
      </c>
      <c r="B1313">
        <v>1185732</v>
      </c>
      <c r="C1313" s="1">
        <v>44307</v>
      </c>
      <c r="D1313" t="s">
        <v>43</v>
      </c>
      <c r="E1313" t="s">
        <v>93</v>
      </c>
      <c r="F1313" t="s">
        <v>94</v>
      </c>
      <c r="G1313" t="s">
        <v>16</v>
      </c>
      <c r="H1313" s="2">
        <v>35</v>
      </c>
      <c r="I1313">
        <v>200</v>
      </c>
      <c r="J1313" s="3">
        <v>7000</v>
      </c>
      <c r="K1313" s="4">
        <v>2100</v>
      </c>
      <c r="L1313" t="s">
        <v>36</v>
      </c>
    </row>
    <row r="1314" spans="1:12" x14ac:dyDescent="0.35">
      <c r="A1314" t="s">
        <v>23</v>
      </c>
      <c r="B1314">
        <v>1185732</v>
      </c>
      <c r="C1314" s="1">
        <v>44397</v>
      </c>
      <c r="D1314" t="s">
        <v>43</v>
      </c>
      <c r="E1314" t="s">
        <v>93</v>
      </c>
      <c r="F1314" t="s">
        <v>94</v>
      </c>
      <c r="G1314" t="s">
        <v>32</v>
      </c>
      <c r="H1314" s="2">
        <v>40</v>
      </c>
      <c r="I1314">
        <v>200</v>
      </c>
      <c r="J1314" s="3">
        <v>8000</v>
      </c>
      <c r="K1314" s="4">
        <v>2800</v>
      </c>
      <c r="L1314" t="s">
        <v>36</v>
      </c>
    </row>
    <row r="1315" spans="1:12" x14ac:dyDescent="0.35">
      <c r="A1315" t="s">
        <v>23</v>
      </c>
      <c r="B1315">
        <v>1185732</v>
      </c>
      <c r="C1315" s="1">
        <v>44429</v>
      </c>
      <c r="D1315" t="s">
        <v>43</v>
      </c>
      <c r="E1315" t="s">
        <v>93</v>
      </c>
      <c r="F1315" t="s">
        <v>94</v>
      </c>
      <c r="G1315" t="s">
        <v>32</v>
      </c>
      <c r="H1315" s="2">
        <v>40</v>
      </c>
      <c r="I1315">
        <v>200</v>
      </c>
      <c r="J1315" s="3">
        <v>8000</v>
      </c>
      <c r="K1315" s="4">
        <v>2800</v>
      </c>
      <c r="L1315" t="s">
        <v>36</v>
      </c>
    </row>
    <row r="1316" spans="1:12" x14ac:dyDescent="0.35">
      <c r="A1316" t="s">
        <v>42</v>
      </c>
      <c r="B1316">
        <v>1185732</v>
      </c>
      <c r="C1316" s="1">
        <v>44452</v>
      </c>
      <c r="D1316" t="s">
        <v>43</v>
      </c>
      <c r="E1316" t="s">
        <v>95</v>
      </c>
      <c r="F1316" t="s">
        <v>96</v>
      </c>
      <c r="G1316" t="s">
        <v>56</v>
      </c>
      <c r="H1316" s="2">
        <v>45</v>
      </c>
      <c r="I1316">
        <v>200</v>
      </c>
      <c r="J1316" s="3">
        <v>9000</v>
      </c>
      <c r="K1316" s="4">
        <v>3600</v>
      </c>
      <c r="L1316" t="s">
        <v>36</v>
      </c>
    </row>
    <row r="1317" spans="1:12" x14ac:dyDescent="0.35">
      <c r="A1317" t="s">
        <v>63</v>
      </c>
      <c r="B1317">
        <v>1185732</v>
      </c>
      <c r="C1317" s="1">
        <v>44261</v>
      </c>
      <c r="D1317" t="s">
        <v>43</v>
      </c>
      <c r="E1317" t="s">
        <v>83</v>
      </c>
      <c r="F1317" t="s">
        <v>84</v>
      </c>
      <c r="G1317" t="s">
        <v>39</v>
      </c>
      <c r="H1317" s="2">
        <v>35</v>
      </c>
      <c r="I1317">
        <v>200</v>
      </c>
      <c r="J1317" s="3">
        <v>7000</v>
      </c>
      <c r="K1317" s="4">
        <v>2450</v>
      </c>
      <c r="L1317" t="s">
        <v>36</v>
      </c>
    </row>
    <row r="1318" spans="1:12" x14ac:dyDescent="0.35">
      <c r="A1318" t="s">
        <v>63</v>
      </c>
      <c r="B1318">
        <v>1185732</v>
      </c>
      <c r="C1318" s="1">
        <v>44322</v>
      </c>
      <c r="D1318" t="s">
        <v>43</v>
      </c>
      <c r="E1318" t="s">
        <v>83</v>
      </c>
      <c r="F1318" t="s">
        <v>84</v>
      </c>
      <c r="G1318" t="s">
        <v>56</v>
      </c>
      <c r="H1318" s="2">
        <v>40</v>
      </c>
      <c r="I1318">
        <v>200</v>
      </c>
      <c r="J1318" s="3">
        <v>8000</v>
      </c>
      <c r="K1318" s="4">
        <v>3200</v>
      </c>
      <c r="L1318" t="s">
        <v>36</v>
      </c>
    </row>
    <row r="1319" spans="1:12" x14ac:dyDescent="0.35">
      <c r="A1319" t="s">
        <v>63</v>
      </c>
      <c r="B1319">
        <v>1185732</v>
      </c>
      <c r="C1319" s="1">
        <v>44415</v>
      </c>
      <c r="D1319" t="s">
        <v>43</v>
      </c>
      <c r="E1319" t="s">
        <v>83</v>
      </c>
      <c r="F1319" t="s">
        <v>84</v>
      </c>
      <c r="G1319" t="s">
        <v>56</v>
      </c>
      <c r="H1319" s="2">
        <v>40</v>
      </c>
      <c r="I1319">
        <v>200</v>
      </c>
      <c r="J1319" s="3">
        <v>8000</v>
      </c>
      <c r="K1319" s="4">
        <v>3200</v>
      </c>
      <c r="L1319" t="s">
        <v>36</v>
      </c>
    </row>
    <row r="1320" spans="1:12" x14ac:dyDescent="0.35">
      <c r="A1320" t="s">
        <v>23</v>
      </c>
      <c r="B1320">
        <v>1185732</v>
      </c>
      <c r="C1320" s="1">
        <v>44232</v>
      </c>
      <c r="D1320" t="s">
        <v>43</v>
      </c>
      <c r="E1320" t="s">
        <v>83</v>
      </c>
      <c r="F1320" t="s">
        <v>84</v>
      </c>
      <c r="G1320" t="s">
        <v>39</v>
      </c>
      <c r="H1320" s="2">
        <v>40</v>
      </c>
      <c r="I1320">
        <v>200</v>
      </c>
      <c r="J1320" s="3">
        <v>8000</v>
      </c>
      <c r="K1320" s="4">
        <v>3200</v>
      </c>
      <c r="L1320" t="s">
        <v>36</v>
      </c>
    </row>
    <row r="1321" spans="1:12" x14ac:dyDescent="0.35">
      <c r="A1321" t="s">
        <v>23</v>
      </c>
      <c r="B1321">
        <v>1185732</v>
      </c>
      <c r="C1321" s="1">
        <v>44290</v>
      </c>
      <c r="D1321" t="s">
        <v>43</v>
      </c>
      <c r="E1321" t="s">
        <v>108</v>
      </c>
      <c r="F1321" t="s">
        <v>109</v>
      </c>
      <c r="G1321" t="s">
        <v>39</v>
      </c>
      <c r="H1321" s="2">
        <v>40</v>
      </c>
      <c r="I1321">
        <v>200</v>
      </c>
      <c r="J1321" s="3">
        <v>8000</v>
      </c>
      <c r="K1321" s="4">
        <v>3200</v>
      </c>
      <c r="L1321" t="s">
        <v>36</v>
      </c>
    </row>
    <row r="1322" spans="1:12" x14ac:dyDescent="0.35">
      <c r="A1322" t="s">
        <v>23</v>
      </c>
      <c r="B1322">
        <v>1185732</v>
      </c>
      <c r="C1322" s="1">
        <v>44290</v>
      </c>
      <c r="D1322" t="s">
        <v>43</v>
      </c>
      <c r="E1322" t="s">
        <v>108</v>
      </c>
      <c r="F1322" t="s">
        <v>109</v>
      </c>
      <c r="G1322" t="s">
        <v>32</v>
      </c>
      <c r="H1322" s="2">
        <v>30</v>
      </c>
      <c r="I1322">
        <v>200</v>
      </c>
      <c r="J1322" s="3">
        <v>6000</v>
      </c>
      <c r="K1322" s="4">
        <v>1800</v>
      </c>
      <c r="L1322" t="s">
        <v>36</v>
      </c>
    </row>
    <row r="1323" spans="1:12" x14ac:dyDescent="0.35">
      <c r="A1323" t="s">
        <v>23</v>
      </c>
      <c r="B1323">
        <v>1185732</v>
      </c>
      <c r="C1323" s="1">
        <v>44442</v>
      </c>
      <c r="D1323" t="s">
        <v>43</v>
      </c>
      <c r="E1323" t="s">
        <v>108</v>
      </c>
      <c r="F1323" t="s">
        <v>109</v>
      </c>
      <c r="G1323" t="s">
        <v>32</v>
      </c>
      <c r="H1323" s="2">
        <v>45</v>
      </c>
      <c r="I1323">
        <v>200</v>
      </c>
      <c r="J1323" s="3">
        <v>9000</v>
      </c>
      <c r="K1323" s="4">
        <v>2700</v>
      </c>
      <c r="L1323" t="s">
        <v>36</v>
      </c>
    </row>
    <row r="1324" spans="1:12" x14ac:dyDescent="0.35">
      <c r="A1324" t="s">
        <v>42</v>
      </c>
      <c r="B1324">
        <v>1185732</v>
      </c>
      <c r="C1324" s="1">
        <v>44293</v>
      </c>
      <c r="D1324" t="s">
        <v>43</v>
      </c>
      <c r="E1324" t="s">
        <v>110</v>
      </c>
      <c r="F1324" t="s">
        <v>111</v>
      </c>
      <c r="G1324" t="s">
        <v>16</v>
      </c>
      <c r="H1324" s="2">
        <v>35</v>
      </c>
      <c r="I1324">
        <v>200</v>
      </c>
      <c r="J1324" s="3">
        <v>7000</v>
      </c>
      <c r="K1324" s="4">
        <v>2800</v>
      </c>
      <c r="L1324" t="s">
        <v>36</v>
      </c>
    </row>
    <row r="1325" spans="1:12" x14ac:dyDescent="0.35">
      <c r="A1325" t="s">
        <v>42</v>
      </c>
      <c r="B1325">
        <v>1185732</v>
      </c>
      <c r="C1325" s="1">
        <v>44322</v>
      </c>
      <c r="D1325" t="s">
        <v>43</v>
      </c>
      <c r="E1325" t="s">
        <v>110</v>
      </c>
      <c r="F1325" t="s">
        <v>111</v>
      </c>
      <c r="G1325" t="s">
        <v>32</v>
      </c>
      <c r="H1325" s="2">
        <v>40</v>
      </c>
      <c r="I1325">
        <v>200</v>
      </c>
      <c r="J1325" s="3">
        <v>8000</v>
      </c>
      <c r="K1325" s="4">
        <v>3200</v>
      </c>
      <c r="L1325" t="s">
        <v>36</v>
      </c>
    </row>
    <row r="1326" spans="1:12" x14ac:dyDescent="0.35">
      <c r="A1326" t="s">
        <v>42</v>
      </c>
      <c r="B1326">
        <v>1185732</v>
      </c>
      <c r="C1326" s="1">
        <v>44355</v>
      </c>
      <c r="D1326" t="s">
        <v>43</v>
      </c>
      <c r="E1326" t="s">
        <v>110</v>
      </c>
      <c r="F1326" t="s">
        <v>111</v>
      </c>
      <c r="G1326" t="s">
        <v>56</v>
      </c>
      <c r="H1326" s="2">
        <v>40</v>
      </c>
      <c r="I1326">
        <v>200</v>
      </c>
      <c r="J1326" s="3">
        <v>8000</v>
      </c>
      <c r="K1326" s="4">
        <v>3200</v>
      </c>
      <c r="L1326" t="s">
        <v>36</v>
      </c>
    </row>
    <row r="1327" spans="1:12" x14ac:dyDescent="0.35">
      <c r="A1327" t="s">
        <v>42</v>
      </c>
      <c r="B1327">
        <v>1185732</v>
      </c>
      <c r="C1327" s="1">
        <v>44383</v>
      </c>
      <c r="D1327" t="s">
        <v>43</v>
      </c>
      <c r="E1327" t="s">
        <v>110</v>
      </c>
      <c r="F1327" t="s">
        <v>111</v>
      </c>
      <c r="G1327" t="s">
        <v>56</v>
      </c>
      <c r="H1327" s="2">
        <v>40</v>
      </c>
      <c r="I1327">
        <v>200</v>
      </c>
      <c r="J1327" s="3">
        <v>8000</v>
      </c>
      <c r="K1327" s="4">
        <v>3200</v>
      </c>
      <c r="L1327" t="s">
        <v>36</v>
      </c>
    </row>
    <row r="1328" spans="1:12" x14ac:dyDescent="0.35">
      <c r="A1328" t="s">
        <v>23</v>
      </c>
      <c r="B1328">
        <v>1185732</v>
      </c>
      <c r="C1328" s="1">
        <v>44242</v>
      </c>
      <c r="D1328" t="s">
        <v>43</v>
      </c>
      <c r="E1328" t="s">
        <v>110</v>
      </c>
      <c r="F1328" t="s">
        <v>111</v>
      </c>
      <c r="G1328" t="s">
        <v>32</v>
      </c>
      <c r="H1328" s="2">
        <v>30</v>
      </c>
      <c r="I1328">
        <v>200</v>
      </c>
      <c r="J1328" s="3">
        <v>6000</v>
      </c>
      <c r="K1328" s="4">
        <v>1500</v>
      </c>
      <c r="L1328" t="s">
        <v>36</v>
      </c>
    </row>
    <row r="1329" spans="1:12" x14ac:dyDescent="0.35">
      <c r="A1329" t="s">
        <v>23</v>
      </c>
      <c r="B1329">
        <v>1185732</v>
      </c>
      <c r="C1329" s="1">
        <v>44268</v>
      </c>
      <c r="D1329" t="s">
        <v>43</v>
      </c>
      <c r="E1329" t="s">
        <v>112</v>
      </c>
      <c r="F1329" t="s">
        <v>113</v>
      </c>
      <c r="G1329" t="s">
        <v>32</v>
      </c>
      <c r="H1329" s="2">
        <v>30</v>
      </c>
      <c r="I1329">
        <v>200</v>
      </c>
      <c r="J1329" s="3">
        <v>6000</v>
      </c>
      <c r="K1329" s="4">
        <v>1500</v>
      </c>
      <c r="L1329" t="s">
        <v>36</v>
      </c>
    </row>
    <row r="1330" spans="1:12" x14ac:dyDescent="0.35">
      <c r="A1330" t="s">
        <v>23</v>
      </c>
      <c r="B1330">
        <v>1185732</v>
      </c>
      <c r="C1330" s="1">
        <v>44268</v>
      </c>
      <c r="D1330" t="s">
        <v>43</v>
      </c>
      <c r="E1330" t="s">
        <v>112</v>
      </c>
      <c r="F1330" t="s">
        <v>113</v>
      </c>
      <c r="G1330" t="s">
        <v>16</v>
      </c>
      <c r="H1330" s="2">
        <v>40</v>
      </c>
      <c r="I1330">
        <v>200</v>
      </c>
      <c r="J1330" s="3">
        <v>8000</v>
      </c>
      <c r="K1330" s="4">
        <v>2400</v>
      </c>
      <c r="L1330" t="s">
        <v>36</v>
      </c>
    </row>
    <row r="1331" spans="1:12" x14ac:dyDescent="0.35">
      <c r="A1331" t="s">
        <v>51</v>
      </c>
      <c r="B1331">
        <v>1185732</v>
      </c>
      <c r="C1331" s="1">
        <v>44246</v>
      </c>
      <c r="D1331" t="s">
        <v>43</v>
      </c>
      <c r="E1331" t="s">
        <v>127</v>
      </c>
      <c r="F1331" t="s">
        <v>128</v>
      </c>
      <c r="G1331" t="s">
        <v>56</v>
      </c>
      <c r="H1331" s="2">
        <v>45</v>
      </c>
      <c r="I1331">
        <v>200</v>
      </c>
      <c r="J1331" s="3">
        <v>9000</v>
      </c>
      <c r="K1331" s="4">
        <v>2700</v>
      </c>
      <c r="L1331" t="s">
        <v>36</v>
      </c>
    </row>
    <row r="1332" spans="1:12" x14ac:dyDescent="0.35">
      <c r="A1332" t="s">
        <v>18</v>
      </c>
      <c r="B1332">
        <v>1128299</v>
      </c>
      <c r="C1332" s="1">
        <v>44216</v>
      </c>
      <c r="D1332" t="s">
        <v>48</v>
      </c>
      <c r="E1332" t="s">
        <v>66</v>
      </c>
      <c r="F1332" t="s">
        <v>67</v>
      </c>
      <c r="G1332" t="s">
        <v>32</v>
      </c>
      <c r="H1332" s="2">
        <v>60</v>
      </c>
      <c r="I1332">
        <v>200</v>
      </c>
      <c r="J1332" s="3">
        <v>1200</v>
      </c>
      <c r="K1332" s="4">
        <v>564</v>
      </c>
      <c r="L1332" t="s">
        <v>17</v>
      </c>
    </row>
    <row r="1333" spans="1:12" x14ac:dyDescent="0.35">
      <c r="A1333" t="s">
        <v>63</v>
      </c>
      <c r="B1333">
        <v>1189833</v>
      </c>
      <c r="C1333" s="1">
        <v>44310</v>
      </c>
      <c r="D1333" t="s">
        <v>48</v>
      </c>
      <c r="E1333" t="s">
        <v>66</v>
      </c>
      <c r="F1333" t="s">
        <v>76</v>
      </c>
      <c r="G1333" t="s">
        <v>16</v>
      </c>
      <c r="H1333" s="2">
        <v>60</v>
      </c>
      <c r="I1333">
        <v>200</v>
      </c>
      <c r="J1333" s="3">
        <v>1200</v>
      </c>
      <c r="K1333" s="4">
        <v>372</v>
      </c>
      <c r="L1333" t="s">
        <v>17</v>
      </c>
    </row>
    <row r="1334" spans="1:12" x14ac:dyDescent="0.35">
      <c r="A1334" t="s">
        <v>23</v>
      </c>
      <c r="B1334">
        <v>1197831</v>
      </c>
      <c r="C1334" s="1">
        <v>44450</v>
      </c>
      <c r="D1334" t="s">
        <v>19</v>
      </c>
      <c r="E1334" t="s">
        <v>59</v>
      </c>
      <c r="F1334" t="s">
        <v>68</v>
      </c>
      <c r="G1334" t="s">
        <v>39</v>
      </c>
      <c r="H1334" s="2">
        <v>49</v>
      </c>
      <c r="I1334">
        <v>200</v>
      </c>
      <c r="J1334">
        <v>980</v>
      </c>
      <c r="K1334" s="4">
        <v>470</v>
      </c>
      <c r="L1334" t="s">
        <v>17</v>
      </c>
    </row>
    <row r="1335" spans="1:12" x14ac:dyDescent="0.35">
      <c r="A1335" t="s">
        <v>23</v>
      </c>
      <c r="B1335">
        <v>1197831</v>
      </c>
      <c r="C1335" s="1">
        <v>44331</v>
      </c>
      <c r="D1335" t="s">
        <v>19</v>
      </c>
      <c r="E1335" t="s">
        <v>74</v>
      </c>
      <c r="F1335" t="s">
        <v>75</v>
      </c>
      <c r="G1335" t="s">
        <v>26</v>
      </c>
      <c r="H1335" s="2">
        <v>53</v>
      </c>
      <c r="I1335">
        <v>200</v>
      </c>
      <c r="J1335" s="3">
        <v>1060</v>
      </c>
      <c r="K1335" s="4">
        <v>615</v>
      </c>
      <c r="L1335" t="s">
        <v>17</v>
      </c>
    </row>
    <row r="1336" spans="1:12" x14ac:dyDescent="0.35">
      <c r="A1336" t="s">
        <v>12</v>
      </c>
      <c r="B1336">
        <v>1128299</v>
      </c>
      <c r="C1336" s="1">
        <v>44546</v>
      </c>
      <c r="D1336" t="s">
        <v>13</v>
      </c>
      <c r="E1336" t="s">
        <v>14</v>
      </c>
      <c r="F1336" t="s">
        <v>15</v>
      </c>
      <c r="G1336" t="s">
        <v>39</v>
      </c>
      <c r="H1336" s="2">
        <v>82</v>
      </c>
      <c r="I1336">
        <v>200</v>
      </c>
      <c r="J1336" s="3">
        <v>1640</v>
      </c>
      <c r="K1336" s="4">
        <v>574</v>
      </c>
      <c r="L1336" t="s">
        <v>17</v>
      </c>
    </row>
    <row r="1337" spans="1:12" x14ac:dyDescent="0.35">
      <c r="A1337" t="s">
        <v>23</v>
      </c>
      <c r="B1337">
        <v>1185732</v>
      </c>
      <c r="C1337" s="1">
        <v>44244</v>
      </c>
      <c r="D1337" t="s">
        <v>13</v>
      </c>
      <c r="E1337" t="s">
        <v>99</v>
      </c>
      <c r="F1337" t="s">
        <v>100</v>
      </c>
      <c r="G1337" t="s">
        <v>26</v>
      </c>
      <c r="H1337" s="2">
        <v>34</v>
      </c>
      <c r="I1337">
        <v>200</v>
      </c>
      <c r="J1337">
        <v>680</v>
      </c>
      <c r="K1337" s="4">
        <v>428</v>
      </c>
      <c r="L1337" t="s">
        <v>17</v>
      </c>
    </row>
    <row r="1338" spans="1:12" x14ac:dyDescent="0.35">
      <c r="A1338" t="s">
        <v>18</v>
      </c>
      <c r="B1338">
        <v>1128299</v>
      </c>
      <c r="C1338" s="1">
        <v>44432</v>
      </c>
      <c r="D1338" t="s">
        <v>48</v>
      </c>
      <c r="E1338" t="s">
        <v>85</v>
      </c>
      <c r="F1338" t="s">
        <v>86</v>
      </c>
      <c r="G1338" t="s">
        <v>26</v>
      </c>
      <c r="H1338" s="2">
        <v>81</v>
      </c>
      <c r="I1338">
        <v>200</v>
      </c>
      <c r="J1338" s="3">
        <v>1620</v>
      </c>
      <c r="K1338" s="4">
        <v>778</v>
      </c>
      <c r="L1338" t="s">
        <v>17</v>
      </c>
    </row>
    <row r="1339" spans="1:12" x14ac:dyDescent="0.35">
      <c r="A1339" t="s">
        <v>42</v>
      </c>
      <c r="B1339">
        <v>1185732</v>
      </c>
      <c r="C1339" s="1">
        <v>44321</v>
      </c>
      <c r="D1339" t="s">
        <v>13</v>
      </c>
      <c r="E1339" t="s">
        <v>69</v>
      </c>
      <c r="F1339" t="s">
        <v>65</v>
      </c>
      <c r="G1339" t="s">
        <v>16</v>
      </c>
      <c r="H1339" s="2">
        <v>59</v>
      </c>
      <c r="I1339">
        <v>200</v>
      </c>
      <c r="J1339" s="3">
        <v>1180</v>
      </c>
      <c r="K1339" s="4">
        <v>708</v>
      </c>
      <c r="L1339" t="s">
        <v>17</v>
      </c>
    </row>
    <row r="1340" spans="1:12" x14ac:dyDescent="0.35">
      <c r="A1340" t="s">
        <v>42</v>
      </c>
      <c r="B1340">
        <v>1185732</v>
      </c>
      <c r="C1340" s="1">
        <v>44354</v>
      </c>
      <c r="D1340" t="s">
        <v>13</v>
      </c>
      <c r="E1340" t="s">
        <v>69</v>
      </c>
      <c r="F1340" t="s">
        <v>65</v>
      </c>
      <c r="G1340" t="s">
        <v>39</v>
      </c>
      <c r="H1340" s="2">
        <v>49</v>
      </c>
      <c r="I1340">
        <v>200</v>
      </c>
      <c r="J1340">
        <v>980</v>
      </c>
      <c r="K1340" s="4">
        <v>441</v>
      </c>
      <c r="L1340" t="s">
        <v>17</v>
      </c>
    </row>
    <row r="1341" spans="1:12" x14ac:dyDescent="0.35">
      <c r="A1341" t="s">
        <v>23</v>
      </c>
      <c r="B1341">
        <v>1185732</v>
      </c>
      <c r="C1341" s="1">
        <v>44411</v>
      </c>
      <c r="D1341" t="s">
        <v>13</v>
      </c>
      <c r="E1341" t="s">
        <v>77</v>
      </c>
      <c r="F1341" t="s">
        <v>78</v>
      </c>
      <c r="G1341" t="s">
        <v>39</v>
      </c>
      <c r="H1341" s="2">
        <v>58</v>
      </c>
      <c r="I1341">
        <v>200</v>
      </c>
      <c r="J1341" s="3">
        <v>1160</v>
      </c>
      <c r="K1341" s="4">
        <v>522</v>
      </c>
      <c r="L1341" t="s">
        <v>17</v>
      </c>
    </row>
    <row r="1342" spans="1:12" x14ac:dyDescent="0.35">
      <c r="A1342" t="s">
        <v>12</v>
      </c>
      <c r="B1342">
        <v>1197831</v>
      </c>
      <c r="C1342" s="1">
        <v>44082</v>
      </c>
      <c r="D1342" t="s">
        <v>19</v>
      </c>
      <c r="E1342" t="s">
        <v>59</v>
      </c>
      <c r="F1342" t="s">
        <v>60</v>
      </c>
      <c r="G1342" t="s">
        <v>56</v>
      </c>
      <c r="H1342" s="2">
        <v>37</v>
      </c>
      <c r="I1342">
        <v>200</v>
      </c>
      <c r="J1342">
        <v>740</v>
      </c>
      <c r="K1342" s="4">
        <v>370</v>
      </c>
      <c r="L1342" t="s">
        <v>27</v>
      </c>
    </row>
    <row r="1343" spans="1:12" x14ac:dyDescent="0.35">
      <c r="A1343" t="s">
        <v>23</v>
      </c>
      <c r="B1343">
        <v>1197831</v>
      </c>
      <c r="C1343" s="1">
        <v>44445</v>
      </c>
      <c r="D1343" t="s">
        <v>19</v>
      </c>
      <c r="E1343" t="s">
        <v>59</v>
      </c>
      <c r="F1343" t="s">
        <v>68</v>
      </c>
      <c r="G1343" t="s">
        <v>32</v>
      </c>
      <c r="H1343" s="2">
        <v>19</v>
      </c>
      <c r="I1343">
        <v>200</v>
      </c>
      <c r="J1343">
        <v>380</v>
      </c>
      <c r="K1343" s="4">
        <v>152</v>
      </c>
      <c r="L1343" t="s">
        <v>27</v>
      </c>
    </row>
    <row r="1344" spans="1:12" x14ac:dyDescent="0.35">
      <c r="A1344" t="s">
        <v>23</v>
      </c>
      <c r="B1344">
        <v>1197831</v>
      </c>
      <c r="C1344" s="1">
        <v>44470</v>
      </c>
      <c r="D1344" t="s">
        <v>19</v>
      </c>
      <c r="E1344" t="s">
        <v>24</v>
      </c>
      <c r="F1344" t="s">
        <v>25</v>
      </c>
      <c r="G1344" t="s">
        <v>39</v>
      </c>
      <c r="H1344" s="2">
        <v>14</v>
      </c>
      <c r="I1344">
        <v>200</v>
      </c>
      <c r="J1344">
        <v>280</v>
      </c>
      <c r="K1344" s="4">
        <v>146</v>
      </c>
      <c r="L1344" t="s">
        <v>27</v>
      </c>
    </row>
    <row r="1345" spans="1:12" x14ac:dyDescent="0.35">
      <c r="A1345" t="s">
        <v>18</v>
      </c>
      <c r="B1345">
        <v>1128299</v>
      </c>
      <c r="C1345" s="1">
        <v>44546</v>
      </c>
      <c r="D1345" t="s">
        <v>13</v>
      </c>
      <c r="E1345" t="s">
        <v>14</v>
      </c>
      <c r="F1345" t="s">
        <v>15</v>
      </c>
      <c r="G1345" t="s">
        <v>16</v>
      </c>
      <c r="H1345" s="2">
        <v>64</v>
      </c>
      <c r="I1345">
        <v>200</v>
      </c>
      <c r="J1345" s="3">
        <v>1280</v>
      </c>
      <c r="K1345" s="4">
        <v>614</v>
      </c>
      <c r="L1345" t="s">
        <v>27</v>
      </c>
    </row>
    <row r="1346" spans="1:12" x14ac:dyDescent="0.35">
      <c r="A1346" t="s">
        <v>42</v>
      </c>
      <c r="B1346">
        <v>1197831</v>
      </c>
      <c r="C1346" s="1">
        <v>44231</v>
      </c>
      <c r="D1346" t="s">
        <v>19</v>
      </c>
      <c r="E1346" t="s">
        <v>20</v>
      </c>
      <c r="F1346" t="s">
        <v>21</v>
      </c>
      <c r="G1346" t="s">
        <v>26</v>
      </c>
      <c r="H1346" s="2">
        <v>18</v>
      </c>
      <c r="I1346">
        <v>200</v>
      </c>
      <c r="J1346">
        <v>360</v>
      </c>
      <c r="K1346" s="4">
        <v>115</v>
      </c>
      <c r="L1346" t="s">
        <v>27</v>
      </c>
    </row>
    <row r="1347" spans="1:12" x14ac:dyDescent="0.35">
      <c r="A1347" t="s">
        <v>42</v>
      </c>
      <c r="B1347">
        <v>1197831</v>
      </c>
      <c r="C1347" s="1">
        <v>44261</v>
      </c>
      <c r="D1347" t="s">
        <v>48</v>
      </c>
      <c r="E1347" t="s">
        <v>79</v>
      </c>
      <c r="F1347" t="s">
        <v>80</v>
      </c>
      <c r="G1347" t="s">
        <v>26</v>
      </c>
      <c r="H1347" s="2">
        <v>21</v>
      </c>
      <c r="I1347">
        <v>200</v>
      </c>
      <c r="J1347">
        <v>420</v>
      </c>
      <c r="K1347" s="4">
        <v>155</v>
      </c>
      <c r="L1347" t="s">
        <v>27</v>
      </c>
    </row>
    <row r="1348" spans="1:12" x14ac:dyDescent="0.35">
      <c r="A1348" t="s">
        <v>23</v>
      </c>
      <c r="B1348">
        <v>1197831</v>
      </c>
      <c r="C1348" s="1">
        <v>44444</v>
      </c>
      <c r="D1348" t="s">
        <v>48</v>
      </c>
      <c r="E1348" t="s">
        <v>79</v>
      </c>
      <c r="F1348" t="s">
        <v>80</v>
      </c>
      <c r="G1348" t="s">
        <v>16</v>
      </c>
      <c r="H1348" s="2">
        <v>36</v>
      </c>
      <c r="I1348">
        <v>200</v>
      </c>
      <c r="J1348">
        <v>720</v>
      </c>
      <c r="K1348" s="4">
        <v>418</v>
      </c>
      <c r="L1348" t="s">
        <v>27</v>
      </c>
    </row>
    <row r="1349" spans="1:12" x14ac:dyDescent="0.35">
      <c r="A1349" t="s">
        <v>23</v>
      </c>
      <c r="B1349">
        <v>1128299</v>
      </c>
      <c r="C1349" s="1">
        <v>44421</v>
      </c>
      <c r="D1349" t="s">
        <v>13</v>
      </c>
      <c r="E1349" t="s">
        <v>57</v>
      </c>
      <c r="F1349" t="s">
        <v>58</v>
      </c>
      <c r="G1349" t="s">
        <v>39</v>
      </c>
      <c r="H1349" s="2">
        <v>44</v>
      </c>
      <c r="I1349">
        <v>200</v>
      </c>
      <c r="J1349">
        <v>880</v>
      </c>
      <c r="K1349" s="4">
        <v>370</v>
      </c>
      <c r="L1349" t="s">
        <v>27</v>
      </c>
    </row>
    <row r="1350" spans="1:12" x14ac:dyDescent="0.35">
      <c r="A1350" t="s">
        <v>63</v>
      </c>
      <c r="B1350">
        <v>1197831</v>
      </c>
      <c r="C1350" s="1">
        <v>44549</v>
      </c>
      <c r="D1350" t="s">
        <v>19</v>
      </c>
      <c r="E1350" t="s">
        <v>61</v>
      </c>
      <c r="F1350" t="s">
        <v>62</v>
      </c>
      <c r="G1350" t="s">
        <v>26</v>
      </c>
      <c r="H1350" s="2">
        <v>55</v>
      </c>
      <c r="I1350">
        <v>200</v>
      </c>
      <c r="J1350" s="3">
        <v>1100</v>
      </c>
      <c r="K1350" s="4">
        <v>462</v>
      </c>
      <c r="L1350" t="s">
        <v>27</v>
      </c>
    </row>
    <row r="1351" spans="1:12" x14ac:dyDescent="0.35">
      <c r="A1351" t="s">
        <v>42</v>
      </c>
      <c r="B1351">
        <v>1185732</v>
      </c>
      <c r="C1351" s="1">
        <v>44547</v>
      </c>
      <c r="D1351" t="s">
        <v>43</v>
      </c>
      <c r="E1351" t="s">
        <v>127</v>
      </c>
      <c r="F1351" t="s">
        <v>128</v>
      </c>
      <c r="G1351" t="s">
        <v>26</v>
      </c>
      <c r="H1351" s="2">
        <v>49</v>
      </c>
      <c r="I1351">
        <v>200</v>
      </c>
      <c r="J1351">
        <v>980</v>
      </c>
      <c r="K1351" s="4">
        <v>461</v>
      </c>
      <c r="L1351" t="s">
        <v>27</v>
      </c>
    </row>
    <row r="1352" spans="1:12" x14ac:dyDescent="0.35">
      <c r="A1352" t="s">
        <v>63</v>
      </c>
      <c r="B1352">
        <v>1189833</v>
      </c>
      <c r="C1352" s="1">
        <v>44298</v>
      </c>
      <c r="D1352" t="s">
        <v>48</v>
      </c>
      <c r="E1352" t="s">
        <v>66</v>
      </c>
      <c r="F1352" t="s">
        <v>76</v>
      </c>
      <c r="G1352" t="s">
        <v>16</v>
      </c>
      <c r="H1352" s="2">
        <v>49</v>
      </c>
      <c r="I1352">
        <v>198</v>
      </c>
      <c r="J1352">
        <v>970</v>
      </c>
      <c r="K1352" s="4">
        <v>262</v>
      </c>
      <c r="L1352" t="s">
        <v>27</v>
      </c>
    </row>
    <row r="1353" spans="1:12" x14ac:dyDescent="0.35">
      <c r="A1353" t="s">
        <v>23</v>
      </c>
      <c r="B1353">
        <v>1197831</v>
      </c>
      <c r="C1353" s="1">
        <v>44298</v>
      </c>
      <c r="D1353" t="s">
        <v>19</v>
      </c>
      <c r="E1353" t="s">
        <v>74</v>
      </c>
      <c r="F1353" t="s">
        <v>75</v>
      </c>
      <c r="G1353" t="s">
        <v>56</v>
      </c>
      <c r="H1353" s="2">
        <v>29</v>
      </c>
      <c r="I1353">
        <v>198</v>
      </c>
      <c r="J1353">
        <v>574</v>
      </c>
      <c r="K1353" s="4">
        <v>322</v>
      </c>
      <c r="L1353" t="s">
        <v>27</v>
      </c>
    </row>
    <row r="1354" spans="1:12" x14ac:dyDescent="0.35">
      <c r="A1354" t="s">
        <v>12</v>
      </c>
      <c r="B1354">
        <v>1128299</v>
      </c>
      <c r="C1354" s="1">
        <v>44517</v>
      </c>
      <c r="D1354" t="s">
        <v>13</v>
      </c>
      <c r="E1354" t="s">
        <v>14</v>
      </c>
      <c r="F1354" t="s">
        <v>15</v>
      </c>
      <c r="G1354" t="s">
        <v>16</v>
      </c>
      <c r="H1354" s="2">
        <v>66</v>
      </c>
      <c r="I1354">
        <v>198</v>
      </c>
      <c r="J1354" s="3">
        <v>1307</v>
      </c>
      <c r="K1354" s="4">
        <v>653</v>
      </c>
      <c r="L1354" t="s">
        <v>27</v>
      </c>
    </row>
    <row r="1355" spans="1:12" x14ac:dyDescent="0.35">
      <c r="A1355" t="s">
        <v>18</v>
      </c>
      <c r="B1355">
        <v>1128299</v>
      </c>
      <c r="C1355" s="1">
        <v>44400</v>
      </c>
      <c r="D1355" t="s">
        <v>48</v>
      </c>
      <c r="E1355" t="s">
        <v>85</v>
      </c>
      <c r="F1355" t="s">
        <v>86</v>
      </c>
      <c r="G1355" t="s">
        <v>70</v>
      </c>
      <c r="H1355" s="2">
        <v>68</v>
      </c>
      <c r="I1355">
        <v>198</v>
      </c>
      <c r="J1355" s="3">
        <v>1346</v>
      </c>
      <c r="K1355" s="4">
        <v>619</v>
      </c>
      <c r="L1355" t="s">
        <v>27</v>
      </c>
    </row>
    <row r="1356" spans="1:12" x14ac:dyDescent="0.35">
      <c r="A1356" t="s">
        <v>18</v>
      </c>
      <c r="B1356">
        <v>1128299</v>
      </c>
      <c r="C1356" s="1">
        <v>44393</v>
      </c>
      <c r="D1356" t="s">
        <v>19</v>
      </c>
      <c r="E1356" t="s">
        <v>20</v>
      </c>
      <c r="F1356" t="s">
        <v>21</v>
      </c>
      <c r="G1356" t="s">
        <v>56</v>
      </c>
      <c r="H1356" s="2">
        <v>62</v>
      </c>
      <c r="I1356">
        <v>198</v>
      </c>
      <c r="J1356" s="3">
        <v>1228</v>
      </c>
      <c r="K1356" s="4">
        <v>552</v>
      </c>
      <c r="L1356" t="s">
        <v>27</v>
      </c>
    </row>
    <row r="1357" spans="1:12" x14ac:dyDescent="0.35">
      <c r="A1357" t="s">
        <v>23</v>
      </c>
      <c r="B1357">
        <v>1128299</v>
      </c>
      <c r="C1357" s="1">
        <v>44453</v>
      </c>
      <c r="D1357" t="s">
        <v>13</v>
      </c>
      <c r="E1357" t="s">
        <v>57</v>
      </c>
      <c r="F1357" t="s">
        <v>58</v>
      </c>
      <c r="G1357" t="s">
        <v>39</v>
      </c>
      <c r="H1357" s="2">
        <v>38</v>
      </c>
      <c r="I1357">
        <v>198</v>
      </c>
      <c r="J1357">
        <v>752</v>
      </c>
      <c r="K1357" s="4">
        <v>331</v>
      </c>
      <c r="L1357" t="s">
        <v>27</v>
      </c>
    </row>
    <row r="1358" spans="1:12" x14ac:dyDescent="0.35">
      <c r="A1358" t="s">
        <v>12</v>
      </c>
      <c r="B1358">
        <v>1185732</v>
      </c>
      <c r="C1358" s="1">
        <v>44425</v>
      </c>
      <c r="D1358" t="s">
        <v>19</v>
      </c>
      <c r="E1358" t="s">
        <v>37</v>
      </c>
      <c r="F1358" t="s">
        <v>38</v>
      </c>
      <c r="G1358" t="s">
        <v>39</v>
      </c>
      <c r="H1358" s="2">
        <v>44</v>
      </c>
      <c r="I1358">
        <v>198</v>
      </c>
      <c r="J1358">
        <v>871</v>
      </c>
      <c r="K1358" s="4">
        <v>357</v>
      </c>
      <c r="L1358" t="s">
        <v>27</v>
      </c>
    </row>
    <row r="1359" spans="1:12" x14ac:dyDescent="0.35">
      <c r="A1359" t="s">
        <v>12</v>
      </c>
      <c r="B1359">
        <v>1197831</v>
      </c>
      <c r="C1359" s="1">
        <v>44396</v>
      </c>
      <c r="D1359" t="s">
        <v>19</v>
      </c>
      <c r="E1359" t="s">
        <v>54</v>
      </c>
      <c r="F1359" t="s">
        <v>55</v>
      </c>
      <c r="G1359" t="s">
        <v>16</v>
      </c>
      <c r="H1359" s="2">
        <v>50</v>
      </c>
      <c r="I1359">
        <v>198</v>
      </c>
      <c r="J1359">
        <v>990</v>
      </c>
      <c r="K1359" s="4">
        <v>455</v>
      </c>
      <c r="L1359" t="s">
        <v>27</v>
      </c>
    </row>
    <row r="1360" spans="1:12" x14ac:dyDescent="0.35">
      <c r="A1360" t="s">
        <v>23</v>
      </c>
      <c r="B1360">
        <v>1197831</v>
      </c>
      <c r="C1360" s="1">
        <v>44042</v>
      </c>
      <c r="D1360" t="s">
        <v>19</v>
      </c>
      <c r="E1360" t="s">
        <v>59</v>
      </c>
      <c r="F1360" t="s">
        <v>60</v>
      </c>
      <c r="G1360" t="s">
        <v>16</v>
      </c>
      <c r="H1360" s="2">
        <v>34</v>
      </c>
      <c r="I1360">
        <v>196</v>
      </c>
      <c r="J1360">
        <v>666</v>
      </c>
      <c r="K1360" s="4">
        <v>420</v>
      </c>
      <c r="L1360" t="s">
        <v>17</v>
      </c>
    </row>
    <row r="1361" spans="1:12" x14ac:dyDescent="0.35">
      <c r="A1361" t="s">
        <v>12</v>
      </c>
      <c r="B1361">
        <v>1197831</v>
      </c>
      <c r="C1361" s="1">
        <v>44071</v>
      </c>
      <c r="D1361" t="s">
        <v>19</v>
      </c>
      <c r="E1361" t="s">
        <v>59</v>
      </c>
      <c r="F1361" t="s">
        <v>60</v>
      </c>
      <c r="G1361" t="s">
        <v>70</v>
      </c>
      <c r="H1361" s="2">
        <v>41</v>
      </c>
      <c r="I1361">
        <v>196</v>
      </c>
      <c r="J1361">
        <v>804</v>
      </c>
      <c r="K1361" s="4">
        <v>321</v>
      </c>
      <c r="L1361" t="s">
        <v>17</v>
      </c>
    </row>
    <row r="1362" spans="1:12" x14ac:dyDescent="0.35">
      <c r="A1362" t="s">
        <v>18</v>
      </c>
      <c r="B1362">
        <v>1128299</v>
      </c>
      <c r="C1362" s="1">
        <v>44144</v>
      </c>
      <c r="D1362" t="s">
        <v>48</v>
      </c>
      <c r="E1362" t="s">
        <v>66</v>
      </c>
      <c r="F1362" t="s">
        <v>67</v>
      </c>
      <c r="G1362" t="s">
        <v>32</v>
      </c>
      <c r="H1362" s="2">
        <v>49</v>
      </c>
      <c r="I1362">
        <v>196</v>
      </c>
      <c r="J1362">
        <v>960</v>
      </c>
      <c r="K1362" s="4">
        <v>471</v>
      </c>
      <c r="L1362" t="s">
        <v>17</v>
      </c>
    </row>
    <row r="1363" spans="1:12" x14ac:dyDescent="0.35">
      <c r="A1363" t="s">
        <v>18</v>
      </c>
      <c r="B1363">
        <v>1128299</v>
      </c>
      <c r="C1363" s="1">
        <v>44231</v>
      </c>
      <c r="D1363" t="s">
        <v>48</v>
      </c>
      <c r="E1363" t="s">
        <v>66</v>
      </c>
      <c r="F1363" t="s">
        <v>67</v>
      </c>
      <c r="G1363" t="s">
        <v>16</v>
      </c>
      <c r="H1363" s="2">
        <v>63</v>
      </c>
      <c r="I1363">
        <v>196</v>
      </c>
      <c r="J1363" s="3">
        <v>1235</v>
      </c>
      <c r="K1363" s="4">
        <v>284</v>
      </c>
      <c r="L1363" t="s">
        <v>17</v>
      </c>
    </row>
    <row r="1364" spans="1:12" x14ac:dyDescent="0.35">
      <c r="A1364" t="s">
        <v>63</v>
      </c>
      <c r="B1364">
        <v>1189833</v>
      </c>
      <c r="C1364" s="1">
        <v>44245</v>
      </c>
      <c r="D1364" t="s">
        <v>48</v>
      </c>
      <c r="E1364" t="s">
        <v>66</v>
      </c>
      <c r="F1364" t="s">
        <v>67</v>
      </c>
      <c r="G1364" t="s">
        <v>39</v>
      </c>
      <c r="H1364" s="2">
        <v>41</v>
      </c>
      <c r="I1364">
        <v>196</v>
      </c>
      <c r="J1364">
        <v>804</v>
      </c>
      <c r="K1364" s="4">
        <v>289</v>
      </c>
      <c r="L1364" t="s">
        <v>17</v>
      </c>
    </row>
    <row r="1365" spans="1:12" x14ac:dyDescent="0.35">
      <c r="A1365" t="s">
        <v>63</v>
      </c>
      <c r="B1365">
        <v>1189833</v>
      </c>
      <c r="C1365" s="1">
        <v>44325</v>
      </c>
      <c r="D1365" t="s">
        <v>48</v>
      </c>
      <c r="E1365" t="s">
        <v>66</v>
      </c>
      <c r="F1365" t="s">
        <v>76</v>
      </c>
      <c r="G1365" t="s">
        <v>32</v>
      </c>
      <c r="H1365" s="2">
        <v>46</v>
      </c>
      <c r="I1365">
        <v>196</v>
      </c>
      <c r="J1365">
        <v>902</v>
      </c>
      <c r="K1365" s="4">
        <v>451</v>
      </c>
      <c r="L1365" t="s">
        <v>17</v>
      </c>
    </row>
    <row r="1366" spans="1:12" x14ac:dyDescent="0.35">
      <c r="A1366" t="s">
        <v>63</v>
      </c>
      <c r="B1366">
        <v>1189833</v>
      </c>
      <c r="C1366" s="1">
        <v>44346</v>
      </c>
      <c r="D1366" t="s">
        <v>48</v>
      </c>
      <c r="E1366" t="s">
        <v>66</v>
      </c>
      <c r="F1366" t="s">
        <v>76</v>
      </c>
      <c r="G1366" t="s">
        <v>16</v>
      </c>
      <c r="H1366" s="2">
        <v>59</v>
      </c>
      <c r="I1366">
        <v>196</v>
      </c>
      <c r="J1366" s="3">
        <v>1156</v>
      </c>
      <c r="K1366" s="4">
        <v>405</v>
      </c>
      <c r="L1366" t="s">
        <v>17</v>
      </c>
    </row>
    <row r="1367" spans="1:12" x14ac:dyDescent="0.35">
      <c r="A1367" t="s">
        <v>23</v>
      </c>
      <c r="B1367">
        <v>1197831</v>
      </c>
      <c r="C1367" s="1">
        <v>44420</v>
      </c>
      <c r="D1367" t="s">
        <v>33</v>
      </c>
      <c r="E1367" t="s">
        <v>118</v>
      </c>
      <c r="F1367" t="s">
        <v>119</v>
      </c>
      <c r="G1367" t="s">
        <v>39</v>
      </c>
      <c r="H1367" s="2">
        <v>28</v>
      </c>
      <c r="I1367">
        <v>196</v>
      </c>
      <c r="J1367">
        <v>549</v>
      </c>
      <c r="K1367" s="4">
        <v>220</v>
      </c>
      <c r="L1367" t="s">
        <v>17</v>
      </c>
    </row>
    <row r="1368" spans="1:12" x14ac:dyDescent="0.35">
      <c r="A1368" t="s">
        <v>18</v>
      </c>
      <c r="B1368">
        <v>1128299</v>
      </c>
      <c r="C1368" s="1">
        <v>43899</v>
      </c>
      <c r="D1368" t="s">
        <v>48</v>
      </c>
      <c r="E1368" t="s">
        <v>116</v>
      </c>
      <c r="F1368" t="s">
        <v>117</v>
      </c>
      <c r="G1368" t="s">
        <v>26</v>
      </c>
      <c r="H1368" s="2">
        <v>58</v>
      </c>
      <c r="I1368">
        <v>196</v>
      </c>
      <c r="J1368" s="3">
        <v>1137</v>
      </c>
      <c r="K1368" s="4">
        <v>534</v>
      </c>
      <c r="L1368" t="s">
        <v>17</v>
      </c>
    </row>
    <row r="1369" spans="1:12" x14ac:dyDescent="0.35">
      <c r="A1369" t="s">
        <v>18</v>
      </c>
      <c r="B1369">
        <v>1128299</v>
      </c>
      <c r="C1369" s="1">
        <v>43947</v>
      </c>
      <c r="D1369" t="s">
        <v>48</v>
      </c>
      <c r="E1369" t="s">
        <v>133</v>
      </c>
      <c r="F1369" t="s">
        <v>134</v>
      </c>
      <c r="G1369" t="s">
        <v>26</v>
      </c>
      <c r="H1369" s="2">
        <v>63</v>
      </c>
      <c r="I1369">
        <v>196</v>
      </c>
      <c r="J1369" s="3">
        <v>1235</v>
      </c>
      <c r="K1369" s="4">
        <v>729</v>
      </c>
      <c r="L1369" t="s">
        <v>17</v>
      </c>
    </row>
    <row r="1370" spans="1:12" x14ac:dyDescent="0.35">
      <c r="A1370" t="s">
        <v>18</v>
      </c>
      <c r="B1370">
        <v>1185732</v>
      </c>
      <c r="C1370" s="1">
        <v>43945</v>
      </c>
      <c r="D1370" t="s">
        <v>13</v>
      </c>
      <c r="E1370" t="s">
        <v>14</v>
      </c>
      <c r="F1370" t="s">
        <v>73</v>
      </c>
      <c r="G1370" t="s">
        <v>70</v>
      </c>
      <c r="H1370" s="2">
        <v>52</v>
      </c>
      <c r="I1370">
        <v>196</v>
      </c>
      <c r="J1370" s="3">
        <v>1019</v>
      </c>
      <c r="K1370" s="4">
        <v>459</v>
      </c>
      <c r="L1370" t="s">
        <v>17</v>
      </c>
    </row>
    <row r="1371" spans="1:12" x14ac:dyDescent="0.35">
      <c r="A1371" t="s">
        <v>18</v>
      </c>
      <c r="B1371">
        <v>1185732</v>
      </c>
      <c r="C1371" s="1">
        <v>43945</v>
      </c>
      <c r="D1371" t="s">
        <v>13</v>
      </c>
      <c r="E1371" t="s">
        <v>14</v>
      </c>
      <c r="F1371" t="s">
        <v>73</v>
      </c>
      <c r="G1371" t="s">
        <v>70</v>
      </c>
      <c r="H1371" s="2">
        <v>58</v>
      </c>
      <c r="I1371">
        <v>196</v>
      </c>
      <c r="J1371" s="3">
        <v>1137</v>
      </c>
      <c r="K1371" s="4">
        <v>534</v>
      </c>
      <c r="L1371" t="s">
        <v>17</v>
      </c>
    </row>
    <row r="1372" spans="1:12" x14ac:dyDescent="0.35">
      <c r="A1372" t="s">
        <v>63</v>
      </c>
      <c r="B1372">
        <v>1189833</v>
      </c>
      <c r="C1372" s="1">
        <v>44259</v>
      </c>
      <c r="D1372" t="s">
        <v>33</v>
      </c>
      <c r="E1372" t="s">
        <v>131</v>
      </c>
      <c r="F1372" t="s">
        <v>132</v>
      </c>
      <c r="G1372" t="s">
        <v>26</v>
      </c>
      <c r="H1372" s="2">
        <v>41</v>
      </c>
      <c r="I1372">
        <v>196</v>
      </c>
      <c r="J1372">
        <v>804</v>
      </c>
      <c r="K1372" s="4">
        <v>450</v>
      </c>
      <c r="L1372" t="s">
        <v>17</v>
      </c>
    </row>
    <row r="1373" spans="1:12" x14ac:dyDescent="0.35">
      <c r="A1373" t="s">
        <v>23</v>
      </c>
      <c r="B1373">
        <v>1197831</v>
      </c>
      <c r="C1373" s="1">
        <v>44325</v>
      </c>
      <c r="D1373" t="s">
        <v>19</v>
      </c>
      <c r="E1373" t="s">
        <v>74</v>
      </c>
      <c r="F1373" t="s">
        <v>75</v>
      </c>
      <c r="G1373" t="s">
        <v>26</v>
      </c>
      <c r="H1373" s="2">
        <v>29</v>
      </c>
      <c r="I1373">
        <v>196</v>
      </c>
      <c r="J1373">
        <v>568</v>
      </c>
      <c r="K1373" s="4">
        <v>318</v>
      </c>
      <c r="L1373" t="s">
        <v>17</v>
      </c>
    </row>
    <row r="1374" spans="1:12" x14ac:dyDescent="0.35">
      <c r="A1374" t="s">
        <v>23</v>
      </c>
      <c r="B1374">
        <v>1197831</v>
      </c>
      <c r="C1374" s="1">
        <v>44410</v>
      </c>
      <c r="D1374" t="s">
        <v>33</v>
      </c>
      <c r="E1374" t="s">
        <v>120</v>
      </c>
      <c r="F1374" t="s">
        <v>121</v>
      </c>
      <c r="G1374" t="s">
        <v>39</v>
      </c>
      <c r="H1374" s="2">
        <v>29</v>
      </c>
      <c r="I1374">
        <v>196</v>
      </c>
      <c r="J1374">
        <v>568</v>
      </c>
      <c r="K1374" s="4">
        <v>307</v>
      </c>
      <c r="L1374" t="s">
        <v>17</v>
      </c>
    </row>
    <row r="1375" spans="1:12" x14ac:dyDescent="0.35">
      <c r="A1375" t="s">
        <v>18</v>
      </c>
      <c r="B1375">
        <v>1185732</v>
      </c>
      <c r="C1375" s="1">
        <v>44385</v>
      </c>
      <c r="D1375" t="s">
        <v>43</v>
      </c>
      <c r="E1375" t="s">
        <v>44</v>
      </c>
      <c r="F1375" t="s">
        <v>101</v>
      </c>
      <c r="G1375" t="s">
        <v>39</v>
      </c>
      <c r="H1375" s="2">
        <v>56</v>
      </c>
      <c r="I1375">
        <v>196</v>
      </c>
      <c r="J1375" s="3">
        <v>1098</v>
      </c>
      <c r="K1375" s="4">
        <v>494</v>
      </c>
      <c r="L1375" t="s">
        <v>17</v>
      </c>
    </row>
    <row r="1376" spans="1:12" x14ac:dyDescent="0.35">
      <c r="A1376" t="s">
        <v>63</v>
      </c>
      <c r="B1376">
        <v>1185732</v>
      </c>
      <c r="C1376" s="1">
        <v>44387</v>
      </c>
      <c r="D1376" t="s">
        <v>48</v>
      </c>
      <c r="E1376" t="s">
        <v>102</v>
      </c>
      <c r="F1376" t="s">
        <v>103</v>
      </c>
      <c r="G1376" t="s">
        <v>16</v>
      </c>
      <c r="H1376" s="2">
        <v>51</v>
      </c>
      <c r="I1376">
        <v>196</v>
      </c>
      <c r="J1376" s="3">
        <v>1000</v>
      </c>
      <c r="K1376" s="4">
        <v>360</v>
      </c>
      <c r="L1376" t="s">
        <v>17</v>
      </c>
    </row>
    <row r="1377" spans="1:12" x14ac:dyDescent="0.35">
      <c r="A1377" t="s">
        <v>63</v>
      </c>
      <c r="B1377">
        <v>1185732</v>
      </c>
      <c r="C1377" s="1">
        <v>44419</v>
      </c>
      <c r="D1377" t="s">
        <v>48</v>
      </c>
      <c r="E1377" t="s">
        <v>102</v>
      </c>
      <c r="F1377" t="s">
        <v>103</v>
      </c>
      <c r="G1377" t="s">
        <v>16</v>
      </c>
      <c r="H1377" s="2">
        <v>52</v>
      </c>
      <c r="I1377">
        <v>196</v>
      </c>
      <c r="J1377" s="3">
        <v>1019</v>
      </c>
      <c r="K1377" s="4">
        <v>408</v>
      </c>
      <c r="L1377" t="s">
        <v>17</v>
      </c>
    </row>
    <row r="1378" spans="1:12" x14ac:dyDescent="0.35">
      <c r="A1378" t="s">
        <v>23</v>
      </c>
      <c r="B1378">
        <v>1185732</v>
      </c>
      <c r="C1378" s="1">
        <v>44516</v>
      </c>
      <c r="D1378" t="s">
        <v>33</v>
      </c>
      <c r="E1378" t="s">
        <v>45</v>
      </c>
      <c r="F1378" t="s">
        <v>46</v>
      </c>
      <c r="G1378" t="s">
        <v>26</v>
      </c>
      <c r="H1378" s="2">
        <v>49</v>
      </c>
      <c r="I1378">
        <v>196</v>
      </c>
      <c r="J1378">
        <v>960</v>
      </c>
      <c r="K1378" s="4">
        <v>605</v>
      </c>
      <c r="L1378" t="s">
        <v>17</v>
      </c>
    </row>
    <row r="1379" spans="1:12" x14ac:dyDescent="0.35">
      <c r="A1379" t="s">
        <v>18</v>
      </c>
      <c r="B1379">
        <v>1185732</v>
      </c>
      <c r="C1379" s="1">
        <v>44207</v>
      </c>
      <c r="D1379" t="s">
        <v>33</v>
      </c>
      <c r="E1379" t="s">
        <v>34</v>
      </c>
      <c r="F1379" t="s">
        <v>35</v>
      </c>
      <c r="G1379" t="s">
        <v>26</v>
      </c>
      <c r="H1379" s="2">
        <v>23</v>
      </c>
      <c r="I1379">
        <v>196</v>
      </c>
      <c r="J1379">
        <v>451</v>
      </c>
      <c r="K1379" s="4">
        <v>248</v>
      </c>
      <c r="L1379" t="s">
        <v>17</v>
      </c>
    </row>
    <row r="1380" spans="1:12" x14ac:dyDescent="0.35">
      <c r="A1380" t="s">
        <v>18</v>
      </c>
      <c r="B1380">
        <v>1128299</v>
      </c>
      <c r="C1380" s="1">
        <v>44400</v>
      </c>
      <c r="D1380" t="s">
        <v>48</v>
      </c>
      <c r="E1380" t="s">
        <v>85</v>
      </c>
      <c r="F1380" t="s">
        <v>86</v>
      </c>
      <c r="G1380" t="s">
        <v>39</v>
      </c>
      <c r="H1380" s="2">
        <v>85</v>
      </c>
      <c r="I1380">
        <v>196</v>
      </c>
      <c r="J1380" s="3">
        <v>1666</v>
      </c>
      <c r="K1380" s="4">
        <v>783</v>
      </c>
      <c r="L1380" t="s">
        <v>17</v>
      </c>
    </row>
    <row r="1381" spans="1:12" x14ac:dyDescent="0.35">
      <c r="A1381" t="s">
        <v>18</v>
      </c>
      <c r="B1381">
        <v>1128299</v>
      </c>
      <c r="C1381" s="1">
        <v>44393</v>
      </c>
      <c r="D1381" t="s">
        <v>19</v>
      </c>
      <c r="E1381" t="s">
        <v>20</v>
      </c>
      <c r="F1381" t="s">
        <v>21</v>
      </c>
      <c r="G1381" t="s">
        <v>32</v>
      </c>
      <c r="H1381" s="2">
        <v>90</v>
      </c>
      <c r="I1381">
        <v>196</v>
      </c>
      <c r="J1381" s="3">
        <v>1764</v>
      </c>
      <c r="K1381" s="4">
        <v>953</v>
      </c>
      <c r="L1381" t="s">
        <v>17</v>
      </c>
    </row>
    <row r="1382" spans="1:12" x14ac:dyDescent="0.35">
      <c r="A1382" t="s">
        <v>42</v>
      </c>
      <c r="B1382">
        <v>1197831</v>
      </c>
      <c r="C1382" s="1">
        <v>44201</v>
      </c>
      <c r="D1382" t="s">
        <v>19</v>
      </c>
      <c r="E1382" t="s">
        <v>20</v>
      </c>
      <c r="F1382" t="s">
        <v>21</v>
      </c>
      <c r="G1382" t="s">
        <v>39</v>
      </c>
      <c r="H1382" s="2">
        <v>28</v>
      </c>
      <c r="I1382">
        <v>196</v>
      </c>
      <c r="J1382">
        <v>549</v>
      </c>
      <c r="K1382" s="4">
        <v>247</v>
      </c>
      <c r="L1382" t="s">
        <v>17</v>
      </c>
    </row>
    <row r="1383" spans="1:12" x14ac:dyDescent="0.35">
      <c r="A1383" t="s">
        <v>18</v>
      </c>
      <c r="B1383">
        <v>1197831</v>
      </c>
      <c r="C1383" s="1">
        <v>44321</v>
      </c>
      <c r="D1383" t="s">
        <v>48</v>
      </c>
      <c r="E1383" t="s">
        <v>79</v>
      </c>
      <c r="F1383" t="s">
        <v>80</v>
      </c>
      <c r="G1383" t="s">
        <v>39</v>
      </c>
      <c r="H1383" s="2">
        <v>28</v>
      </c>
      <c r="I1383">
        <v>196</v>
      </c>
      <c r="J1383">
        <v>549</v>
      </c>
      <c r="K1383" s="4">
        <v>263</v>
      </c>
      <c r="L1383" t="s">
        <v>17</v>
      </c>
    </row>
    <row r="1384" spans="1:12" x14ac:dyDescent="0.35">
      <c r="A1384" t="s">
        <v>23</v>
      </c>
      <c r="B1384">
        <v>1197831</v>
      </c>
      <c r="C1384" s="1">
        <v>44416</v>
      </c>
      <c r="D1384" t="s">
        <v>48</v>
      </c>
      <c r="E1384" t="s">
        <v>79</v>
      </c>
      <c r="F1384" t="s">
        <v>80</v>
      </c>
      <c r="G1384" t="s">
        <v>16</v>
      </c>
      <c r="H1384" s="2">
        <v>54</v>
      </c>
      <c r="I1384">
        <v>196</v>
      </c>
      <c r="J1384" s="3">
        <v>1058</v>
      </c>
      <c r="K1384" s="4">
        <v>720</v>
      </c>
      <c r="L1384" t="s">
        <v>17</v>
      </c>
    </row>
    <row r="1385" spans="1:12" x14ac:dyDescent="0.35">
      <c r="A1385" t="s">
        <v>42</v>
      </c>
      <c r="B1385">
        <v>1197831</v>
      </c>
      <c r="C1385" s="1">
        <v>44534</v>
      </c>
      <c r="D1385" t="s">
        <v>48</v>
      </c>
      <c r="E1385" t="s">
        <v>79</v>
      </c>
      <c r="F1385" t="s">
        <v>80</v>
      </c>
      <c r="G1385" t="s">
        <v>16</v>
      </c>
      <c r="H1385" s="2">
        <v>60</v>
      </c>
      <c r="I1385">
        <v>196</v>
      </c>
      <c r="J1385" s="3">
        <v>1176</v>
      </c>
      <c r="K1385" s="4">
        <v>811</v>
      </c>
      <c r="L1385" t="s">
        <v>17</v>
      </c>
    </row>
    <row r="1386" spans="1:12" x14ac:dyDescent="0.35">
      <c r="A1386" t="s">
        <v>42</v>
      </c>
      <c r="B1386">
        <v>1128299</v>
      </c>
      <c r="C1386" s="1">
        <v>44399</v>
      </c>
      <c r="D1386" t="s">
        <v>48</v>
      </c>
      <c r="E1386" t="s">
        <v>123</v>
      </c>
      <c r="F1386" t="s">
        <v>124</v>
      </c>
      <c r="G1386" t="s">
        <v>26</v>
      </c>
      <c r="H1386" s="2">
        <v>49</v>
      </c>
      <c r="I1386">
        <v>196</v>
      </c>
      <c r="J1386">
        <v>960</v>
      </c>
      <c r="K1386" s="4">
        <v>471</v>
      </c>
      <c r="L1386" t="s">
        <v>17</v>
      </c>
    </row>
    <row r="1387" spans="1:12" x14ac:dyDescent="0.35">
      <c r="A1387" t="s">
        <v>23</v>
      </c>
      <c r="B1387">
        <v>1128299</v>
      </c>
      <c r="C1387" s="1">
        <v>44389</v>
      </c>
      <c r="D1387" t="s">
        <v>13</v>
      </c>
      <c r="E1387" t="s">
        <v>57</v>
      </c>
      <c r="F1387" t="s">
        <v>58</v>
      </c>
      <c r="G1387" t="s">
        <v>26</v>
      </c>
      <c r="H1387" s="2">
        <v>47</v>
      </c>
      <c r="I1387">
        <v>196</v>
      </c>
      <c r="J1387">
        <v>921</v>
      </c>
      <c r="K1387" s="4">
        <v>461</v>
      </c>
      <c r="L1387" t="s">
        <v>17</v>
      </c>
    </row>
    <row r="1388" spans="1:12" x14ac:dyDescent="0.35">
      <c r="A1388" t="s">
        <v>42</v>
      </c>
      <c r="B1388">
        <v>1185732</v>
      </c>
      <c r="C1388" s="1">
        <v>44321</v>
      </c>
      <c r="D1388" t="s">
        <v>13</v>
      </c>
      <c r="E1388" t="s">
        <v>69</v>
      </c>
      <c r="F1388" t="s">
        <v>65</v>
      </c>
      <c r="G1388" t="s">
        <v>70</v>
      </c>
      <c r="H1388" s="2">
        <v>53</v>
      </c>
      <c r="I1388">
        <v>196</v>
      </c>
      <c r="J1388" s="3">
        <v>1039</v>
      </c>
      <c r="K1388" s="4">
        <v>519</v>
      </c>
      <c r="L1388" t="s">
        <v>17</v>
      </c>
    </row>
    <row r="1389" spans="1:12" x14ac:dyDescent="0.35">
      <c r="A1389" t="s">
        <v>42</v>
      </c>
      <c r="B1389">
        <v>1185732</v>
      </c>
      <c r="C1389" s="1">
        <v>44444</v>
      </c>
      <c r="D1389" t="s">
        <v>13</v>
      </c>
      <c r="E1389" t="s">
        <v>69</v>
      </c>
      <c r="F1389" t="s">
        <v>65</v>
      </c>
      <c r="G1389" t="s">
        <v>32</v>
      </c>
      <c r="H1389" s="2">
        <v>38</v>
      </c>
      <c r="I1389">
        <v>196</v>
      </c>
      <c r="J1389">
        <v>745</v>
      </c>
      <c r="K1389" s="4">
        <v>290</v>
      </c>
      <c r="L1389" t="s">
        <v>17</v>
      </c>
    </row>
    <row r="1390" spans="1:12" x14ac:dyDescent="0.35">
      <c r="A1390" t="s">
        <v>42</v>
      </c>
      <c r="B1390">
        <v>1185732</v>
      </c>
      <c r="C1390" s="1">
        <v>44506</v>
      </c>
      <c r="D1390" t="s">
        <v>13</v>
      </c>
      <c r="E1390" t="s">
        <v>69</v>
      </c>
      <c r="F1390" t="s">
        <v>65</v>
      </c>
      <c r="G1390" t="s">
        <v>70</v>
      </c>
      <c r="H1390" s="2">
        <v>66</v>
      </c>
      <c r="I1390">
        <v>196</v>
      </c>
      <c r="J1390" s="3">
        <v>1294</v>
      </c>
      <c r="K1390" s="4">
        <v>608</v>
      </c>
      <c r="L1390" t="s">
        <v>17</v>
      </c>
    </row>
    <row r="1391" spans="1:12" x14ac:dyDescent="0.35">
      <c r="A1391" t="s">
        <v>23</v>
      </c>
      <c r="B1391">
        <v>1185732</v>
      </c>
      <c r="C1391" s="1">
        <v>44202</v>
      </c>
      <c r="D1391" t="s">
        <v>13</v>
      </c>
      <c r="E1391" t="s">
        <v>69</v>
      </c>
      <c r="F1391" t="s">
        <v>65</v>
      </c>
      <c r="G1391" t="s">
        <v>16</v>
      </c>
      <c r="H1391" s="2">
        <v>34</v>
      </c>
      <c r="I1391">
        <v>196</v>
      </c>
      <c r="J1391">
        <v>666</v>
      </c>
      <c r="K1391" s="4">
        <v>426</v>
      </c>
      <c r="L1391" t="s">
        <v>17</v>
      </c>
    </row>
    <row r="1392" spans="1:12" x14ac:dyDescent="0.35">
      <c r="A1392" t="s">
        <v>23</v>
      </c>
      <c r="B1392">
        <v>1185732</v>
      </c>
      <c r="C1392" s="1">
        <v>44379</v>
      </c>
      <c r="D1392" t="s">
        <v>13</v>
      </c>
      <c r="E1392" t="s">
        <v>77</v>
      </c>
      <c r="F1392" t="s">
        <v>78</v>
      </c>
      <c r="G1392" t="s">
        <v>32</v>
      </c>
      <c r="H1392" s="2">
        <v>53</v>
      </c>
      <c r="I1392">
        <v>196</v>
      </c>
      <c r="J1392" s="3">
        <v>1039</v>
      </c>
      <c r="K1392" s="4">
        <v>571</v>
      </c>
      <c r="L1392" t="s">
        <v>17</v>
      </c>
    </row>
    <row r="1393" spans="1:12" x14ac:dyDescent="0.35">
      <c r="A1393" t="s">
        <v>23</v>
      </c>
      <c r="B1393">
        <v>1185732</v>
      </c>
      <c r="C1393" s="1">
        <v>44473</v>
      </c>
      <c r="D1393" t="s">
        <v>13</v>
      </c>
      <c r="E1393" t="s">
        <v>77</v>
      </c>
      <c r="F1393" t="s">
        <v>78</v>
      </c>
      <c r="G1393" t="s">
        <v>39</v>
      </c>
      <c r="H1393" s="2">
        <v>33</v>
      </c>
      <c r="I1393">
        <v>196</v>
      </c>
      <c r="J1393">
        <v>647</v>
      </c>
      <c r="K1393" s="4">
        <v>298</v>
      </c>
      <c r="L1393" t="s">
        <v>17</v>
      </c>
    </row>
    <row r="1394" spans="1:12" x14ac:dyDescent="0.35">
      <c r="A1394" t="s">
        <v>51</v>
      </c>
      <c r="B1394">
        <v>1185732</v>
      </c>
      <c r="C1394" s="1">
        <v>44532</v>
      </c>
      <c r="D1394" t="s">
        <v>13</v>
      </c>
      <c r="E1394" t="s">
        <v>77</v>
      </c>
      <c r="F1394" t="s">
        <v>78</v>
      </c>
      <c r="G1394" t="s">
        <v>56</v>
      </c>
      <c r="H1394" s="2">
        <v>55</v>
      </c>
      <c r="I1394">
        <v>196</v>
      </c>
      <c r="J1394" s="3">
        <v>1078</v>
      </c>
      <c r="K1394" s="4">
        <v>582</v>
      </c>
      <c r="L1394" t="s">
        <v>17</v>
      </c>
    </row>
    <row r="1395" spans="1:12" x14ac:dyDescent="0.35">
      <c r="A1395" t="s">
        <v>51</v>
      </c>
      <c r="B1395">
        <v>1185732</v>
      </c>
      <c r="C1395" s="1">
        <v>44358</v>
      </c>
      <c r="D1395" t="s">
        <v>33</v>
      </c>
      <c r="E1395" t="s">
        <v>52</v>
      </c>
      <c r="F1395" t="s">
        <v>53</v>
      </c>
      <c r="G1395" t="s">
        <v>16</v>
      </c>
      <c r="H1395" s="2">
        <v>64</v>
      </c>
      <c r="I1395">
        <v>196</v>
      </c>
      <c r="J1395" s="3">
        <v>1254</v>
      </c>
      <c r="K1395" s="4">
        <v>778</v>
      </c>
      <c r="L1395" t="s">
        <v>17</v>
      </c>
    </row>
    <row r="1396" spans="1:12" x14ac:dyDescent="0.35">
      <c r="A1396" t="s">
        <v>51</v>
      </c>
      <c r="B1396">
        <v>1185732</v>
      </c>
      <c r="C1396" s="1">
        <v>44394</v>
      </c>
      <c r="D1396" t="s">
        <v>43</v>
      </c>
      <c r="E1396" t="s">
        <v>127</v>
      </c>
      <c r="F1396" t="s">
        <v>128</v>
      </c>
      <c r="G1396" t="s">
        <v>26</v>
      </c>
      <c r="H1396" s="2">
        <v>64</v>
      </c>
      <c r="I1396">
        <v>196</v>
      </c>
      <c r="J1396" s="3">
        <v>1254</v>
      </c>
      <c r="K1396" s="4">
        <v>665</v>
      </c>
      <c r="L1396" t="s">
        <v>17</v>
      </c>
    </row>
    <row r="1397" spans="1:12" x14ac:dyDescent="0.35">
      <c r="A1397" t="s">
        <v>51</v>
      </c>
      <c r="B1397">
        <v>1185732</v>
      </c>
      <c r="C1397" s="1">
        <v>44426</v>
      </c>
      <c r="D1397" t="s">
        <v>43</v>
      </c>
      <c r="E1397" t="s">
        <v>127</v>
      </c>
      <c r="F1397" t="s">
        <v>128</v>
      </c>
      <c r="G1397" t="s">
        <v>26</v>
      </c>
      <c r="H1397" s="2">
        <v>60</v>
      </c>
      <c r="I1397">
        <v>196</v>
      </c>
      <c r="J1397" s="3">
        <v>1176</v>
      </c>
      <c r="K1397" s="4">
        <v>600</v>
      </c>
      <c r="L1397" t="s">
        <v>17</v>
      </c>
    </row>
    <row r="1398" spans="1:12" x14ac:dyDescent="0.35">
      <c r="A1398" t="s">
        <v>18</v>
      </c>
      <c r="B1398">
        <v>1128299</v>
      </c>
      <c r="C1398" s="1">
        <v>44206</v>
      </c>
      <c r="D1398" t="s">
        <v>48</v>
      </c>
      <c r="E1398" t="s">
        <v>66</v>
      </c>
      <c r="F1398" t="s">
        <v>67</v>
      </c>
      <c r="G1398" t="s">
        <v>70</v>
      </c>
      <c r="H1398" s="2">
        <v>44</v>
      </c>
      <c r="I1398">
        <v>196</v>
      </c>
      <c r="J1398">
        <v>862</v>
      </c>
      <c r="K1398" s="4">
        <v>526</v>
      </c>
      <c r="L1398" t="s">
        <v>27</v>
      </c>
    </row>
    <row r="1399" spans="1:12" x14ac:dyDescent="0.35">
      <c r="A1399" t="s">
        <v>18</v>
      </c>
      <c r="B1399">
        <v>1128299</v>
      </c>
      <c r="C1399" s="1">
        <v>43893</v>
      </c>
      <c r="D1399" t="s">
        <v>48</v>
      </c>
      <c r="E1399" t="s">
        <v>116</v>
      </c>
      <c r="F1399" t="s">
        <v>117</v>
      </c>
      <c r="G1399" t="s">
        <v>26</v>
      </c>
      <c r="H1399" s="2">
        <v>47</v>
      </c>
      <c r="I1399">
        <v>196</v>
      </c>
      <c r="J1399">
        <v>921</v>
      </c>
      <c r="K1399" s="4">
        <v>387</v>
      </c>
      <c r="L1399" t="s">
        <v>27</v>
      </c>
    </row>
    <row r="1400" spans="1:12" x14ac:dyDescent="0.35">
      <c r="A1400" t="s">
        <v>23</v>
      </c>
      <c r="B1400">
        <v>1197831</v>
      </c>
      <c r="C1400" s="1">
        <v>44288</v>
      </c>
      <c r="D1400" t="s">
        <v>19</v>
      </c>
      <c r="E1400" t="s">
        <v>74</v>
      </c>
      <c r="F1400" t="s">
        <v>75</v>
      </c>
      <c r="G1400" t="s">
        <v>16</v>
      </c>
      <c r="H1400" s="2">
        <v>18</v>
      </c>
      <c r="I1400">
        <v>196</v>
      </c>
      <c r="J1400">
        <v>353</v>
      </c>
      <c r="K1400" s="4">
        <v>215</v>
      </c>
      <c r="L1400" t="s">
        <v>27</v>
      </c>
    </row>
    <row r="1401" spans="1:12" x14ac:dyDescent="0.35">
      <c r="A1401" t="s">
        <v>23</v>
      </c>
      <c r="B1401">
        <v>1197831</v>
      </c>
      <c r="C1401" s="1">
        <v>44304</v>
      </c>
      <c r="D1401" t="s">
        <v>19</v>
      </c>
      <c r="E1401" t="s">
        <v>74</v>
      </c>
      <c r="F1401" t="s">
        <v>75</v>
      </c>
      <c r="G1401" t="s">
        <v>56</v>
      </c>
      <c r="H1401" s="2">
        <v>32</v>
      </c>
      <c r="I1401">
        <v>196</v>
      </c>
      <c r="J1401">
        <v>627</v>
      </c>
      <c r="K1401" s="4">
        <v>383</v>
      </c>
      <c r="L1401" t="s">
        <v>27</v>
      </c>
    </row>
    <row r="1402" spans="1:12" x14ac:dyDescent="0.35">
      <c r="A1402" t="s">
        <v>23</v>
      </c>
      <c r="B1402">
        <v>1197831</v>
      </c>
      <c r="C1402" s="1">
        <v>44448</v>
      </c>
      <c r="D1402" t="s">
        <v>19</v>
      </c>
      <c r="E1402" t="s">
        <v>24</v>
      </c>
      <c r="F1402" t="s">
        <v>25</v>
      </c>
      <c r="G1402" t="s">
        <v>56</v>
      </c>
      <c r="H1402" s="2">
        <v>36</v>
      </c>
      <c r="I1402">
        <v>196</v>
      </c>
      <c r="J1402">
        <v>706</v>
      </c>
      <c r="K1402" s="4">
        <v>473</v>
      </c>
      <c r="L1402" t="s">
        <v>27</v>
      </c>
    </row>
    <row r="1403" spans="1:12" x14ac:dyDescent="0.35">
      <c r="A1403" t="s">
        <v>23</v>
      </c>
      <c r="B1403">
        <v>1197831</v>
      </c>
      <c r="C1403" s="1">
        <v>44471</v>
      </c>
      <c r="D1403" t="s">
        <v>19</v>
      </c>
      <c r="E1403" t="s">
        <v>24</v>
      </c>
      <c r="F1403" t="s">
        <v>25</v>
      </c>
      <c r="G1403" t="s">
        <v>32</v>
      </c>
      <c r="H1403" s="2">
        <v>33</v>
      </c>
      <c r="I1403">
        <v>196</v>
      </c>
      <c r="J1403">
        <v>647</v>
      </c>
      <c r="K1403" s="4">
        <v>356</v>
      </c>
      <c r="L1403" t="s">
        <v>27</v>
      </c>
    </row>
    <row r="1404" spans="1:12" x14ac:dyDescent="0.35">
      <c r="A1404" t="s">
        <v>12</v>
      </c>
      <c r="B1404">
        <v>1128299</v>
      </c>
      <c r="C1404" s="1">
        <v>44364</v>
      </c>
      <c r="D1404" t="s">
        <v>13</v>
      </c>
      <c r="E1404" t="s">
        <v>14</v>
      </c>
      <c r="F1404" t="s">
        <v>15</v>
      </c>
      <c r="G1404" t="s">
        <v>56</v>
      </c>
      <c r="H1404" s="2">
        <v>66</v>
      </c>
      <c r="I1404">
        <v>196</v>
      </c>
      <c r="J1404" s="3">
        <v>1294</v>
      </c>
      <c r="K1404" s="4">
        <v>479</v>
      </c>
      <c r="L1404" t="s">
        <v>27</v>
      </c>
    </row>
    <row r="1405" spans="1:12" x14ac:dyDescent="0.35">
      <c r="A1405" t="s">
        <v>18</v>
      </c>
      <c r="B1405">
        <v>1197831</v>
      </c>
      <c r="C1405" s="1">
        <v>44458</v>
      </c>
      <c r="D1405" t="s">
        <v>19</v>
      </c>
      <c r="E1405" t="s">
        <v>61</v>
      </c>
      <c r="F1405" t="s">
        <v>62</v>
      </c>
      <c r="G1405" t="s">
        <v>26</v>
      </c>
      <c r="H1405" s="2">
        <v>35</v>
      </c>
      <c r="I1405">
        <v>196</v>
      </c>
      <c r="J1405">
        <v>686</v>
      </c>
      <c r="K1405" s="4">
        <v>316</v>
      </c>
      <c r="L1405" t="s">
        <v>27</v>
      </c>
    </row>
    <row r="1406" spans="1:12" x14ac:dyDescent="0.35">
      <c r="A1406" t="s">
        <v>23</v>
      </c>
      <c r="B1406">
        <v>1185732</v>
      </c>
      <c r="C1406" s="1">
        <v>44362</v>
      </c>
      <c r="D1406" t="s">
        <v>43</v>
      </c>
      <c r="E1406" t="s">
        <v>112</v>
      </c>
      <c r="F1406" t="s">
        <v>113</v>
      </c>
      <c r="G1406" t="s">
        <v>26</v>
      </c>
      <c r="H1406" s="2">
        <v>39</v>
      </c>
      <c r="I1406">
        <v>196</v>
      </c>
      <c r="J1406">
        <v>764</v>
      </c>
      <c r="K1406" s="4">
        <v>268</v>
      </c>
      <c r="L1406" t="s">
        <v>27</v>
      </c>
    </row>
    <row r="1407" spans="1:12" x14ac:dyDescent="0.35">
      <c r="A1407" t="s">
        <v>23</v>
      </c>
      <c r="B1407">
        <v>1185732</v>
      </c>
      <c r="C1407" s="1">
        <v>44422</v>
      </c>
      <c r="D1407" t="s">
        <v>43</v>
      </c>
      <c r="E1407" t="s">
        <v>112</v>
      </c>
      <c r="F1407" t="s">
        <v>113</v>
      </c>
      <c r="G1407" t="s">
        <v>26</v>
      </c>
      <c r="H1407" s="2">
        <v>40</v>
      </c>
      <c r="I1407">
        <v>196</v>
      </c>
      <c r="J1407">
        <v>784</v>
      </c>
      <c r="K1407" s="4">
        <v>259</v>
      </c>
      <c r="L1407" t="s">
        <v>27</v>
      </c>
    </row>
    <row r="1408" spans="1:12" x14ac:dyDescent="0.35">
      <c r="A1408" t="s">
        <v>51</v>
      </c>
      <c r="B1408">
        <v>1185732</v>
      </c>
      <c r="C1408" s="1">
        <v>44333</v>
      </c>
      <c r="D1408" t="s">
        <v>43</v>
      </c>
      <c r="E1408" t="s">
        <v>127</v>
      </c>
      <c r="F1408" t="s">
        <v>128</v>
      </c>
      <c r="G1408" t="s">
        <v>26</v>
      </c>
      <c r="H1408" s="2">
        <v>47</v>
      </c>
      <c r="I1408">
        <v>196</v>
      </c>
      <c r="J1408">
        <v>921</v>
      </c>
      <c r="K1408" s="4">
        <v>396</v>
      </c>
      <c r="L1408" t="s">
        <v>27</v>
      </c>
    </row>
    <row r="1409" spans="1:12" x14ac:dyDescent="0.35">
      <c r="A1409" t="s">
        <v>23</v>
      </c>
      <c r="B1409">
        <v>1185732</v>
      </c>
      <c r="C1409" s="1">
        <v>44512</v>
      </c>
      <c r="D1409" t="s">
        <v>33</v>
      </c>
      <c r="E1409" t="s">
        <v>87</v>
      </c>
      <c r="F1409" t="s">
        <v>88</v>
      </c>
      <c r="G1409" t="s">
        <v>32</v>
      </c>
      <c r="H1409" s="2">
        <v>45</v>
      </c>
      <c r="I1409">
        <v>195</v>
      </c>
      <c r="J1409" s="3">
        <v>8775</v>
      </c>
      <c r="K1409" s="4">
        <v>2633</v>
      </c>
      <c r="L1409" t="s">
        <v>17</v>
      </c>
    </row>
    <row r="1410" spans="1:12" x14ac:dyDescent="0.35">
      <c r="A1410" t="s">
        <v>42</v>
      </c>
      <c r="B1410">
        <v>1185732</v>
      </c>
      <c r="C1410" s="1">
        <v>44509</v>
      </c>
      <c r="D1410" t="s">
        <v>33</v>
      </c>
      <c r="E1410" t="s">
        <v>89</v>
      </c>
      <c r="F1410" t="s">
        <v>90</v>
      </c>
      <c r="G1410" t="s">
        <v>32</v>
      </c>
      <c r="H1410" s="2">
        <v>40</v>
      </c>
      <c r="I1410">
        <v>195</v>
      </c>
      <c r="J1410" s="3">
        <v>7800</v>
      </c>
      <c r="K1410" s="4">
        <v>2340</v>
      </c>
      <c r="L1410" t="s">
        <v>36</v>
      </c>
    </row>
    <row r="1411" spans="1:12" x14ac:dyDescent="0.35">
      <c r="A1411" t="s">
        <v>12</v>
      </c>
      <c r="B1411">
        <v>1197831</v>
      </c>
      <c r="C1411" s="1">
        <v>44128</v>
      </c>
      <c r="D1411" t="s">
        <v>19</v>
      </c>
      <c r="E1411" t="s">
        <v>59</v>
      </c>
      <c r="F1411" t="s">
        <v>60</v>
      </c>
      <c r="G1411" t="s">
        <v>70</v>
      </c>
      <c r="H1411" s="2">
        <v>42</v>
      </c>
      <c r="I1411">
        <v>195</v>
      </c>
      <c r="J1411">
        <v>819</v>
      </c>
      <c r="K1411" s="4">
        <v>369</v>
      </c>
      <c r="L1411" t="s">
        <v>17</v>
      </c>
    </row>
    <row r="1412" spans="1:12" x14ac:dyDescent="0.35">
      <c r="A1412" t="s">
        <v>63</v>
      </c>
      <c r="B1412">
        <v>1189833</v>
      </c>
      <c r="C1412" s="1">
        <v>44269</v>
      </c>
      <c r="D1412" t="s">
        <v>48</v>
      </c>
      <c r="E1412" t="s">
        <v>66</v>
      </c>
      <c r="F1412" t="s">
        <v>76</v>
      </c>
      <c r="G1412" t="s">
        <v>39</v>
      </c>
      <c r="H1412" s="2">
        <v>43</v>
      </c>
      <c r="I1412">
        <v>195</v>
      </c>
      <c r="J1412">
        <v>839</v>
      </c>
      <c r="K1412" s="4">
        <v>335</v>
      </c>
      <c r="L1412" t="s">
        <v>17</v>
      </c>
    </row>
    <row r="1413" spans="1:12" x14ac:dyDescent="0.35">
      <c r="A1413" t="s">
        <v>63</v>
      </c>
      <c r="B1413">
        <v>1189833</v>
      </c>
      <c r="C1413" s="1">
        <v>44275</v>
      </c>
      <c r="D1413" t="s">
        <v>48</v>
      </c>
      <c r="E1413" t="s">
        <v>66</v>
      </c>
      <c r="F1413" t="s">
        <v>76</v>
      </c>
      <c r="G1413" t="s">
        <v>39</v>
      </c>
      <c r="H1413" s="2">
        <v>41</v>
      </c>
      <c r="I1413">
        <v>195</v>
      </c>
      <c r="J1413">
        <v>800</v>
      </c>
      <c r="K1413" s="4">
        <v>280</v>
      </c>
      <c r="L1413" t="s">
        <v>17</v>
      </c>
    </row>
    <row r="1414" spans="1:12" x14ac:dyDescent="0.35">
      <c r="A1414" t="s">
        <v>23</v>
      </c>
      <c r="B1414">
        <v>1197831</v>
      </c>
      <c r="C1414" s="1">
        <v>44443</v>
      </c>
      <c r="D1414" t="s">
        <v>19</v>
      </c>
      <c r="E1414" t="s">
        <v>59</v>
      </c>
      <c r="F1414" t="s">
        <v>68</v>
      </c>
      <c r="G1414" t="s">
        <v>26</v>
      </c>
      <c r="H1414" s="2">
        <v>19</v>
      </c>
      <c r="I1414">
        <v>195</v>
      </c>
      <c r="J1414">
        <v>371</v>
      </c>
      <c r="K1414" s="4">
        <v>185</v>
      </c>
      <c r="L1414" t="s">
        <v>17</v>
      </c>
    </row>
    <row r="1415" spans="1:12" x14ac:dyDescent="0.35">
      <c r="A1415" t="s">
        <v>18</v>
      </c>
      <c r="B1415">
        <v>1128299</v>
      </c>
      <c r="C1415" s="1">
        <v>44007</v>
      </c>
      <c r="D1415" t="s">
        <v>48</v>
      </c>
      <c r="E1415" t="s">
        <v>97</v>
      </c>
      <c r="F1415" t="s">
        <v>98</v>
      </c>
      <c r="G1415" t="s">
        <v>26</v>
      </c>
      <c r="H1415" s="2">
        <v>71</v>
      </c>
      <c r="I1415">
        <v>195</v>
      </c>
      <c r="J1415" s="3">
        <v>1385</v>
      </c>
      <c r="K1415" s="4">
        <v>581</v>
      </c>
      <c r="L1415" t="s">
        <v>17</v>
      </c>
    </row>
    <row r="1416" spans="1:12" x14ac:dyDescent="0.35">
      <c r="A1416" t="s">
        <v>18</v>
      </c>
      <c r="B1416">
        <v>1128299</v>
      </c>
      <c r="C1416" s="1">
        <v>44044</v>
      </c>
      <c r="D1416" t="s">
        <v>48</v>
      </c>
      <c r="E1416" t="s">
        <v>97</v>
      </c>
      <c r="F1416" t="s">
        <v>98</v>
      </c>
      <c r="G1416" t="s">
        <v>39</v>
      </c>
      <c r="H1416" s="2">
        <v>77</v>
      </c>
      <c r="I1416">
        <v>195</v>
      </c>
      <c r="J1416" s="3">
        <v>1502</v>
      </c>
      <c r="K1416" s="4">
        <v>571</v>
      </c>
      <c r="L1416" t="s">
        <v>17</v>
      </c>
    </row>
    <row r="1417" spans="1:12" x14ac:dyDescent="0.35">
      <c r="A1417" t="s">
        <v>42</v>
      </c>
      <c r="B1417">
        <v>1185732</v>
      </c>
      <c r="C1417" s="1">
        <v>44053</v>
      </c>
      <c r="D1417" t="s">
        <v>13</v>
      </c>
      <c r="E1417" t="s">
        <v>14</v>
      </c>
      <c r="F1417" t="s">
        <v>73</v>
      </c>
      <c r="G1417" t="s">
        <v>70</v>
      </c>
      <c r="H1417" s="2">
        <v>50</v>
      </c>
      <c r="I1417">
        <v>195</v>
      </c>
      <c r="J1417">
        <v>975</v>
      </c>
      <c r="K1417" s="4">
        <v>488</v>
      </c>
      <c r="L1417" t="s">
        <v>17</v>
      </c>
    </row>
    <row r="1418" spans="1:12" x14ac:dyDescent="0.35">
      <c r="A1418" t="s">
        <v>42</v>
      </c>
      <c r="B1418">
        <v>1185732</v>
      </c>
      <c r="C1418" s="1">
        <v>44056</v>
      </c>
      <c r="D1418" t="s">
        <v>13</v>
      </c>
      <c r="E1418" t="s">
        <v>14</v>
      </c>
      <c r="F1418" t="s">
        <v>73</v>
      </c>
      <c r="G1418" t="s">
        <v>39</v>
      </c>
      <c r="H1418" s="2">
        <v>43</v>
      </c>
      <c r="I1418">
        <v>195</v>
      </c>
      <c r="J1418">
        <v>839</v>
      </c>
      <c r="K1418" s="4">
        <v>411</v>
      </c>
      <c r="L1418" t="s">
        <v>17</v>
      </c>
    </row>
    <row r="1419" spans="1:12" x14ac:dyDescent="0.35">
      <c r="A1419" t="s">
        <v>23</v>
      </c>
      <c r="B1419">
        <v>1185732</v>
      </c>
      <c r="C1419" s="1">
        <v>44113</v>
      </c>
      <c r="D1419" t="s">
        <v>13</v>
      </c>
      <c r="E1419" t="s">
        <v>14</v>
      </c>
      <c r="F1419" t="s">
        <v>73</v>
      </c>
      <c r="G1419" t="s">
        <v>70</v>
      </c>
      <c r="H1419" s="2">
        <v>64</v>
      </c>
      <c r="I1419">
        <v>195</v>
      </c>
      <c r="J1419" s="3">
        <v>1248</v>
      </c>
      <c r="K1419" s="4">
        <v>624</v>
      </c>
      <c r="L1419" t="s">
        <v>17</v>
      </c>
    </row>
    <row r="1420" spans="1:12" x14ac:dyDescent="0.35">
      <c r="A1420" t="s">
        <v>23</v>
      </c>
      <c r="B1420">
        <v>1197831</v>
      </c>
      <c r="C1420" s="1">
        <v>44427</v>
      </c>
      <c r="D1420" t="s">
        <v>19</v>
      </c>
      <c r="E1420" t="s">
        <v>24</v>
      </c>
      <c r="F1420" t="s">
        <v>25</v>
      </c>
      <c r="G1420" t="s">
        <v>26</v>
      </c>
      <c r="H1420" s="2">
        <v>19</v>
      </c>
      <c r="I1420">
        <v>195</v>
      </c>
      <c r="J1420">
        <v>371</v>
      </c>
      <c r="K1420" s="4">
        <v>215</v>
      </c>
      <c r="L1420" t="s">
        <v>17</v>
      </c>
    </row>
    <row r="1421" spans="1:12" x14ac:dyDescent="0.35">
      <c r="A1421" t="s">
        <v>12</v>
      </c>
      <c r="B1421">
        <v>1128299</v>
      </c>
      <c r="C1421" s="1">
        <v>44393</v>
      </c>
      <c r="D1421" t="s">
        <v>13</v>
      </c>
      <c r="E1421" t="s">
        <v>14</v>
      </c>
      <c r="F1421" t="s">
        <v>15</v>
      </c>
      <c r="G1421" t="s">
        <v>70</v>
      </c>
      <c r="H1421" s="2">
        <v>89</v>
      </c>
      <c r="I1421">
        <v>195</v>
      </c>
      <c r="J1421" s="3">
        <v>1736</v>
      </c>
      <c r="K1421" s="4">
        <v>555</v>
      </c>
      <c r="L1421" t="s">
        <v>17</v>
      </c>
    </row>
    <row r="1422" spans="1:12" x14ac:dyDescent="0.35">
      <c r="A1422" t="s">
        <v>42</v>
      </c>
      <c r="B1422">
        <v>1128299</v>
      </c>
      <c r="C1422" s="1">
        <v>44371</v>
      </c>
      <c r="D1422" t="s">
        <v>13</v>
      </c>
      <c r="E1422" t="s">
        <v>99</v>
      </c>
      <c r="F1422" t="s">
        <v>100</v>
      </c>
      <c r="G1422" t="s">
        <v>32</v>
      </c>
      <c r="H1422" s="2">
        <v>73</v>
      </c>
      <c r="I1422">
        <v>195</v>
      </c>
      <c r="J1422" s="3">
        <v>1424</v>
      </c>
      <c r="K1422" s="4">
        <v>683</v>
      </c>
      <c r="L1422" t="s">
        <v>17</v>
      </c>
    </row>
    <row r="1423" spans="1:12" x14ac:dyDescent="0.35">
      <c r="A1423" t="s">
        <v>23</v>
      </c>
      <c r="B1423">
        <v>1185732</v>
      </c>
      <c r="C1423" s="1">
        <v>44424</v>
      </c>
      <c r="D1423" t="s">
        <v>33</v>
      </c>
      <c r="E1423" t="s">
        <v>45</v>
      </c>
      <c r="F1423" t="s">
        <v>46</v>
      </c>
      <c r="G1423" t="s">
        <v>39</v>
      </c>
      <c r="H1423" s="2">
        <v>50</v>
      </c>
      <c r="I1423">
        <v>195</v>
      </c>
      <c r="J1423">
        <v>975</v>
      </c>
      <c r="K1423" s="4">
        <v>488</v>
      </c>
      <c r="L1423" t="s">
        <v>17</v>
      </c>
    </row>
    <row r="1424" spans="1:12" x14ac:dyDescent="0.35">
      <c r="A1424" t="s">
        <v>18</v>
      </c>
      <c r="B1424">
        <v>1128299</v>
      </c>
      <c r="C1424" s="1">
        <v>44432</v>
      </c>
      <c r="D1424" t="s">
        <v>48</v>
      </c>
      <c r="E1424" t="s">
        <v>85</v>
      </c>
      <c r="F1424" t="s">
        <v>86</v>
      </c>
      <c r="G1424" t="s">
        <v>32</v>
      </c>
      <c r="H1424" s="2">
        <v>68</v>
      </c>
      <c r="I1424">
        <v>195</v>
      </c>
      <c r="J1424" s="3">
        <v>1326</v>
      </c>
      <c r="K1424" s="4">
        <v>650</v>
      </c>
      <c r="L1424" t="s">
        <v>17</v>
      </c>
    </row>
    <row r="1425" spans="1:12" x14ac:dyDescent="0.35">
      <c r="A1425" t="s">
        <v>18</v>
      </c>
      <c r="B1425">
        <v>1128299</v>
      </c>
      <c r="C1425" s="1">
        <v>44524</v>
      </c>
      <c r="D1425" t="s">
        <v>48</v>
      </c>
      <c r="E1425" t="s">
        <v>85</v>
      </c>
      <c r="F1425" t="s">
        <v>86</v>
      </c>
      <c r="G1425" t="s">
        <v>39</v>
      </c>
      <c r="H1425" s="2">
        <v>48</v>
      </c>
      <c r="I1425">
        <v>195</v>
      </c>
      <c r="J1425">
        <v>936</v>
      </c>
      <c r="K1425" s="4">
        <v>468</v>
      </c>
      <c r="L1425" t="s">
        <v>17</v>
      </c>
    </row>
    <row r="1426" spans="1:12" x14ac:dyDescent="0.35">
      <c r="A1426" t="s">
        <v>18</v>
      </c>
      <c r="B1426">
        <v>1128299</v>
      </c>
      <c r="C1426" s="1">
        <v>44364</v>
      </c>
      <c r="D1426" t="s">
        <v>19</v>
      </c>
      <c r="E1426" t="s">
        <v>20</v>
      </c>
      <c r="F1426" t="s">
        <v>21</v>
      </c>
      <c r="G1426" t="s">
        <v>16</v>
      </c>
      <c r="H1426" s="2">
        <v>100</v>
      </c>
      <c r="I1426">
        <v>195</v>
      </c>
      <c r="J1426" s="3">
        <v>1950</v>
      </c>
      <c r="K1426" s="4">
        <v>936</v>
      </c>
      <c r="L1426" t="s">
        <v>17</v>
      </c>
    </row>
    <row r="1427" spans="1:12" x14ac:dyDescent="0.35">
      <c r="A1427" t="s">
        <v>18</v>
      </c>
      <c r="B1427">
        <v>1197831</v>
      </c>
      <c r="C1427" s="1">
        <v>44291</v>
      </c>
      <c r="D1427" t="s">
        <v>48</v>
      </c>
      <c r="E1427" t="s">
        <v>79</v>
      </c>
      <c r="F1427" t="s">
        <v>80</v>
      </c>
      <c r="G1427" t="s">
        <v>26</v>
      </c>
      <c r="H1427" s="2">
        <v>19</v>
      </c>
      <c r="I1427">
        <v>195</v>
      </c>
      <c r="J1427">
        <v>371</v>
      </c>
      <c r="K1427" s="4">
        <v>174</v>
      </c>
      <c r="L1427" t="s">
        <v>17</v>
      </c>
    </row>
    <row r="1428" spans="1:12" x14ac:dyDescent="0.35">
      <c r="A1428" t="s">
        <v>18</v>
      </c>
      <c r="B1428">
        <v>1197831</v>
      </c>
      <c r="C1428" s="1">
        <v>44291</v>
      </c>
      <c r="D1428" t="s">
        <v>48</v>
      </c>
      <c r="E1428" t="s">
        <v>79</v>
      </c>
      <c r="F1428" t="s">
        <v>80</v>
      </c>
      <c r="G1428" t="s">
        <v>39</v>
      </c>
      <c r="H1428" s="2">
        <v>29</v>
      </c>
      <c r="I1428">
        <v>195</v>
      </c>
      <c r="J1428">
        <v>566</v>
      </c>
      <c r="K1428" s="4">
        <v>271</v>
      </c>
      <c r="L1428" t="s">
        <v>17</v>
      </c>
    </row>
    <row r="1429" spans="1:12" x14ac:dyDescent="0.35">
      <c r="A1429" t="s">
        <v>18</v>
      </c>
      <c r="B1429">
        <v>1197831</v>
      </c>
      <c r="C1429" s="1">
        <v>44351</v>
      </c>
      <c r="D1429" t="s">
        <v>48</v>
      </c>
      <c r="E1429" t="s">
        <v>79</v>
      </c>
      <c r="F1429" t="s">
        <v>80</v>
      </c>
      <c r="G1429" t="s">
        <v>26</v>
      </c>
      <c r="H1429" s="2">
        <v>42</v>
      </c>
      <c r="I1429">
        <v>195</v>
      </c>
      <c r="J1429">
        <v>819</v>
      </c>
      <c r="K1429" s="4">
        <v>401</v>
      </c>
      <c r="L1429" t="s">
        <v>17</v>
      </c>
    </row>
    <row r="1430" spans="1:12" x14ac:dyDescent="0.35">
      <c r="A1430" t="s">
        <v>42</v>
      </c>
      <c r="B1430">
        <v>1197831</v>
      </c>
      <c r="C1430" s="1">
        <v>44416</v>
      </c>
      <c r="D1430" t="s">
        <v>48</v>
      </c>
      <c r="E1430" t="s">
        <v>79</v>
      </c>
      <c r="F1430" t="s">
        <v>80</v>
      </c>
      <c r="G1430" t="s">
        <v>39</v>
      </c>
      <c r="H1430" s="2">
        <v>53</v>
      </c>
      <c r="I1430">
        <v>195</v>
      </c>
      <c r="J1430" s="3">
        <v>1034</v>
      </c>
      <c r="K1430" s="4">
        <v>548</v>
      </c>
      <c r="L1430" t="s">
        <v>17</v>
      </c>
    </row>
    <row r="1431" spans="1:12" x14ac:dyDescent="0.35">
      <c r="A1431" t="s">
        <v>42</v>
      </c>
      <c r="B1431">
        <v>1185732</v>
      </c>
      <c r="C1431" s="1">
        <v>44354</v>
      </c>
      <c r="D1431" t="s">
        <v>13</v>
      </c>
      <c r="E1431" t="s">
        <v>69</v>
      </c>
      <c r="F1431" t="s">
        <v>65</v>
      </c>
      <c r="G1431" t="s">
        <v>70</v>
      </c>
      <c r="H1431" s="2">
        <v>62</v>
      </c>
      <c r="I1431">
        <v>195</v>
      </c>
      <c r="J1431" s="3">
        <v>1209</v>
      </c>
      <c r="K1431" s="4">
        <v>544</v>
      </c>
      <c r="L1431" t="s">
        <v>17</v>
      </c>
    </row>
    <row r="1432" spans="1:12" x14ac:dyDescent="0.35">
      <c r="A1432" t="s">
        <v>23</v>
      </c>
      <c r="B1432">
        <v>1185732</v>
      </c>
      <c r="C1432" s="1">
        <v>44503</v>
      </c>
      <c r="D1432" t="s">
        <v>13</v>
      </c>
      <c r="E1432" t="s">
        <v>77</v>
      </c>
      <c r="F1432" t="s">
        <v>78</v>
      </c>
      <c r="G1432" t="s">
        <v>39</v>
      </c>
      <c r="H1432" s="2">
        <v>32</v>
      </c>
      <c r="I1432">
        <v>195</v>
      </c>
      <c r="J1432">
        <v>624</v>
      </c>
      <c r="K1432" s="4">
        <v>293</v>
      </c>
      <c r="L1432" t="s">
        <v>17</v>
      </c>
    </row>
    <row r="1433" spans="1:12" x14ac:dyDescent="0.35">
      <c r="A1433" t="s">
        <v>51</v>
      </c>
      <c r="B1433">
        <v>1185732</v>
      </c>
      <c r="C1433" s="1">
        <v>44386</v>
      </c>
      <c r="D1433" t="s">
        <v>33</v>
      </c>
      <c r="E1433" t="s">
        <v>52</v>
      </c>
      <c r="F1433" t="s">
        <v>53</v>
      </c>
      <c r="G1433" t="s">
        <v>39</v>
      </c>
      <c r="H1433" s="2">
        <v>56</v>
      </c>
      <c r="I1433">
        <v>195</v>
      </c>
      <c r="J1433" s="3">
        <v>1092</v>
      </c>
      <c r="K1433" s="4">
        <v>513</v>
      </c>
      <c r="L1433" t="s">
        <v>17</v>
      </c>
    </row>
    <row r="1434" spans="1:12" x14ac:dyDescent="0.35">
      <c r="A1434" t="s">
        <v>51</v>
      </c>
      <c r="B1434">
        <v>1185732</v>
      </c>
      <c r="C1434" s="1">
        <v>44418</v>
      </c>
      <c r="D1434" t="s">
        <v>33</v>
      </c>
      <c r="E1434" t="s">
        <v>52</v>
      </c>
      <c r="F1434" t="s">
        <v>53</v>
      </c>
      <c r="G1434" t="s">
        <v>39</v>
      </c>
      <c r="H1434" s="2">
        <v>58</v>
      </c>
      <c r="I1434">
        <v>195</v>
      </c>
      <c r="J1434" s="3">
        <v>1131</v>
      </c>
      <c r="K1434" s="4">
        <v>520</v>
      </c>
      <c r="L1434" t="s">
        <v>17</v>
      </c>
    </row>
    <row r="1435" spans="1:12" x14ac:dyDescent="0.35">
      <c r="A1435" t="s">
        <v>12</v>
      </c>
      <c r="B1435">
        <v>1197831</v>
      </c>
      <c r="C1435" s="1">
        <v>44128</v>
      </c>
      <c r="D1435" t="s">
        <v>19</v>
      </c>
      <c r="E1435" t="s">
        <v>59</v>
      </c>
      <c r="F1435" t="s">
        <v>60</v>
      </c>
      <c r="G1435" t="s">
        <v>70</v>
      </c>
      <c r="H1435" s="2">
        <v>30</v>
      </c>
      <c r="I1435">
        <v>195</v>
      </c>
      <c r="J1435">
        <v>585</v>
      </c>
      <c r="K1435" s="4">
        <v>187</v>
      </c>
      <c r="L1435" t="s">
        <v>27</v>
      </c>
    </row>
    <row r="1436" spans="1:12" x14ac:dyDescent="0.35">
      <c r="A1436" t="s">
        <v>63</v>
      </c>
      <c r="B1436">
        <v>1189833</v>
      </c>
      <c r="C1436" s="1">
        <v>44326</v>
      </c>
      <c r="D1436" t="s">
        <v>48</v>
      </c>
      <c r="E1436" t="s">
        <v>66</v>
      </c>
      <c r="F1436" t="s">
        <v>76</v>
      </c>
      <c r="G1436" t="s">
        <v>56</v>
      </c>
      <c r="H1436" s="2">
        <v>39</v>
      </c>
      <c r="I1436">
        <v>195</v>
      </c>
      <c r="J1436">
        <v>761</v>
      </c>
      <c r="K1436" s="4">
        <v>304</v>
      </c>
      <c r="L1436" t="s">
        <v>27</v>
      </c>
    </row>
    <row r="1437" spans="1:12" x14ac:dyDescent="0.35">
      <c r="A1437" t="s">
        <v>63</v>
      </c>
      <c r="B1437">
        <v>1189833</v>
      </c>
      <c r="C1437" s="1">
        <v>44327</v>
      </c>
      <c r="D1437" t="s">
        <v>48</v>
      </c>
      <c r="E1437" t="s">
        <v>66</v>
      </c>
      <c r="F1437" t="s">
        <v>76</v>
      </c>
      <c r="G1437" t="s">
        <v>70</v>
      </c>
      <c r="H1437" s="2">
        <v>44</v>
      </c>
      <c r="I1437">
        <v>195</v>
      </c>
      <c r="J1437">
        <v>858</v>
      </c>
      <c r="K1437" s="4">
        <v>532</v>
      </c>
      <c r="L1437" t="s">
        <v>27</v>
      </c>
    </row>
    <row r="1438" spans="1:12" x14ac:dyDescent="0.35">
      <c r="A1438" t="s">
        <v>23</v>
      </c>
      <c r="B1438">
        <v>1197831</v>
      </c>
      <c r="C1438" s="1">
        <v>44278</v>
      </c>
      <c r="D1438" t="s">
        <v>19</v>
      </c>
      <c r="E1438" t="s">
        <v>74</v>
      </c>
      <c r="F1438" t="s">
        <v>75</v>
      </c>
      <c r="G1438" t="s">
        <v>39</v>
      </c>
      <c r="H1438" s="2">
        <v>31</v>
      </c>
      <c r="I1438">
        <v>195</v>
      </c>
      <c r="J1438">
        <v>605</v>
      </c>
      <c r="K1438" s="4">
        <v>284</v>
      </c>
      <c r="L1438" t="s">
        <v>27</v>
      </c>
    </row>
    <row r="1439" spans="1:12" x14ac:dyDescent="0.35">
      <c r="A1439" t="s">
        <v>12</v>
      </c>
      <c r="B1439">
        <v>1128299</v>
      </c>
      <c r="C1439" s="1">
        <v>44393</v>
      </c>
      <c r="D1439" t="s">
        <v>13</v>
      </c>
      <c r="E1439" t="s">
        <v>14</v>
      </c>
      <c r="F1439" t="s">
        <v>15</v>
      </c>
      <c r="G1439" t="s">
        <v>16</v>
      </c>
      <c r="H1439" s="2">
        <v>75</v>
      </c>
      <c r="I1439">
        <v>195</v>
      </c>
      <c r="J1439" s="3">
        <v>1463</v>
      </c>
      <c r="K1439" s="4">
        <v>687</v>
      </c>
      <c r="L1439" t="s">
        <v>27</v>
      </c>
    </row>
    <row r="1440" spans="1:12" x14ac:dyDescent="0.35">
      <c r="A1440" t="s">
        <v>23</v>
      </c>
      <c r="B1440">
        <v>1185732</v>
      </c>
      <c r="C1440" s="1">
        <v>44380</v>
      </c>
      <c r="D1440" t="s">
        <v>43</v>
      </c>
      <c r="E1440" t="s">
        <v>108</v>
      </c>
      <c r="F1440" t="s">
        <v>109</v>
      </c>
      <c r="G1440" t="s">
        <v>26</v>
      </c>
      <c r="H1440" s="2">
        <v>42</v>
      </c>
      <c r="I1440">
        <v>195</v>
      </c>
      <c r="J1440">
        <v>819</v>
      </c>
      <c r="K1440" s="4">
        <v>369</v>
      </c>
      <c r="L1440" t="s">
        <v>27</v>
      </c>
    </row>
    <row r="1441" spans="1:12" x14ac:dyDescent="0.35">
      <c r="A1441" t="s">
        <v>51</v>
      </c>
      <c r="B1441">
        <v>1185732</v>
      </c>
      <c r="C1441" s="1">
        <v>44359</v>
      </c>
      <c r="D1441" t="s">
        <v>43</v>
      </c>
      <c r="E1441" t="s">
        <v>125</v>
      </c>
      <c r="F1441" t="s">
        <v>126</v>
      </c>
      <c r="G1441" t="s">
        <v>26</v>
      </c>
      <c r="H1441" s="2">
        <v>47</v>
      </c>
      <c r="I1441">
        <v>195</v>
      </c>
      <c r="J1441">
        <v>917</v>
      </c>
      <c r="K1441" s="4">
        <v>449</v>
      </c>
      <c r="L1441" t="s">
        <v>27</v>
      </c>
    </row>
    <row r="1442" spans="1:12" x14ac:dyDescent="0.35">
      <c r="A1442" t="s">
        <v>18</v>
      </c>
      <c r="B1442">
        <v>1128299</v>
      </c>
      <c r="C1442" s="1">
        <v>44137</v>
      </c>
      <c r="D1442" t="s">
        <v>19</v>
      </c>
      <c r="E1442" t="s">
        <v>59</v>
      </c>
      <c r="F1442" t="s">
        <v>60</v>
      </c>
      <c r="G1442" t="s">
        <v>39</v>
      </c>
      <c r="H1442" s="2">
        <v>49</v>
      </c>
      <c r="I1442">
        <v>194</v>
      </c>
      <c r="J1442">
        <v>951</v>
      </c>
      <c r="K1442" s="4">
        <v>295</v>
      </c>
      <c r="L1442" t="s">
        <v>17</v>
      </c>
    </row>
    <row r="1443" spans="1:12" x14ac:dyDescent="0.35">
      <c r="A1443" t="s">
        <v>18</v>
      </c>
      <c r="B1443">
        <v>1128299</v>
      </c>
      <c r="C1443" s="1">
        <v>44241</v>
      </c>
      <c r="D1443" t="s">
        <v>48</v>
      </c>
      <c r="E1443" t="s">
        <v>66</v>
      </c>
      <c r="F1443" t="s">
        <v>67</v>
      </c>
      <c r="G1443" t="s">
        <v>56</v>
      </c>
      <c r="H1443" s="2">
        <v>51</v>
      </c>
      <c r="I1443">
        <v>194</v>
      </c>
      <c r="J1443">
        <v>989</v>
      </c>
      <c r="K1443" s="4">
        <v>396</v>
      </c>
      <c r="L1443" t="s">
        <v>17</v>
      </c>
    </row>
    <row r="1444" spans="1:12" x14ac:dyDescent="0.35">
      <c r="A1444" t="s">
        <v>23</v>
      </c>
      <c r="B1444">
        <v>1197831</v>
      </c>
      <c r="C1444" s="1">
        <v>44444</v>
      </c>
      <c r="D1444" t="s">
        <v>19</v>
      </c>
      <c r="E1444" t="s">
        <v>59</v>
      </c>
      <c r="F1444" t="s">
        <v>68</v>
      </c>
      <c r="G1444" t="s">
        <v>39</v>
      </c>
      <c r="H1444" s="2">
        <v>29</v>
      </c>
      <c r="I1444">
        <v>194</v>
      </c>
      <c r="J1444">
        <v>563</v>
      </c>
      <c r="K1444" s="4">
        <v>276</v>
      </c>
      <c r="L1444" t="s">
        <v>17</v>
      </c>
    </row>
    <row r="1445" spans="1:12" x14ac:dyDescent="0.35">
      <c r="A1445" t="s">
        <v>18</v>
      </c>
      <c r="B1445">
        <v>1185732</v>
      </c>
      <c r="C1445" s="1">
        <v>43945</v>
      </c>
      <c r="D1445" t="s">
        <v>13</v>
      </c>
      <c r="E1445" t="s">
        <v>14</v>
      </c>
      <c r="F1445" t="s">
        <v>73</v>
      </c>
      <c r="G1445" t="s">
        <v>39</v>
      </c>
      <c r="H1445" s="2">
        <v>54</v>
      </c>
      <c r="I1445">
        <v>194</v>
      </c>
      <c r="J1445" s="3">
        <v>1048</v>
      </c>
      <c r="K1445" s="4">
        <v>524</v>
      </c>
      <c r="L1445" t="s">
        <v>17</v>
      </c>
    </row>
    <row r="1446" spans="1:12" x14ac:dyDescent="0.35">
      <c r="A1446" t="s">
        <v>18</v>
      </c>
      <c r="B1446">
        <v>1185732</v>
      </c>
      <c r="C1446" s="1">
        <v>44385</v>
      </c>
      <c r="D1446" t="s">
        <v>43</v>
      </c>
      <c r="E1446" t="s">
        <v>44</v>
      </c>
      <c r="F1446" t="s">
        <v>101</v>
      </c>
      <c r="G1446" t="s">
        <v>16</v>
      </c>
      <c r="H1446" s="2">
        <v>66</v>
      </c>
      <c r="I1446">
        <v>194</v>
      </c>
      <c r="J1446" s="3">
        <v>1280</v>
      </c>
      <c r="K1446" s="4">
        <v>832</v>
      </c>
      <c r="L1446" t="s">
        <v>17</v>
      </c>
    </row>
    <row r="1447" spans="1:12" x14ac:dyDescent="0.35">
      <c r="A1447" t="s">
        <v>23</v>
      </c>
      <c r="B1447">
        <v>1185732</v>
      </c>
      <c r="C1447" s="1">
        <v>44535</v>
      </c>
      <c r="D1447" t="s">
        <v>13</v>
      </c>
      <c r="E1447" t="s">
        <v>69</v>
      </c>
      <c r="F1447" t="s">
        <v>65</v>
      </c>
      <c r="G1447" t="s">
        <v>56</v>
      </c>
      <c r="H1447" s="2">
        <v>59</v>
      </c>
      <c r="I1447">
        <v>194</v>
      </c>
      <c r="J1447" s="3">
        <v>1145</v>
      </c>
      <c r="K1447" s="4">
        <v>515</v>
      </c>
      <c r="L1447" t="s">
        <v>17</v>
      </c>
    </row>
    <row r="1448" spans="1:12" x14ac:dyDescent="0.35">
      <c r="A1448" t="s">
        <v>51</v>
      </c>
      <c r="B1448">
        <v>1185732</v>
      </c>
      <c r="C1448" s="1">
        <v>44209</v>
      </c>
      <c r="D1448" t="s">
        <v>13</v>
      </c>
      <c r="E1448" t="s">
        <v>77</v>
      </c>
      <c r="F1448" t="s">
        <v>78</v>
      </c>
      <c r="G1448" t="s">
        <v>26</v>
      </c>
      <c r="H1448" s="2">
        <v>32</v>
      </c>
      <c r="I1448">
        <v>194</v>
      </c>
      <c r="J1448">
        <v>621</v>
      </c>
      <c r="K1448" s="4">
        <v>323</v>
      </c>
      <c r="L1448" t="s">
        <v>17</v>
      </c>
    </row>
    <row r="1449" spans="1:12" x14ac:dyDescent="0.35">
      <c r="A1449" t="s">
        <v>42</v>
      </c>
      <c r="B1449">
        <v>1185732</v>
      </c>
      <c r="C1449" s="1">
        <v>44332</v>
      </c>
      <c r="D1449" t="s">
        <v>19</v>
      </c>
      <c r="E1449" t="s">
        <v>37</v>
      </c>
      <c r="F1449" t="s">
        <v>38</v>
      </c>
      <c r="G1449" t="s">
        <v>26</v>
      </c>
      <c r="H1449" s="2">
        <v>39</v>
      </c>
      <c r="I1449">
        <v>194</v>
      </c>
      <c r="J1449">
        <v>757</v>
      </c>
      <c r="K1449" s="4">
        <v>416</v>
      </c>
      <c r="L1449" t="s">
        <v>17</v>
      </c>
    </row>
    <row r="1450" spans="1:12" x14ac:dyDescent="0.35">
      <c r="A1450" t="s">
        <v>23</v>
      </c>
      <c r="B1450">
        <v>1185732</v>
      </c>
      <c r="C1450" s="1">
        <v>44546</v>
      </c>
      <c r="D1450" t="s">
        <v>19</v>
      </c>
      <c r="E1450" t="s">
        <v>37</v>
      </c>
      <c r="F1450" t="s">
        <v>38</v>
      </c>
      <c r="G1450" t="s">
        <v>26</v>
      </c>
      <c r="H1450" s="2">
        <v>68</v>
      </c>
      <c r="I1450">
        <v>194</v>
      </c>
      <c r="J1450" s="3">
        <v>1319</v>
      </c>
      <c r="K1450" s="4">
        <v>699</v>
      </c>
      <c r="L1450" t="s">
        <v>17</v>
      </c>
    </row>
    <row r="1451" spans="1:12" x14ac:dyDescent="0.35">
      <c r="A1451" t="s">
        <v>63</v>
      </c>
      <c r="B1451">
        <v>1189833</v>
      </c>
      <c r="C1451" s="1">
        <v>44292</v>
      </c>
      <c r="D1451" t="s">
        <v>48</v>
      </c>
      <c r="E1451" t="s">
        <v>66</v>
      </c>
      <c r="F1451" t="s">
        <v>76</v>
      </c>
      <c r="G1451" t="s">
        <v>16</v>
      </c>
      <c r="H1451" s="2">
        <v>33</v>
      </c>
      <c r="I1451">
        <v>194</v>
      </c>
      <c r="J1451">
        <v>640</v>
      </c>
      <c r="K1451" s="4">
        <v>147</v>
      </c>
      <c r="L1451" t="s">
        <v>27</v>
      </c>
    </row>
    <row r="1452" spans="1:12" x14ac:dyDescent="0.35">
      <c r="A1452" t="s">
        <v>63</v>
      </c>
      <c r="B1452">
        <v>1189833</v>
      </c>
      <c r="C1452" s="1">
        <v>44308</v>
      </c>
      <c r="D1452" t="s">
        <v>48</v>
      </c>
      <c r="E1452" t="s">
        <v>66</v>
      </c>
      <c r="F1452" t="s">
        <v>76</v>
      </c>
      <c r="G1452" t="s">
        <v>56</v>
      </c>
      <c r="H1452" s="2">
        <v>32</v>
      </c>
      <c r="I1452">
        <v>194</v>
      </c>
      <c r="J1452">
        <v>621</v>
      </c>
      <c r="K1452" s="4">
        <v>230</v>
      </c>
      <c r="L1452" t="s">
        <v>27</v>
      </c>
    </row>
    <row r="1453" spans="1:12" x14ac:dyDescent="0.35">
      <c r="A1453" t="s">
        <v>23</v>
      </c>
      <c r="B1453">
        <v>1197831</v>
      </c>
      <c r="C1453" s="1">
        <v>44421</v>
      </c>
      <c r="D1453" t="s">
        <v>19</v>
      </c>
      <c r="E1453" t="s">
        <v>24</v>
      </c>
      <c r="F1453" t="s">
        <v>25</v>
      </c>
      <c r="G1453" t="s">
        <v>26</v>
      </c>
      <c r="H1453" s="2">
        <v>23</v>
      </c>
      <c r="I1453">
        <v>194</v>
      </c>
      <c r="J1453">
        <v>446</v>
      </c>
      <c r="K1453" s="4">
        <v>219</v>
      </c>
      <c r="L1453" t="s">
        <v>27</v>
      </c>
    </row>
    <row r="1454" spans="1:12" x14ac:dyDescent="0.35">
      <c r="A1454" t="s">
        <v>23</v>
      </c>
      <c r="B1454">
        <v>1197831</v>
      </c>
      <c r="C1454" s="1">
        <v>44422</v>
      </c>
      <c r="D1454" t="s">
        <v>19</v>
      </c>
      <c r="E1454" t="s">
        <v>24</v>
      </c>
      <c r="F1454" t="s">
        <v>25</v>
      </c>
      <c r="G1454" t="s">
        <v>39</v>
      </c>
      <c r="H1454" s="2">
        <v>32</v>
      </c>
      <c r="I1454">
        <v>194</v>
      </c>
      <c r="J1454">
        <v>621</v>
      </c>
      <c r="K1454" s="4">
        <v>292</v>
      </c>
      <c r="L1454" t="s">
        <v>27</v>
      </c>
    </row>
    <row r="1455" spans="1:12" x14ac:dyDescent="0.35">
      <c r="A1455" t="s">
        <v>18</v>
      </c>
      <c r="B1455">
        <v>1185732</v>
      </c>
      <c r="C1455" s="1">
        <v>44297</v>
      </c>
      <c r="D1455" t="s">
        <v>48</v>
      </c>
      <c r="E1455" t="s">
        <v>49</v>
      </c>
      <c r="F1455" t="s">
        <v>50</v>
      </c>
      <c r="G1455" t="s">
        <v>26</v>
      </c>
      <c r="H1455" s="2">
        <v>20</v>
      </c>
      <c r="I1455">
        <v>194</v>
      </c>
      <c r="J1455">
        <v>388</v>
      </c>
      <c r="K1455" s="4">
        <v>178</v>
      </c>
      <c r="L1455" t="s">
        <v>27</v>
      </c>
    </row>
    <row r="1456" spans="1:12" x14ac:dyDescent="0.35">
      <c r="A1456" t="s">
        <v>42</v>
      </c>
      <c r="B1456">
        <v>1128299</v>
      </c>
      <c r="C1456" s="1">
        <v>44546</v>
      </c>
      <c r="D1456" t="s">
        <v>19</v>
      </c>
      <c r="E1456" t="s">
        <v>20</v>
      </c>
      <c r="F1456" t="s">
        <v>21</v>
      </c>
      <c r="G1456" t="s">
        <v>16</v>
      </c>
      <c r="H1456" s="2">
        <v>59</v>
      </c>
      <c r="I1456">
        <v>194</v>
      </c>
      <c r="J1456" s="3">
        <v>1145</v>
      </c>
      <c r="K1456" s="4">
        <v>458</v>
      </c>
      <c r="L1456" t="s">
        <v>27</v>
      </c>
    </row>
    <row r="1457" spans="1:12" x14ac:dyDescent="0.35">
      <c r="A1457" t="s">
        <v>23</v>
      </c>
      <c r="B1457">
        <v>1197831</v>
      </c>
      <c r="C1457" s="1">
        <v>44505</v>
      </c>
      <c r="D1457" t="s">
        <v>48</v>
      </c>
      <c r="E1457" t="s">
        <v>79</v>
      </c>
      <c r="F1457" t="s">
        <v>80</v>
      </c>
      <c r="G1457" t="s">
        <v>16</v>
      </c>
      <c r="H1457" s="2">
        <v>51</v>
      </c>
      <c r="I1457">
        <v>194</v>
      </c>
      <c r="J1457">
        <v>989</v>
      </c>
      <c r="K1457" s="4">
        <v>584</v>
      </c>
      <c r="L1457" t="s">
        <v>27</v>
      </c>
    </row>
    <row r="1458" spans="1:12" x14ac:dyDescent="0.35">
      <c r="A1458" t="s">
        <v>42</v>
      </c>
      <c r="B1458">
        <v>1128299</v>
      </c>
      <c r="C1458" s="1">
        <v>44370</v>
      </c>
      <c r="D1458" t="s">
        <v>48</v>
      </c>
      <c r="E1458" t="s">
        <v>123</v>
      </c>
      <c r="F1458" t="s">
        <v>124</v>
      </c>
      <c r="G1458" t="s">
        <v>26</v>
      </c>
      <c r="H1458" s="2">
        <v>37</v>
      </c>
      <c r="I1458">
        <v>194</v>
      </c>
      <c r="J1458">
        <v>718</v>
      </c>
      <c r="K1458" s="4">
        <v>280</v>
      </c>
      <c r="L1458" t="s">
        <v>27</v>
      </c>
    </row>
    <row r="1459" spans="1:12" x14ac:dyDescent="0.35">
      <c r="A1459" t="s">
        <v>42</v>
      </c>
      <c r="B1459">
        <v>1128299</v>
      </c>
      <c r="C1459" s="1">
        <v>44431</v>
      </c>
      <c r="D1459" t="s">
        <v>48</v>
      </c>
      <c r="E1459" t="s">
        <v>123</v>
      </c>
      <c r="F1459" t="s">
        <v>124</v>
      </c>
      <c r="G1459" t="s">
        <v>26</v>
      </c>
      <c r="H1459" s="2">
        <v>41</v>
      </c>
      <c r="I1459">
        <v>194</v>
      </c>
      <c r="J1459">
        <v>795</v>
      </c>
      <c r="K1459" s="4">
        <v>318</v>
      </c>
      <c r="L1459" t="s">
        <v>27</v>
      </c>
    </row>
    <row r="1460" spans="1:12" x14ac:dyDescent="0.35">
      <c r="A1460" t="s">
        <v>42</v>
      </c>
      <c r="B1460">
        <v>1128299</v>
      </c>
      <c r="C1460" s="1">
        <v>44552</v>
      </c>
      <c r="D1460" t="s">
        <v>48</v>
      </c>
      <c r="E1460" t="s">
        <v>123</v>
      </c>
      <c r="F1460" t="s">
        <v>124</v>
      </c>
      <c r="G1460" t="s">
        <v>26</v>
      </c>
      <c r="H1460" s="2">
        <v>35</v>
      </c>
      <c r="I1460">
        <v>194</v>
      </c>
      <c r="J1460">
        <v>679</v>
      </c>
      <c r="K1460" s="4">
        <v>272</v>
      </c>
      <c r="L1460" t="s">
        <v>27</v>
      </c>
    </row>
    <row r="1461" spans="1:12" x14ac:dyDescent="0.35">
      <c r="A1461" t="s">
        <v>23</v>
      </c>
      <c r="B1461">
        <v>1185732</v>
      </c>
      <c r="C1461" s="1">
        <v>44412</v>
      </c>
      <c r="D1461" t="s">
        <v>43</v>
      </c>
      <c r="E1461" t="s">
        <v>108</v>
      </c>
      <c r="F1461" t="s">
        <v>109</v>
      </c>
      <c r="G1461" t="s">
        <v>26</v>
      </c>
      <c r="H1461" s="2">
        <v>40</v>
      </c>
      <c r="I1461">
        <v>194</v>
      </c>
      <c r="J1461">
        <v>776</v>
      </c>
      <c r="K1461" s="4">
        <v>326</v>
      </c>
      <c r="L1461" t="s">
        <v>27</v>
      </c>
    </row>
    <row r="1462" spans="1:12" x14ac:dyDescent="0.35">
      <c r="A1462" t="s">
        <v>63</v>
      </c>
      <c r="B1462">
        <v>1189833</v>
      </c>
      <c r="C1462" s="1">
        <v>44302</v>
      </c>
      <c r="D1462" t="s">
        <v>48</v>
      </c>
      <c r="E1462" t="s">
        <v>66</v>
      </c>
      <c r="F1462" t="s">
        <v>76</v>
      </c>
      <c r="G1462" t="s">
        <v>56</v>
      </c>
      <c r="H1462" s="2">
        <v>33</v>
      </c>
      <c r="I1462">
        <v>193</v>
      </c>
      <c r="J1462">
        <v>637</v>
      </c>
      <c r="K1462" s="4">
        <v>242</v>
      </c>
      <c r="L1462" t="s">
        <v>27</v>
      </c>
    </row>
    <row r="1463" spans="1:12" x14ac:dyDescent="0.35">
      <c r="A1463" t="s">
        <v>18</v>
      </c>
      <c r="B1463">
        <v>1128299</v>
      </c>
      <c r="C1463" s="1">
        <v>43887</v>
      </c>
      <c r="D1463" t="s">
        <v>48</v>
      </c>
      <c r="E1463" t="s">
        <v>116</v>
      </c>
      <c r="F1463" t="s">
        <v>117</v>
      </c>
      <c r="G1463" t="s">
        <v>39</v>
      </c>
      <c r="H1463" s="2">
        <v>50</v>
      </c>
      <c r="I1463">
        <v>193</v>
      </c>
      <c r="J1463">
        <v>965</v>
      </c>
      <c r="K1463" s="4">
        <v>241</v>
      </c>
      <c r="L1463" t="s">
        <v>27</v>
      </c>
    </row>
    <row r="1464" spans="1:12" x14ac:dyDescent="0.35">
      <c r="A1464" t="s">
        <v>23</v>
      </c>
      <c r="B1464">
        <v>1197831</v>
      </c>
      <c r="C1464" s="1">
        <v>44478</v>
      </c>
      <c r="D1464" t="s">
        <v>19</v>
      </c>
      <c r="E1464" t="s">
        <v>24</v>
      </c>
      <c r="F1464" t="s">
        <v>25</v>
      </c>
      <c r="G1464" t="s">
        <v>56</v>
      </c>
      <c r="H1464" s="2">
        <v>52</v>
      </c>
      <c r="I1464">
        <v>193</v>
      </c>
      <c r="J1464" s="3">
        <v>1004</v>
      </c>
      <c r="K1464" s="4">
        <v>632</v>
      </c>
      <c r="L1464" t="s">
        <v>27</v>
      </c>
    </row>
    <row r="1465" spans="1:12" x14ac:dyDescent="0.35">
      <c r="A1465" t="s">
        <v>18</v>
      </c>
      <c r="B1465">
        <v>1185732</v>
      </c>
      <c r="C1465" s="1">
        <v>44208</v>
      </c>
      <c r="D1465" t="s">
        <v>13</v>
      </c>
      <c r="E1465" t="s">
        <v>14</v>
      </c>
      <c r="F1465" t="s">
        <v>15</v>
      </c>
      <c r="G1465" t="s">
        <v>70</v>
      </c>
      <c r="H1465" s="2">
        <v>36</v>
      </c>
      <c r="I1465">
        <v>193</v>
      </c>
      <c r="J1465">
        <v>695</v>
      </c>
      <c r="K1465" s="4">
        <v>285</v>
      </c>
      <c r="L1465" t="s">
        <v>27</v>
      </c>
    </row>
    <row r="1466" spans="1:12" x14ac:dyDescent="0.35">
      <c r="A1466" t="s">
        <v>23</v>
      </c>
      <c r="B1466">
        <v>1185732</v>
      </c>
      <c r="C1466" s="1">
        <v>44215</v>
      </c>
      <c r="D1466" t="s">
        <v>13</v>
      </c>
      <c r="E1466" t="s">
        <v>99</v>
      </c>
      <c r="F1466" t="s">
        <v>100</v>
      </c>
      <c r="G1466" t="s">
        <v>16</v>
      </c>
      <c r="H1466" s="2">
        <v>25</v>
      </c>
      <c r="I1466">
        <v>193</v>
      </c>
      <c r="J1466">
        <v>483</v>
      </c>
      <c r="K1466" s="4">
        <v>280</v>
      </c>
      <c r="L1466" t="s">
        <v>27</v>
      </c>
    </row>
    <row r="1467" spans="1:12" x14ac:dyDescent="0.35">
      <c r="A1467" t="s">
        <v>18</v>
      </c>
      <c r="B1467">
        <v>1128299</v>
      </c>
      <c r="C1467" s="1">
        <v>44553</v>
      </c>
      <c r="D1467" t="s">
        <v>48</v>
      </c>
      <c r="E1467" t="s">
        <v>85</v>
      </c>
      <c r="F1467" t="s">
        <v>86</v>
      </c>
      <c r="G1467" t="s">
        <v>32</v>
      </c>
      <c r="H1467" s="2">
        <v>48</v>
      </c>
      <c r="I1467">
        <v>193</v>
      </c>
      <c r="J1467">
        <v>926</v>
      </c>
      <c r="K1467" s="4">
        <v>380</v>
      </c>
      <c r="L1467" t="s">
        <v>27</v>
      </c>
    </row>
    <row r="1468" spans="1:12" x14ac:dyDescent="0.35">
      <c r="A1468" t="s">
        <v>63</v>
      </c>
      <c r="B1468">
        <v>1128299</v>
      </c>
      <c r="C1468" s="1">
        <v>44373</v>
      </c>
      <c r="D1468" t="s">
        <v>48</v>
      </c>
      <c r="E1468" t="s">
        <v>114</v>
      </c>
      <c r="F1468" t="s">
        <v>115</v>
      </c>
      <c r="G1468" t="s">
        <v>32</v>
      </c>
      <c r="H1468" s="2">
        <v>41</v>
      </c>
      <c r="I1468">
        <v>193</v>
      </c>
      <c r="J1468">
        <v>791</v>
      </c>
      <c r="K1468" s="4">
        <v>317</v>
      </c>
      <c r="L1468" t="s">
        <v>27</v>
      </c>
    </row>
    <row r="1469" spans="1:12" x14ac:dyDescent="0.35">
      <c r="A1469" t="s">
        <v>12</v>
      </c>
      <c r="B1469">
        <v>1197831</v>
      </c>
      <c r="C1469" s="1">
        <v>44428</v>
      </c>
      <c r="D1469" t="s">
        <v>19</v>
      </c>
      <c r="E1469" t="s">
        <v>54</v>
      </c>
      <c r="F1469" t="s">
        <v>55</v>
      </c>
      <c r="G1469" t="s">
        <v>16</v>
      </c>
      <c r="H1469" s="2">
        <v>40</v>
      </c>
      <c r="I1469">
        <v>193</v>
      </c>
      <c r="J1469">
        <v>772</v>
      </c>
      <c r="K1469" s="4">
        <v>363</v>
      </c>
      <c r="L1469" t="s">
        <v>27</v>
      </c>
    </row>
    <row r="1470" spans="1:12" x14ac:dyDescent="0.35">
      <c r="A1470" t="s">
        <v>51</v>
      </c>
      <c r="B1470">
        <v>1185732</v>
      </c>
      <c r="C1470" s="1">
        <v>44456</v>
      </c>
      <c r="D1470" t="s">
        <v>43</v>
      </c>
      <c r="E1470" t="s">
        <v>127</v>
      </c>
      <c r="F1470" t="s">
        <v>128</v>
      </c>
      <c r="G1470" t="s">
        <v>26</v>
      </c>
      <c r="H1470" s="2">
        <v>51</v>
      </c>
      <c r="I1470">
        <v>193</v>
      </c>
      <c r="J1470">
        <v>984</v>
      </c>
      <c r="K1470" s="4">
        <v>433</v>
      </c>
      <c r="L1470" t="s">
        <v>27</v>
      </c>
    </row>
    <row r="1471" spans="1:12" x14ac:dyDescent="0.35">
      <c r="A1471" t="s">
        <v>23</v>
      </c>
      <c r="B1471">
        <v>1197831</v>
      </c>
      <c r="C1471" s="1">
        <v>44452</v>
      </c>
      <c r="D1471" t="s">
        <v>19</v>
      </c>
      <c r="E1471" t="s">
        <v>59</v>
      </c>
      <c r="F1471" t="s">
        <v>68</v>
      </c>
      <c r="G1471" t="s">
        <v>56</v>
      </c>
      <c r="H1471" s="2">
        <v>29</v>
      </c>
      <c r="I1471">
        <v>192</v>
      </c>
      <c r="J1471">
        <v>557</v>
      </c>
      <c r="K1471" s="4">
        <v>273</v>
      </c>
      <c r="L1471" t="s">
        <v>27</v>
      </c>
    </row>
    <row r="1472" spans="1:12" x14ac:dyDescent="0.35">
      <c r="A1472" t="s">
        <v>18</v>
      </c>
      <c r="B1472">
        <v>1128299</v>
      </c>
      <c r="C1472" s="1">
        <v>43867</v>
      </c>
      <c r="D1472" t="s">
        <v>48</v>
      </c>
      <c r="E1472" t="s">
        <v>116</v>
      </c>
      <c r="F1472" t="s">
        <v>117</v>
      </c>
      <c r="G1472" t="s">
        <v>16</v>
      </c>
      <c r="H1472" s="2">
        <v>57</v>
      </c>
      <c r="I1472">
        <v>192</v>
      </c>
      <c r="J1472" s="3">
        <v>1094</v>
      </c>
      <c r="K1472" s="4">
        <v>306</v>
      </c>
      <c r="L1472" t="s">
        <v>27</v>
      </c>
    </row>
    <row r="1473" spans="1:12" x14ac:dyDescent="0.35">
      <c r="A1473" t="s">
        <v>23</v>
      </c>
      <c r="B1473">
        <v>1197831</v>
      </c>
      <c r="C1473" s="1">
        <v>44416</v>
      </c>
      <c r="D1473" t="s">
        <v>19</v>
      </c>
      <c r="E1473" t="s">
        <v>24</v>
      </c>
      <c r="F1473" t="s">
        <v>25</v>
      </c>
      <c r="G1473" t="s">
        <v>39</v>
      </c>
      <c r="H1473" s="2">
        <v>26</v>
      </c>
      <c r="I1473">
        <v>192</v>
      </c>
      <c r="J1473">
        <v>499</v>
      </c>
      <c r="K1473" s="4">
        <v>210</v>
      </c>
      <c r="L1473" t="s">
        <v>27</v>
      </c>
    </row>
    <row r="1474" spans="1:12" x14ac:dyDescent="0.35">
      <c r="A1474" t="s">
        <v>42</v>
      </c>
      <c r="B1474">
        <v>1128299</v>
      </c>
      <c r="C1474" s="1">
        <v>44546</v>
      </c>
      <c r="D1474" t="s">
        <v>19</v>
      </c>
      <c r="E1474" t="s">
        <v>20</v>
      </c>
      <c r="F1474" t="s">
        <v>21</v>
      </c>
      <c r="G1474" t="s">
        <v>32</v>
      </c>
      <c r="H1474" s="2">
        <v>53</v>
      </c>
      <c r="I1474">
        <v>192</v>
      </c>
      <c r="J1474" s="3">
        <v>1018</v>
      </c>
      <c r="K1474" s="4">
        <v>438</v>
      </c>
      <c r="L1474" t="s">
        <v>27</v>
      </c>
    </row>
    <row r="1475" spans="1:12" x14ac:dyDescent="0.35">
      <c r="A1475" t="s">
        <v>42</v>
      </c>
      <c r="B1475">
        <v>1128299</v>
      </c>
      <c r="C1475" s="1">
        <v>44546</v>
      </c>
      <c r="D1475" t="s">
        <v>19</v>
      </c>
      <c r="E1475" t="s">
        <v>20</v>
      </c>
      <c r="F1475" t="s">
        <v>21</v>
      </c>
      <c r="G1475" t="s">
        <v>56</v>
      </c>
      <c r="H1475" s="2">
        <v>53</v>
      </c>
      <c r="I1475">
        <v>192</v>
      </c>
      <c r="J1475" s="3">
        <v>1018</v>
      </c>
      <c r="K1475" s="4">
        <v>478</v>
      </c>
      <c r="L1475" t="s">
        <v>27</v>
      </c>
    </row>
    <row r="1476" spans="1:12" x14ac:dyDescent="0.35">
      <c r="A1476" t="s">
        <v>63</v>
      </c>
      <c r="B1476">
        <v>1128299</v>
      </c>
      <c r="C1476" s="1">
        <v>44373</v>
      </c>
      <c r="D1476" t="s">
        <v>48</v>
      </c>
      <c r="E1476" t="s">
        <v>114</v>
      </c>
      <c r="F1476" t="s">
        <v>115</v>
      </c>
      <c r="G1476" t="s">
        <v>16</v>
      </c>
      <c r="H1476" s="2">
        <v>50</v>
      </c>
      <c r="I1476">
        <v>192</v>
      </c>
      <c r="J1476">
        <v>960</v>
      </c>
      <c r="K1476" s="4">
        <v>269</v>
      </c>
      <c r="L1476" t="s">
        <v>27</v>
      </c>
    </row>
    <row r="1477" spans="1:12" x14ac:dyDescent="0.35">
      <c r="A1477" t="s">
        <v>12</v>
      </c>
      <c r="B1477">
        <v>1185732</v>
      </c>
      <c r="C1477" s="1">
        <v>44393</v>
      </c>
      <c r="D1477" t="s">
        <v>19</v>
      </c>
      <c r="E1477" t="s">
        <v>37</v>
      </c>
      <c r="F1477" t="s">
        <v>38</v>
      </c>
      <c r="G1477" t="s">
        <v>39</v>
      </c>
      <c r="H1477" s="2">
        <v>42</v>
      </c>
      <c r="I1477">
        <v>192</v>
      </c>
      <c r="J1477">
        <v>806</v>
      </c>
      <c r="K1477" s="4">
        <v>306</v>
      </c>
      <c r="L1477" t="s">
        <v>27</v>
      </c>
    </row>
    <row r="1478" spans="1:12" x14ac:dyDescent="0.35">
      <c r="A1478" t="s">
        <v>18</v>
      </c>
      <c r="B1478">
        <v>1197831</v>
      </c>
      <c r="C1478" s="1">
        <v>44368</v>
      </c>
      <c r="D1478" t="s">
        <v>19</v>
      </c>
      <c r="E1478" t="s">
        <v>61</v>
      </c>
      <c r="F1478" t="s">
        <v>62</v>
      </c>
      <c r="G1478" t="s">
        <v>26</v>
      </c>
      <c r="H1478" s="2">
        <v>32</v>
      </c>
      <c r="I1478">
        <v>192</v>
      </c>
      <c r="J1478">
        <v>614</v>
      </c>
      <c r="K1478" s="4">
        <v>283</v>
      </c>
      <c r="L1478" t="s">
        <v>27</v>
      </c>
    </row>
    <row r="1479" spans="1:12" x14ac:dyDescent="0.35">
      <c r="A1479" t="s">
        <v>23</v>
      </c>
      <c r="B1479">
        <v>1185732</v>
      </c>
      <c r="C1479" s="1">
        <v>44319</v>
      </c>
      <c r="D1479" t="s">
        <v>43</v>
      </c>
      <c r="E1479" t="s">
        <v>108</v>
      </c>
      <c r="F1479" t="s">
        <v>109</v>
      </c>
      <c r="G1479" t="s">
        <v>26</v>
      </c>
      <c r="H1479" s="2">
        <v>40</v>
      </c>
      <c r="I1479">
        <v>191</v>
      </c>
      <c r="J1479">
        <v>764</v>
      </c>
      <c r="K1479" s="4">
        <v>336</v>
      </c>
      <c r="L1479" t="s">
        <v>27</v>
      </c>
    </row>
    <row r="1480" spans="1:12" x14ac:dyDescent="0.35">
      <c r="A1480" t="s">
        <v>18</v>
      </c>
      <c r="B1480">
        <v>1128299</v>
      </c>
      <c r="C1480" s="1">
        <v>44145</v>
      </c>
      <c r="D1480" t="s">
        <v>48</v>
      </c>
      <c r="E1480" t="s">
        <v>66</v>
      </c>
      <c r="F1480" t="s">
        <v>67</v>
      </c>
      <c r="G1480" t="s">
        <v>56</v>
      </c>
      <c r="H1480" s="2">
        <v>39</v>
      </c>
      <c r="I1480">
        <v>190</v>
      </c>
      <c r="J1480">
        <v>741</v>
      </c>
      <c r="K1480" s="4">
        <v>252</v>
      </c>
      <c r="L1480" t="s">
        <v>27</v>
      </c>
    </row>
    <row r="1481" spans="1:12" x14ac:dyDescent="0.35">
      <c r="A1481" t="s">
        <v>23</v>
      </c>
      <c r="B1481">
        <v>1197831</v>
      </c>
      <c r="C1481" s="1">
        <v>44475</v>
      </c>
      <c r="D1481" t="s">
        <v>19</v>
      </c>
      <c r="E1481" t="s">
        <v>59</v>
      </c>
      <c r="F1481" t="s">
        <v>68</v>
      </c>
      <c r="G1481" t="s">
        <v>32</v>
      </c>
      <c r="H1481" s="2">
        <v>32</v>
      </c>
      <c r="I1481">
        <v>190</v>
      </c>
      <c r="J1481">
        <v>608</v>
      </c>
      <c r="K1481" s="4">
        <v>268</v>
      </c>
      <c r="L1481" t="s">
        <v>27</v>
      </c>
    </row>
    <row r="1482" spans="1:12" x14ac:dyDescent="0.35">
      <c r="A1482" t="s">
        <v>23</v>
      </c>
      <c r="B1482">
        <v>1197831</v>
      </c>
      <c r="C1482" s="1">
        <v>44478</v>
      </c>
      <c r="D1482" t="s">
        <v>19</v>
      </c>
      <c r="E1482" t="s">
        <v>59</v>
      </c>
      <c r="F1482" t="s">
        <v>68</v>
      </c>
      <c r="G1482" t="s">
        <v>16</v>
      </c>
      <c r="H1482" s="2">
        <v>39</v>
      </c>
      <c r="I1482">
        <v>190</v>
      </c>
      <c r="J1482">
        <v>741</v>
      </c>
      <c r="K1482" s="4">
        <v>430</v>
      </c>
      <c r="L1482" t="s">
        <v>27</v>
      </c>
    </row>
    <row r="1483" spans="1:12" x14ac:dyDescent="0.35">
      <c r="A1483" t="s">
        <v>23</v>
      </c>
      <c r="B1483">
        <v>1197831</v>
      </c>
      <c r="C1483" s="1">
        <v>44488</v>
      </c>
      <c r="D1483" t="s">
        <v>19</v>
      </c>
      <c r="E1483" t="s">
        <v>59</v>
      </c>
      <c r="F1483" t="s">
        <v>68</v>
      </c>
      <c r="G1483" t="s">
        <v>56</v>
      </c>
      <c r="H1483" s="2">
        <v>44</v>
      </c>
      <c r="I1483">
        <v>190</v>
      </c>
      <c r="J1483">
        <v>836</v>
      </c>
      <c r="K1483" s="4">
        <v>468</v>
      </c>
      <c r="L1483" t="s">
        <v>27</v>
      </c>
    </row>
    <row r="1484" spans="1:12" x14ac:dyDescent="0.35">
      <c r="A1484" t="s">
        <v>23</v>
      </c>
      <c r="B1484">
        <v>1197831</v>
      </c>
      <c r="C1484" s="1">
        <v>44435</v>
      </c>
      <c r="D1484" t="s">
        <v>19</v>
      </c>
      <c r="E1484" t="s">
        <v>24</v>
      </c>
      <c r="F1484" t="s">
        <v>25</v>
      </c>
      <c r="G1484" t="s">
        <v>32</v>
      </c>
      <c r="H1484" s="2">
        <v>11</v>
      </c>
      <c r="I1484">
        <v>190</v>
      </c>
      <c r="J1484">
        <v>209</v>
      </c>
      <c r="K1484" s="4">
        <v>109</v>
      </c>
      <c r="L1484" t="s">
        <v>27</v>
      </c>
    </row>
    <row r="1485" spans="1:12" x14ac:dyDescent="0.35">
      <c r="A1485" t="s">
        <v>23</v>
      </c>
      <c r="B1485">
        <v>1197831</v>
      </c>
      <c r="C1485" s="1">
        <v>44462</v>
      </c>
      <c r="D1485" t="s">
        <v>19</v>
      </c>
      <c r="E1485" t="s">
        <v>24</v>
      </c>
      <c r="F1485" t="s">
        <v>25</v>
      </c>
      <c r="G1485" t="s">
        <v>16</v>
      </c>
      <c r="H1485" s="2">
        <v>26</v>
      </c>
      <c r="I1485">
        <v>190</v>
      </c>
      <c r="J1485">
        <v>494</v>
      </c>
      <c r="K1485" s="4">
        <v>356</v>
      </c>
      <c r="L1485" t="s">
        <v>27</v>
      </c>
    </row>
    <row r="1486" spans="1:12" x14ac:dyDescent="0.35">
      <c r="A1486" t="s">
        <v>12</v>
      </c>
      <c r="B1486">
        <v>1128299</v>
      </c>
      <c r="C1486" s="1">
        <v>44486</v>
      </c>
      <c r="D1486" t="s">
        <v>13</v>
      </c>
      <c r="E1486" t="s">
        <v>14</v>
      </c>
      <c r="F1486" t="s">
        <v>15</v>
      </c>
      <c r="G1486" t="s">
        <v>39</v>
      </c>
      <c r="H1486" s="2">
        <v>43</v>
      </c>
      <c r="I1486">
        <v>190</v>
      </c>
      <c r="J1486">
        <v>817</v>
      </c>
      <c r="K1486" s="4">
        <v>237</v>
      </c>
      <c r="L1486" t="s">
        <v>27</v>
      </c>
    </row>
    <row r="1487" spans="1:12" x14ac:dyDescent="0.35">
      <c r="A1487" t="s">
        <v>23</v>
      </c>
      <c r="B1487">
        <v>1128299</v>
      </c>
      <c r="C1487" s="1">
        <v>44553</v>
      </c>
      <c r="D1487" t="s">
        <v>13</v>
      </c>
      <c r="E1487" t="s">
        <v>99</v>
      </c>
      <c r="F1487" t="s">
        <v>100</v>
      </c>
      <c r="G1487" t="s">
        <v>16</v>
      </c>
      <c r="H1487" s="2">
        <v>65</v>
      </c>
      <c r="I1487">
        <v>190</v>
      </c>
      <c r="J1487" s="3">
        <v>1235</v>
      </c>
      <c r="K1487" s="4">
        <v>432</v>
      </c>
      <c r="L1487" t="s">
        <v>27</v>
      </c>
    </row>
    <row r="1488" spans="1:12" x14ac:dyDescent="0.35">
      <c r="A1488" t="s">
        <v>18</v>
      </c>
      <c r="B1488">
        <v>1185732</v>
      </c>
      <c r="C1488" s="1">
        <v>44358</v>
      </c>
      <c r="D1488" t="s">
        <v>48</v>
      </c>
      <c r="E1488" t="s">
        <v>49</v>
      </c>
      <c r="F1488" t="s">
        <v>50</v>
      </c>
      <c r="G1488" t="s">
        <v>16</v>
      </c>
      <c r="H1488" s="2">
        <v>32</v>
      </c>
      <c r="I1488">
        <v>190</v>
      </c>
      <c r="J1488">
        <v>608</v>
      </c>
      <c r="K1488" s="4">
        <v>328</v>
      </c>
      <c r="L1488" t="s">
        <v>27</v>
      </c>
    </row>
    <row r="1489" spans="1:12" x14ac:dyDescent="0.35">
      <c r="A1489" t="s">
        <v>18</v>
      </c>
      <c r="B1489">
        <v>1128299</v>
      </c>
      <c r="C1489" s="1">
        <v>44524</v>
      </c>
      <c r="D1489" t="s">
        <v>48</v>
      </c>
      <c r="E1489" t="s">
        <v>85</v>
      </c>
      <c r="F1489" t="s">
        <v>86</v>
      </c>
      <c r="G1489" t="s">
        <v>26</v>
      </c>
      <c r="H1489" s="2">
        <v>34</v>
      </c>
      <c r="I1489">
        <v>190</v>
      </c>
      <c r="J1489">
        <v>646</v>
      </c>
      <c r="K1489" s="4">
        <v>239</v>
      </c>
      <c r="L1489" t="s">
        <v>27</v>
      </c>
    </row>
    <row r="1490" spans="1:12" x14ac:dyDescent="0.35">
      <c r="A1490" t="s">
        <v>23</v>
      </c>
      <c r="B1490">
        <v>1197831</v>
      </c>
      <c r="C1490" s="1">
        <v>44473</v>
      </c>
      <c r="D1490" t="s">
        <v>48</v>
      </c>
      <c r="E1490" t="s">
        <v>79</v>
      </c>
      <c r="F1490" t="s">
        <v>80</v>
      </c>
      <c r="G1490" t="s">
        <v>39</v>
      </c>
      <c r="H1490" s="2">
        <v>27</v>
      </c>
      <c r="I1490">
        <v>190</v>
      </c>
      <c r="J1490">
        <v>513</v>
      </c>
      <c r="K1490" s="4">
        <v>221</v>
      </c>
      <c r="L1490" t="s">
        <v>27</v>
      </c>
    </row>
    <row r="1491" spans="1:12" x14ac:dyDescent="0.35">
      <c r="A1491" t="s">
        <v>42</v>
      </c>
      <c r="B1491">
        <v>1128299</v>
      </c>
      <c r="C1491" s="1">
        <v>44431</v>
      </c>
      <c r="D1491" t="s">
        <v>48</v>
      </c>
      <c r="E1491" t="s">
        <v>123</v>
      </c>
      <c r="F1491" t="s">
        <v>124</v>
      </c>
      <c r="G1491" t="s">
        <v>39</v>
      </c>
      <c r="H1491" s="2">
        <v>46</v>
      </c>
      <c r="I1491">
        <v>190</v>
      </c>
      <c r="J1491">
        <v>874</v>
      </c>
      <c r="K1491" s="4">
        <v>367</v>
      </c>
      <c r="L1491" t="s">
        <v>27</v>
      </c>
    </row>
    <row r="1492" spans="1:12" x14ac:dyDescent="0.35">
      <c r="A1492" t="s">
        <v>23</v>
      </c>
      <c r="B1492">
        <v>1128299</v>
      </c>
      <c r="C1492" s="1">
        <v>44360</v>
      </c>
      <c r="D1492" t="s">
        <v>13</v>
      </c>
      <c r="E1492" t="s">
        <v>57</v>
      </c>
      <c r="F1492" t="s">
        <v>58</v>
      </c>
      <c r="G1492" t="s">
        <v>16</v>
      </c>
      <c r="H1492" s="2">
        <v>53</v>
      </c>
      <c r="I1492">
        <v>190</v>
      </c>
      <c r="J1492" s="3">
        <v>1007</v>
      </c>
      <c r="K1492" s="4">
        <v>322</v>
      </c>
      <c r="L1492" t="s">
        <v>27</v>
      </c>
    </row>
    <row r="1493" spans="1:12" x14ac:dyDescent="0.35">
      <c r="A1493" t="s">
        <v>23</v>
      </c>
      <c r="B1493">
        <v>1197831</v>
      </c>
      <c r="C1493" s="1">
        <v>44048</v>
      </c>
      <c r="D1493" t="s">
        <v>19</v>
      </c>
      <c r="E1493" t="s">
        <v>59</v>
      </c>
      <c r="F1493" t="s">
        <v>60</v>
      </c>
      <c r="G1493" t="s">
        <v>16</v>
      </c>
      <c r="H1493" s="2">
        <v>39</v>
      </c>
      <c r="I1493">
        <v>189</v>
      </c>
      <c r="J1493">
        <v>737</v>
      </c>
      <c r="K1493" s="4">
        <v>442</v>
      </c>
      <c r="L1493" t="s">
        <v>17</v>
      </c>
    </row>
    <row r="1494" spans="1:12" x14ac:dyDescent="0.35">
      <c r="A1494" t="s">
        <v>12</v>
      </c>
      <c r="B1494">
        <v>1197831</v>
      </c>
      <c r="C1494" s="1">
        <v>44058</v>
      </c>
      <c r="D1494" t="s">
        <v>19</v>
      </c>
      <c r="E1494" t="s">
        <v>59</v>
      </c>
      <c r="F1494" t="s">
        <v>60</v>
      </c>
      <c r="G1494" t="s">
        <v>56</v>
      </c>
      <c r="H1494" s="2">
        <v>39</v>
      </c>
      <c r="I1494">
        <v>189</v>
      </c>
      <c r="J1494">
        <v>737</v>
      </c>
      <c r="K1494" s="4">
        <v>428</v>
      </c>
      <c r="L1494" t="s">
        <v>17</v>
      </c>
    </row>
    <row r="1495" spans="1:12" x14ac:dyDescent="0.35">
      <c r="A1495" t="s">
        <v>12</v>
      </c>
      <c r="B1495">
        <v>1197831</v>
      </c>
      <c r="C1495" s="1">
        <v>44076</v>
      </c>
      <c r="D1495" t="s">
        <v>19</v>
      </c>
      <c r="E1495" t="s">
        <v>59</v>
      </c>
      <c r="F1495" t="s">
        <v>60</v>
      </c>
      <c r="G1495" t="s">
        <v>56</v>
      </c>
      <c r="H1495" s="2">
        <v>38</v>
      </c>
      <c r="I1495">
        <v>189</v>
      </c>
      <c r="J1495">
        <v>718</v>
      </c>
      <c r="K1495" s="4">
        <v>424</v>
      </c>
      <c r="L1495" t="s">
        <v>17</v>
      </c>
    </row>
    <row r="1496" spans="1:12" x14ac:dyDescent="0.35">
      <c r="A1496" t="s">
        <v>18</v>
      </c>
      <c r="B1496">
        <v>1128299</v>
      </c>
      <c r="C1496" s="1">
        <v>44201</v>
      </c>
      <c r="D1496" t="s">
        <v>48</v>
      </c>
      <c r="E1496" t="s">
        <v>66</v>
      </c>
      <c r="F1496" t="s">
        <v>67</v>
      </c>
      <c r="G1496" t="s">
        <v>16</v>
      </c>
      <c r="H1496" s="2">
        <v>72</v>
      </c>
      <c r="I1496">
        <v>189</v>
      </c>
      <c r="J1496" s="3">
        <v>1361</v>
      </c>
      <c r="K1496" s="4">
        <v>449</v>
      </c>
      <c r="L1496" t="s">
        <v>17</v>
      </c>
    </row>
    <row r="1497" spans="1:12" x14ac:dyDescent="0.35">
      <c r="A1497" t="s">
        <v>63</v>
      </c>
      <c r="B1497">
        <v>1189833</v>
      </c>
      <c r="C1497" s="1">
        <v>44264</v>
      </c>
      <c r="D1497" t="s">
        <v>48</v>
      </c>
      <c r="E1497" t="s">
        <v>66</v>
      </c>
      <c r="F1497" t="s">
        <v>67</v>
      </c>
      <c r="G1497" t="s">
        <v>32</v>
      </c>
      <c r="H1497" s="2">
        <v>41</v>
      </c>
      <c r="I1497">
        <v>189</v>
      </c>
      <c r="J1497">
        <v>775</v>
      </c>
      <c r="K1497" s="4">
        <v>403</v>
      </c>
      <c r="L1497" t="s">
        <v>17</v>
      </c>
    </row>
    <row r="1498" spans="1:12" x14ac:dyDescent="0.35">
      <c r="A1498" t="s">
        <v>63</v>
      </c>
      <c r="B1498">
        <v>1189833</v>
      </c>
      <c r="C1498" s="1">
        <v>44314</v>
      </c>
      <c r="D1498" t="s">
        <v>48</v>
      </c>
      <c r="E1498" t="s">
        <v>66</v>
      </c>
      <c r="F1498" t="s">
        <v>76</v>
      </c>
      <c r="G1498" t="s">
        <v>56</v>
      </c>
      <c r="H1498" s="2">
        <v>44</v>
      </c>
      <c r="I1498">
        <v>189</v>
      </c>
      <c r="J1498">
        <v>832</v>
      </c>
      <c r="K1498" s="4">
        <v>399</v>
      </c>
      <c r="L1498" t="s">
        <v>17</v>
      </c>
    </row>
    <row r="1499" spans="1:12" x14ac:dyDescent="0.35">
      <c r="A1499" t="s">
        <v>63</v>
      </c>
      <c r="B1499">
        <v>1189833</v>
      </c>
      <c r="C1499" s="1">
        <v>44315</v>
      </c>
      <c r="D1499" t="s">
        <v>48</v>
      </c>
      <c r="E1499" t="s">
        <v>66</v>
      </c>
      <c r="F1499" t="s">
        <v>76</v>
      </c>
      <c r="G1499" t="s">
        <v>70</v>
      </c>
      <c r="H1499" s="2">
        <v>46</v>
      </c>
      <c r="I1499">
        <v>189</v>
      </c>
      <c r="J1499">
        <v>869</v>
      </c>
      <c r="K1499" s="4">
        <v>574</v>
      </c>
      <c r="L1499" t="s">
        <v>17</v>
      </c>
    </row>
    <row r="1500" spans="1:12" x14ac:dyDescent="0.35">
      <c r="A1500" t="s">
        <v>63</v>
      </c>
      <c r="B1500">
        <v>1189833</v>
      </c>
      <c r="C1500" s="1">
        <v>44322</v>
      </c>
      <c r="D1500" t="s">
        <v>48</v>
      </c>
      <c r="E1500" t="s">
        <v>66</v>
      </c>
      <c r="F1500" t="s">
        <v>76</v>
      </c>
      <c r="G1500" t="s">
        <v>16</v>
      </c>
      <c r="H1500" s="2">
        <v>61</v>
      </c>
      <c r="I1500">
        <v>189</v>
      </c>
      <c r="J1500" s="3">
        <v>1153</v>
      </c>
      <c r="K1500" s="4">
        <v>404</v>
      </c>
      <c r="L1500" t="s">
        <v>17</v>
      </c>
    </row>
    <row r="1501" spans="1:12" x14ac:dyDescent="0.35">
      <c r="A1501" t="s">
        <v>63</v>
      </c>
      <c r="B1501">
        <v>1189833</v>
      </c>
      <c r="C1501" s="1">
        <v>44328</v>
      </c>
      <c r="D1501" t="s">
        <v>48</v>
      </c>
      <c r="E1501" t="s">
        <v>66</v>
      </c>
      <c r="F1501" t="s">
        <v>76</v>
      </c>
      <c r="G1501" t="s">
        <v>16</v>
      </c>
      <c r="H1501" s="2">
        <v>59</v>
      </c>
      <c r="I1501">
        <v>189</v>
      </c>
      <c r="J1501" s="3">
        <v>1115</v>
      </c>
      <c r="K1501" s="4">
        <v>346</v>
      </c>
      <c r="L1501" t="s">
        <v>17</v>
      </c>
    </row>
    <row r="1502" spans="1:12" x14ac:dyDescent="0.35">
      <c r="A1502" t="s">
        <v>63</v>
      </c>
      <c r="B1502">
        <v>1189833</v>
      </c>
      <c r="C1502" s="1">
        <v>44340</v>
      </c>
      <c r="D1502" t="s">
        <v>48</v>
      </c>
      <c r="E1502" t="s">
        <v>66</v>
      </c>
      <c r="F1502" t="s">
        <v>76</v>
      </c>
      <c r="G1502" t="s">
        <v>16</v>
      </c>
      <c r="H1502" s="2">
        <v>59</v>
      </c>
      <c r="I1502">
        <v>189</v>
      </c>
      <c r="J1502" s="3">
        <v>1115</v>
      </c>
      <c r="K1502" s="4">
        <v>379</v>
      </c>
      <c r="L1502" t="s">
        <v>17</v>
      </c>
    </row>
    <row r="1503" spans="1:12" x14ac:dyDescent="0.35">
      <c r="A1503" t="s">
        <v>23</v>
      </c>
      <c r="B1503">
        <v>1197831</v>
      </c>
      <c r="C1503" s="1">
        <v>44419</v>
      </c>
      <c r="D1503" t="s">
        <v>33</v>
      </c>
      <c r="E1503" t="s">
        <v>118</v>
      </c>
      <c r="F1503" t="s">
        <v>119</v>
      </c>
      <c r="G1503" t="s">
        <v>26</v>
      </c>
      <c r="H1503" s="2">
        <v>20</v>
      </c>
      <c r="I1503">
        <v>189</v>
      </c>
      <c r="J1503">
        <v>378</v>
      </c>
      <c r="K1503" s="4">
        <v>151</v>
      </c>
      <c r="L1503" t="s">
        <v>17</v>
      </c>
    </row>
    <row r="1504" spans="1:12" x14ac:dyDescent="0.35">
      <c r="A1504" t="s">
        <v>23</v>
      </c>
      <c r="B1504">
        <v>1197831</v>
      </c>
      <c r="C1504" s="1">
        <v>44487</v>
      </c>
      <c r="D1504" t="s">
        <v>19</v>
      </c>
      <c r="E1504" t="s">
        <v>59</v>
      </c>
      <c r="F1504" t="s">
        <v>68</v>
      </c>
      <c r="G1504" t="s">
        <v>32</v>
      </c>
      <c r="H1504" s="2">
        <v>62</v>
      </c>
      <c r="I1504">
        <v>189</v>
      </c>
      <c r="J1504" s="3">
        <v>1172</v>
      </c>
      <c r="K1504" s="4">
        <v>633</v>
      </c>
      <c r="L1504" t="s">
        <v>17</v>
      </c>
    </row>
    <row r="1505" spans="1:12" x14ac:dyDescent="0.35">
      <c r="A1505" t="s">
        <v>18</v>
      </c>
      <c r="B1505">
        <v>1128299</v>
      </c>
      <c r="C1505" s="1">
        <v>43862</v>
      </c>
      <c r="D1505" t="s">
        <v>48</v>
      </c>
      <c r="E1505" t="s">
        <v>116</v>
      </c>
      <c r="F1505" t="s">
        <v>117</v>
      </c>
      <c r="G1505" t="s">
        <v>26</v>
      </c>
      <c r="H1505" s="2">
        <v>56</v>
      </c>
      <c r="I1505">
        <v>189</v>
      </c>
      <c r="J1505" s="3">
        <v>1058</v>
      </c>
      <c r="K1505" s="4">
        <v>603</v>
      </c>
      <c r="L1505" t="s">
        <v>17</v>
      </c>
    </row>
    <row r="1506" spans="1:12" x14ac:dyDescent="0.35">
      <c r="A1506" t="s">
        <v>18</v>
      </c>
      <c r="B1506">
        <v>1128299</v>
      </c>
      <c r="C1506" s="1">
        <v>43900</v>
      </c>
      <c r="D1506" t="s">
        <v>48</v>
      </c>
      <c r="E1506" t="s">
        <v>116</v>
      </c>
      <c r="F1506" t="s">
        <v>117</v>
      </c>
      <c r="G1506" t="s">
        <v>39</v>
      </c>
      <c r="H1506" s="2">
        <v>62</v>
      </c>
      <c r="I1506">
        <v>189</v>
      </c>
      <c r="J1506" s="3">
        <v>1172</v>
      </c>
      <c r="K1506" s="4">
        <v>398</v>
      </c>
      <c r="L1506" t="s">
        <v>17</v>
      </c>
    </row>
    <row r="1507" spans="1:12" x14ac:dyDescent="0.35">
      <c r="A1507" t="s">
        <v>18</v>
      </c>
      <c r="B1507">
        <v>1128299</v>
      </c>
      <c r="C1507" s="1">
        <v>43935</v>
      </c>
      <c r="D1507" t="s">
        <v>48</v>
      </c>
      <c r="E1507" t="s">
        <v>133</v>
      </c>
      <c r="F1507" t="s">
        <v>134</v>
      </c>
      <c r="G1507" t="s">
        <v>26</v>
      </c>
      <c r="H1507" s="2">
        <v>54</v>
      </c>
      <c r="I1507">
        <v>189</v>
      </c>
      <c r="J1507" s="3">
        <v>1021</v>
      </c>
      <c r="K1507" s="4">
        <v>653</v>
      </c>
      <c r="L1507" t="s">
        <v>17</v>
      </c>
    </row>
    <row r="1508" spans="1:12" x14ac:dyDescent="0.35">
      <c r="A1508" t="s">
        <v>18</v>
      </c>
      <c r="B1508">
        <v>1128299</v>
      </c>
      <c r="C1508" s="1">
        <v>43948</v>
      </c>
      <c r="D1508" t="s">
        <v>48</v>
      </c>
      <c r="E1508" t="s">
        <v>133</v>
      </c>
      <c r="F1508" t="s">
        <v>134</v>
      </c>
      <c r="G1508" t="s">
        <v>39</v>
      </c>
      <c r="H1508" s="2">
        <v>73</v>
      </c>
      <c r="I1508">
        <v>189</v>
      </c>
      <c r="J1508" s="3">
        <v>1380</v>
      </c>
      <c r="K1508" s="4">
        <v>579</v>
      </c>
      <c r="L1508" t="s">
        <v>17</v>
      </c>
    </row>
    <row r="1509" spans="1:12" x14ac:dyDescent="0.35">
      <c r="A1509" t="s">
        <v>18</v>
      </c>
      <c r="B1509">
        <v>1185732</v>
      </c>
      <c r="C1509" s="1">
        <v>43945</v>
      </c>
      <c r="D1509" t="s">
        <v>13</v>
      </c>
      <c r="E1509" t="s">
        <v>14</v>
      </c>
      <c r="F1509" t="s">
        <v>73</v>
      </c>
      <c r="G1509" t="s">
        <v>56</v>
      </c>
      <c r="H1509" s="2">
        <v>38</v>
      </c>
      <c r="I1509">
        <v>189</v>
      </c>
      <c r="J1509">
        <v>718</v>
      </c>
      <c r="K1509" s="4">
        <v>323</v>
      </c>
      <c r="L1509" t="s">
        <v>17</v>
      </c>
    </row>
    <row r="1510" spans="1:12" x14ac:dyDescent="0.35">
      <c r="A1510" t="s">
        <v>23</v>
      </c>
      <c r="B1510">
        <v>1185732</v>
      </c>
      <c r="C1510" s="1">
        <v>44107</v>
      </c>
      <c r="D1510" t="s">
        <v>13</v>
      </c>
      <c r="E1510" t="s">
        <v>14</v>
      </c>
      <c r="F1510" t="s">
        <v>73</v>
      </c>
      <c r="G1510" t="s">
        <v>70</v>
      </c>
      <c r="H1510" s="2">
        <v>57</v>
      </c>
      <c r="I1510">
        <v>189</v>
      </c>
      <c r="J1510" s="3">
        <v>1077</v>
      </c>
      <c r="K1510" s="4">
        <v>539</v>
      </c>
      <c r="L1510" t="s">
        <v>17</v>
      </c>
    </row>
    <row r="1511" spans="1:12" x14ac:dyDescent="0.35">
      <c r="A1511" t="s">
        <v>23</v>
      </c>
      <c r="B1511">
        <v>1197831</v>
      </c>
      <c r="C1511" s="1">
        <v>44277</v>
      </c>
      <c r="D1511" t="s">
        <v>19</v>
      </c>
      <c r="E1511" t="s">
        <v>74</v>
      </c>
      <c r="F1511" t="s">
        <v>75</v>
      </c>
      <c r="G1511" t="s">
        <v>26</v>
      </c>
      <c r="H1511" s="2">
        <v>27</v>
      </c>
      <c r="I1511">
        <v>189</v>
      </c>
      <c r="J1511">
        <v>510</v>
      </c>
      <c r="K1511" s="4">
        <v>260</v>
      </c>
      <c r="L1511" t="s">
        <v>17</v>
      </c>
    </row>
    <row r="1512" spans="1:12" x14ac:dyDescent="0.35">
      <c r="A1512" t="s">
        <v>23</v>
      </c>
      <c r="B1512">
        <v>1197831</v>
      </c>
      <c r="C1512" s="1">
        <v>44289</v>
      </c>
      <c r="D1512" t="s">
        <v>19</v>
      </c>
      <c r="E1512" t="s">
        <v>74</v>
      </c>
      <c r="F1512" t="s">
        <v>75</v>
      </c>
      <c r="G1512" t="s">
        <v>26</v>
      </c>
      <c r="H1512" s="2">
        <v>14</v>
      </c>
      <c r="I1512">
        <v>189</v>
      </c>
      <c r="J1512">
        <v>265</v>
      </c>
      <c r="K1512" s="4">
        <v>132</v>
      </c>
      <c r="L1512" t="s">
        <v>17</v>
      </c>
    </row>
    <row r="1513" spans="1:12" x14ac:dyDescent="0.35">
      <c r="A1513" t="s">
        <v>23</v>
      </c>
      <c r="B1513">
        <v>1197831</v>
      </c>
      <c r="C1513" s="1">
        <v>44326</v>
      </c>
      <c r="D1513" t="s">
        <v>19</v>
      </c>
      <c r="E1513" t="s">
        <v>74</v>
      </c>
      <c r="F1513" t="s">
        <v>75</v>
      </c>
      <c r="G1513" t="s">
        <v>39</v>
      </c>
      <c r="H1513" s="2">
        <v>29</v>
      </c>
      <c r="I1513">
        <v>189</v>
      </c>
      <c r="J1513">
        <v>548</v>
      </c>
      <c r="K1513" s="4">
        <v>307</v>
      </c>
      <c r="L1513" t="s">
        <v>17</v>
      </c>
    </row>
    <row r="1514" spans="1:12" x14ac:dyDescent="0.35">
      <c r="A1514" t="s">
        <v>23</v>
      </c>
      <c r="B1514">
        <v>1197831</v>
      </c>
      <c r="C1514" s="1">
        <v>44428</v>
      </c>
      <c r="D1514" t="s">
        <v>19</v>
      </c>
      <c r="E1514" t="s">
        <v>24</v>
      </c>
      <c r="F1514" t="s">
        <v>25</v>
      </c>
      <c r="G1514" t="s">
        <v>39</v>
      </c>
      <c r="H1514" s="2">
        <v>19</v>
      </c>
      <c r="I1514">
        <v>189</v>
      </c>
      <c r="J1514">
        <v>359</v>
      </c>
      <c r="K1514" s="4">
        <v>208</v>
      </c>
      <c r="L1514" t="s">
        <v>17</v>
      </c>
    </row>
    <row r="1515" spans="1:12" x14ac:dyDescent="0.35">
      <c r="A1515" t="s">
        <v>23</v>
      </c>
      <c r="B1515">
        <v>1197831</v>
      </c>
      <c r="C1515" s="1">
        <v>44434</v>
      </c>
      <c r="D1515" t="s">
        <v>19</v>
      </c>
      <c r="E1515" t="s">
        <v>24</v>
      </c>
      <c r="F1515" t="s">
        <v>25</v>
      </c>
      <c r="G1515" t="s">
        <v>39</v>
      </c>
      <c r="H1515" s="2">
        <v>19</v>
      </c>
      <c r="I1515">
        <v>189</v>
      </c>
      <c r="J1515">
        <v>359</v>
      </c>
      <c r="K1515" s="4">
        <v>212</v>
      </c>
      <c r="L1515" t="s">
        <v>17</v>
      </c>
    </row>
    <row r="1516" spans="1:12" x14ac:dyDescent="0.35">
      <c r="A1516" t="s">
        <v>23</v>
      </c>
      <c r="B1516">
        <v>1197831</v>
      </c>
      <c r="C1516" s="1">
        <v>44441</v>
      </c>
      <c r="D1516" t="s">
        <v>19</v>
      </c>
      <c r="E1516" t="s">
        <v>24</v>
      </c>
      <c r="F1516" t="s">
        <v>25</v>
      </c>
      <c r="G1516" t="s">
        <v>32</v>
      </c>
      <c r="H1516" s="2">
        <v>44</v>
      </c>
      <c r="I1516">
        <v>189</v>
      </c>
      <c r="J1516">
        <v>832</v>
      </c>
      <c r="K1516" s="4">
        <v>491</v>
      </c>
      <c r="L1516" t="s">
        <v>17</v>
      </c>
    </row>
    <row r="1517" spans="1:12" x14ac:dyDescent="0.35">
      <c r="A1517" t="s">
        <v>51</v>
      </c>
      <c r="B1517">
        <v>1185732</v>
      </c>
      <c r="C1517" s="1">
        <v>44369</v>
      </c>
      <c r="D1517" t="s">
        <v>48</v>
      </c>
      <c r="E1517" t="s">
        <v>137</v>
      </c>
      <c r="F1517" t="s">
        <v>138</v>
      </c>
      <c r="G1517" t="s">
        <v>26</v>
      </c>
      <c r="H1517" s="2">
        <v>59</v>
      </c>
      <c r="I1517">
        <v>189</v>
      </c>
      <c r="J1517" s="3">
        <v>1115</v>
      </c>
      <c r="K1517" s="4">
        <v>513</v>
      </c>
      <c r="L1517" t="s">
        <v>17</v>
      </c>
    </row>
    <row r="1518" spans="1:12" x14ac:dyDescent="0.35">
      <c r="A1518" t="s">
        <v>12</v>
      </c>
      <c r="B1518">
        <v>1128299</v>
      </c>
      <c r="C1518" s="1">
        <v>44539</v>
      </c>
      <c r="D1518" t="s">
        <v>48</v>
      </c>
      <c r="E1518" t="s">
        <v>129</v>
      </c>
      <c r="F1518" t="s">
        <v>130</v>
      </c>
      <c r="G1518" t="s">
        <v>26</v>
      </c>
      <c r="H1518" s="2">
        <v>68</v>
      </c>
      <c r="I1518">
        <v>189</v>
      </c>
      <c r="J1518" s="3">
        <v>1285</v>
      </c>
      <c r="K1518" s="4">
        <v>514</v>
      </c>
      <c r="L1518" t="s">
        <v>17</v>
      </c>
    </row>
    <row r="1519" spans="1:12" x14ac:dyDescent="0.35">
      <c r="A1519" t="s">
        <v>12</v>
      </c>
      <c r="B1519">
        <v>1128299</v>
      </c>
      <c r="C1519" s="1">
        <v>44393</v>
      </c>
      <c r="D1519" t="s">
        <v>13</v>
      </c>
      <c r="E1519" t="s">
        <v>14</v>
      </c>
      <c r="F1519" t="s">
        <v>15</v>
      </c>
      <c r="G1519" t="s">
        <v>32</v>
      </c>
      <c r="H1519" s="2">
        <v>86</v>
      </c>
      <c r="I1519">
        <v>189</v>
      </c>
      <c r="J1519" s="3">
        <v>1625</v>
      </c>
      <c r="K1519" s="4">
        <v>715</v>
      </c>
      <c r="L1519" t="s">
        <v>17</v>
      </c>
    </row>
    <row r="1520" spans="1:12" x14ac:dyDescent="0.35">
      <c r="A1520" t="s">
        <v>12</v>
      </c>
      <c r="B1520">
        <v>1128299</v>
      </c>
      <c r="C1520" s="1">
        <v>44425</v>
      </c>
      <c r="D1520" t="s">
        <v>13</v>
      </c>
      <c r="E1520" t="s">
        <v>14</v>
      </c>
      <c r="F1520" t="s">
        <v>15</v>
      </c>
      <c r="G1520" t="s">
        <v>32</v>
      </c>
      <c r="H1520" s="2">
        <v>78</v>
      </c>
      <c r="I1520">
        <v>189</v>
      </c>
      <c r="J1520" s="3">
        <v>1474</v>
      </c>
      <c r="K1520" s="4">
        <v>634</v>
      </c>
      <c r="L1520" t="s">
        <v>17</v>
      </c>
    </row>
    <row r="1521" spans="1:12" x14ac:dyDescent="0.35">
      <c r="A1521" t="s">
        <v>18</v>
      </c>
      <c r="B1521">
        <v>1185732</v>
      </c>
      <c r="C1521" s="1">
        <v>44208</v>
      </c>
      <c r="D1521" t="s">
        <v>13</v>
      </c>
      <c r="E1521" t="s">
        <v>14</v>
      </c>
      <c r="F1521" t="s">
        <v>15</v>
      </c>
      <c r="G1521" t="s">
        <v>39</v>
      </c>
      <c r="H1521" s="2">
        <v>44</v>
      </c>
      <c r="I1521">
        <v>189</v>
      </c>
      <c r="J1521">
        <v>832</v>
      </c>
      <c r="K1521" s="4">
        <v>391</v>
      </c>
      <c r="L1521" t="s">
        <v>17</v>
      </c>
    </row>
    <row r="1522" spans="1:12" x14ac:dyDescent="0.35">
      <c r="A1522" t="s">
        <v>42</v>
      </c>
      <c r="B1522">
        <v>1128299</v>
      </c>
      <c r="C1522" s="1">
        <v>44432</v>
      </c>
      <c r="D1522" t="s">
        <v>13</v>
      </c>
      <c r="E1522" t="s">
        <v>99</v>
      </c>
      <c r="F1522" t="s">
        <v>100</v>
      </c>
      <c r="G1522" t="s">
        <v>32</v>
      </c>
      <c r="H1522" s="2">
        <v>69</v>
      </c>
      <c r="I1522">
        <v>189</v>
      </c>
      <c r="J1522" s="3">
        <v>1304</v>
      </c>
      <c r="K1522" s="4">
        <v>626</v>
      </c>
      <c r="L1522" t="s">
        <v>17</v>
      </c>
    </row>
    <row r="1523" spans="1:12" x14ac:dyDescent="0.35">
      <c r="A1523" t="s">
        <v>23</v>
      </c>
      <c r="B1523">
        <v>1185732</v>
      </c>
      <c r="C1523" s="1">
        <v>44392</v>
      </c>
      <c r="D1523" t="s">
        <v>33</v>
      </c>
      <c r="E1523" t="s">
        <v>45</v>
      </c>
      <c r="F1523" t="s">
        <v>46</v>
      </c>
      <c r="G1523" t="s">
        <v>39</v>
      </c>
      <c r="H1523" s="2">
        <v>53</v>
      </c>
      <c r="I1523">
        <v>189</v>
      </c>
      <c r="J1523" s="3">
        <v>1002</v>
      </c>
      <c r="K1523" s="4">
        <v>511</v>
      </c>
      <c r="L1523" t="s">
        <v>17</v>
      </c>
    </row>
    <row r="1524" spans="1:12" x14ac:dyDescent="0.35">
      <c r="A1524" t="s">
        <v>18</v>
      </c>
      <c r="B1524">
        <v>1128299</v>
      </c>
      <c r="C1524" s="1">
        <v>44371</v>
      </c>
      <c r="D1524" t="s">
        <v>48</v>
      </c>
      <c r="E1524" t="s">
        <v>85</v>
      </c>
      <c r="F1524" t="s">
        <v>86</v>
      </c>
      <c r="G1524" t="s">
        <v>32</v>
      </c>
      <c r="H1524" s="2">
        <v>78</v>
      </c>
      <c r="I1524">
        <v>189</v>
      </c>
      <c r="J1524" s="3">
        <v>1474</v>
      </c>
      <c r="K1524" s="4">
        <v>678</v>
      </c>
      <c r="L1524" t="s">
        <v>17</v>
      </c>
    </row>
    <row r="1525" spans="1:12" x14ac:dyDescent="0.35">
      <c r="A1525" t="s">
        <v>18</v>
      </c>
      <c r="B1525">
        <v>1128299</v>
      </c>
      <c r="C1525" s="1">
        <v>44371</v>
      </c>
      <c r="D1525" t="s">
        <v>48</v>
      </c>
      <c r="E1525" t="s">
        <v>85</v>
      </c>
      <c r="F1525" t="s">
        <v>86</v>
      </c>
      <c r="G1525" t="s">
        <v>16</v>
      </c>
      <c r="H1525" s="2">
        <v>95</v>
      </c>
      <c r="I1525">
        <v>189</v>
      </c>
      <c r="J1525" s="3">
        <v>1796</v>
      </c>
      <c r="K1525" s="4">
        <v>808</v>
      </c>
      <c r="L1525" t="s">
        <v>17</v>
      </c>
    </row>
    <row r="1526" spans="1:12" x14ac:dyDescent="0.35">
      <c r="A1526" t="s">
        <v>18</v>
      </c>
      <c r="B1526">
        <v>1128299</v>
      </c>
      <c r="C1526" s="1">
        <v>44393</v>
      </c>
      <c r="D1526" t="s">
        <v>19</v>
      </c>
      <c r="E1526" t="s">
        <v>20</v>
      </c>
      <c r="F1526" t="s">
        <v>21</v>
      </c>
      <c r="G1526" t="s">
        <v>70</v>
      </c>
      <c r="H1526" s="2">
        <v>86</v>
      </c>
      <c r="I1526">
        <v>189</v>
      </c>
      <c r="J1526" s="3">
        <v>1625</v>
      </c>
      <c r="K1526" s="4">
        <v>943</v>
      </c>
      <c r="L1526" t="s">
        <v>17</v>
      </c>
    </row>
    <row r="1527" spans="1:12" x14ac:dyDescent="0.35">
      <c r="A1527" t="s">
        <v>18</v>
      </c>
      <c r="B1527">
        <v>1128299</v>
      </c>
      <c r="C1527" s="1">
        <v>44425</v>
      </c>
      <c r="D1527" t="s">
        <v>19</v>
      </c>
      <c r="E1527" t="s">
        <v>20</v>
      </c>
      <c r="F1527" t="s">
        <v>21</v>
      </c>
      <c r="G1527" t="s">
        <v>32</v>
      </c>
      <c r="H1527" s="2">
        <v>70</v>
      </c>
      <c r="I1527">
        <v>189</v>
      </c>
      <c r="J1527" s="3">
        <v>1323</v>
      </c>
      <c r="K1527" s="4">
        <v>728</v>
      </c>
      <c r="L1527" t="s">
        <v>17</v>
      </c>
    </row>
    <row r="1528" spans="1:12" x14ac:dyDescent="0.35">
      <c r="A1528" t="s">
        <v>23</v>
      </c>
      <c r="B1528">
        <v>1197831</v>
      </c>
      <c r="C1528" s="1">
        <v>44505</v>
      </c>
      <c r="D1528" t="s">
        <v>48</v>
      </c>
      <c r="E1528" t="s">
        <v>79</v>
      </c>
      <c r="F1528" t="s">
        <v>80</v>
      </c>
      <c r="G1528" t="s">
        <v>39</v>
      </c>
      <c r="H1528" s="2">
        <v>32</v>
      </c>
      <c r="I1528">
        <v>189</v>
      </c>
      <c r="J1528">
        <v>605</v>
      </c>
      <c r="K1528" s="4">
        <v>314</v>
      </c>
      <c r="L1528" t="s">
        <v>17</v>
      </c>
    </row>
    <row r="1529" spans="1:12" x14ac:dyDescent="0.35">
      <c r="A1529" t="s">
        <v>23</v>
      </c>
      <c r="B1529">
        <v>1128299</v>
      </c>
      <c r="C1529" s="1">
        <v>44542</v>
      </c>
      <c r="D1529" t="s">
        <v>13</v>
      </c>
      <c r="E1529" t="s">
        <v>57</v>
      </c>
      <c r="F1529" t="s">
        <v>58</v>
      </c>
      <c r="G1529" t="s">
        <v>39</v>
      </c>
      <c r="H1529" s="2">
        <v>58</v>
      </c>
      <c r="I1529">
        <v>189</v>
      </c>
      <c r="J1529" s="3">
        <v>1096</v>
      </c>
      <c r="K1529" s="4">
        <v>581</v>
      </c>
      <c r="L1529" t="s">
        <v>17</v>
      </c>
    </row>
    <row r="1530" spans="1:12" x14ac:dyDescent="0.35">
      <c r="A1530" t="s">
        <v>42</v>
      </c>
      <c r="B1530">
        <v>1185732</v>
      </c>
      <c r="C1530" s="1">
        <v>44205</v>
      </c>
      <c r="D1530" t="s">
        <v>13</v>
      </c>
      <c r="E1530" t="s">
        <v>57</v>
      </c>
      <c r="F1530" t="s">
        <v>58</v>
      </c>
      <c r="G1530" t="s">
        <v>70</v>
      </c>
      <c r="H1530" s="2">
        <v>47</v>
      </c>
      <c r="I1530">
        <v>189</v>
      </c>
      <c r="J1530">
        <v>888</v>
      </c>
      <c r="K1530" s="4">
        <v>418</v>
      </c>
      <c r="L1530" t="s">
        <v>17</v>
      </c>
    </row>
    <row r="1531" spans="1:12" x14ac:dyDescent="0.35">
      <c r="A1531" t="s">
        <v>42</v>
      </c>
      <c r="B1531">
        <v>1185732</v>
      </c>
      <c r="C1531" s="1">
        <v>44234</v>
      </c>
      <c r="D1531" t="s">
        <v>13</v>
      </c>
      <c r="E1531" t="s">
        <v>69</v>
      </c>
      <c r="F1531" t="s">
        <v>65</v>
      </c>
      <c r="G1531" t="s">
        <v>70</v>
      </c>
      <c r="H1531" s="2">
        <v>49</v>
      </c>
      <c r="I1531">
        <v>189</v>
      </c>
      <c r="J1531">
        <v>926</v>
      </c>
      <c r="K1531" s="4">
        <v>435</v>
      </c>
      <c r="L1531" t="s">
        <v>17</v>
      </c>
    </row>
    <row r="1532" spans="1:12" x14ac:dyDescent="0.35">
      <c r="A1532" t="s">
        <v>42</v>
      </c>
      <c r="B1532">
        <v>1185732</v>
      </c>
      <c r="C1532" s="1">
        <v>44260</v>
      </c>
      <c r="D1532" t="s">
        <v>13</v>
      </c>
      <c r="E1532" t="s">
        <v>69</v>
      </c>
      <c r="F1532" t="s">
        <v>65</v>
      </c>
      <c r="G1532" t="s">
        <v>16</v>
      </c>
      <c r="H1532" s="2">
        <v>32</v>
      </c>
      <c r="I1532">
        <v>189</v>
      </c>
      <c r="J1532">
        <v>605</v>
      </c>
      <c r="K1532" s="4">
        <v>381</v>
      </c>
      <c r="L1532" t="s">
        <v>17</v>
      </c>
    </row>
    <row r="1533" spans="1:12" x14ac:dyDescent="0.35">
      <c r="A1533" t="s">
        <v>42</v>
      </c>
      <c r="B1533">
        <v>1185732</v>
      </c>
      <c r="C1533" s="1">
        <v>44476</v>
      </c>
      <c r="D1533" t="s">
        <v>13</v>
      </c>
      <c r="E1533" t="s">
        <v>69</v>
      </c>
      <c r="F1533" t="s">
        <v>65</v>
      </c>
      <c r="G1533" t="s">
        <v>70</v>
      </c>
      <c r="H1533" s="2">
        <v>52</v>
      </c>
      <c r="I1533">
        <v>189</v>
      </c>
      <c r="J1533">
        <v>983</v>
      </c>
      <c r="K1533" s="4">
        <v>472</v>
      </c>
      <c r="L1533" t="s">
        <v>17</v>
      </c>
    </row>
    <row r="1534" spans="1:12" x14ac:dyDescent="0.35">
      <c r="A1534" t="s">
        <v>23</v>
      </c>
      <c r="B1534">
        <v>1185732</v>
      </c>
      <c r="C1534" s="1">
        <v>44202</v>
      </c>
      <c r="D1534" t="s">
        <v>13</v>
      </c>
      <c r="E1534" t="s">
        <v>69</v>
      </c>
      <c r="F1534" t="s">
        <v>65</v>
      </c>
      <c r="G1534" t="s">
        <v>32</v>
      </c>
      <c r="H1534" s="2">
        <v>24</v>
      </c>
      <c r="I1534">
        <v>189</v>
      </c>
      <c r="J1534">
        <v>454</v>
      </c>
      <c r="K1534" s="4">
        <v>245</v>
      </c>
      <c r="L1534" t="s">
        <v>17</v>
      </c>
    </row>
    <row r="1535" spans="1:12" x14ac:dyDescent="0.35">
      <c r="A1535" t="s">
        <v>23</v>
      </c>
      <c r="B1535">
        <v>1185732</v>
      </c>
      <c r="C1535" s="1">
        <v>44289</v>
      </c>
      <c r="D1535" t="s">
        <v>13</v>
      </c>
      <c r="E1535" t="s">
        <v>77</v>
      </c>
      <c r="F1535" t="s">
        <v>78</v>
      </c>
      <c r="G1535" t="s">
        <v>16</v>
      </c>
      <c r="H1535" s="2">
        <v>32</v>
      </c>
      <c r="I1535">
        <v>189</v>
      </c>
      <c r="J1535">
        <v>605</v>
      </c>
      <c r="K1535" s="4">
        <v>369</v>
      </c>
      <c r="L1535" t="s">
        <v>17</v>
      </c>
    </row>
    <row r="1536" spans="1:12" x14ac:dyDescent="0.35">
      <c r="A1536" t="s">
        <v>42</v>
      </c>
      <c r="B1536">
        <v>1185732</v>
      </c>
      <c r="C1536" s="1">
        <v>44216</v>
      </c>
      <c r="D1536" t="s">
        <v>13</v>
      </c>
      <c r="E1536" t="s">
        <v>106</v>
      </c>
      <c r="F1536" t="s">
        <v>107</v>
      </c>
      <c r="G1536" t="s">
        <v>26</v>
      </c>
      <c r="H1536" s="2">
        <v>29</v>
      </c>
      <c r="I1536">
        <v>189</v>
      </c>
      <c r="J1536">
        <v>548</v>
      </c>
      <c r="K1536" s="4">
        <v>296</v>
      </c>
      <c r="L1536" t="s">
        <v>17</v>
      </c>
    </row>
    <row r="1537" spans="1:12" x14ac:dyDescent="0.35">
      <c r="A1537" t="s">
        <v>23</v>
      </c>
      <c r="B1537">
        <v>1197831</v>
      </c>
      <c r="C1537" s="1">
        <v>44248</v>
      </c>
      <c r="D1537" t="s">
        <v>19</v>
      </c>
      <c r="E1537" t="s">
        <v>37</v>
      </c>
      <c r="F1537" t="s">
        <v>38</v>
      </c>
      <c r="G1537" t="s">
        <v>26</v>
      </c>
      <c r="H1537" s="2">
        <v>24</v>
      </c>
      <c r="I1537">
        <v>189</v>
      </c>
      <c r="J1537">
        <v>454</v>
      </c>
      <c r="K1537" s="4">
        <v>231</v>
      </c>
      <c r="L1537" t="s">
        <v>17</v>
      </c>
    </row>
    <row r="1538" spans="1:12" x14ac:dyDescent="0.35">
      <c r="A1538" t="s">
        <v>18</v>
      </c>
      <c r="B1538">
        <v>1197831</v>
      </c>
      <c r="C1538" s="1">
        <v>44428</v>
      </c>
      <c r="D1538" t="s">
        <v>19</v>
      </c>
      <c r="E1538" t="s">
        <v>61</v>
      </c>
      <c r="F1538" t="s">
        <v>62</v>
      </c>
      <c r="G1538" t="s">
        <v>26</v>
      </c>
      <c r="H1538" s="2">
        <v>56</v>
      </c>
      <c r="I1538">
        <v>189</v>
      </c>
      <c r="J1538" s="3">
        <v>1058</v>
      </c>
      <c r="K1538" s="4">
        <v>540</v>
      </c>
      <c r="L1538" t="s">
        <v>17</v>
      </c>
    </row>
    <row r="1539" spans="1:12" x14ac:dyDescent="0.35">
      <c r="A1539" t="s">
        <v>63</v>
      </c>
      <c r="B1539">
        <v>1197831</v>
      </c>
      <c r="C1539" s="1">
        <v>44421</v>
      </c>
      <c r="D1539" t="s">
        <v>33</v>
      </c>
      <c r="E1539" t="s">
        <v>71</v>
      </c>
      <c r="F1539" t="s">
        <v>72</v>
      </c>
      <c r="G1539" t="s">
        <v>26</v>
      </c>
      <c r="H1539" s="2">
        <v>56</v>
      </c>
      <c r="I1539">
        <v>189</v>
      </c>
      <c r="J1539" s="3">
        <v>1058</v>
      </c>
      <c r="K1539" s="4">
        <v>529</v>
      </c>
      <c r="L1539" t="s">
        <v>17</v>
      </c>
    </row>
    <row r="1540" spans="1:12" x14ac:dyDescent="0.35">
      <c r="A1540" t="s">
        <v>42</v>
      </c>
      <c r="B1540">
        <v>1185732</v>
      </c>
      <c r="C1540" s="1">
        <v>44362</v>
      </c>
      <c r="D1540" t="s">
        <v>43</v>
      </c>
      <c r="E1540" t="s">
        <v>95</v>
      </c>
      <c r="F1540" t="s">
        <v>96</v>
      </c>
      <c r="G1540" t="s">
        <v>26</v>
      </c>
      <c r="H1540" s="2">
        <v>51</v>
      </c>
      <c r="I1540">
        <v>189</v>
      </c>
      <c r="J1540">
        <v>964</v>
      </c>
      <c r="K1540" s="4">
        <v>443</v>
      </c>
      <c r="L1540" t="s">
        <v>17</v>
      </c>
    </row>
    <row r="1541" spans="1:12" x14ac:dyDescent="0.35">
      <c r="A1541" t="s">
        <v>23</v>
      </c>
      <c r="B1541">
        <v>1185732</v>
      </c>
      <c r="C1541" s="1">
        <v>44380</v>
      </c>
      <c r="D1541" t="s">
        <v>43</v>
      </c>
      <c r="E1541" t="s">
        <v>108</v>
      </c>
      <c r="F1541" t="s">
        <v>109</v>
      </c>
      <c r="G1541" t="s">
        <v>26</v>
      </c>
      <c r="H1541" s="2">
        <v>54</v>
      </c>
      <c r="I1541">
        <v>189</v>
      </c>
      <c r="J1541" s="3">
        <v>1021</v>
      </c>
      <c r="K1541" s="4">
        <v>551</v>
      </c>
      <c r="L1541" t="s">
        <v>17</v>
      </c>
    </row>
    <row r="1542" spans="1:12" x14ac:dyDescent="0.35">
      <c r="A1542" t="s">
        <v>12</v>
      </c>
      <c r="B1542">
        <v>1197831</v>
      </c>
      <c r="C1542" s="1">
        <v>44087</v>
      </c>
      <c r="D1542" t="s">
        <v>19</v>
      </c>
      <c r="E1542" t="s">
        <v>59</v>
      </c>
      <c r="F1542" t="s">
        <v>60</v>
      </c>
      <c r="G1542" t="s">
        <v>32</v>
      </c>
      <c r="H1542" s="2">
        <v>48</v>
      </c>
      <c r="I1542">
        <v>188</v>
      </c>
      <c r="J1542">
        <v>902</v>
      </c>
      <c r="K1542" s="4">
        <v>424</v>
      </c>
      <c r="L1542" t="s">
        <v>17</v>
      </c>
    </row>
    <row r="1543" spans="1:12" x14ac:dyDescent="0.35">
      <c r="A1543" t="s">
        <v>18</v>
      </c>
      <c r="B1543">
        <v>1128299</v>
      </c>
      <c r="C1543" s="1">
        <v>44193</v>
      </c>
      <c r="D1543" t="s">
        <v>48</v>
      </c>
      <c r="E1543" t="s">
        <v>66</v>
      </c>
      <c r="F1543" t="s">
        <v>67</v>
      </c>
      <c r="G1543" t="s">
        <v>56</v>
      </c>
      <c r="H1543" s="2">
        <v>54</v>
      </c>
      <c r="I1543">
        <v>188</v>
      </c>
      <c r="J1543" s="3">
        <v>1015</v>
      </c>
      <c r="K1543" s="4">
        <v>416</v>
      </c>
      <c r="L1543" t="s">
        <v>17</v>
      </c>
    </row>
    <row r="1544" spans="1:12" x14ac:dyDescent="0.35">
      <c r="A1544" t="s">
        <v>18</v>
      </c>
      <c r="B1544">
        <v>1128299</v>
      </c>
      <c r="C1544" s="1">
        <v>44217</v>
      </c>
      <c r="D1544" t="s">
        <v>48</v>
      </c>
      <c r="E1544" t="s">
        <v>66</v>
      </c>
      <c r="F1544" t="s">
        <v>67</v>
      </c>
      <c r="G1544" t="s">
        <v>56</v>
      </c>
      <c r="H1544" s="2">
        <v>59</v>
      </c>
      <c r="I1544">
        <v>188</v>
      </c>
      <c r="J1544" s="3">
        <v>1109</v>
      </c>
      <c r="K1544" s="4">
        <v>455</v>
      </c>
      <c r="L1544" t="s">
        <v>17</v>
      </c>
    </row>
    <row r="1545" spans="1:12" x14ac:dyDescent="0.35">
      <c r="A1545" t="s">
        <v>18</v>
      </c>
      <c r="B1545">
        <v>1128299</v>
      </c>
      <c r="C1545" s="1">
        <v>44218</v>
      </c>
      <c r="D1545" t="s">
        <v>48</v>
      </c>
      <c r="E1545" t="s">
        <v>66</v>
      </c>
      <c r="F1545" t="s">
        <v>67</v>
      </c>
      <c r="G1545" t="s">
        <v>70</v>
      </c>
      <c r="H1545" s="2">
        <v>69</v>
      </c>
      <c r="I1545">
        <v>188</v>
      </c>
      <c r="J1545" s="3">
        <v>1297</v>
      </c>
      <c r="K1545" s="4">
        <v>791</v>
      </c>
      <c r="L1545" t="s">
        <v>17</v>
      </c>
    </row>
    <row r="1546" spans="1:12" x14ac:dyDescent="0.35">
      <c r="A1546" t="s">
        <v>63</v>
      </c>
      <c r="B1546">
        <v>1189833</v>
      </c>
      <c r="C1546" s="1">
        <v>44292</v>
      </c>
      <c r="D1546" t="s">
        <v>48</v>
      </c>
      <c r="E1546" t="s">
        <v>66</v>
      </c>
      <c r="F1546" t="s">
        <v>76</v>
      </c>
      <c r="G1546" t="s">
        <v>16</v>
      </c>
      <c r="H1546" s="2">
        <v>41</v>
      </c>
      <c r="I1546">
        <v>188</v>
      </c>
      <c r="J1546">
        <v>771</v>
      </c>
      <c r="K1546" s="4">
        <v>270</v>
      </c>
      <c r="L1546" t="s">
        <v>17</v>
      </c>
    </row>
    <row r="1547" spans="1:12" x14ac:dyDescent="0.35">
      <c r="A1547" t="s">
        <v>18</v>
      </c>
      <c r="B1547">
        <v>1128299</v>
      </c>
      <c r="C1547" s="1">
        <v>43942</v>
      </c>
      <c r="D1547" t="s">
        <v>48</v>
      </c>
      <c r="E1547" t="s">
        <v>133</v>
      </c>
      <c r="F1547" t="s">
        <v>134</v>
      </c>
      <c r="G1547" t="s">
        <v>39</v>
      </c>
      <c r="H1547" s="2">
        <v>67</v>
      </c>
      <c r="I1547">
        <v>188</v>
      </c>
      <c r="J1547" s="3">
        <v>1260</v>
      </c>
      <c r="K1547" s="4">
        <v>504</v>
      </c>
      <c r="L1547" t="s">
        <v>17</v>
      </c>
    </row>
    <row r="1548" spans="1:12" x14ac:dyDescent="0.35">
      <c r="A1548" t="s">
        <v>18</v>
      </c>
      <c r="B1548">
        <v>1128299</v>
      </c>
      <c r="C1548" s="1">
        <v>44008</v>
      </c>
      <c r="D1548" t="s">
        <v>48</v>
      </c>
      <c r="E1548" t="s">
        <v>97</v>
      </c>
      <c r="F1548" t="s">
        <v>98</v>
      </c>
      <c r="G1548" t="s">
        <v>39</v>
      </c>
      <c r="H1548" s="2">
        <v>74</v>
      </c>
      <c r="I1548">
        <v>188</v>
      </c>
      <c r="J1548" s="3">
        <v>1391</v>
      </c>
      <c r="K1548" s="4">
        <v>515</v>
      </c>
      <c r="L1548" t="s">
        <v>17</v>
      </c>
    </row>
    <row r="1549" spans="1:12" x14ac:dyDescent="0.35">
      <c r="A1549" t="s">
        <v>18</v>
      </c>
      <c r="B1549">
        <v>1128299</v>
      </c>
      <c r="C1549" s="1">
        <v>44038</v>
      </c>
      <c r="D1549" t="s">
        <v>48</v>
      </c>
      <c r="E1549" t="s">
        <v>97</v>
      </c>
      <c r="F1549" t="s">
        <v>98</v>
      </c>
      <c r="G1549" t="s">
        <v>39</v>
      </c>
      <c r="H1549" s="2">
        <v>60</v>
      </c>
      <c r="I1549">
        <v>188</v>
      </c>
      <c r="J1549" s="3">
        <v>1128</v>
      </c>
      <c r="K1549" s="4">
        <v>417</v>
      </c>
      <c r="L1549" t="s">
        <v>17</v>
      </c>
    </row>
    <row r="1550" spans="1:12" x14ac:dyDescent="0.35">
      <c r="A1550" t="s">
        <v>18</v>
      </c>
      <c r="B1550">
        <v>1128299</v>
      </c>
      <c r="C1550" s="1">
        <v>44043</v>
      </c>
      <c r="D1550" t="s">
        <v>48</v>
      </c>
      <c r="E1550" t="s">
        <v>97</v>
      </c>
      <c r="F1550" t="s">
        <v>98</v>
      </c>
      <c r="G1550" t="s">
        <v>26</v>
      </c>
      <c r="H1550" s="2">
        <v>78</v>
      </c>
      <c r="I1550">
        <v>188</v>
      </c>
      <c r="J1550" s="3">
        <v>1466</v>
      </c>
      <c r="K1550" s="4">
        <v>587</v>
      </c>
      <c r="L1550" t="s">
        <v>17</v>
      </c>
    </row>
    <row r="1551" spans="1:12" x14ac:dyDescent="0.35">
      <c r="A1551" t="s">
        <v>18</v>
      </c>
      <c r="B1551">
        <v>1185732</v>
      </c>
      <c r="C1551" s="1">
        <v>43945</v>
      </c>
      <c r="D1551" t="s">
        <v>13</v>
      </c>
      <c r="E1551" t="s">
        <v>14</v>
      </c>
      <c r="F1551" t="s">
        <v>73</v>
      </c>
      <c r="G1551" t="s">
        <v>32</v>
      </c>
      <c r="H1551" s="2">
        <v>47</v>
      </c>
      <c r="I1551">
        <v>188</v>
      </c>
      <c r="J1551">
        <v>884</v>
      </c>
      <c r="K1551" s="4">
        <v>327</v>
      </c>
      <c r="L1551" t="s">
        <v>17</v>
      </c>
    </row>
    <row r="1552" spans="1:12" x14ac:dyDescent="0.35">
      <c r="A1552" t="s">
        <v>63</v>
      </c>
      <c r="B1552">
        <v>1189833</v>
      </c>
      <c r="C1552" s="1">
        <v>44236</v>
      </c>
      <c r="D1552" t="s">
        <v>33</v>
      </c>
      <c r="E1552" t="s">
        <v>131</v>
      </c>
      <c r="F1552" t="s">
        <v>132</v>
      </c>
      <c r="G1552" t="s">
        <v>39</v>
      </c>
      <c r="H1552" s="2">
        <v>54</v>
      </c>
      <c r="I1552">
        <v>188</v>
      </c>
      <c r="J1552" s="3">
        <v>1015</v>
      </c>
      <c r="K1552" s="4">
        <v>437</v>
      </c>
      <c r="L1552" t="s">
        <v>17</v>
      </c>
    </row>
    <row r="1553" spans="1:12" x14ac:dyDescent="0.35">
      <c r="A1553" t="s">
        <v>23</v>
      </c>
      <c r="B1553">
        <v>1197831</v>
      </c>
      <c r="C1553" s="1">
        <v>44422</v>
      </c>
      <c r="D1553" t="s">
        <v>19</v>
      </c>
      <c r="E1553" t="s">
        <v>24</v>
      </c>
      <c r="F1553" t="s">
        <v>25</v>
      </c>
      <c r="G1553" t="s">
        <v>39</v>
      </c>
      <c r="H1553" s="2">
        <v>36</v>
      </c>
      <c r="I1553">
        <v>188</v>
      </c>
      <c r="J1553">
        <v>677</v>
      </c>
      <c r="K1553" s="4">
        <v>372</v>
      </c>
      <c r="L1553" t="s">
        <v>17</v>
      </c>
    </row>
    <row r="1554" spans="1:12" x14ac:dyDescent="0.35">
      <c r="A1554" t="s">
        <v>23</v>
      </c>
      <c r="B1554">
        <v>1197831</v>
      </c>
      <c r="C1554" s="1">
        <v>44459</v>
      </c>
      <c r="D1554" t="s">
        <v>19</v>
      </c>
      <c r="E1554" t="s">
        <v>24</v>
      </c>
      <c r="F1554" t="s">
        <v>25</v>
      </c>
      <c r="G1554" t="s">
        <v>32</v>
      </c>
      <c r="H1554" s="2">
        <v>59</v>
      </c>
      <c r="I1554">
        <v>188</v>
      </c>
      <c r="J1554" s="3">
        <v>1109</v>
      </c>
      <c r="K1554" s="4">
        <v>699</v>
      </c>
      <c r="L1554" t="s">
        <v>17</v>
      </c>
    </row>
    <row r="1555" spans="1:12" x14ac:dyDescent="0.35">
      <c r="A1555" t="s">
        <v>23</v>
      </c>
      <c r="B1555">
        <v>1197831</v>
      </c>
      <c r="C1555" s="1">
        <v>44474</v>
      </c>
      <c r="D1555" t="s">
        <v>19</v>
      </c>
      <c r="E1555" t="s">
        <v>24</v>
      </c>
      <c r="F1555" t="s">
        <v>25</v>
      </c>
      <c r="G1555" t="s">
        <v>16</v>
      </c>
      <c r="H1555" s="2">
        <v>56</v>
      </c>
      <c r="I1555">
        <v>188</v>
      </c>
      <c r="J1555" s="3">
        <v>1053</v>
      </c>
      <c r="K1555" s="4">
        <v>832</v>
      </c>
      <c r="L1555" t="s">
        <v>17</v>
      </c>
    </row>
    <row r="1556" spans="1:12" x14ac:dyDescent="0.35">
      <c r="A1556" t="s">
        <v>18</v>
      </c>
      <c r="B1556">
        <v>1185732</v>
      </c>
      <c r="C1556" s="1">
        <v>44417</v>
      </c>
      <c r="D1556" t="s">
        <v>43</v>
      </c>
      <c r="E1556" t="s">
        <v>44</v>
      </c>
      <c r="F1556" t="s">
        <v>101</v>
      </c>
      <c r="G1556" t="s">
        <v>32</v>
      </c>
      <c r="H1556" s="2">
        <v>51</v>
      </c>
      <c r="I1556">
        <v>188</v>
      </c>
      <c r="J1556">
        <v>959</v>
      </c>
      <c r="K1556" s="4">
        <v>345</v>
      </c>
      <c r="L1556" t="s">
        <v>17</v>
      </c>
    </row>
    <row r="1557" spans="1:12" x14ac:dyDescent="0.35">
      <c r="A1557" t="s">
        <v>18</v>
      </c>
      <c r="B1557">
        <v>1128299</v>
      </c>
      <c r="C1557" s="1">
        <v>44553</v>
      </c>
      <c r="D1557" t="s">
        <v>48</v>
      </c>
      <c r="E1557" t="s">
        <v>85</v>
      </c>
      <c r="F1557" t="s">
        <v>86</v>
      </c>
      <c r="G1557" t="s">
        <v>26</v>
      </c>
      <c r="H1557" s="2">
        <v>61</v>
      </c>
      <c r="I1557">
        <v>188</v>
      </c>
      <c r="J1557" s="3">
        <v>1147</v>
      </c>
      <c r="K1557" s="4">
        <v>550</v>
      </c>
      <c r="L1557" t="s">
        <v>17</v>
      </c>
    </row>
    <row r="1558" spans="1:12" x14ac:dyDescent="0.35">
      <c r="A1558" t="s">
        <v>18</v>
      </c>
      <c r="B1558">
        <v>1128299</v>
      </c>
      <c r="C1558" s="1">
        <v>44517</v>
      </c>
      <c r="D1558" t="s">
        <v>19</v>
      </c>
      <c r="E1558" t="s">
        <v>20</v>
      </c>
      <c r="F1558" t="s">
        <v>21</v>
      </c>
      <c r="G1558" t="s">
        <v>26</v>
      </c>
      <c r="H1558" s="2">
        <v>39</v>
      </c>
      <c r="I1558">
        <v>188</v>
      </c>
      <c r="J1558">
        <v>733</v>
      </c>
      <c r="K1558" s="4">
        <v>367</v>
      </c>
      <c r="L1558" t="s">
        <v>17</v>
      </c>
    </row>
    <row r="1559" spans="1:12" x14ac:dyDescent="0.35">
      <c r="A1559" t="s">
        <v>18</v>
      </c>
      <c r="B1559">
        <v>1197831</v>
      </c>
      <c r="C1559" s="1">
        <v>44351</v>
      </c>
      <c r="D1559" t="s">
        <v>48</v>
      </c>
      <c r="E1559" t="s">
        <v>79</v>
      </c>
      <c r="F1559" t="s">
        <v>80</v>
      </c>
      <c r="G1559" t="s">
        <v>39</v>
      </c>
      <c r="H1559" s="2">
        <v>46</v>
      </c>
      <c r="I1559">
        <v>188</v>
      </c>
      <c r="J1559">
        <v>865</v>
      </c>
      <c r="K1559" s="4">
        <v>415</v>
      </c>
      <c r="L1559" t="s">
        <v>17</v>
      </c>
    </row>
    <row r="1560" spans="1:12" x14ac:dyDescent="0.35">
      <c r="A1560" t="s">
        <v>23</v>
      </c>
      <c r="B1560">
        <v>1197831</v>
      </c>
      <c r="C1560" s="1">
        <v>44444</v>
      </c>
      <c r="D1560" t="s">
        <v>48</v>
      </c>
      <c r="E1560" t="s">
        <v>79</v>
      </c>
      <c r="F1560" t="s">
        <v>80</v>
      </c>
      <c r="G1560" t="s">
        <v>39</v>
      </c>
      <c r="H1560" s="2">
        <v>50</v>
      </c>
      <c r="I1560">
        <v>188</v>
      </c>
      <c r="J1560">
        <v>940</v>
      </c>
      <c r="K1560" s="4">
        <v>489</v>
      </c>
      <c r="L1560" t="s">
        <v>17</v>
      </c>
    </row>
    <row r="1561" spans="1:12" x14ac:dyDescent="0.35">
      <c r="A1561" t="s">
        <v>42</v>
      </c>
      <c r="B1561">
        <v>1185732</v>
      </c>
      <c r="C1561" s="1">
        <v>44292</v>
      </c>
      <c r="D1561" t="s">
        <v>13</v>
      </c>
      <c r="E1561" t="s">
        <v>69</v>
      </c>
      <c r="F1561" t="s">
        <v>65</v>
      </c>
      <c r="G1561" t="s">
        <v>70</v>
      </c>
      <c r="H1561" s="2">
        <v>47</v>
      </c>
      <c r="I1561">
        <v>188</v>
      </c>
      <c r="J1561">
        <v>884</v>
      </c>
      <c r="K1561" s="4">
        <v>442</v>
      </c>
      <c r="L1561" t="s">
        <v>17</v>
      </c>
    </row>
    <row r="1562" spans="1:12" x14ac:dyDescent="0.35">
      <c r="A1562" t="s">
        <v>42</v>
      </c>
      <c r="B1562">
        <v>1185732</v>
      </c>
      <c r="C1562" s="1">
        <v>44321</v>
      </c>
      <c r="D1562" t="s">
        <v>13</v>
      </c>
      <c r="E1562" t="s">
        <v>69</v>
      </c>
      <c r="F1562" t="s">
        <v>65</v>
      </c>
      <c r="G1562" t="s">
        <v>39</v>
      </c>
      <c r="H1562" s="2">
        <v>45</v>
      </c>
      <c r="I1562">
        <v>188</v>
      </c>
      <c r="J1562">
        <v>846</v>
      </c>
      <c r="K1562" s="4">
        <v>381</v>
      </c>
      <c r="L1562" t="s">
        <v>17</v>
      </c>
    </row>
    <row r="1563" spans="1:12" x14ac:dyDescent="0.35">
      <c r="A1563" t="s">
        <v>42</v>
      </c>
      <c r="B1563">
        <v>1185732</v>
      </c>
      <c r="C1563" s="1">
        <v>44506</v>
      </c>
      <c r="D1563" t="s">
        <v>13</v>
      </c>
      <c r="E1563" t="s">
        <v>69</v>
      </c>
      <c r="F1563" t="s">
        <v>65</v>
      </c>
      <c r="G1563" t="s">
        <v>39</v>
      </c>
      <c r="H1563" s="2">
        <v>44</v>
      </c>
      <c r="I1563">
        <v>188</v>
      </c>
      <c r="J1563">
        <v>827</v>
      </c>
      <c r="K1563" s="4">
        <v>372</v>
      </c>
      <c r="L1563" t="s">
        <v>17</v>
      </c>
    </row>
    <row r="1564" spans="1:12" x14ac:dyDescent="0.35">
      <c r="A1564" t="s">
        <v>23</v>
      </c>
      <c r="B1564">
        <v>1185732</v>
      </c>
      <c r="C1564" s="1">
        <v>44231</v>
      </c>
      <c r="D1564" t="s">
        <v>13</v>
      </c>
      <c r="E1564" t="s">
        <v>69</v>
      </c>
      <c r="F1564" t="s">
        <v>65</v>
      </c>
      <c r="G1564" t="s">
        <v>39</v>
      </c>
      <c r="H1564" s="2">
        <v>34</v>
      </c>
      <c r="I1564">
        <v>188</v>
      </c>
      <c r="J1564">
        <v>639</v>
      </c>
      <c r="K1564" s="4">
        <v>307</v>
      </c>
      <c r="L1564" t="s">
        <v>17</v>
      </c>
    </row>
    <row r="1565" spans="1:12" x14ac:dyDescent="0.35">
      <c r="A1565" t="s">
        <v>42</v>
      </c>
      <c r="B1565">
        <v>1185732</v>
      </c>
      <c r="C1565" s="1">
        <v>44365</v>
      </c>
      <c r="D1565" t="s">
        <v>19</v>
      </c>
      <c r="E1565" t="s">
        <v>37</v>
      </c>
      <c r="F1565" t="s">
        <v>38</v>
      </c>
      <c r="G1565" t="s">
        <v>16</v>
      </c>
      <c r="H1565" s="2">
        <v>60</v>
      </c>
      <c r="I1565">
        <v>188</v>
      </c>
      <c r="J1565" s="3">
        <v>1128</v>
      </c>
      <c r="K1565" s="4">
        <v>711</v>
      </c>
      <c r="L1565" t="s">
        <v>17</v>
      </c>
    </row>
    <row r="1566" spans="1:12" x14ac:dyDescent="0.35">
      <c r="A1566" t="s">
        <v>63</v>
      </c>
      <c r="B1566">
        <v>1185732</v>
      </c>
      <c r="C1566" s="1">
        <v>44383</v>
      </c>
      <c r="D1566" t="s">
        <v>43</v>
      </c>
      <c r="E1566" t="s">
        <v>83</v>
      </c>
      <c r="F1566" t="s">
        <v>84</v>
      </c>
      <c r="G1566" t="s">
        <v>26</v>
      </c>
      <c r="H1566" s="2">
        <v>47</v>
      </c>
      <c r="I1566">
        <v>188</v>
      </c>
      <c r="J1566">
        <v>884</v>
      </c>
      <c r="K1566" s="4">
        <v>415</v>
      </c>
      <c r="L1566" t="s">
        <v>17</v>
      </c>
    </row>
    <row r="1567" spans="1:12" x14ac:dyDescent="0.35">
      <c r="A1567" t="s">
        <v>18</v>
      </c>
      <c r="B1567">
        <v>1128299</v>
      </c>
      <c r="C1567" s="1">
        <v>44193</v>
      </c>
      <c r="D1567" t="s">
        <v>48</v>
      </c>
      <c r="E1567" t="s">
        <v>66</v>
      </c>
      <c r="F1567" t="s">
        <v>67</v>
      </c>
      <c r="G1567" t="s">
        <v>56</v>
      </c>
      <c r="H1567" s="2">
        <v>48</v>
      </c>
      <c r="I1567">
        <v>188</v>
      </c>
      <c r="J1567">
        <v>902</v>
      </c>
      <c r="K1567" s="4">
        <v>307</v>
      </c>
      <c r="L1567" t="s">
        <v>27</v>
      </c>
    </row>
    <row r="1568" spans="1:12" x14ac:dyDescent="0.35">
      <c r="A1568" t="s">
        <v>23</v>
      </c>
      <c r="B1568">
        <v>1197831</v>
      </c>
      <c r="C1568" s="1">
        <v>44469</v>
      </c>
      <c r="D1568" t="s">
        <v>19</v>
      </c>
      <c r="E1568" t="s">
        <v>24</v>
      </c>
      <c r="F1568" t="s">
        <v>25</v>
      </c>
      <c r="G1568" t="s">
        <v>26</v>
      </c>
      <c r="H1568" s="2">
        <v>14</v>
      </c>
      <c r="I1568">
        <v>188</v>
      </c>
      <c r="J1568">
        <v>263</v>
      </c>
      <c r="K1568" s="4">
        <v>150</v>
      </c>
      <c r="L1568" t="s">
        <v>27</v>
      </c>
    </row>
    <row r="1569" spans="1:12" x14ac:dyDescent="0.35">
      <c r="A1569" t="s">
        <v>23</v>
      </c>
      <c r="B1569">
        <v>1197831</v>
      </c>
      <c r="C1569" s="1">
        <v>44474</v>
      </c>
      <c r="D1569" t="s">
        <v>19</v>
      </c>
      <c r="E1569" t="s">
        <v>24</v>
      </c>
      <c r="F1569" t="s">
        <v>25</v>
      </c>
      <c r="G1569" t="s">
        <v>16</v>
      </c>
      <c r="H1569" s="2">
        <v>45</v>
      </c>
      <c r="I1569">
        <v>188</v>
      </c>
      <c r="J1569">
        <v>846</v>
      </c>
      <c r="K1569" s="4">
        <v>584</v>
      </c>
      <c r="L1569" t="s">
        <v>27</v>
      </c>
    </row>
    <row r="1570" spans="1:12" x14ac:dyDescent="0.35">
      <c r="A1570" t="s">
        <v>12</v>
      </c>
      <c r="B1570">
        <v>1128299</v>
      </c>
      <c r="C1570" s="1">
        <v>44517</v>
      </c>
      <c r="D1570" t="s">
        <v>13</v>
      </c>
      <c r="E1570" t="s">
        <v>14</v>
      </c>
      <c r="F1570" t="s">
        <v>15</v>
      </c>
      <c r="G1570" t="s">
        <v>26</v>
      </c>
      <c r="H1570" s="2">
        <v>41</v>
      </c>
      <c r="I1570">
        <v>188</v>
      </c>
      <c r="J1570">
        <v>771</v>
      </c>
      <c r="K1570" s="4">
        <v>262</v>
      </c>
      <c r="L1570" t="s">
        <v>27</v>
      </c>
    </row>
    <row r="1571" spans="1:12" x14ac:dyDescent="0.35">
      <c r="A1571" t="s">
        <v>42</v>
      </c>
      <c r="B1571">
        <v>1197831</v>
      </c>
      <c r="C1571" s="1">
        <v>44261</v>
      </c>
      <c r="D1571" t="s">
        <v>48</v>
      </c>
      <c r="E1571" t="s">
        <v>79</v>
      </c>
      <c r="F1571" t="s">
        <v>80</v>
      </c>
      <c r="G1571" t="s">
        <v>39</v>
      </c>
      <c r="H1571" s="2">
        <v>27</v>
      </c>
      <c r="I1571">
        <v>188</v>
      </c>
      <c r="J1571">
        <v>508</v>
      </c>
      <c r="K1571" s="4">
        <v>198</v>
      </c>
      <c r="L1571" t="s">
        <v>27</v>
      </c>
    </row>
    <row r="1572" spans="1:12" x14ac:dyDescent="0.35">
      <c r="A1572" t="s">
        <v>63</v>
      </c>
      <c r="B1572">
        <v>1128299</v>
      </c>
      <c r="C1572" s="1">
        <v>44466</v>
      </c>
      <c r="D1572" t="s">
        <v>48</v>
      </c>
      <c r="E1572" t="s">
        <v>114</v>
      </c>
      <c r="F1572" t="s">
        <v>115</v>
      </c>
      <c r="G1572" t="s">
        <v>39</v>
      </c>
      <c r="H1572" s="2">
        <v>39</v>
      </c>
      <c r="I1572">
        <v>188</v>
      </c>
      <c r="J1572">
        <v>733</v>
      </c>
      <c r="K1572" s="4">
        <v>337</v>
      </c>
      <c r="L1572" t="s">
        <v>27</v>
      </c>
    </row>
    <row r="1573" spans="1:12" x14ac:dyDescent="0.35">
      <c r="A1573" t="s">
        <v>51</v>
      </c>
      <c r="B1573">
        <v>1185732</v>
      </c>
      <c r="C1573" s="1">
        <v>44272</v>
      </c>
      <c r="D1573" t="s">
        <v>43</v>
      </c>
      <c r="E1573" t="s">
        <v>127</v>
      </c>
      <c r="F1573" t="s">
        <v>128</v>
      </c>
      <c r="G1573" t="s">
        <v>26</v>
      </c>
      <c r="H1573" s="2">
        <v>39</v>
      </c>
      <c r="I1573">
        <v>188</v>
      </c>
      <c r="J1573">
        <v>733</v>
      </c>
      <c r="K1573" s="4">
        <v>337</v>
      </c>
      <c r="L1573" t="s">
        <v>27</v>
      </c>
    </row>
    <row r="1574" spans="1:12" x14ac:dyDescent="0.35">
      <c r="A1574" t="s">
        <v>42</v>
      </c>
      <c r="B1574">
        <v>1185732</v>
      </c>
      <c r="C1574" s="1">
        <v>44271</v>
      </c>
      <c r="D1574" t="s">
        <v>19</v>
      </c>
      <c r="E1574" t="s">
        <v>37</v>
      </c>
      <c r="F1574" t="s">
        <v>38</v>
      </c>
      <c r="G1574" t="s">
        <v>26</v>
      </c>
      <c r="H1574" s="2">
        <v>23</v>
      </c>
      <c r="I1574">
        <v>187</v>
      </c>
      <c r="J1574">
        <v>430</v>
      </c>
      <c r="K1574" s="4">
        <v>237</v>
      </c>
      <c r="L1574" t="s">
        <v>17</v>
      </c>
    </row>
    <row r="1575" spans="1:12" x14ac:dyDescent="0.35">
      <c r="A1575" t="s">
        <v>42</v>
      </c>
      <c r="B1575">
        <v>1128299</v>
      </c>
      <c r="C1575" s="1">
        <v>44400</v>
      </c>
      <c r="D1575" t="s">
        <v>13</v>
      </c>
      <c r="E1575" t="s">
        <v>99</v>
      </c>
      <c r="F1575" t="s">
        <v>100</v>
      </c>
      <c r="G1575" t="s">
        <v>56</v>
      </c>
      <c r="H1575" s="2">
        <v>65</v>
      </c>
      <c r="I1575">
        <v>187</v>
      </c>
      <c r="J1575" s="3">
        <v>1216</v>
      </c>
      <c r="K1575" s="4">
        <v>511</v>
      </c>
      <c r="L1575" t="s">
        <v>27</v>
      </c>
    </row>
    <row r="1576" spans="1:12" x14ac:dyDescent="0.35">
      <c r="A1576" t="s">
        <v>23</v>
      </c>
      <c r="B1576">
        <v>1185732</v>
      </c>
      <c r="C1576" s="1">
        <v>44215</v>
      </c>
      <c r="D1576" t="s">
        <v>13</v>
      </c>
      <c r="E1576" t="s">
        <v>99</v>
      </c>
      <c r="F1576" t="s">
        <v>100</v>
      </c>
      <c r="G1576" t="s">
        <v>39</v>
      </c>
      <c r="H1576" s="2">
        <v>28</v>
      </c>
      <c r="I1576">
        <v>187</v>
      </c>
      <c r="J1576">
        <v>524</v>
      </c>
      <c r="K1576" s="4">
        <v>246</v>
      </c>
      <c r="L1576" t="s">
        <v>27</v>
      </c>
    </row>
    <row r="1577" spans="1:12" x14ac:dyDescent="0.35">
      <c r="A1577" t="s">
        <v>18</v>
      </c>
      <c r="B1577">
        <v>1197831</v>
      </c>
      <c r="C1577" s="1">
        <v>44351</v>
      </c>
      <c r="D1577" t="s">
        <v>48</v>
      </c>
      <c r="E1577" t="s">
        <v>79</v>
      </c>
      <c r="F1577" t="s">
        <v>80</v>
      </c>
      <c r="G1577" t="s">
        <v>56</v>
      </c>
      <c r="H1577" s="2">
        <v>33</v>
      </c>
      <c r="I1577">
        <v>187</v>
      </c>
      <c r="J1577">
        <v>617</v>
      </c>
      <c r="K1577" s="4">
        <v>302</v>
      </c>
      <c r="L1577" t="s">
        <v>27</v>
      </c>
    </row>
    <row r="1578" spans="1:12" x14ac:dyDescent="0.35">
      <c r="A1578" t="s">
        <v>63</v>
      </c>
      <c r="B1578">
        <v>1128299</v>
      </c>
      <c r="C1578" s="1">
        <v>44280</v>
      </c>
      <c r="D1578" t="s">
        <v>48</v>
      </c>
      <c r="E1578" t="s">
        <v>114</v>
      </c>
      <c r="F1578" t="s">
        <v>115</v>
      </c>
      <c r="G1578" t="s">
        <v>26</v>
      </c>
      <c r="H1578" s="2">
        <v>30</v>
      </c>
      <c r="I1578">
        <v>187</v>
      </c>
      <c r="J1578">
        <v>561</v>
      </c>
      <c r="K1578" s="4">
        <v>230</v>
      </c>
      <c r="L1578" t="s">
        <v>27</v>
      </c>
    </row>
    <row r="1579" spans="1:12" x14ac:dyDescent="0.35">
      <c r="A1579" t="s">
        <v>63</v>
      </c>
      <c r="B1579">
        <v>1128299</v>
      </c>
      <c r="C1579" s="1">
        <v>44373</v>
      </c>
      <c r="D1579" t="s">
        <v>48</v>
      </c>
      <c r="E1579" t="s">
        <v>114</v>
      </c>
      <c r="F1579" t="s">
        <v>115</v>
      </c>
      <c r="G1579" t="s">
        <v>39</v>
      </c>
      <c r="H1579" s="2">
        <v>47</v>
      </c>
      <c r="I1579">
        <v>187</v>
      </c>
      <c r="J1579">
        <v>879</v>
      </c>
      <c r="K1579" s="4">
        <v>378</v>
      </c>
      <c r="L1579" t="s">
        <v>27</v>
      </c>
    </row>
    <row r="1580" spans="1:12" x14ac:dyDescent="0.35">
      <c r="A1580" t="s">
        <v>23</v>
      </c>
      <c r="B1580">
        <v>1128299</v>
      </c>
      <c r="C1580" s="1">
        <v>44330</v>
      </c>
      <c r="D1580" t="s">
        <v>13</v>
      </c>
      <c r="E1580" t="s">
        <v>57</v>
      </c>
      <c r="F1580" t="s">
        <v>58</v>
      </c>
      <c r="G1580" t="s">
        <v>26</v>
      </c>
      <c r="H1580" s="2">
        <v>37</v>
      </c>
      <c r="I1580">
        <v>187</v>
      </c>
      <c r="J1580">
        <v>692</v>
      </c>
      <c r="K1580" s="4">
        <v>318</v>
      </c>
      <c r="L1580" t="s">
        <v>27</v>
      </c>
    </row>
    <row r="1581" spans="1:12" x14ac:dyDescent="0.35">
      <c r="A1581" t="s">
        <v>51</v>
      </c>
      <c r="B1581">
        <v>1185732</v>
      </c>
      <c r="C1581" s="1">
        <v>44304</v>
      </c>
      <c r="D1581" t="s">
        <v>43</v>
      </c>
      <c r="E1581" t="s">
        <v>127</v>
      </c>
      <c r="F1581" t="s">
        <v>128</v>
      </c>
      <c r="G1581" t="s">
        <v>26</v>
      </c>
      <c r="H1581" s="2">
        <v>33</v>
      </c>
      <c r="I1581">
        <v>187</v>
      </c>
      <c r="J1581">
        <v>617</v>
      </c>
      <c r="K1581" s="4">
        <v>259</v>
      </c>
      <c r="L1581" t="s">
        <v>27</v>
      </c>
    </row>
    <row r="1582" spans="1:12" x14ac:dyDescent="0.35">
      <c r="A1582" t="s">
        <v>42</v>
      </c>
      <c r="B1582">
        <v>1185732</v>
      </c>
      <c r="C1582" s="1">
        <v>44272</v>
      </c>
      <c r="D1582" t="s">
        <v>33</v>
      </c>
      <c r="E1582" t="s">
        <v>34</v>
      </c>
      <c r="F1582" t="s">
        <v>35</v>
      </c>
      <c r="G1582" t="s">
        <v>26</v>
      </c>
      <c r="H1582" s="2">
        <v>34</v>
      </c>
      <c r="I1582">
        <v>186</v>
      </c>
      <c r="J1582">
        <v>632</v>
      </c>
      <c r="K1582" s="4">
        <v>323</v>
      </c>
      <c r="L1582" t="s">
        <v>17</v>
      </c>
    </row>
    <row r="1583" spans="1:12" x14ac:dyDescent="0.35">
      <c r="A1583" t="s">
        <v>18</v>
      </c>
      <c r="B1583">
        <v>1128299</v>
      </c>
      <c r="C1583" s="1">
        <v>43880</v>
      </c>
      <c r="D1583" t="s">
        <v>48</v>
      </c>
      <c r="E1583" t="s">
        <v>116</v>
      </c>
      <c r="F1583" t="s">
        <v>117</v>
      </c>
      <c r="G1583" t="s">
        <v>26</v>
      </c>
      <c r="H1583" s="2">
        <v>41</v>
      </c>
      <c r="I1583">
        <v>186</v>
      </c>
      <c r="J1583">
        <v>763</v>
      </c>
      <c r="K1583" s="4">
        <v>290</v>
      </c>
      <c r="L1583" t="s">
        <v>27</v>
      </c>
    </row>
    <row r="1584" spans="1:12" x14ac:dyDescent="0.35">
      <c r="A1584" t="s">
        <v>12</v>
      </c>
      <c r="B1584">
        <v>1128299</v>
      </c>
      <c r="C1584" s="1">
        <v>44393</v>
      </c>
      <c r="D1584" t="s">
        <v>13</v>
      </c>
      <c r="E1584" t="s">
        <v>14</v>
      </c>
      <c r="F1584" t="s">
        <v>15</v>
      </c>
      <c r="G1584" t="s">
        <v>56</v>
      </c>
      <c r="H1584" s="2">
        <v>59</v>
      </c>
      <c r="I1584">
        <v>186</v>
      </c>
      <c r="J1584" s="3">
        <v>1097</v>
      </c>
      <c r="K1584" s="4">
        <v>362</v>
      </c>
      <c r="L1584" t="s">
        <v>27</v>
      </c>
    </row>
    <row r="1585" spans="1:12" x14ac:dyDescent="0.35">
      <c r="A1585" t="s">
        <v>42</v>
      </c>
      <c r="B1585">
        <v>1128299</v>
      </c>
      <c r="C1585" s="1">
        <v>44400</v>
      </c>
      <c r="D1585" t="s">
        <v>13</v>
      </c>
      <c r="E1585" t="s">
        <v>99</v>
      </c>
      <c r="F1585" t="s">
        <v>100</v>
      </c>
      <c r="G1585" t="s">
        <v>16</v>
      </c>
      <c r="H1585" s="2">
        <v>82</v>
      </c>
      <c r="I1585">
        <v>186</v>
      </c>
      <c r="J1585" s="3">
        <v>1525</v>
      </c>
      <c r="K1585" s="4">
        <v>503</v>
      </c>
      <c r="L1585" t="s">
        <v>27</v>
      </c>
    </row>
    <row r="1586" spans="1:12" x14ac:dyDescent="0.35">
      <c r="A1586" t="s">
        <v>18</v>
      </c>
      <c r="B1586">
        <v>1197831</v>
      </c>
      <c r="C1586" s="1">
        <v>44351</v>
      </c>
      <c r="D1586" t="s">
        <v>48</v>
      </c>
      <c r="E1586" t="s">
        <v>79</v>
      </c>
      <c r="F1586" t="s">
        <v>80</v>
      </c>
      <c r="G1586" t="s">
        <v>32</v>
      </c>
      <c r="H1586" s="2">
        <v>34</v>
      </c>
      <c r="I1586">
        <v>186</v>
      </c>
      <c r="J1586">
        <v>632</v>
      </c>
      <c r="K1586" s="4">
        <v>259</v>
      </c>
      <c r="L1586" t="s">
        <v>27</v>
      </c>
    </row>
    <row r="1587" spans="1:12" x14ac:dyDescent="0.35">
      <c r="A1587" t="s">
        <v>51</v>
      </c>
      <c r="B1587">
        <v>1185732</v>
      </c>
      <c r="C1587" s="1">
        <v>44540</v>
      </c>
      <c r="D1587" t="s">
        <v>43</v>
      </c>
      <c r="E1587" t="s">
        <v>125</v>
      </c>
      <c r="F1587" t="s">
        <v>126</v>
      </c>
      <c r="G1587" t="s">
        <v>26</v>
      </c>
      <c r="H1587" s="2">
        <v>48</v>
      </c>
      <c r="I1587">
        <v>186</v>
      </c>
      <c r="J1587">
        <v>893</v>
      </c>
      <c r="K1587" s="4">
        <v>429</v>
      </c>
      <c r="L1587" t="s">
        <v>27</v>
      </c>
    </row>
    <row r="1588" spans="1:12" x14ac:dyDescent="0.35">
      <c r="A1588" t="s">
        <v>51</v>
      </c>
      <c r="B1588">
        <v>1185732</v>
      </c>
      <c r="C1588" s="1">
        <v>44246</v>
      </c>
      <c r="D1588" t="s">
        <v>43</v>
      </c>
      <c r="E1588" t="s">
        <v>125</v>
      </c>
      <c r="F1588" t="s">
        <v>126</v>
      </c>
      <c r="G1588" t="s">
        <v>26</v>
      </c>
      <c r="H1588" s="2">
        <v>34</v>
      </c>
      <c r="I1588">
        <v>186</v>
      </c>
      <c r="J1588">
        <v>632</v>
      </c>
      <c r="K1588" s="4">
        <v>278</v>
      </c>
      <c r="L1588" t="s">
        <v>27</v>
      </c>
    </row>
    <row r="1589" spans="1:12" x14ac:dyDescent="0.35">
      <c r="A1589" t="s">
        <v>51</v>
      </c>
      <c r="B1589">
        <v>1185732</v>
      </c>
      <c r="C1589" s="1">
        <v>44265</v>
      </c>
      <c r="D1589" t="s">
        <v>43</v>
      </c>
      <c r="E1589" t="s">
        <v>125</v>
      </c>
      <c r="F1589" t="s">
        <v>126</v>
      </c>
      <c r="G1589" t="s">
        <v>26</v>
      </c>
      <c r="H1589" s="2">
        <v>35</v>
      </c>
      <c r="I1589">
        <v>185</v>
      </c>
      <c r="J1589">
        <v>648</v>
      </c>
      <c r="K1589" s="4">
        <v>317</v>
      </c>
      <c r="L1589" t="s">
        <v>27</v>
      </c>
    </row>
    <row r="1590" spans="1:12" x14ac:dyDescent="0.35">
      <c r="A1590" t="s">
        <v>12</v>
      </c>
      <c r="B1590">
        <v>1197831</v>
      </c>
      <c r="C1590" s="1">
        <v>44089</v>
      </c>
      <c r="D1590" t="s">
        <v>19</v>
      </c>
      <c r="E1590" t="s">
        <v>59</v>
      </c>
      <c r="F1590" t="s">
        <v>60</v>
      </c>
      <c r="G1590" t="s">
        <v>70</v>
      </c>
      <c r="H1590" s="2">
        <v>35</v>
      </c>
      <c r="I1590">
        <v>184</v>
      </c>
      <c r="J1590">
        <v>644</v>
      </c>
      <c r="K1590" s="4">
        <v>238</v>
      </c>
      <c r="L1590" t="s">
        <v>27</v>
      </c>
    </row>
    <row r="1591" spans="1:12" x14ac:dyDescent="0.35">
      <c r="A1591" t="s">
        <v>23</v>
      </c>
      <c r="B1591">
        <v>1197831</v>
      </c>
      <c r="C1591" s="1">
        <v>44459</v>
      </c>
      <c r="D1591" t="s">
        <v>19</v>
      </c>
      <c r="E1591" t="s">
        <v>59</v>
      </c>
      <c r="F1591" t="s">
        <v>68</v>
      </c>
      <c r="G1591" t="s">
        <v>70</v>
      </c>
      <c r="H1591" s="2">
        <v>39</v>
      </c>
      <c r="I1591">
        <v>184</v>
      </c>
      <c r="J1591">
        <v>718</v>
      </c>
      <c r="K1591" s="4">
        <v>273</v>
      </c>
      <c r="L1591" t="s">
        <v>27</v>
      </c>
    </row>
    <row r="1592" spans="1:12" x14ac:dyDescent="0.35">
      <c r="A1592" t="s">
        <v>23</v>
      </c>
      <c r="B1592">
        <v>1197831</v>
      </c>
      <c r="C1592" s="1">
        <v>44463</v>
      </c>
      <c r="D1592" t="s">
        <v>19</v>
      </c>
      <c r="E1592" t="s">
        <v>24</v>
      </c>
      <c r="F1592" t="s">
        <v>25</v>
      </c>
      <c r="G1592" t="s">
        <v>26</v>
      </c>
      <c r="H1592" s="2">
        <v>20</v>
      </c>
      <c r="I1592">
        <v>184</v>
      </c>
      <c r="J1592">
        <v>368</v>
      </c>
      <c r="K1592" s="4">
        <v>191</v>
      </c>
      <c r="L1592" t="s">
        <v>27</v>
      </c>
    </row>
    <row r="1593" spans="1:12" x14ac:dyDescent="0.35">
      <c r="A1593" t="s">
        <v>42</v>
      </c>
      <c r="B1593">
        <v>1128299</v>
      </c>
      <c r="C1593" s="1">
        <v>44371</v>
      </c>
      <c r="D1593" t="s">
        <v>13</v>
      </c>
      <c r="E1593" t="s">
        <v>99</v>
      </c>
      <c r="F1593" t="s">
        <v>100</v>
      </c>
      <c r="G1593" t="s">
        <v>56</v>
      </c>
      <c r="H1593" s="2">
        <v>61</v>
      </c>
      <c r="I1593">
        <v>184</v>
      </c>
      <c r="J1593" s="3">
        <v>1122</v>
      </c>
      <c r="K1593" s="4">
        <v>460</v>
      </c>
      <c r="L1593" t="s">
        <v>27</v>
      </c>
    </row>
    <row r="1594" spans="1:12" x14ac:dyDescent="0.35">
      <c r="A1594" t="s">
        <v>18</v>
      </c>
      <c r="B1594">
        <v>1185732</v>
      </c>
      <c r="C1594" s="1">
        <v>44419</v>
      </c>
      <c r="D1594" t="s">
        <v>48</v>
      </c>
      <c r="E1594" t="s">
        <v>49</v>
      </c>
      <c r="F1594" t="s">
        <v>50</v>
      </c>
      <c r="G1594" t="s">
        <v>16</v>
      </c>
      <c r="H1594" s="2">
        <v>27</v>
      </c>
      <c r="I1594">
        <v>184</v>
      </c>
      <c r="J1594">
        <v>497</v>
      </c>
      <c r="K1594" s="4">
        <v>283</v>
      </c>
      <c r="L1594" t="s">
        <v>27</v>
      </c>
    </row>
    <row r="1595" spans="1:12" x14ac:dyDescent="0.35">
      <c r="A1595" t="s">
        <v>18</v>
      </c>
      <c r="B1595">
        <v>1128299</v>
      </c>
      <c r="C1595" s="1">
        <v>44364</v>
      </c>
      <c r="D1595" t="s">
        <v>19</v>
      </c>
      <c r="E1595" t="s">
        <v>20</v>
      </c>
      <c r="F1595" t="s">
        <v>21</v>
      </c>
      <c r="G1595" t="s">
        <v>56</v>
      </c>
      <c r="H1595" s="2">
        <v>59</v>
      </c>
      <c r="I1595">
        <v>184</v>
      </c>
      <c r="J1595" s="3">
        <v>1086</v>
      </c>
      <c r="K1595" s="4">
        <v>510</v>
      </c>
      <c r="L1595" t="s">
        <v>27</v>
      </c>
    </row>
    <row r="1596" spans="1:12" x14ac:dyDescent="0.35">
      <c r="A1596" t="s">
        <v>18</v>
      </c>
      <c r="B1596">
        <v>1128299</v>
      </c>
      <c r="C1596" s="1">
        <v>44486</v>
      </c>
      <c r="D1596" t="s">
        <v>19</v>
      </c>
      <c r="E1596" t="s">
        <v>20</v>
      </c>
      <c r="F1596" t="s">
        <v>21</v>
      </c>
      <c r="G1596" t="s">
        <v>39</v>
      </c>
      <c r="H1596" s="2">
        <v>34</v>
      </c>
      <c r="I1596">
        <v>184</v>
      </c>
      <c r="J1596">
        <v>626</v>
      </c>
      <c r="K1596" s="4">
        <v>282</v>
      </c>
      <c r="L1596" t="s">
        <v>27</v>
      </c>
    </row>
    <row r="1597" spans="1:12" x14ac:dyDescent="0.35">
      <c r="A1597" t="s">
        <v>18</v>
      </c>
      <c r="B1597">
        <v>1197831</v>
      </c>
      <c r="C1597" s="1">
        <v>44321</v>
      </c>
      <c r="D1597" t="s">
        <v>48</v>
      </c>
      <c r="E1597" t="s">
        <v>79</v>
      </c>
      <c r="F1597" t="s">
        <v>80</v>
      </c>
      <c r="G1597" t="s">
        <v>32</v>
      </c>
      <c r="H1597" s="2">
        <v>18</v>
      </c>
      <c r="I1597">
        <v>184</v>
      </c>
      <c r="J1597">
        <v>331</v>
      </c>
      <c r="K1597" s="4">
        <v>129</v>
      </c>
      <c r="L1597" t="s">
        <v>27</v>
      </c>
    </row>
    <row r="1598" spans="1:12" x14ac:dyDescent="0.35">
      <c r="A1598" t="s">
        <v>42</v>
      </c>
      <c r="B1598">
        <v>1197831</v>
      </c>
      <c r="C1598" s="1">
        <v>44534</v>
      </c>
      <c r="D1598" t="s">
        <v>48</v>
      </c>
      <c r="E1598" t="s">
        <v>79</v>
      </c>
      <c r="F1598" t="s">
        <v>80</v>
      </c>
      <c r="G1598" t="s">
        <v>56</v>
      </c>
      <c r="H1598" s="2">
        <v>44</v>
      </c>
      <c r="I1598">
        <v>184</v>
      </c>
      <c r="J1598">
        <v>810</v>
      </c>
      <c r="K1598" s="4">
        <v>421</v>
      </c>
      <c r="L1598" t="s">
        <v>27</v>
      </c>
    </row>
    <row r="1599" spans="1:12" x14ac:dyDescent="0.35">
      <c r="A1599" t="s">
        <v>42</v>
      </c>
      <c r="B1599">
        <v>1128299</v>
      </c>
      <c r="C1599" s="1">
        <v>44340</v>
      </c>
      <c r="D1599" t="s">
        <v>48</v>
      </c>
      <c r="E1599" t="s">
        <v>123</v>
      </c>
      <c r="F1599" t="s">
        <v>124</v>
      </c>
      <c r="G1599" t="s">
        <v>26</v>
      </c>
      <c r="H1599" s="2">
        <v>38</v>
      </c>
      <c r="I1599">
        <v>184</v>
      </c>
      <c r="J1599">
        <v>699</v>
      </c>
      <c r="K1599" s="4">
        <v>266</v>
      </c>
      <c r="L1599" t="s">
        <v>27</v>
      </c>
    </row>
    <row r="1600" spans="1:12" x14ac:dyDescent="0.35">
      <c r="A1600" t="s">
        <v>42</v>
      </c>
      <c r="B1600">
        <v>1128299</v>
      </c>
      <c r="C1600" s="1">
        <v>44463</v>
      </c>
      <c r="D1600" t="s">
        <v>48</v>
      </c>
      <c r="E1600" t="s">
        <v>123</v>
      </c>
      <c r="F1600" t="s">
        <v>124</v>
      </c>
      <c r="G1600" t="s">
        <v>26</v>
      </c>
      <c r="H1600" s="2">
        <v>35</v>
      </c>
      <c r="I1600">
        <v>184</v>
      </c>
      <c r="J1600">
        <v>644</v>
      </c>
      <c r="K1600" s="4">
        <v>270</v>
      </c>
      <c r="L1600" t="s">
        <v>27</v>
      </c>
    </row>
    <row r="1601" spans="1:12" x14ac:dyDescent="0.35">
      <c r="A1601" t="s">
        <v>63</v>
      </c>
      <c r="B1601">
        <v>1128299</v>
      </c>
      <c r="C1601" s="1">
        <v>44343</v>
      </c>
      <c r="D1601" t="s">
        <v>48</v>
      </c>
      <c r="E1601" t="s">
        <v>114</v>
      </c>
      <c r="F1601" t="s">
        <v>115</v>
      </c>
      <c r="G1601" t="s">
        <v>26</v>
      </c>
      <c r="H1601" s="2">
        <v>43</v>
      </c>
      <c r="I1601">
        <v>184</v>
      </c>
      <c r="J1601">
        <v>791</v>
      </c>
      <c r="K1601" s="4">
        <v>324</v>
      </c>
      <c r="L1601" t="s">
        <v>27</v>
      </c>
    </row>
    <row r="1602" spans="1:12" x14ac:dyDescent="0.35">
      <c r="A1602" t="s">
        <v>23</v>
      </c>
      <c r="B1602">
        <v>1128299</v>
      </c>
      <c r="C1602" s="1">
        <v>44389</v>
      </c>
      <c r="D1602" t="s">
        <v>13</v>
      </c>
      <c r="E1602" t="s">
        <v>57</v>
      </c>
      <c r="F1602" t="s">
        <v>58</v>
      </c>
      <c r="G1602" t="s">
        <v>32</v>
      </c>
      <c r="H1602" s="2">
        <v>41</v>
      </c>
      <c r="I1602">
        <v>184</v>
      </c>
      <c r="J1602">
        <v>754</v>
      </c>
      <c r="K1602" s="4">
        <v>309</v>
      </c>
      <c r="L1602" t="s">
        <v>27</v>
      </c>
    </row>
    <row r="1603" spans="1:12" x14ac:dyDescent="0.35">
      <c r="A1603" t="s">
        <v>23</v>
      </c>
      <c r="B1603">
        <v>1128299</v>
      </c>
      <c r="C1603" s="1">
        <v>44513</v>
      </c>
      <c r="D1603" t="s">
        <v>13</v>
      </c>
      <c r="E1603" t="s">
        <v>57</v>
      </c>
      <c r="F1603" t="s">
        <v>58</v>
      </c>
      <c r="G1603" t="s">
        <v>39</v>
      </c>
      <c r="H1603" s="2">
        <v>40</v>
      </c>
      <c r="I1603">
        <v>184</v>
      </c>
      <c r="J1603">
        <v>736</v>
      </c>
      <c r="K1603" s="4">
        <v>324</v>
      </c>
      <c r="L1603" t="s">
        <v>27</v>
      </c>
    </row>
    <row r="1604" spans="1:12" x14ac:dyDescent="0.35">
      <c r="A1604" t="s">
        <v>18</v>
      </c>
      <c r="B1604">
        <v>1197831</v>
      </c>
      <c r="C1604" s="1">
        <v>44306</v>
      </c>
      <c r="D1604" t="s">
        <v>19</v>
      </c>
      <c r="E1604" t="s">
        <v>61</v>
      </c>
      <c r="F1604" t="s">
        <v>62</v>
      </c>
      <c r="G1604" t="s">
        <v>26</v>
      </c>
      <c r="H1604" s="2">
        <v>20</v>
      </c>
      <c r="I1604">
        <v>184</v>
      </c>
      <c r="J1604">
        <v>368</v>
      </c>
      <c r="K1604" s="4">
        <v>169</v>
      </c>
      <c r="L1604" t="s">
        <v>27</v>
      </c>
    </row>
    <row r="1605" spans="1:12" x14ac:dyDescent="0.35">
      <c r="A1605" t="s">
        <v>51</v>
      </c>
      <c r="B1605">
        <v>1185732</v>
      </c>
      <c r="C1605" s="1">
        <v>44239</v>
      </c>
      <c r="D1605" t="s">
        <v>43</v>
      </c>
      <c r="E1605" t="s">
        <v>112</v>
      </c>
      <c r="F1605" t="s">
        <v>113</v>
      </c>
      <c r="G1605" t="s">
        <v>26</v>
      </c>
      <c r="H1605" s="2">
        <v>33</v>
      </c>
      <c r="I1605">
        <v>184</v>
      </c>
      <c r="J1605">
        <v>607</v>
      </c>
      <c r="K1605" s="4">
        <v>285</v>
      </c>
      <c r="L1605" t="s">
        <v>27</v>
      </c>
    </row>
    <row r="1606" spans="1:12" x14ac:dyDescent="0.35">
      <c r="A1606" t="s">
        <v>42</v>
      </c>
      <c r="B1606">
        <v>1185732</v>
      </c>
      <c r="C1606" s="1">
        <v>44249</v>
      </c>
      <c r="D1606" t="s">
        <v>43</v>
      </c>
      <c r="E1606" t="s">
        <v>127</v>
      </c>
      <c r="F1606" t="s">
        <v>128</v>
      </c>
      <c r="G1606" t="s">
        <v>26</v>
      </c>
      <c r="H1606" s="2">
        <v>41</v>
      </c>
      <c r="I1606">
        <v>184</v>
      </c>
      <c r="J1606">
        <v>754</v>
      </c>
      <c r="K1606" s="4">
        <v>279</v>
      </c>
      <c r="L1606" t="s">
        <v>27</v>
      </c>
    </row>
    <row r="1607" spans="1:12" x14ac:dyDescent="0.35">
      <c r="A1607" t="s">
        <v>23</v>
      </c>
      <c r="B1607">
        <v>1197831</v>
      </c>
      <c r="C1607" s="1">
        <v>44045</v>
      </c>
      <c r="D1607" t="s">
        <v>19</v>
      </c>
      <c r="E1607" t="s">
        <v>59</v>
      </c>
      <c r="F1607" t="s">
        <v>60</v>
      </c>
      <c r="G1607" t="s">
        <v>32</v>
      </c>
      <c r="H1607" s="2">
        <v>32</v>
      </c>
      <c r="I1607">
        <v>182</v>
      </c>
      <c r="J1607">
        <v>582</v>
      </c>
      <c r="K1607" s="4">
        <v>285</v>
      </c>
      <c r="L1607" t="s">
        <v>17</v>
      </c>
    </row>
    <row r="1608" spans="1:12" x14ac:dyDescent="0.35">
      <c r="A1608" t="s">
        <v>12</v>
      </c>
      <c r="B1608">
        <v>1197831</v>
      </c>
      <c r="C1608" s="1">
        <v>44133</v>
      </c>
      <c r="D1608" t="s">
        <v>19</v>
      </c>
      <c r="E1608" t="s">
        <v>59</v>
      </c>
      <c r="F1608" t="s">
        <v>60</v>
      </c>
      <c r="G1608" t="s">
        <v>56</v>
      </c>
      <c r="H1608" s="2">
        <v>47</v>
      </c>
      <c r="I1608">
        <v>182</v>
      </c>
      <c r="J1608">
        <v>855</v>
      </c>
      <c r="K1608" s="4">
        <v>496</v>
      </c>
      <c r="L1608" t="s">
        <v>17</v>
      </c>
    </row>
    <row r="1609" spans="1:12" x14ac:dyDescent="0.35">
      <c r="A1609" t="s">
        <v>18</v>
      </c>
      <c r="B1609">
        <v>1128299</v>
      </c>
      <c r="C1609" s="1">
        <v>44147</v>
      </c>
      <c r="D1609" t="s">
        <v>48</v>
      </c>
      <c r="E1609" t="s">
        <v>66</v>
      </c>
      <c r="F1609" t="s">
        <v>67</v>
      </c>
      <c r="G1609" t="s">
        <v>16</v>
      </c>
      <c r="H1609" s="2">
        <v>46</v>
      </c>
      <c r="I1609">
        <v>182</v>
      </c>
      <c r="J1609">
        <v>837</v>
      </c>
      <c r="K1609" s="4">
        <v>234</v>
      </c>
      <c r="L1609" t="s">
        <v>17</v>
      </c>
    </row>
    <row r="1610" spans="1:12" x14ac:dyDescent="0.35">
      <c r="A1610" t="s">
        <v>18</v>
      </c>
      <c r="B1610">
        <v>1128299</v>
      </c>
      <c r="C1610" s="1">
        <v>44199</v>
      </c>
      <c r="D1610" t="s">
        <v>48</v>
      </c>
      <c r="E1610" t="s">
        <v>66</v>
      </c>
      <c r="F1610" t="s">
        <v>67</v>
      </c>
      <c r="G1610" t="s">
        <v>56</v>
      </c>
      <c r="H1610" s="2">
        <v>56</v>
      </c>
      <c r="I1610">
        <v>182</v>
      </c>
      <c r="J1610" s="3">
        <v>1019</v>
      </c>
      <c r="K1610" s="4">
        <v>459</v>
      </c>
      <c r="L1610" t="s">
        <v>17</v>
      </c>
    </row>
    <row r="1611" spans="1:12" x14ac:dyDescent="0.35">
      <c r="A1611" t="s">
        <v>18</v>
      </c>
      <c r="B1611">
        <v>1128299</v>
      </c>
      <c r="C1611" s="1">
        <v>44228</v>
      </c>
      <c r="D1611" t="s">
        <v>48</v>
      </c>
      <c r="E1611" t="s">
        <v>66</v>
      </c>
      <c r="F1611" t="s">
        <v>67</v>
      </c>
      <c r="G1611" t="s">
        <v>32</v>
      </c>
      <c r="H1611" s="2">
        <v>50</v>
      </c>
      <c r="I1611">
        <v>182</v>
      </c>
      <c r="J1611">
        <v>910</v>
      </c>
      <c r="K1611" s="4">
        <v>382</v>
      </c>
      <c r="L1611" t="s">
        <v>17</v>
      </c>
    </row>
    <row r="1612" spans="1:12" x14ac:dyDescent="0.35">
      <c r="A1612" t="s">
        <v>18</v>
      </c>
      <c r="B1612">
        <v>1128299</v>
      </c>
      <c r="C1612" s="1">
        <v>44230</v>
      </c>
      <c r="D1612" t="s">
        <v>48</v>
      </c>
      <c r="E1612" t="s">
        <v>66</v>
      </c>
      <c r="F1612" t="s">
        <v>67</v>
      </c>
      <c r="G1612" t="s">
        <v>70</v>
      </c>
      <c r="H1612" s="2">
        <v>59</v>
      </c>
      <c r="I1612">
        <v>182</v>
      </c>
      <c r="J1612" s="3">
        <v>1074</v>
      </c>
      <c r="K1612" s="4">
        <v>623</v>
      </c>
      <c r="L1612" t="s">
        <v>17</v>
      </c>
    </row>
    <row r="1613" spans="1:12" x14ac:dyDescent="0.35">
      <c r="A1613" t="s">
        <v>63</v>
      </c>
      <c r="B1613">
        <v>1189833</v>
      </c>
      <c r="C1613" s="1">
        <v>44267</v>
      </c>
      <c r="D1613" t="s">
        <v>48</v>
      </c>
      <c r="E1613" t="s">
        <v>66</v>
      </c>
      <c r="F1613" t="s">
        <v>76</v>
      </c>
      <c r="G1613" t="s">
        <v>16</v>
      </c>
      <c r="H1613" s="2">
        <v>41</v>
      </c>
      <c r="I1613">
        <v>182</v>
      </c>
      <c r="J1613">
        <v>746</v>
      </c>
      <c r="K1613" s="4">
        <v>231</v>
      </c>
      <c r="L1613" t="s">
        <v>17</v>
      </c>
    </row>
    <row r="1614" spans="1:12" x14ac:dyDescent="0.35">
      <c r="A1614" t="s">
        <v>63</v>
      </c>
      <c r="B1614">
        <v>1189833</v>
      </c>
      <c r="C1614" s="1">
        <v>44321</v>
      </c>
      <c r="D1614" t="s">
        <v>48</v>
      </c>
      <c r="E1614" t="s">
        <v>66</v>
      </c>
      <c r="F1614" t="s">
        <v>76</v>
      </c>
      <c r="G1614" t="s">
        <v>70</v>
      </c>
      <c r="H1614" s="2">
        <v>58</v>
      </c>
      <c r="I1614">
        <v>182</v>
      </c>
      <c r="J1614" s="3">
        <v>1056</v>
      </c>
      <c r="K1614" s="4">
        <v>707</v>
      </c>
      <c r="L1614" t="s">
        <v>17</v>
      </c>
    </row>
    <row r="1615" spans="1:12" x14ac:dyDescent="0.35">
      <c r="A1615" t="s">
        <v>63</v>
      </c>
      <c r="B1615">
        <v>1189833</v>
      </c>
      <c r="C1615" s="1">
        <v>44343</v>
      </c>
      <c r="D1615" t="s">
        <v>48</v>
      </c>
      <c r="E1615" t="s">
        <v>66</v>
      </c>
      <c r="F1615" t="s">
        <v>76</v>
      </c>
      <c r="G1615" t="s">
        <v>32</v>
      </c>
      <c r="H1615" s="2">
        <v>46</v>
      </c>
      <c r="I1615">
        <v>182</v>
      </c>
      <c r="J1615">
        <v>837</v>
      </c>
      <c r="K1615" s="4">
        <v>452</v>
      </c>
      <c r="L1615" t="s">
        <v>17</v>
      </c>
    </row>
    <row r="1616" spans="1:12" x14ac:dyDescent="0.35">
      <c r="A1616" t="s">
        <v>23</v>
      </c>
      <c r="B1616">
        <v>1197831</v>
      </c>
      <c r="C1616" s="1">
        <v>44431</v>
      </c>
      <c r="D1616" t="s">
        <v>19</v>
      </c>
      <c r="E1616" t="s">
        <v>59</v>
      </c>
      <c r="F1616" t="s">
        <v>68</v>
      </c>
      <c r="G1616" t="s">
        <v>26</v>
      </c>
      <c r="H1616" s="2">
        <v>29</v>
      </c>
      <c r="I1616">
        <v>182</v>
      </c>
      <c r="J1616">
        <v>528</v>
      </c>
      <c r="K1616" s="4">
        <v>264</v>
      </c>
      <c r="L1616" t="s">
        <v>17</v>
      </c>
    </row>
    <row r="1617" spans="1:12" x14ac:dyDescent="0.35">
      <c r="A1617" t="s">
        <v>23</v>
      </c>
      <c r="B1617">
        <v>1197831</v>
      </c>
      <c r="C1617" s="1">
        <v>44437</v>
      </c>
      <c r="D1617" t="s">
        <v>19</v>
      </c>
      <c r="E1617" t="s">
        <v>59</v>
      </c>
      <c r="F1617" t="s">
        <v>68</v>
      </c>
      <c r="G1617" t="s">
        <v>26</v>
      </c>
      <c r="H1617" s="2">
        <v>18</v>
      </c>
      <c r="I1617">
        <v>182</v>
      </c>
      <c r="J1617">
        <v>328</v>
      </c>
      <c r="K1617" s="4">
        <v>147</v>
      </c>
      <c r="L1617" t="s">
        <v>17</v>
      </c>
    </row>
    <row r="1618" spans="1:12" x14ac:dyDescent="0.35">
      <c r="A1618" t="s">
        <v>18</v>
      </c>
      <c r="B1618">
        <v>1128299</v>
      </c>
      <c r="C1618" s="1">
        <v>43875</v>
      </c>
      <c r="D1618" t="s">
        <v>48</v>
      </c>
      <c r="E1618" t="s">
        <v>116</v>
      </c>
      <c r="F1618" t="s">
        <v>117</v>
      </c>
      <c r="G1618" t="s">
        <v>39</v>
      </c>
      <c r="H1618" s="2">
        <v>64</v>
      </c>
      <c r="I1618">
        <v>182</v>
      </c>
      <c r="J1618" s="3">
        <v>1165</v>
      </c>
      <c r="K1618" s="4">
        <v>454</v>
      </c>
      <c r="L1618" t="s">
        <v>17</v>
      </c>
    </row>
    <row r="1619" spans="1:12" x14ac:dyDescent="0.35">
      <c r="A1619" t="s">
        <v>18</v>
      </c>
      <c r="B1619">
        <v>1128299</v>
      </c>
      <c r="C1619" s="1">
        <v>43972</v>
      </c>
      <c r="D1619" t="s">
        <v>48</v>
      </c>
      <c r="E1619" t="s">
        <v>133</v>
      </c>
      <c r="F1619" t="s">
        <v>134</v>
      </c>
      <c r="G1619" t="s">
        <v>39</v>
      </c>
      <c r="H1619" s="2">
        <v>64</v>
      </c>
      <c r="I1619">
        <v>182</v>
      </c>
      <c r="J1619" s="3">
        <v>1165</v>
      </c>
      <c r="K1619" s="4">
        <v>443</v>
      </c>
      <c r="L1619" t="s">
        <v>17</v>
      </c>
    </row>
    <row r="1620" spans="1:12" x14ac:dyDescent="0.35">
      <c r="A1620" t="s">
        <v>18</v>
      </c>
      <c r="B1620">
        <v>1128299</v>
      </c>
      <c r="C1620" s="1">
        <v>44012</v>
      </c>
      <c r="D1620" t="s">
        <v>48</v>
      </c>
      <c r="E1620" t="s">
        <v>97</v>
      </c>
      <c r="F1620" t="s">
        <v>98</v>
      </c>
      <c r="G1620" t="s">
        <v>16</v>
      </c>
      <c r="H1620" s="2">
        <v>98</v>
      </c>
      <c r="I1620">
        <v>182</v>
      </c>
      <c r="J1620" s="3">
        <v>1784</v>
      </c>
      <c r="K1620" s="4">
        <v>606</v>
      </c>
      <c r="L1620" t="s">
        <v>17</v>
      </c>
    </row>
    <row r="1621" spans="1:12" x14ac:dyDescent="0.35">
      <c r="A1621" t="s">
        <v>18</v>
      </c>
      <c r="B1621">
        <v>1128299</v>
      </c>
      <c r="C1621" s="1">
        <v>44014</v>
      </c>
      <c r="D1621" t="s">
        <v>48</v>
      </c>
      <c r="E1621" t="s">
        <v>97</v>
      </c>
      <c r="F1621" t="s">
        <v>98</v>
      </c>
      <c r="G1621" t="s">
        <v>39</v>
      </c>
      <c r="H1621" s="2">
        <v>82</v>
      </c>
      <c r="I1621">
        <v>182</v>
      </c>
      <c r="J1621" s="3">
        <v>1492</v>
      </c>
      <c r="K1621" s="4">
        <v>537</v>
      </c>
      <c r="L1621" t="s">
        <v>17</v>
      </c>
    </row>
    <row r="1622" spans="1:12" x14ac:dyDescent="0.35">
      <c r="A1622" t="s">
        <v>42</v>
      </c>
      <c r="B1622">
        <v>1185732</v>
      </c>
      <c r="C1622" s="1">
        <v>44065</v>
      </c>
      <c r="D1622" t="s">
        <v>13</v>
      </c>
      <c r="E1622" t="s">
        <v>14</v>
      </c>
      <c r="F1622" t="s">
        <v>73</v>
      </c>
      <c r="G1622" t="s">
        <v>70</v>
      </c>
      <c r="H1622" s="2">
        <v>53</v>
      </c>
      <c r="I1622">
        <v>182</v>
      </c>
      <c r="J1622">
        <v>965</v>
      </c>
      <c r="K1622" s="4">
        <v>444</v>
      </c>
      <c r="L1622" t="s">
        <v>17</v>
      </c>
    </row>
    <row r="1623" spans="1:12" x14ac:dyDescent="0.35">
      <c r="A1623" t="s">
        <v>23</v>
      </c>
      <c r="B1623">
        <v>1185732</v>
      </c>
      <c r="C1623" s="1">
        <v>44106</v>
      </c>
      <c r="D1623" t="s">
        <v>13</v>
      </c>
      <c r="E1623" t="s">
        <v>14</v>
      </c>
      <c r="F1623" t="s">
        <v>73</v>
      </c>
      <c r="G1623" t="s">
        <v>56</v>
      </c>
      <c r="H1623" s="2">
        <v>45</v>
      </c>
      <c r="I1623">
        <v>182</v>
      </c>
      <c r="J1623">
        <v>819</v>
      </c>
      <c r="K1623" s="4">
        <v>360</v>
      </c>
      <c r="L1623" t="s">
        <v>17</v>
      </c>
    </row>
    <row r="1624" spans="1:12" x14ac:dyDescent="0.35">
      <c r="A1624" t="s">
        <v>63</v>
      </c>
      <c r="B1624">
        <v>1189833</v>
      </c>
      <c r="C1624" s="1">
        <v>44260</v>
      </c>
      <c r="D1624" t="s">
        <v>33</v>
      </c>
      <c r="E1624" t="s">
        <v>131</v>
      </c>
      <c r="F1624" t="s">
        <v>132</v>
      </c>
      <c r="G1624" t="s">
        <v>39</v>
      </c>
      <c r="H1624" s="2">
        <v>45</v>
      </c>
      <c r="I1624">
        <v>182</v>
      </c>
      <c r="J1624">
        <v>819</v>
      </c>
      <c r="K1624" s="4">
        <v>352</v>
      </c>
      <c r="L1624" t="s">
        <v>17</v>
      </c>
    </row>
    <row r="1625" spans="1:12" x14ac:dyDescent="0.35">
      <c r="A1625" t="s">
        <v>23</v>
      </c>
      <c r="B1625">
        <v>1197831</v>
      </c>
      <c r="C1625" s="1">
        <v>44266</v>
      </c>
      <c r="D1625" t="s">
        <v>33</v>
      </c>
      <c r="E1625" t="s">
        <v>131</v>
      </c>
      <c r="F1625" t="s">
        <v>132</v>
      </c>
      <c r="G1625" t="s">
        <v>39</v>
      </c>
      <c r="H1625" s="2">
        <v>29</v>
      </c>
      <c r="I1625">
        <v>182</v>
      </c>
      <c r="J1625">
        <v>528</v>
      </c>
      <c r="K1625" s="4">
        <v>243</v>
      </c>
      <c r="L1625" t="s">
        <v>17</v>
      </c>
    </row>
    <row r="1626" spans="1:12" x14ac:dyDescent="0.35">
      <c r="A1626" t="s">
        <v>23</v>
      </c>
      <c r="B1626">
        <v>1197831</v>
      </c>
      <c r="C1626" s="1">
        <v>44313</v>
      </c>
      <c r="D1626" t="s">
        <v>19</v>
      </c>
      <c r="E1626" t="s">
        <v>74</v>
      </c>
      <c r="F1626" t="s">
        <v>75</v>
      </c>
      <c r="G1626" t="s">
        <v>26</v>
      </c>
      <c r="H1626" s="2">
        <v>49</v>
      </c>
      <c r="I1626">
        <v>182</v>
      </c>
      <c r="J1626">
        <v>892</v>
      </c>
      <c r="K1626" s="4">
        <v>535</v>
      </c>
      <c r="L1626" t="s">
        <v>17</v>
      </c>
    </row>
    <row r="1627" spans="1:12" x14ac:dyDescent="0.35">
      <c r="A1627" t="s">
        <v>23</v>
      </c>
      <c r="B1627">
        <v>1197831</v>
      </c>
      <c r="C1627" s="1">
        <v>44315</v>
      </c>
      <c r="D1627" t="s">
        <v>19</v>
      </c>
      <c r="E1627" t="s">
        <v>74</v>
      </c>
      <c r="F1627" t="s">
        <v>75</v>
      </c>
      <c r="G1627" t="s">
        <v>32</v>
      </c>
      <c r="H1627" s="2">
        <v>54</v>
      </c>
      <c r="I1627">
        <v>182</v>
      </c>
      <c r="J1627">
        <v>983</v>
      </c>
      <c r="K1627" s="4">
        <v>580</v>
      </c>
      <c r="L1627" t="s">
        <v>17</v>
      </c>
    </row>
    <row r="1628" spans="1:12" x14ac:dyDescent="0.35">
      <c r="A1628" t="s">
        <v>23</v>
      </c>
      <c r="B1628">
        <v>1197831</v>
      </c>
      <c r="C1628" s="1">
        <v>44456</v>
      </c>
      <c r="D1628" t="s">
        <v>19</v>
      </c>
      <c r="E1628" t="s">
        <v>24</v>
      </c>
      <c r="F1628" t="s">
        <v>25</v>
      </c>
      <c r="G1628" t="s">
        <v>16</v>
      </c>
      <c r="H1628" s="2">
        <v>59</v>
      </c>
      <c r="I1628">
        <v>182</v>
      </c>
      <c r="J1628" s="3">
        <v>1074</v>
      </c>
      <c r="K1628" s="4">
        <v>827</v>
      </c>
      <c r="L1628" t="s">
        <v>17</v>
      </c>
    </row>
    <row r="1629" spans="1:12" x14ac:dyDescent="0.35">
      <c r="A1629" t="s">
        <v>51</v>
      </c>
      <c r="B1629">
        <v>1185732</v>
      </c>
      <c r="C1629" s="1">
        <v>44397</v>
      </c>
      <c r="D1629" t="s">
        <v>48</v>
      </c>
      <c r="E1629" t="s">
        <v>137</v>
      </c>
      <c r="F1629" t="s">
        <v>138</v>
      </c>
      <c r="G1629" t="s">
        <v>26</v>
      </c>
      <c r="H1629" s="2">
        <v>63</v>
      </c>
      <c r="I1629">
        <v>182</v>
      </c>
      <c r="J1629" s="3">
        <v>1147</v>
      </c>
      <c r="K1629" s="4">
        <v>527</v>
      </c>
      <c r="L1629" t="s">
        <v>17</v>
      </c>
    </row>
    <row r="1630" spans="1:12" x14ac:dyDescent="0.35">
      <c r="A1630" t="s">
        <v>42</v>
      </c>
      <c r="B1630">
        <v>1128299</v>
      </c>
      <c r="C1630" s="1">
        <v>44386</v>
      </c>
      <c r="D1630" t="s">
        <v>48</v>
      </c>
      <c r="E1630" t="s">
        <v>129</v>
      </c>
      <c r="F1630" t="s">
        <v>130</v>
      </c>
      <c r="G1630" t="s">
        <v>39</v>
      </c>
      <c r="H1630" s="2">
        <v>81</v>
      </c>
      <c r="I1630">
        <v>182</v>
      </c>
      <c r="J1630" s="3">
        <v>1474</v>
      </c>
      <c r="K1630" s="4">
        <v>501</v>
      </c>
      <c r="L1630" t="s">
        <v>17</v>
      </c>
    </row>
    <row r="1631" spans="1:12" x14ac:dyDescent="0.35">
      <c r="A1631" t="s">
        <v>12</v>
      </c>
      <c r="B1631">
        <v>1128299</v>
      </c>
      <c r="C1631" s="1">
        <v>44539</v>
      </c>
      <c r="D1631" t="s">
        <v>48</v>
      </c>
      <c r="E1631" t="s">
        <v>129</v>
      </c>
      <c r="F1631" t="s">
        <v>130</v>
      </c>
      <c r="G1631" t="s">
        <v>39</v>
      </c>
      <c r="H1631" s="2">
        <v>77</v>
      </c>
      <c r="I1631">
        <v>182</v>
      </c>
      <c r="J1631" s="3">
        <v>1401</v>
      </c>
      <c r="K1631" s="4">
        <v>420</v>
      </c>
      <c r="L1631" t="s">
        <v>17</v>
      </c>
    </row>
    <row r="1632" spans="1:12" x14ac:dyDescent="0.35">
      <c r="A1632" t="s">
        <v>18</v>
      </c>
      <c r="B1632">
        <v>1185732</v>
      </c>
      <c r="C1632" s="1">
        <v>44237</v>
      </c>
      <c r="D1632" t="s">
        <v>43</v>
      </c>
      <c r="E1632" t="s">
        <v>44</v>
      </c>
      <c r="F1632" t="s">
        <v>101</v>
      </c>
      <c r="G1632" t="s">
        <v>16</v>
      </c>
      <c r="H1632" s="2">
        <v>42</v>
      </c>
      <c r="I1632">
        <v>182</v>
      </c>
      <c r="J1632">
        <v>764</v>
      </c>
      <c r="K1632" s="4">
        <v>489</v>
      </c>
      <c r="L1632" t="s">
        <v>17</v>
      </c>
    </row>
    <row r="1633" spans="1:12" x14ac:dyDescent="0.35">
      <c r="A1633" t="s">
        <v>63</v>
      </c>
      <c r="B1633">
        <v>1185732</v>
      </c>
      <c r="C1633" s="1">
        <v>44538</v>
      </c>
      <c r="D1633" t="s">
        <v>43</v>
      </c>
      <c r="E1633" t="s">
        <v>44</v>
      </c>
      <c r="F1633" t="s">
        <v>101</v>
      </c>
      <c r="G1633" t="s">
        <v>16</v>
      </c>
      <c r="H1633" s="2">
        <v>69</v>
      </c>
      <c r="I1633">
        <v>182</v>
      </c>
      <c r="J1633" s="3">
        <v>1256</v>
      </c>
      <c r="K1633" s="4">
        <v>804</v>
      </c>
      <c r="L1633" t="s">
        <v>17</v>
      </c>
    </row>
    <row r="1634" spans="1:12" x14ac:dyDescent="0.35">
      <c r="A1634" t="s">
        <v>42</v>
      </c>
      <c r="B1634">
        <v>1128299</v>
      </c>
      <c r="C1634" s="1">
        <v>44371</v>
      </c>
      <c r="D1634" t="s">
        <v>13</v>
      </c>
      <c r="E1634" t="s">
        <v>99</v>
      </c>
      <c r="F1634" t="s">
        <v>100</v>
      </c>
      <c r="G1634" t="s">
        <v>16</v>
      </c>
      <c r="H1634" s="2">
        <v>96</v>
      </c>
      <c r="I1634">
        <v>182</v>
      </c>
      <c r="J1634" s="3">
        <v>1747</v>
      </c>
      <c r="K1634" s="4">
        <v>699</v>
      </c>
      <c r="L1634" t="s">
        <v>17</v>
      </c>
    </row>
    <row r="1635" spans="1:12" x14ac:dyDescent="0.35">
      <c r="A1635" t="s">
        <v>42</v>
      </c>
      <c r="B1635">
        <v>1128299</v>
      </c>
      <c r="C1635" s="1">
        <v>44400</v>
      </c>
      <c r="D1635" t="s">
        <v>13</v>
      </c>
      <c r="E1635" t="s">
        <v>99</v>
      </c>
      <c r="F1635" t="s">
        <v>100</v>
      </c>
      <c r="G1635" t="s">
        <v>32</v>
      </c>
      <c r="H1635" s="2">
        <v>86</v>
      </c>
      <c r="I1635">
        <v>182</v>
      </c>
      <c r="J1635" s="3">
        <v>1565</v>
      </c>
      <c r="K1635" s="4">
        <v>704</v>
      </c>
      <c r="L1635" t="s">
        <v>17</v>
      </c>
    </row>
    <row r="1636" spans="1:12" x14ac:dyDescent="0.35">
      <c r="A1636" t="s">
        <v>42</v>
      </c>
      <c r="B1636">
        <v>1185732</v>
      </c>
      <c r="C1636" s="1">
        <v>44245</v>
      </c>
      <c r="D1636" t="s">
        <v>33</v>
      </c>
      <c r="E1636" t="s">
        <v>45</v>
      </c>
      <c r="F1636" t="s">
        <v>46</v>
      </c>
      <c r="G1636" t="s">
        <v>26</v>
      </c>
      <c r="H1636" s="2">
        <v>29</v>
      </c>
      <c r="I1636">
        <v>182</v>
      </c>
      <c r="J1636">
        <v>528</v>
      </c>
      <c r="K1636" s="4">
        <v>280</v>
      </c>
      <c r="L1636" t="s">
        <v>17</v>
      </c>
    </row>
    <row r="1637" spans="1:12" x14ac:dyDescent="0.35">
      <c r="A1637" t="s">
        <v>18</v>
      </c>
      <c r="B1637">
        <v>1185732</v>
      </c>
      <c r="C1637" s="1">
        <v>44358</v>
      </c>
      <c r="D1637" t="s">
        <v>48</v>
      </c>
      <c r="E1637" t="s">
        <v>49</v>
      </c>
      <c r="F1637" t="s">
        <v>50</v>
      </c>
      <c r="G1637" t="s">
        <v>26</v>
      </c>
      <c r="H1637" s="2">
        <v>28</v>
      </c>
      <c r="I1637">
        <v>182</v>
      </c>
      <c r="J1637">
        <v>510</v>
      </c>
      <c r="K1637" s="4">
        <v>260</v>
      </c>
      <c r="L1637" t="s">
        <v>17</v>
      </c>
    </row>
    <row r="1638" spans="1:12" x14ac:dyDescent="0.35">
      <c r="A1638" t="s">
        <v>42</v>
      </c>
      <c r="B1638">
        <v>1197831</v>
      </c>
      <c r="C1638" s="1">
        <v>44201</v>
      </c>
      <c r="D1638" t="s">
        <v>19</v>
      </c>
      <c r="E1638" t="s">
        <v>20</v>
      </c>
      <c r="F1638" t="s">
        <v>21</v>
      </c>
      <c r="G1638" t="s">
        <v>26</v>
      </c>
      <c r="H1638" s="2">
        <v>19</v>
      </c>
      <c r="I1638">
        <v>182</v>
      </c>
      <c r="J1638">
        <v>346</v>
      </c>
      <c r="K1638" s="4">
        <v>149</v>
      </c>
      <c r="L1638" t="s">
        <v>17</v>
      </c>
    </row>
    <row r="1639" spans="1:12" x14ac:dyDescent="0.35">
      <c r="A1639" t="s">
        <v>23</v>
      </c>
      <c r="B1639">
        <v>1197831</v>
      </c>
      <c r="C1639" s="1">
        <v>44444</v>
      </c>
      <c r="D1639" t="s">
        <v>48</v>
      </c>
      <c r="E1639" t="s">
        <v>79</v>
      </c>
      <c r="F1639" t="s">
        <v>80</v>
      </c>
      <c r="G1639" t="s">
        <v>32</v>
      </c>
      <c r="H1639" s="2">
        <v>56</v>
      </c>
      <c r="I1639">
        <v>182</v>
      </c>
      <c r="J1639" s="3">
        <v>1019</v>
      </c>
      <c r="K1639" s="4">
        <v>530</v>
      </c>
      <c r="L1639" t="s">
        <v>17</v>
      </c>
    </row>
    <row r="1640" spans="1:12" x14ac:dyDescent="0.35">
      <c r="A1640" t="s">
        <v>23</v>
      </c>
      <c r="B1640">
        <v>1197831</v>
      </c>
      <c r="C1640" s="1">
        <v>44505</v>
      </c>
      <c r="D1640" t="s">
        <v>48</v>
      </c>
      <c r="E1640" t="s">
        <v>79</v>
      </c>
      <c r="F1640" t="s">
        <v>80</v>
      </c>
      <c r="G1640" t="s">
        <v>26</v>
      </c>
      <c r="H1640" s="2">
        <v>33</v>
      </c>
      <c r="I1640">
        <v>182</v>
      </c>
      <c r="J1640">
        <v>601</v>
      </c>
      <c r="K1640" s="4">
        <v>330</v>
      </c>
      <c r="L1640" t="s">
        <v>17</v>
      </c>
    </row>
    <row r="1641" spans="1:12" x14ac:dyDescent="0.35">
      <c r="A1641" t="s">
        <v>63</v>
      </c>
      <c r="B1641">
        <v>1128299</v>
      </c>
      <c r="C1641" s="1">
        <v>44555</v>
      </c>
      <c r="D1641" t="s">
        <v>48</v>
      </c>
      <c r="E1641" t="s">
        <v>114</v>
      </c>
      <c r="F1641" t="s">
        <v>115</v>
      </c>
      <c r="G1641" t="s">
        <v>39</v>
      </c>
      <c r="H1641" s="2">
        <v>61</v>
      </c>
      <c r="I1641">
        <v>182</v>
      </c>
      <c r="J1641" s="3">
        <v>1110</v>
      </c>
      <c r="K1641" s="4">
        <v>555</v>
      </c>
      <c r="L1641" t="s">
        <v>17</v>
      </c>
    </row>
    <row r="1642" spans="1:12" x14ac:dyDescent="0.35">
      <c r="A1642" t="s">
        <v>23</v>
      </c>
      <c r="B1642">
        <v>1128299</v>
      </c>
      <c r="C1642" s="1">
        <v>44421</v>
      </c>
      <c r="D1642" t="s">
        <v>13</v>
      </c>
      <c r="E1642" t="s">
        <v>57</v>
      </c>
      <c r="F1642" t="s">
        <v>58</v>
      </c>
      <c r="G1642" t="s">
        <v>26</v>
      </c>
      <c r="H1642" s="2">
        <v>53</v>
      </c>
      <c r="I1642">
        <v>182</v>
      </c>
      <c r="J1642">
        <v>965</v>
      </c>
      <c r="K1642" s="4">
        <v>492</v>
      </c>
      <c r="L1642" t="s">
        <v>17</v>
      </c>
    </row>
    <row r="1643" spans="1:12" x14ac:dyDescent="0.35">
      <c r="A1643" t="s">
        <v>42</v>
      </c>
      <c r="B1643">
        <v>1185732</v>
      </c>
      <c r="C1643" s="1">
        <v>44292</v>
      </c>
      <c r="D1643" t="s">
        <v>13</v>
      </c>
      <c r="E1643" t="s">
        <v>69</v>
      </c>
      <c r="F1643" t="s">
        <v>65</v>
      </c>
      <c r="G1643" t="s">
        <v>39</v>
      </c>
      <c r="H1643" s="2">
        <v>34</v>
      </c>
      <c r="I1643">
        <v>182</v>
      </c>
      <c r="J1643">
        <v>619</v>
      </c>
      <c r="K1643" s="4">
        <v>285</v>
      </c>
      <c r="L1643" t="s">
        <v>17</v>
      </c>
    </row>
    <row r="1644" spans="1:12" x14ac:dyDescent="0.35">
      <c r="A1644" t="s">
        <v>42</v>
      </c>
      <c r="B1644">
        <v>1185732</v>
      </c>
      <c r="C1644" s="1">
        <v>44292</v>
      </c>
      <c r="D1644" t="s">
        <v>13</v>
      </c>
      <c r="E1644" t="s">
        <v>69</v>
      </c>
      <c r="F1644" t="s">
        <v>65</v>
      </c>
      <c r="G1644" t="s">
        <v>32</v>
      </c>
      <c r="H1644" s="2">
        <v>24</v>
      </c>
      <c r="I1644">
        <v>182</v>
      </c>
      <c r="J1644">
        <v>437</v>
      </c>
      <c r="K1644" s="4">
        <v>166</v>
      </c>
      <c r="L1644" t="s">
        <v>17</v>
      </c>
    </row>
    <row r="1645" spans="1:12" x14ac:dyDescent="0.35">
      <c r="A1645" t="s">
        <v>42</v>
      </c>
      <c r="B1645">
        <v>1185732</v>
      </c>
      <c r="C1645" s="1">
        <v>44321</v>
      </c>
      <c r="D1645" t="s">
        <v>13</v>
      </c>
      <c r="E1645" t="s">
        <v>69</v>
      </c>
      <c r="F1645" t="s">
        <v>65</v>
      </c>
      <c r="G1645" t="s">
        <v>56</v>
      </c>
      <c r="H1645" s="2">
        <v>43</v>
      </c>
      <c r="I1645">
        <v>182</v>
      </c>
      <c r="J1645">
        <v>783</v>
      </c>
      <c r="K1645" s="4">
        <v>329</v>
      </c>
      <c r="L1645" t="s">
        <v>17</v>
      </c>
    </row>
    <row r="1646" spans="1:12" x14ac:dyDescent="0.35">
      <c r="A1646" t="s">
        <v>23</v>
      </c>
      <c r="B1646">
        <v>1185732</v>
      </c>
      <c r="C1646" s="1">
        <v>44318</v>
      </c>
      <c r="D1646" t="s">
        <v>13</v>
      </c>
      <c r="E1646" t="s">
        <v>77</v>
      </c>
      <c r="F1646" t="s">
        <v>78</v>
      </c>
      <c r="G1646" t="s">
        <v>39</v>
      </c>
      <c r="H1646" s="2">
        <v>42</v>
      </c>
      <c r="I1646">
        <v>182</v>
      </c>
      <c r="J1646">
        <v>764</v>
      </c>
      <c r="K1646" s="4">
        <v>352</v>
      </c>
      <c r="L1646" t="s">
        <v>17</v>
      </c>
    </row>
    <row r="1647" spans="1:12" x14ac:dyDescent="0.35">
      <c r="A1647" t="s">
        <v>23</v>
      </c>
      <c r="B1647">
        <v>1185732</v>
      </c>
      <c r="C1647" s="1">
        <v>44351</v>
      </c>
      <c r="D1647" t="s">
        <v>13</v>
      </c>
      <c r="E1647" t="s">
        <v>77</v>
      </c>
      <c r="F1647" t="s">
        <v>78</v>
      </c>
      <c r="G1647" t="s">
        <v>39</v>
      </c>
      <c r="H1647" s="2">
        <v>42</v>
      </c>
      <c r="I1647">
        <v>182</v>
      </c>
      <c r="J1647">
        <v>764</v>
      </c>
      <c r="K1647" s="4">
        <v>359</v>
      </c>
      <c r="L1647" t="s">
        <v>17</v>
      </c>
    </row>
    <row r="1648" spans="1:12" x14ac:dyDescent="0.35">
      <c r="A1648" t="s">
        <v>23</v>
      </c>
      <c r="B1648">
        <v>1185732</v>
      </c>
      <c r="C1648" s="1">
        <v>44379</v>
      </c>
      <c r="D1648" t="s">
        <v>13</v>
      </c>
      <c r="E1648" t="s">
        <v>77</v>
      </c>
      <c r="F1648" t="s">
        <v>78</v>
      </c>
      <c r="G1648" t="s">
        <v>70</v>
      </c>
      <c r="H1648" s="2">
        <v>59</v>
      </c>
      <c r="I1648">
        <v>182</v>
      </c>
      <c r="J1648" s="3">
        <v>1074</v>
      </c>
      <c r="K1648" s="4">
        <v>526</v>
      </c>
      <c r="L1648" t="s">
        <v>17</v>
      </c>
    </row>
    <row r="1649" spans="1:12" x14ac:dyDescent="0.35">
      <c r="A1649" t="s">
        <v>23</v>
      </c>
      <c r="B1649">
        <v>1185732</v>
      </c>
      <c r="C1649" s="1">
        <v>44411</v>
      </c>
      <c r="D1649" t="s">
        <v>13</v>
      </c>
      <c r="E1649" t="s">
        <v>77</v>
      </c>
      <c r="F1649" t="s">
        <v>78</v>
      </c>
      <c r="G1649" t="s">
        <v>56</v>
      </c>
      <c r="H1649" s="2">
        <v>44</v>
      </c>
      <c r="I1649">
        <v>182</v>
      </c>
      <c r="J1649">
        <v>801</v>
      </c>
      <c r="K1649" s="4">
        <v>424</v>
      </c>
      <c r="L1649" t="s">
        <v>17</v>
      </c>
    </row>
    <row r="1650" spans="1:12" x14ac:dyDescent="0.35">
      <c r="A1650" t="s">
        <v>12</v>
      </c>
      <c r="B1650">
        <v>1197831</v>
      </c>
      <c r="C1650" s="1">
        <v>44458</v>
      </c>
      <c r="D1650" t="s">
        <v>19</v>
      </c>
      <c r="E1650" t="s">
        <v>54</v>
      </c>
      <c r="F1650" t="s">
        <v>55</v>
      </c>
      <c r="G1650" t="s">
        <v>26</v>
      </c>
      <c r="H1650" s="2">
        <v>48</v>
      </c>
      <c r="I1650">
        <v>182</v>
      </c>
      <c r="J1650">
        <v>874</v>
      </c>
      <c r="K1650" s="4">
        <v>454</v>
      </c>
      <c r="L1650" t="s">
        <v>17</v>
      </c>
    </row>
    <row r="1651" spans="1:12" x14ac:dyDescent="0.35">
      <c r="A1651" t="s">
        <v>18</v>
      </c>
      <c r="B1651">
        <v>1197831</v>
      </c>
      <c r="C1651" s="1">
        <v>44396</v>
      </c>
      <c r="D1651" t="s">
        <v>19</v>
      </c>
      <c r="E1651" t="s">
        <v>61</v>
      </c>
      <c r="F1651" t="s">
        <v>62</v>
      </c>
      <c r="G1651" t="s">
        <v>26</v>
      </c>
      <c r="H1651" s="2">
        <v>50</v>
      </c>
      <c r="I1651">
        <v>182</v>
      </c>
      <c r="J1651">
        <v>910</v>
      </c>
      <c r="K1651" s="4">
        <v>473</v>
      </c>
      <c r="L1651" t="s">
        <v>17</v>
      </c>
    </row>
    <row r="1652" spans="1:12" x14ac:dyDescent="0.35">
      <c r="A1652" t="s">
        <v>63</v>
      </c>
      <c r="B1652">
        <v>1197831</v>
      </c>
      <c r="C1652" s="1">
        <v>44389</v>
      </c>
      <c r="D1652" t="s">
        <v>33</v>
      </c>
      <c r="E1652" t="s">
        <v>71</v>
      </c>
      <c r="F1652" t="s">
        <v>72</v>
      </c>
      <c r="G1652" t="s">
        <v>26</v>
      </c>
      <c r="H1652" s="2">
        <v>51</v>
      </c>
      <c r="I1652">
        <v>182</v>
      </c>
      <c r="J1652">
        <v>928</v>
      </c>
      <c r="K1652" s="4">
        <v>464</v>
      </c>
      <c r="L1652" t="s">
        <v>17</v>
      </c>
    </row>
    <row r="1653" spans="1:12" x14ac:dyDescent="0.35">
      <c r="A1653" t="s">
        <v>18</v>
      </c>
      <c r="B1653">
        <v>1185732</v>
      </c>
      <c r="C1653" s="1">
        <v>44393</v>
      </c>
      <c r="D1653" t="s">
        <v>43</v>
      </c>
      <c r="E1653" t="s">
        <v>64</v>
      </c>
      <c r="F1653" t="s">
        <v>65</v>
      </c>
      <c r="G1653" t="s">
        <v>26</v>
      </c>
      <c r="H1653" s="2">
        <v>55</v>
      </c>
      <c r="I1653">
        <v>182</v>
      </c>
      <c r="J1653" s="3">
        <v>1001</v>
      </c>
      <c r="K1653" s="4">
        <v>521</v>
      </c>
      <c r="L1653" t="s">
        <v>17</v>
      </c>
    </row>
    <row r="1654" spans="1:12" x14ac:dyDescent="0.35">
      <c r="A1654" t="s">
        <v>42</v>
      </c>
      <c r="B1654">
        <v>1185732</v>
      </c>
      <c r="C1654" s="1">
        <v>44390</v>
      </c>
      <c r="D1654" t="s">
        <v>43</v>
      </c>
      <c r="E1654" t="s">
        <v>95</v>
      </c>
      <c r="F1654" t="s">
        <v>96</v>
      </c>
      <c r="G1654" t="s">
        <v>26</v>
      </c>
      <c r="H1654" s="2">
        <v>53</v>
      </c>
      <c r="I1654">
        <v>182</v>
      </c>
      <c r="J1654">
        <v>965</v>
      </c>
      <c r="K1654" s="4">
        <v>482</v>
      </c>
      <c r="L1654" t="s">
        <v>17</v>
      </c>
    </row>
    <row r="1655" spans="1:12" x14ac:dyDescent="0.35">
      <c r="A1655" t="s">
        <v>51</v>
      </c>
      <c r="B1655">
        <v>1185732</v>
      </c>
      <c r="C1655" s="1">
        <v>44387</v>
      </c>
      <c r="D1655" t="s">
        <v>43</v>
      </c>
      <c r="E1655" t="s">
        <v>125</v>
      </c>
      <c r="F1655" t="s">
        <v>126</v>
      </c>
      <c r="G1655" t="s">
        <v>26</v>
      </c>
      <c r="H1655" s="2">
        <v>54</v>
      </c>
      <c r="I1655">
        <v>182</v>
      </c>
      <c r="J1655">
        <v>983</v>
      </c>
      <c r="K1655" s="4">
        <v>560</v>
      </c>
      <c r="L1655" t="s">
        <v>17</v>
      </c>
    </row>
    <row r="1656" spans="1:12" x14ac:dyDescent="0.35">
      <c r="A1656" t="s">
        <v>18</v>
      </c>
      <c r="B1656">
        <v>1128299</v>
      </c>
      <c r="C1656" s="1">
        <v>44200</v>
      </c>
      <c r="D1656" t="s">
        <v>48</v>
      </c>
      <c r="E1656" t="s">
        <v>66</v>
      </c>
      <c r="F1656" t="s">
        <v>67</v>
      </c>
      <c r="G1656" t="s">
        <v>70</v>
      </c>
      <c r="H1656" s="2">
        <v>49</v>
      </c>
      <c r="I1656">
        <v>182</v>
      </c>
      <c r="J1656">
        <v>892</v>
      </c>
      <c r="K1656" s="4">
        <v>508</v>
      </c>
      <c r="L1656" t="s">
        <v>27</v>
      </c>
    </row>
    <row r="1657" spans="1:12" x14ac:dyDescent="0.35">
      <c r="A1657" t="s">
        <v>63</v>
      </c>
      <c r="B1657">
        <v>1189833</v>
      </c>
      <c r="C1657" s="1">
        <v>44265</v>
      </c>
      <c r="D1657" t="s">
        <v>48</v>
      </c>
      <c r="E1657" t="s">
        <v>66</v>
      </c>
      <c r="F1657" t="s">
        <v>67</v>
      </c>
      <c r="G1657" t="s">
        <v>56</v>
      </c>
      <c r="H1657" s="2">
        <v>33</v>
      </c>
      <c r="I1657">
        <v>182</v>
      </c>
      <c r="J1657">
        <v>601</v>
      </c>
      <c r="K1657" s="4">
        <v>228</v>
      </c>
      <c r="L1657" t="s">
        <v>27</v>
      </c>
    </row>
    <row r="1658" spans="1:12" x14ac:dyDescent="0.35">
      <c r="A1658" t="s">
        <v>23</v>
      </c>
      <c r="B1658">
        <v>1197831</v>
      </c>
      <c r="C1658" s="1">
        <v>44446</v>
      </c>
      <c r="D1658" t="s">
        <v>19</v>
      </c>
      <c r="E1658" t="s">
        <v>59</v>
      </c>
      <c r="F1658" t="s">
        <v>68</v>
      </c>
      <c r="G1658" t="s">
        <v>56</v>
      </c>
      <c r="H1658" s="2">
        <v>27</v>
      </c>
      <c r="I1658">
        <v>182</v>
      </c>
      <c r="J1658">
        <v>491</v>
      </c>
      <c r="K1658" s="4">
        <v>241</v>
      </c>
      <c r="L1658" t="s">
        <v>27</v>
      </c>
    </row>
    <row r="1659" spans="1:12" x14ac:dyDescent="0.35">
      <c r="A1659" t="s">
        <v>18</v>
      </c>
      <c r="B1659">
        <v>1128299</v>
      </c>
      <c r="C1659" s="1">
        <v>43844</v>
      </c>
      <c r="D1659" t="s">
        <v>48</v>
      </c>
      <c r="E1659" t="s">
        <v>116</v>
      </c>
      <c r="F1659" t="s">
        <v>117</v>
      </c>
      <c r="G1659" t="s">
        <v>26</v>
      </c>
      <c r="H1659" s="2">
        <v>31</v>
      </c>
      <c r="I1659">
        <v>182</v>
      </c>
      <c r="J1659">
        <v>564</v>
      </c>
      <c r="K1659" s="4">
        <v>254</v>
      </c>
      <c r="L1659" t="s">
        <v>27</v>
      </c>
    </row>
    <row r="1660" spans="1:12" x14ac:dyDescent="0.35">
      <c r="A1660" t="s">
        <v>18</v>
      </c>
      <c r="B1660">
        <v>1128299</v>
      </c>
      <c r="C1660" s="1">
        <v>43863</v>
      </c>
      <c r="D1660" t="s">
        <v>48</v>
      </c>
      <c r="E1660" t="s">
        <v>116</v>
      </c>
      <c r="F1660" t="s">
        <v>117</v>
      </c>
      <c r="G1660" t="s">
        <v>39</v>
      </c>
      <c r="H1660" s="2">
        <v>51</v>
      </c>
      <c r="I1660">
        <v>182</v>
      </c>
      <c r="J1660">
        <v>928</v>
      </c>
      <c r="K1660" s="4">
        <v>334</v>
      </c>
      <c r="L1660" t="s">
        <v>27</v>
      </c>
    </row>
    <row r="1661" spans="1:12" x14ac:dyDescent="0.35">
      <c r="A1661" t="s">
        <v>23</v>
      </c>
      <c r="B1661">
        <v>1197831</v>
      </c>
      <c r="C1661" s="1">
        <v>44305</v>
      </c>
      <c r="D1661" t="s">
        <v>19</v>
      </c>
      <c r="E1661" t="s">
        <v>74</v>
      </c>
      <c r="F1661" t="s">
        <v>75</v>
      </c>
      <c r="G1661" t="s">
        <v>70</v>
      </c>
      <c r="H1661" s="2">
        <v>33</v>
      </c>
      <c r="I1661">
        <v>182</v>
      </c>
      <c r="J1661">
        <v>601</v>
      </c>
      <c r="K1661" s="4">
        <v>270</v>
      </c>
      <c r="L1661" t="s">
        <v>27</v>
      </c>
    </row>
    <row r="1662" spans="1:12" x14ac:dyDescent="0.35">
      <c r="A1662" t="s">
        <v>18</v>
      </c>
      <c r="B1662">
        <v>1185732</v>
      </c>
      <c r="C1662" s="1">
        <v>44387</v>
      </c>
      <c r="D1662" t="s">
        <v>48</v>
      </c>
      <c r="E1662" t="s">
        <v>49</v>
      </c>
      <c r="F1662" t="s">
        <v>50</v>
      </c>
      <c r="G1662" t="s">
        <v>39</v>
      </c>
      <c r="H1662" s="2">
        <v>20</v>
      </c>
      <c r="I1662">
        <v>182</v>
      </c>
      <c r="J1662">
        <v>364</v>
      </c>
      <c r="K1662" s="4">
        <v>142</v>
      </c>
      <c r="L1662" t="s">
        <v>27</v>
      </c>
    </row>
    <row r="1663" spans="1:12" x14ac:dyDescent="0.35">
      <c r="A1663" t="s">
        <v>63</v>
      </c>
      <c r="B1663">
        <v>1128299</v>
      </c>
      <c r="C1663" s="1">
        <v>44495</v>
      </c>
      <c r="D1663" t="s">
        <v>48</v>
      </c>
      <c r="E1663" t="s">
        <v>114</v>
      </c>
      <c r="F1663" t="s">
        <v>115</v>
      </c>
      <c r="G1663" t="s">
        <v>39</v>
      </c>
      <c r="H1663" s="2">
        <v>38</v>
      </c>
      <c r="I1663">
        <v>182</v>
      </c>
      <c r="J1663">
        <v>692</v>
      </c>
      <c r="K1663" s="4">
        <v>297</v>
      </c>
      <c r="L1663" t="s">
        <v>27</v>
      </c>
    </row>
    <row r="1664" spans="1:12" x14ac:dyDescent="0.35">
      <c r="A1664" t="s">
        <v>18</v>
      </c>
      <c r="B1664">
        <v>1197831</v>
      </c>
      <c r="C1664" s="1">
        <v>44274</v>
      </c>
      <c r="D1664" t="s">
        <v>19</v>
      </c>
      <c r="E1664" t="s">
        <v>61</v>
      </c>
      <c r="F1664" t="s">
        <v>62</v>
      </c>
      <c r="G1664" t="s">
        <v>26</v>
      </c>
      <c r="H1664" s="2">
        <v>14</v>
      </c>
      <c r="I1664">
        <v>182</v>
      </c>
      <c r="J1664">
        <v>255</v>
      </c>
      <c r="K1664" s="4">
        <v>117</v>
      </c>
      <c r="L1664" t="s">
        <v>27</v>
      </c>
    </row>
    <row r="1665" spans="1:12" x14ac:dyDescent="0.35">
      <c r="A1665" t="s">
        <v>23</v>
      </c>
      <c r="B1665">
        <v>1185732</v>
      </c>
      <c r="C1665" s="1">
        <v>44258</v>
      </c>
      <c r="D1665" t="s">
        <v>43</v>
      </c>
      <c r="E1665" t="s">
        <v>108</v>
      </c>
      <c r="F1665" t="s">
        <v>109</v>
      </c>
      <c r="G1665" t="s">
        <v>26</v>
      </c>
      <c r="H1665" s="2">
        <v>26</v>
      </c>
      <c r="I1665">
        <v>182</v>
      </c>
      <c r="J1665">
        <v>473</v>
      </c>
      <c r="K1665" s="4">
        <v>203</v>
      </c>
      <c r="L1665" t="s">
        <v>27</v>
      </c>
    </row>
    <row r="1666" spans="1:12" x14ac:dyDescent="0.35">
      <c r="A1666" t="s">
        <v>42</v>
      </c>
      <c r="B1666">
        <v>1185732</v>
      </c>
      <c r="C1666" s="1">
        <v>44415</v>
      </c>
      <c r="D1666" t="s">
        <v>43</v>
      </c>
      <c r="E1666" t="s">
        <v>110</v>
      </c>
      <c r="F1666" t="s">
        <v>111</v>
      </c>
      <c r="G1666" t="s">
        <v>26</v>
      </c>
      <c r="H1666" s="2">
        <v>38</v>
      </c>
      <c r="I1666">
        <v>182</v>
      </c>
      <c r="J1666">
        <v>692</v>
      </c>
      <c r="K1666" s="4">
        <v>284</v>
      </c>
      <c r="L1666" t="s">
        <v>27</v>
      </c>
    </row>
    <row r="1667" spans="1:12" x14ac:dyDescent="0.35">
      <c r="A1667" t="s">
        <v>12</v>
      </c>
      <c r="B1667">
        <v>1197831</v>
      </c>
      <c r="C1667" s="1">
        <v>44082</v>
      </c>
      <c r="D1667" t="s">
        <v>19</v>
      </c>
      <c r="E1667" t="s">
        <v>59</v>
      </c>
      <c r="F1667" t="s">
        <v>60</v>
      </c>
      <c r="G1667" t="s">
        <v>56</v>
      </c>
      <c r="H1667" s="2">
        <v>47</v>
      </c>
      <c r="I1667">
        <v>181</v>
      </c>
      <c r="J1667">
        <v>851</v>
      </c>
      <c r="K1667" s="4">
        <v>468</v>
      </c>
      <c r="L1667" t="s">
        <v>17</v>
      </c>
    </row>
    <row r="1668" spans="1:12" x14ac:dyDescent="0.35">
      <c r="A1668" t="s">
        <v>18</v>
      </c>
      <c r="B1668">
        <v>1128299</v>
      </c>
      <c r="C1668" s="1">
        <v>44219</v>
      </c>
      <c r="D1668" t="s">
        <v>48</v>
      </c>
      <c r="E1668" t="s">
        <v>66</v>
      </c>
      <c r="F1668" t="s">
        <v>67</v>
      </c>
      <c r="G1668" t="s">
        <v>16</v>
      </c>
      <c r="H1668" s="2">
        <v>76</v>
      </c>
      <c r="I1668">
        <v>181</v>
      </c>
      <c r="J1668" s="3">
        <v>1376</v>
      </c>
      <c r="K1668" s="4">
        <v>344</v>
      </c>
      <c r="L1668" t="s">
        <v>17</v>
      </c>
    </row>
    <row r="1669" spans="1:12" x14ac:dyDescent="0.35">
      <c r="A1669" t="s">
        <v>63</v>
      </c>
      <c r="B1669">
        <v>1189833</v>
      </c>
      <c r="C1669" s="1">
        <v>44304</v>
      </c>
      <c r="D1669" t="s">
        <v>48</v>
      </c>
      <c r="E1669" t="s">
        <v>66</v>
      </c>
      <c r="F1669" t="s">
        <v>76</v>
      </c>
      <c r="G1669" t="s">
        <v>16</v>
      </c>
      <c r="H1669" s="2">
        <v>64</v>
      </c>
      <c r="I1669">
        <v>181</v>
      </c>
      <c r="J1669" s="3">
        <v>1158</v>
      </c>
      <c r="K1669" s="4">
        <v>359</v>
      </c>
      <c r="L1669" t="s">
        <v>17</v>
      </c>
    </row>
    <row r="1670" spans="1:12" x14ac:dyDescent="0.35">
      <c r="A1670" t="s">
        <v>23</v>
      </c>
      <c r="B1670">
        <v>1197831</v>
      </c>
      <c r="C1670" s="1">
        <v>44467</v>
      </c>
      <c r="D1670" t="s">
        <v>19</v>
      </c>
      <c r="E1670" t="s">
        <v>59</v>
      </c>
      <c r="F1670" t="s">
        <v>68</v>
      </c>
      <c r="G1670" t="s">
        <v>26</v>
      </c>
      <c r="H1670" s="2">
        <v>53</v>
      </c>
      <c r="I1670">
        <v>181</v>
      </c>
      <c r="J1670">
        <v>959</v>
      </c>
      <c r="K1670" s="4">
        <v>528</v>
      </c>
      <c r="L1670" t="s">
        <v>17</v>
      </c>
    </row>
    <row r="1671" spans="1:12" x14ac:dyDescent="0.35">
      <c r="A1671" t="s">
        <v>23</v>
      </c>
      <c r="B1671">
        <v>1197831</v>
      </c>
      <c r="C1671" s="1">
        <v>44479</v>
      </c>
      <c r="D1671" t="s">
        <v>19</v>
      </c>
      <c r="E1671" t="s">
        <v>59</v>
      </c>
      <c r="F1671" t="s">
        <v>68</v>
      </c>
      <c r="G1671" t="s">
        <v>26</v>
      </c>
      <c r="H1671" s="2">
        <v>38</v>
      </c>
      <c r="I1671">
        <v>181</v>
      </c>
      <c r="J1671">
        <v>688</v>
      </c>
      <c r="K1671" s="4">
        <v>378</v>
      </c>
      <c r="L1671" t="s">
        <v>17</v>
      </c>
    </row>
    <row r="1672" spans="1:12" x14ac:dyDescent="0.35">
      <c r="A1672" t="s">
        <v>18</v>
      </c>
      <c r="B1672">
        <v>1128299</v>
      </c>
      <c r="C1672" s="1">
        <v>43940</v>
      </c>
      <c r="D1672" t="s">
        <v>48</v>
      </c>
      <c r="E1672" t="s">
        <v>133</v>
      </c>
      <c r="F1672" t="s">
        <v>134</v>
      </c>
      <c r="G1672" t="s">
        <v>16</v>
      </c>
      <c r="H1672" s="2">
        <v>83</v>
      </c>
      <c r="I1672">
        <v>181</v>
      </c>
      <c r="J1672" s="3">
        <v>1502</v>
      </c>
      <c r="K1672" s="4">
        <v>646</v>
      </c>
      <c r="L1672" t="s">
        <v>17</v>
      </c>
    </row>
    <row r="1673" spans="1:12" x14ac:dyDescent="0.35">
      <c r="A1673" t="s">
        <v>23</v>
      </c>
      <c r="B1673">
        <v>1197831</v>
      </c>
      <c r="C1673" s="1">
        <v>44272</v>
      </c>
      <c r="D1673" t="s">
        <v>19</v>
      </c>
      <c r="E1673" t="s">
        <v>74</v>
      </c>
      <c r="F1673" t="s">
        <v>75</v>
      </c>
      <c r="G1673" t="s">
        <v>39</v>
      </c>
      <c r="H1673" s="2">
        <v>33</v>
      </c>
      <c r="I1673">
        <v>181</v>
      </c>
      <c r="J1673">
        <v>597</v>
      </c>
      <c r="K1673" s="4">
        <v>287</v>
      </c>
      <c r="L1673" t="s">
        <v>17</v>
      </c>
    </row>
    <row r="1674" spans="1:12" x14ac:dyDescent="0.35">
      <c r="A1674" t="s">
        <v>23</v>
      </c>
      <c r="B1674">
        <v>1197831</v>
      </c>
      <c r="C1674" s="1">
        <v>44312</v>
      </c>
      <c r="D1674" t="s">
        <v>19</v>
      </c>
      <c r="E1674" t="s">
        <v>74</v>
      </c>
      <c r="F1674" t="s">
        <v>75</v>
      </c>
      <c r="G1674" t="s">
        <v>16</v>
      </c>
      <c r="H1674" s="2">
        <v>53</v>
      </c>
      <c r="I1674">
        <v>181</v>
      </c>
      <c r="J1674">
        <v>959</v>
      </c>
      <c r="K1674" s="4">
        <v>681</v>
      </c>
      <c r="L1674" t="s">
        <v>17</v>
      </c>
    </row>
    <row r="1675" spans="1:12" x14ac:dyDescent="0.35">
      <c r="A1675" t="s">
        <v>18</v>
      </c>
      <c r="B1675">
        <v>1185732</v>
      </c>
      <c r="C1675" s="1">
        <v>44357</v>
      </c>
      <c r="D1675" t="s">
        <v>43</v>
      </c>
      <c r="E1675" t="s">
        <v>44</v>
      </c>
      <c r="F1675" t="s">
        <v>101</v>
      </c>
      <c r="G1675" t="s">
        <v>16</v>
      </c>
      <c r="H1675" s="2">
        <v>69</v>
      </c>
      <c r="I1675">
        <v>181</v>
      </c>
      <c r="J1675" s="3">
        <v>1249</v>
      </c>
      <c r="K1675" s="4">
        <v>774</v>
      </c>
      <c r="L1675" t="s">
        <v>17</v>
      </c>
    </row>
    <row r="1676" spans="1:12" x14ac:dyDescent="0.35">
      <c r="A1676" t="s">
        <v>23</v>
      </c>
      <c r="B1676">
        <v>1185732</v>
      </c>
      <c r="C1676" s="1">
        <v>44302</v>
      </c>
      <c r="D1676" t="s">
        <v>33</v>
      </c>
      <c r="E1676" t="s">
        <v>45</v>
      </c>
      <c r="F1676" t="s">
        <v>46</v>
      </c>
      <c r="G1676" t="s">
        <v>26</v>
      </c>
      <c r="H1676" s="2">
        <v>32</v>
      </c>
      <c r="I1676">
        <v>181</v>
      </c>
      <c r="J1676">
        <v>579</v>
      </c>
      <c r="K1676" s="4">
        <v>348</v>
      </c>
      <c r="L1676" t="s">
        <v>17</v>
      </c>
    </row>
    <row r="1677" spans="1:12" x14ac:dyDescent="0.35">
      <c r="A1677" t="s">
        <v>18</v>
      </c>
      <c r="B1677">
        <v>1185732</v>
      </c>
      <c r="C1677" s="1">
        <v>44297</v>
      </c>
      <c r="D1677" t="s">
        <v>48</v>
      </c>
      <c r="E1677" t="s">
        <v>49</v>
      </c>
      <c r="F1677" t="s">
        <v>50</v>
      </c>
      <c r="G1677" t="s">
        <v>26</v>
      </c>
      <c r="H1677" s="2">
        <v>27</v>
      </c>
      <c r="I1677">
        <v>181</v>
      </c>
      <c r="J1677">
        <v>489</v>
      </c>
      <c r="K1677" s="4">
        <v>244</v>
      </c>
      <c r="L1677" t="s">
        <v>17</v>
      </c>
    </row>
    <row r="1678" spans="1:12" x14ac:dyDescent="0.35">
      <c r="A1678" t="s">
        <v>23</v>
      </c>
      <c r="B1678">
        <v>1197831</v>
      </c>
      <c r="C1678" s="1">
        <v>44444</v>
      </c>
      <c r="D1678" t="s">
        <v>48</v>
      </c>
      <c r="E1678" t="s">
        <v>79</v>
      </c>
      <c r="F1678" t="s">
        <v>80</v>
      </c>
      <c r="G1678" t="s">
        <v>16</v>
      </c>
      <c r="H1678" s="2">
        <v>49</v>
      </c>
      <c r="I1678">
        <v>181</v>
      </c>
      <c r="J1678">
        <v>887</v>
      </c>
      <c r="K1678" s="4">
        <v>594</v>
      </c>
      <c r="L1678" t="s">
        <v>17</v>
      </c>
    </row>
    <row r="1679" spans="1:12" x14ac:dyDescent="0.35">
      <c r="A1679" t="s">
        <v>42</v>
      </c>
      <c r="B1679">
        <v>1128299</v>
      </c>
      <c r="C1679" s="1">
        <v>44552</v>
      </c>
      <c r="D1679" t="s">
        <v>48</v>
      </c>
      <c r="E1679" t="s">
        <v>123</v>
      </c>
      <c r="F1679" t="s">
        <v>124</v>
      </c>
      <c r="G1679" t="s">
        <v>26</v>
      </c>
      <c r="H1679" s="2">
        <v>44</v>
      </c>
      <c r="I1679">
        <v>181</v>
      </c>
      <c r="J1679">
        <v>796</v>
      </c>
      <c r="K1679" s="4">
        <v>366</v>
      </c>
      <c r="L1679" t="s">
        <v>17</v>
      </c>
    </row>
    <row r="1680" spans="1:12" x14ac:dyDescent="0.35">
      <c r="A1680" t="s">
        <v>42</v>
      </c>
      <c r="B1680">
        <v>1185732</v>
      </c>
      <c r="C1680" s="1">
        <v>44260</v>
      </c>
      <c r="D1680" t="s">
        <v>13</v>
      </c>
      <c r="E1680" t="s">
        <v>69</v>
      </c>
      <c r="F1680" t="s">
        <v>65</v>
      </c>
      <c r="G1680" t="s">
        <v>32</v>
      </c>
      <c r="H1680" s="2">
        <v>24</v>
      </c>
      <c r="I1680">
        <v>181</v>
      </c>
      <c r="J1680">
        <v>434</v>
      </c>
      <c r="K1680" s="4">
        <v>165</v>
      </c>
      <c r="L1680" t="s">
        <v>17</v>
      </c>
    </row>
    <row r="1681" spans="1:12" x14ac:dyDescent="0.35">
      <c r="A1681" t="s">
        <v>42</v>
      </c>
      <c r="B1681">
        <v>1185732</v>
      </c>
      <c r="C1681" s="1">
        <v>44260</v>
      </c>
      <c r="D1681" t="s">
        <v>13</v>
      </c>
      <c r="E1681" t="s">
        <v>69</v>
      </c>
      <c r="F1681" t="s">
        <v>65</v>
      </c>
      <c r="G1681" t="s">
        <v>70</v>
      </c>
      <c r="H1681" s="2">
        <v>41</v>
      </c>
      <c r="I1681">
        <v>181</v>
      </c>
      <c r="J1681">
        <v>742</v>
      </c>
      <c r="K1681" s="4">
        <v>356</v>
      </c>
      <c r="L1681" t="s">
        <v>17</v>
      </c>
    </row>
    <row r="1682" spans="1:12" x14ac:dyDescent="0.35">
      <c r="A1682" t="s">
        <v>23</v>
      </c>
      <c r="B1682">
        <v>1185732</v>
      </c>
      <c r="C1682" s="1">
        <v>44202</v>
      </c>
      <c r="D1682" t="s">
        <v>13</v>
      </c>
      <c r="E1682" t="s">
        <v>69</v>
      </c>
      <c r="F1682" t="s">
        <v>65</v>
      </c>
      <c r="G1682" t="s">
        <v>39</v>
      </c>
      <c r="H1682" s="2">
        <v>34</v>
      </c>
      <c r="I1682">
        <v>181</v>
      </c>
      <c r="J1682">
        <v>615</v>
      </c>
      <c r="K1682" s="4">
        <v>308</v>
      </c>
      <c r="L1682" t="s">
        <v>17</v>
      </c>
    </row>
    <row r="1683" spans="1:12" x14ac:dyDescent="0.35">
      <c r="A1683" t="s">
        <v>23</v>
      </c>
      <c r="B1683">
        <v>1185732</v>
      </c>
      <c r="C1683" s="1">
        <v>44257</v>
      </c>
      <c r="D1683" t="s">
        <v>13</v>
      </c>
      <c r="E1683" t="s">
        <v>77</v>
      </c>
      <c r="F1683" t="s">
        <v>78</v>
      </c>
      <c r="G1683" t="s">
        <v>32</v>
      </c>
      <c r="H1683" s="2">
        <v>19</v>
      </c>
      <c r="I1683">
        <v>181</v>
      </c>
      <c r="J1683">
        <v>344</v>
      </c>
      <c r="K1683" s="4">
        <v>179</v>
      </c>
      <c r="L1683" t="s">
        <v>17</v>
      </c>
    </row>
    <row r="1684" spans="1:12" x14ac:dyDescent="0.35">
      <c r="A1684" t="s">
        <v>23</v>
      </c>
      <c r="B1684">
        <v>1185732</v>
      </c>
      <c r="C1684" s="1">
        <v>44441</v>
      </c>
      <c r="D1684" t="s">
        <v>13</v>
      </c>
      <c r="E1684" t="s">
        <v>77</v>
      </c>
      <c r="F1684" t="s">
        <v>78</v>
      </c>
      <c r="G1684" t="s">
        <v>39</v>
      </c>
      <c r="H1684" s="2">
        <v>49</v>
      </c>
      <c r="I1684">
        <v>181</v>
      </c>
      <c r="J1684">
        <v>887</v>
      </c>
      <c r="K1684" s="4">
        <v>443</v>
      </c>
      <c r="L1684" t="s">
        <v>17</v>
      </c>
    </row>
    <row r="1685" spans="1:12" x14ac:dyDescent="0.35">
      <c r="A1685" t="s">
        <v>51</v>
      </c>
      <c r="B1685">
        <v>1185732</v>
      </c>
      <c r="C1685" s="1">
        <v>44386</v>
      </c>
      <c r="D1685" t="s">
        <v>33</v>
      </c>
      <c r="E1685" t="s">
        <v>52</v>
      </c>
      <c r="F1685" t="s">
        <v>53</v>
      </c>
      <c r="G1685" t="s">
        <v>16</v>
      </c>
      <c r="H1685" s="2">
        <v>69</v>
      </c>
      <c r="I1685">
        <v>181</v>
      </c>
      <c r="J1685" s="3">
        <v>1249</v>
      </c>
      <c r="K1685" s="4">
        <v>787</v>
      </c>
      <c r="L1685" t="s">
        <v>17</v>
      </c>
    </row>
    <row r="1686" spans="1:12" x14ac:dyDescent="0.35">
      <c r="A1686" t="s">
        <v>51</v>
      </c>
      <c r="B1686">
        <v>1185732</v>
      </c>
      <c r="C1686" s="1">
        <v>44539</v>
      </c>
      <c r="D1686" t="s">
        <v>33</v>
      </c>
      <c r="E1686" t="s">
        <v>52</v>
      </c>
      <c r="F1686" t="s">
        <v>53</v>
      </c>
      <c r="G1686" t="s">
        <v>39</v>
      </c>
      <c r="H1686" s="2">
        <v>60</v>
      </c>
      <c r="I1686">
        <v>181</v>
      </c>
      <c r="J1686" s="3">
        <v>1086</v>
      </c>
      <c r="K1686" s="4">
        <v>510</v>
      </c>
      <c r="L1686" t="s">
        <v>17</v>
      </c>
    </row>
    <row r="1687" spans="1:12" x14ac:dyDescent="0.35">
      <c r="A1687" t="s">
        <v>12</v>
      </c>
      <c r="B1687">
        <v>1197831</v>
      </c>
      <c r="C1687" s="1">
        <v>44274</v>
      </c>
      <c r="D1687" t="s">
        <v>19</v>
      </c>
      <c r="E1687" t="s">
        <v>54</v>
      </c>
      <c r="F1687" t="s">
        <v>55</v>
      </c>
      <c r="G1687" t="s">
        <v>26</v>
      </c>
      <c r="H1687" s="2">
        <v>18</v>
      </c>
      <c r="I1687">
        <v>181</v>
      </c>
      <c r="J1687">
        <v>326</v>
      </c>
      <c r="K1687" s="4">
        <v>173</v>
      </c>
      <c r="L1687" t="s">
        <v>17</v>
      </c>
    </row>
    <row r="1688" spans="1:12" x14ac:dyDescent="0.35">
      <c r="A1688" t="s">
        <v>12</v>
      </c>
      <c r="B1688">
        <v>1197831</v>
      </c>
      <c r="C1688" s="1">
        <v>44335</v>
      </c>
      <c r="D1688" t="s">
        <v>19</v>
      </c>
      <c r="E1688" t="s">
        <v>54</v>
      </c>
      <c r="F1688" t="s">
        <v>55</v>
      </c>
      <c r="G1688" t="s">
        <v>26</v>
      </c>
      <c r="H1688" s="2">
        <v>39</v>
      </c>
      <c r="I1688">
        <v>181</v>
      </c>
      <c r="J1688">
        <v>706</v>
      </c>
      <c r="K1688" s="4">
        <v>381</v>
      </c>
      <c r="L1688" t="s">
        <v>17</v>
      </c>
    </row>
    <row r="1689" spans="1:12" x14ac:dyDescent="0.35">
      <c r="A1689" t="s">
        <v>63</v>
      </c>
      <c r="B1689">
        <v>1189833</v>
      </c>
      <c r="C1689" s="1">
        <v>44241</v>
      </c>
      <c r="D1689" t="s">
        <v>33</v>
      </c>
      <c r="E1689" t="s">
        <v>131</v>
      </c>
      <c r="F1689" t="s">
        <v>132</v>
      </c>
      <c r="G1689" t="s">
        <v>26</v>
      </c>
      <c r="H1689" s="2">
        <v>41</v>
      </c>
      <c r="I1689">
        <v>180</v>
      </c>
      <c r="J1689">
        <v>738</v>
      </c>
      <c r="K1689" s="4">
        <v>428</v>
      </c>
      <c r="L1689" t="s">
        <v>17</v>
      </c>
    </row>
    <row r="1690" spans="1:12" x14ac:dyDescent="0.35">
      <c r="A1690" t="s">
        <v>23</v>
      </c>
      <c r="B1690">
        <v>1197831</v>
      </c>
      <c r="C1690" s="1">
        <v>44291</v>
      </c>
      <c r="D1690" t="s">
        <v>19</v>
      </c>
      <c r="E1690" t="s">
        <v>74</v>
      </c>
      <c r="F1690" t="s">
        <v>75</v>
      </c>
      <c r="G1690" t="s">
        <v>32</v>
      </c>
      <c r="H1690" s="2">
        <v>19</v>
      </c>
      <c r="I1690">
        <v>180</v>
      </c>
      <c r="J1690">
        <v>342</v>
      </c>
      <c r="K1690" s="4">
        <v>185</v>
      </c>
      <c r="L1690" t="s">
        <v>17</v>
      </c>
    </row>
    <row r="1691" spans="1:12" x14ac:dyDescent="0.35">
      <c r="A1691" t="s">
        <v>23</v>
      </c>
      <c r="B1691">
        <v>1197831</v>
      </c>
      <c r="C1691" s="1">
        <v>44442</v>
      </c>
      <c r="D1691" t="s">
        <v>19</v>
      </c>
      <c r="E1691" t="s">
        <v>24</v>
      </c>
      <c r="F1691" t="s">
        <v>25</v>
      </c>
      <c r="G1691" t="s">
        <v>56</v>
      </c>
      <c r="H1691" s="2">
        <v>41</v>
      </c>
      <c r="I1691">
        <v>180</v>
      </c>
      <c r="J1691">
        <v>738</v>
      </c>
      <c r="K1691" s="4">
        <v>509</v>
      </c>
      <c r="L1691" t="s">
        <v>17</v>
      </c>
    </row>
    <row r="1692" spans="1:12" x14ac:dyDescent="0.35">
      <c r="A1692" t="s">
        <v>42</v>
      </c>
      <c r="B1692">
        <v>1128299</v>
      </c>
      <c r="C1692" s="1">
        <v>44357</v>
      </c>
      <c r="D1692" t="s">
        <v>48</v>
      </c>
      <c r="E1692" t="s">
        <v>129</v>
      </c>
      <c r="F1692" t="s">
        <v>130</v>
      </c>
      <c r="G1692" t="s">
        <v>32</v>
      </c>
      <c r="H1692" s="2">
        <v>71</v>
      </c>
      <c r="I1692">
        <v>180</v>
      </c>
      <c r="J1692" s="3">
        <v>1278</v>
      </c>
      <c r="K1692" s="4">
        <v>460</v>
      </c>
      <c r="L1692" t="s">
        <v>17</v>
      </c>
    </row>
    <row r="1693" spans="1:12" x14ac:dyDescent="0.35">
      <c r="A1693" t="s">
        <v>12</v>
      </c>
      <c r="B1693">
        <v>1128299</v>
      </c>
      <c r="C1693" s="1">
        <v>44393</v>
      </c>
      <c r="D1693" t="s">
        <v>13</v>
      </c>
      <c r="E1693" t="s">
        <v>14</v>
      </c>
      <c r="F1693" t="s">
        <v>15</v>
      </c>
      <c r="G1693" t="s">
        <v>56</v>
      </c>
      <c r="H1693" s="2">
        <v>82</v>
      </c>
      <c r="I1693">
        <v>180</v>
      </c>
      <c r="J1693" s="3">
        <v>1476</v>
      </c>
      <c r="K1693" s="4">
        <v>635</v>
      </c>
      <c r="L1693" t="s">
        <v>17</v>
      </c>
    </row>
    <row r="1694" spans="1:12" x14ac:dyDescent="0.35">
      <c r="A1694" t="s">
        <v>18</v>
      </c>
      <c r="B1694">
        <v>1128299</v>
      </c>
      <c r="C1694" s="1">
        <v>44546</v>
      </c>
      <c r="D1694" t="s">
        <v>13</v>
      </c>
      <c r="E1694" t="s">
        <v>14</v>
      </c>
      <c r="F1694" t="s">
        <v>15</v>
      </c>
      <c r="G1694" t="s">
        <v>56</v>
      </c>
      <c r="H1694" s="2">
        <v>78</v>
      </c>
      <c r="I1694">
        <v>180</v>
      </c>
      <c r="J1694" s="3">
        <v>1404</v>
      </c>
      <c r="K1694" s="4">
        <v>576</v>
      </c>
      <c r="L1694" t="s">
        <v>17</v>
      </c>
    </row>
    <row r="1695" spans="1:12" x14ac:dyDescent="0.35">
      <c r="A1695" t="s">
        <v>42</v>
      </c>
      <c r="B1695">
        <v>1128299</v>
      </c>
      <c r="C1695" s="1">
        <v>44400</v>
      </c>
      <c r="D1695" t="s">
        <v>13</v>
      </c>
      <c r="E1695" t="s">
        <v>99</v>
      </c>
      <c r="F1695" t="s">
        <v>100</v>
      </c>
      <c r="G1695" t="s">
        <v>16</v>
      </c>
      <c r="H1695" s="2">
        <v>96</v>
      </c>
      <c r="I1695">
        <v>180</v>
      </c>
      <c r="J1695" s="3">
        <v>1728</v>
      </c>
      <c r="K1695" s="4">
        <v>691</v>
      </c>
      <c r="L1695" t="s">
        <v>17</v>
      </c>
    </row>
    <row r="1696" spans="1:12" x14ac:dyDescent="0.35">
      <c r="A1696" t="s">
        <v>42</v>
      </c>
      <c r="B1696">
        <v>1185732</v>
      </c>
      <c r="C1696" s="1">
        <v>44335</v>
      </c>
      <c r="D1696" t="s">
        <v>33</v>
      </c>
      <c r="E1696" t="s">
        <v>34</v>
      </c>
      <c r="F1696" t="s">
        <v>35</v>
      </c>
      <c r="G1696" t="s">
        <v>26</v>
      </c>
      <c r="H1696" s="2">
        <v>39</v>
      </c>
      <c r="I1696">
        <v>180</v>
      </c>
      <c r="J1696">
        <v>702</v>
      </c>
      <c r="K1696" s="4">
        <v>358</v>
      </c>
      <c r="L1696" t="s">
        <v>17</v>
      </c>
    </row>
    <row r="1697" spans="1:12" x14ac:dyDescent="0.35">
      <c r="A1697" t="s">
        <v>63</v>
      </c>
      <c r="B1697">
        <v>1128299</v>
      </c>
      <c r="C1697" s="1">
        <v>44402</v>
      </c>
      <c r="D1697" t="s">
        <v>48</v>
      </c>
      <c r="E1697" t="s">
        <v>114</v>
      </c>
      <c r="F1697" t="s">
        <v>115</v>
      </c>
      <c r="G1697" t="s">
        <v>39</v>
      </c>
      <c r="H1697" s="2">
        <v>56</v>
      </c>
      <c r="I1697">
        <v>180</v>
      </c>
      <c r="J1697" s="3">
        <v>1008</v>
      </c>
      <c r="K1697" s="4">
        <v>544</v>
      </c>
      <c r="L1697" t="s">
        <v>17</v>
      </c>
    </row>
    <row r="1698" spans="1:12" x14ac:dyDescent="0.35">
      <c r="A1698" t="s">
        <v>23</v>
      </c>
      <c r="B1698">
        <v>1128299</v>
      </c>
      <c r="C1698" s="1">
        <v>44453</v>
      </c>
      <c r="D1698" t="s">
        <v>13</v>
      </c>
      <c r="E1698" t="s">
        <v>57</v>
      </c>
      <c r="F1698" t="s">
        <v>58</v>
      </c>
      <c r="G1698" t="s">
        <v>26</v>
      </c>
      <c r="H1698" s="2">
        <v>43</v>
      </c>
      <c r="I1698">
        <v>180</v>
      </c>
      <c r="J1698">
        <v>774</v>
      </c>
      <c r="K1698" s="4">
        <v>418</v>
      </c>
      <c r="L1698" t="s">
        <v>17</v>
      </c>
    </row>
    <row r="1699" spans="1:12" x14ac:dyDescent="0.35">
      <c r="A1699" t="s">
        <v>42</v>
      </c>
      <c r="B1699">
        <v>1185732</v>
      </c>
      <c r="C1699" s="1">
        <v>44292</v>
      </c>
      <c r="D1699" t="s">
        <v>13</v>
      </c>
      <c r="E1699" t="s">
        <v>69</v>
      </c>
      <c r="F1699" t="s">
        <v>65</v>
      </c>
      <c r="G1699" t="s">
        <v>56</v>
      </c>
      <c r="H1699" s="2">
        <v>27</v>
      </c>
      <c r="I1699">
        <v>180</v>
      </c>
      <c r="J1699">
        <v>486</v>
      </c>
      <c r="K1699" s="4">
        <v>209</v>
      </c>
      <c r="L1699" t="s">
        <v>17</v>
      </c>
    </row>
    <row r="1700" spans="1:12" x14ac:dyDescent="0.35">
      <c r="A1700" t="s">
        <v>23</v>
      </c>
      <c r="B1700">
        <v>1185732</v>
      </c>
      <c r="C1700" s="1">
        <v>44231</v>
      </c>
      <c r="D1700" t="s">
        <v>13</v>
      </c>
      <c r="E1700" t="s">
        <v>77</v>
      </c>
      <c r="F1700" t="s">
        <v>78</v>
      </c>
      <c r="G1700" t="s">
        <v>70</v>
      </c>
      <c r="H1700" s="2">
        <v>44</v>
      </c>
      <c r="I1700">
        <v>180</v>
      </c>
      <c r="J1700">
        <v>792</v>
      </c>
      <c r="K1700" s="4">
        <v>396</v>
      </c>
      <c r="L1700" t="s">
        <v>17</v>
      </c>
    </row>
    <row r="1701" spans="1:12" x14ac:dyDescent="0.35">
      <c r="A1701" t="s">
        <v>63</v>
      </c>
      <c r="B1701">
        <v>1185732</v>
      </c>
      <c r="C1701" s="1">
        <v>44415</v>
      </c>
      <c r="D1701" t="s">
        <v>43</v>
      </c>
      <c r="E1701" t="s">
        <v>83</v>
      </c>
      <c r="F1701" t="s">
        <v>84</v>
      </c>
      <c r="G1701" t="s">
        <v>26</v>
      </c>
      <c r="H1701" s="2">
        <v>47</v>
      </c>
      <c r="I1701">
        <v>180</v>
      </c>
      <c r="J1701">
        <v>846</v>
      </c>
      <c r="K1701" s="4">
        <v>406</v>
      </c>
      <c r="L1701" t="s">
        <v>17</v>
      </c>
    </row>
    <row r="1702" spans="1:12" x14ac:dyDescent="0.35">
      <c r="A1702" t="s">
        <v>51</v>
      </c>
      <c r="B1702">
        <v>1185732</v>
      </c>
      <c r="C1702" s="1">
        <v>44246</v>
      </c>
      <c r="D1702" t="s">
        <v>43</v>
      </c>
      <c r="E1702" t="s">
        <v>125</v>
      </c>
      <c r="F1702" t="s">
        <v>126</v>
      </c>
      <c r="G1702" t="s">
        <v>26</v>
      </c>
      <c r="H1702" s="2">
        <v>49</v>
      </c>
      <c r="I1702">
        <v>180</v>
      </c>
      <c r="J1702">
        <v>882</v>
      </c>
      <c r="K1702" s="4">
        <v>467</v>
      </c>
      <c r="L1702" t="s">
        <v>17</v>
      </c>
    </row>
    <row r="1703" spans="1:12" x14ac:dyDescent="0.35">
      <c r="A1703" t="s">
        <v>12</v>
      </c>
      <c r="B1703">
        <v>1197831</v>
      </c>
      <c r="C1703" s="1">
        <v>44059</v>
      </c>
      <c r="D1703" t="s">
        <v>19</v>
      </c>
      <c r="E1703" t="s">
        <v>59</v>
      </c>
      <c r="F1703" t="s">
        <v>60</v>
      </c>
      <c r="G1703" t="s">
        <v>70</v>
      </c>
      <c r="H1703" s="2">
        <v>35</v>
      </c>
      <c r="I1703">
        <v>180</v>
      </c>
      <c r="J1703">
        <v>630</v>
      </c>
      <c r="K1703" s="4">
        <v>221</v>
      </c>
      <c r="L1703" t="s">
        <v>27</v>
      </c>
    </row>
    <row r="1704" spans="1:12" x14ac:dyDescent="0.35">
      <c r="A1704" t="s">
        <v>18</v>
      </c>
      <c r="B1704">
        <v>1128299</v>
      </c>
      <c r="C1704" s="1">
        <v>43881</v>
      </c>
      <c r="D1704" t="s">
        <v>48</v>
      </c>
      <c r="E1704" t="s">
        <v>116</v>
      </c>
      <c r="F1704" t="s">
        <v>117</v>
      </c>
      <c r="G1704" t="s">
        <v>39</v>
      </c>
      <c r="H1704" s="2">
        <v>51</v>
      </c>
      <c r="I1704">
        <v>180</v>
      </c>
      <c r="J1704">
        <v>918</v>
      </c>
      <c r="K1704" s="4">
        <v>248</v>
      </c>
      <c r="L1704" t="s">
        <v>27</v>
      </c>
    </row>
    <row r="1705" spans="1:12" x14ac:dyDescent="0.35">
      <c r="A1705" t="s">
        <v>18</v>
      </c>
      <c r="B1705">
        <v>1128299</v>
      </c>
      <c r="C1705" s="1">
        <v>44517</v>
      </c>
      <c r="D1705" t="s">
        <v>19</v>
      </c>
      <c r="E1705" t="s">
        <v>20</v>
      </c>
      <c r="F1705" t="s">
        <v>21</v>
      </c>
      <c r="G1705" t="s">
        <v>16</v>
      </c>
      <c r="H1705" s="2">
        <v>64</v>
      </c>
      <c r="I1705">
        <v>180</v>
      </c>
      <c r="J1705" s="3">
        <v>1152</v>
      </c>
      <c r="K1705" s="4">
        <v>472</v>
      </c>
      <c r="L1705" t="s">
        <v>27</v>
      </c>
    </row>
    <row r="1706" spans="1:12" x14ac:dyDescent="0.35">
      <c r="A1706" t="s">
        <v>42</v>
      </c>
      <c r="B1706">
        <v>1197831</v>
      </c>
      <c r="C1706" s="1">
        <v>44231</v>
      </c>
      <c r="D1706" t="s">
        <v>19</v>
      </c>
      <c r="E1706" t="s">
        <v>20</v>
      </c>
      <c r="F1706" t="s">
        <v>21</v>
      </c>
      <c r="G1706" t="s">
        <v>39</v>
      </c>
      <c r="H1706" s="2">
        <v>28</v>
      </c>
      <c r="I1706">
        <v>180</v>
      </c>
      <c r="J1706">
        <v>504</v>
      </c>
      <c r="K1706" s="4">
        <v>166</v>
      </c>
      <c r="L1706" t="s">
        <v>27</v>
      </c>
    </row>
    <row r="1707" spans="1:12" x14ac:dyDescent="0.35">
      <c r="A1707" t="s">
        <v>63</v>
      </c>
      <c r="B1707">
        <v>1128299</v>
      </c>
      <c r="C1707" s="1">
        <v>44526</v>
      </c>
      <c r="D1707" t="s">
        <v>48</v>
      </c>
      <c r="E1707" t="s">
        <v>114</v>
      </c>
      <c r="F1707" t="s">
        <v>115</v>
      </c>
      <c r="G1707" t="s">
        <v>39</v>
      </c>
      <c r="H1707" s="2">
        <v>44</v>
      </c>
      <c r="I1707">
        <v>180</v>
      </c>
      <c r="J1707">
        <v>792</v>
      </c>
      <c r="K1707" s="4">
        <v>341</v>
      </c>
      <c r="L1707" t="s">
        <v>27</v>
      </c>
    </row>
    <row r="1708" spans="1:12" x14ac:dyDescent="0.35">
      <c r="A1708" t="s">
        <v>12</v>
      </c>
      <c r="B1708">
        <v>1197831</v>
      </c>
      <c r="C1708" s="1">
        <v>44490</v>
      </c>
      <c r="D1708" t="s">
        <v>19</v>
      </c>
      <c r="E1708" t="s">
        <v>54</v>
      </c>
      <c r="F1708" t="s">
        <v>55</v>
      </c>
      <c r="G1708" t="s">
        <v>26</v>
      </c>
      <c r="H1708" s="2">
        <v>21</v>
      </c>
      <c r="I1708">
        <v>180</v>
      </c>
      <c r="J1708">
        <v>378</v>
      </c>
      <c r="K1708" s="4">
        <v>170</v>
      </c>
      <c r="L1708" t="s">
        <v>27</v>
      </c>
    </row>
    <row r="1709" spans="1:12" x14ac:dyDescent="0.35">
      <c r="A1709" t="s">
        <v>23</v>
      </c>
      <c r="B1709">
        <v>1185732</v>
      </c>
      <c r="C1709" s="1">
        <v>44390</v>
      </c>
      <c r="D1709" t="s">
        <v>43</v>
      </c>
      <c r="E1709" t="s">
        <v>112</v>
      </c>
      <c r="F1709" t="s">
        <v>113</v>
      </c>
      <c r="G1709" t="s">
        <v>26</v>
      </c>
      <c r="H1709" s="2">
        <v>37</v>
      </c>
      <c r="I1709">
        <v>180</v>
      </c>
      <c r="J1709">
        <v>666</v>
      </c>
      <c r="K1709" s="4">
        <v>220</v>
      </c>
      <c r="L1709" t="s">
        <v>27</v>
      </c>
    </row>
    <row r="1710" spans="1:12" x14ac:dyDescent="0.35">
      <c r="A1710" t="s">
        <v>18</v>
      </c>
      <c r="B1710">
        <v>1185732</v>
      </c>
      <c r="C1710" s="1">
        <v>44334</v>
      </c>
      <c r="D1710" t="s">
        <v>43</v>
      </c>
      <c r="E1710" t="s">
        <v>64</v>
      </c>
      <c r="F1710" t="s">
        <v>65</v>
      </c>
      <c r="G1710" t="s">
        <v>26</v>
      </c>
      <c r="H1710" s="2">
        <v>58</v>
      </c>
      <c r="I1710">
        <v>179</v>
      </c>
      <c r="J1710" s="3">
        <v>1038</v>
      </c>
      <c r="K1710" s="4">
        <v>540</v>
      </c>
      <c r="L1710" t="s">
        <v>17</v>
      </c>
    </row>
    <row r="1711" spans="1:12" x14ac:dyDescent="0.35">
      <c r="A1711" t="s">
        <v>12</v>
      </c>
      <c r="B1711">
        <v>1197831</v>
      </c>
      <c r="C1711" s="1">
        <v>44053</v>
      </c>
      <c r="D1711" t="s">
        <v>19</v>
      </c>
      <c r="E1711" t="s">
        <v>59</v>
      </c>
      <c r="F1711" t="s">
        <v>60</v>
      </c>
      <c r="G1711" t="s">
        <v>70</v>
      </c>
      <c r="H1711" s="2">
        <v>34</v>
      </c>
      <c r="I1711">
        <v>179</v>
      </c>
      <c r="J1711">
        <v>609</v>
      </c>
      <c r="K1711" s="4">
        <v>207</v>
      </c>
      <c r="L1711" t="s">
        <v>27</v>
      </c>
    </row>
    <row r="1712" spans="1:12" x14ac:dyDescent="0.35">
      <c r="A1712" t="s">
        <v>63</v>
      </c>
      <c r="B1712">
        <v>1189833</v>
      </c>
      <c r="C1712" s="1">
        <v>44271</v>
      </c>
      <c r="D1712" t="s">
        <v>48</v>
      </c>
      <c r="E1712" t="s">
        <v>66</v>
      </c>
      <c r="F1712" t="s">
        <v>76</v>
      </c>
      <c r="G1712" t="s">
        <v>56</v>
      </c>
      <c r="H1712" s="2">
        <v>34</v>
      </c>
      <c r="I1712">
        <v>179</v>
      </c>
      <c r="J1712">
        <v>609</v>
      </c>
      <c r="K1712" s="4">
        <v>250</v>
      </c>
      <c r="L1712" t="s">
        <v>27</v>
      </c>
    </row>
    <row r="1713" spans="1:12" x14ac:dyDescent="0.35">
      <c r="A1713" t="s">
        <v>23</v>
      </c>
      <c r="B1713">
        <v>1197831</v>
      </c>
      <c r="C1713" s="1">
        <v>44439</v>
      </c>
      <c r="D1713" t="s">
        <v>19</v>
      </c>
      <c r="E1713" t="s">
        <v>59</v>
      </c>
      <c r="F1713" t="s">
        <v>68</v>
      </c>
      <c r="G1713" t="s">
        <v>32</v>
      </c>
      <c r="H1713" s="2">
        <v>20</v>
      </c>
      <c r="I1713">
        <v>179</v>
      </c>
      <c r="J1713">
        <v>358</v>
      </c>
      <c r="K1713" s="4">
        <v>140</v>
      </c>
      <c r="L1713" t="s">
        <v>27</v>
      </c>
    </row>
    <row r="1714" spans="1:12" x14ac:dyDescent="0.35">
      <c r="A1714" t="s">
        <v>42</v>
      </c>
      <c r="B1714">
        <v>1185732</v>
      </c>
      <c r="C1714" s="1">
        <v>44533</v>
      </c>
      <c r="D1714" t="s">
        <v>43</v>
      </c>
      <c r="E1714" t="s">
        <v>135</v>
      </c>
      <c r="F1714" t="s">
        <v>136</v>
      </c>
      <c r="G1714" t="s">
        <v>26</v>
      </c>
      <c r="H1714" s="2">
        <v>51</v>
      </c>
      <c r="I1714">
        <v>179</v>
      </c>
      <c r="J1714">
        <v>913</v>
      </c>
      <c r="K1714" s="4">
        <v>529</v>
      </c>
      <c r="L1714" t="s">
        <v>27</v>
      </c>
    </row>
    <row r="1715" spans="1:12" x14ac:dyDescent="0.35">
      <c r="A1715" t="s">
        <v>18</v>
      </c>
      <c r="B1715">
        <v>1128299</v>
      </c>
      <c r="C1715" s="1">
        <v>43876</v>
      </c>
      <c r="D1715" t="s">
        <v>48</v>
      </c>
      <c r="E1715" t="s">
        <v>116</v>
      </c>
      <c r="F1715" t="s">
        <v>117</v>
      </c>
      <c r="G1715" t="s">
        <v>32</v>
      </c>
      <c r="H1715" s="2">
        <v>44</v>
      </c>
      <c r="I1715">
        <v>179</v>
      </c>
      <c r="J1715">
        <v>788</v>
      </c>
      <c r="K1715" s="4">
        <v>331</v>
      </c>
      <c r="L1715" t="s">
        <v>27</v>
      </c>
    </row>
    <row r="1716" spans="1:12" x14ac:dyDescent="0.35">
      <c r="A1716" t="s">
        <v>23</v>
      </c>
      <c r="B1716">
        <v>1197831</v>
      </c>
      <c r="C1716" s="1">
        <v>44292</v>
      </c>
      <c r="D1716" t="s">
        <v>19</v>
      </c>
      <c r="E1716" t="s">
        <v>74</v>
      </c>
      <c r="F1716" t="s">
        <v>75</v>
      </c>
      <c r="G1716" t="s">
        <v>56</v>
      </c>
      <c r="H1716" s="2">
        <v>20</v>
      </c>
      <c r="I1716">
        <v>179</v>
      </c>
      <c r="J1716">
        <v>358</v>
      </c>
      <c r="K1716" s="4">
        <v>193</v>
      </c>
      <c r="L1716" t="s">
        <v>27</v>
      </c>
    </row>
    <row r="1717" spans="1:12" x14ac:dyDescent="0.35">
      <c r="A1717" t="s">
        <v>23</v>
      </c>
      <c r="B1717">
        <v>1197831</v>
      </c>
      <c r="C1717" s="1">
        <v>44324</v>
      </c>
      <c r="D1717" t="s">
        <v>19</v>
      </c>
      <c r="E1717" t="s">
        <v>74</v>
      </c>
      <c r="F1717" t="s">
        <v>75</v>
      </c>
      <c r="G1717" t="s">
        <v>16</v>
      </c>
      <c r="H1717" s="2">
        <v>29</v>
      </c>
      <c r="I1717">
        <v>179</v>
      </c>
      <c r="J1717">
        <v>519</v>
      </c>
      <c r="K1717" s="4">
        <v>348</v>
      </c>
      <c r="L1717" t="s">
        <v>27</v>
      </c>
    </row>
    <row r="1718" spans="1:12" x14ac:dyDescent="0.35">
      <c r="A1718" t="s">
        <v>23</v>
      </c>
      <c r="B1718">
        <v>1197831</v>
      </c>
      <c r="C1718" s="1">
        <v>44449</v>
      </c>
      <c r="D1718" t="s">
        <v>19</v>
      </c>
      <c r="E1718" t="s">
        <v>24</v>
      </c>
      <c r="F1718" t="s">
        <v>25</v>
      </c>
      <c r="G1718" t="s">
        <v>70</v>
      </c>
      <c r="H1718" s="2">
        <v>35</v>
      </c>
      <c r="I1718">
        <v>179</v>
      </c>
      <c r="J1718">
        <v>627</v>
      </c>
      <c r="K1718" s="4">
        <v>326</v>
      </c>
      <c r="L1718" t="s">
        <v>27</v>
      </c>
    </row>
    <row r="1719" spans="1:12" x14ac:dyDescent="0.35">
      <c r="A1719" t="s">
        <v>18</v>
      </c>
      <c r="B1719">
        <v>1128299</v>
      </c>
      <c r="C1719" s="1">
        <v>44546</v>
      </c>
      <c r="D1719" t="s">
        <v>13</v>
      </c>
      <c r="E1719" t="s">
        <v>14</v>
      </c>
      <c r="F1719" t="s">
        <v>15</v>
      </c>
      <c r="G1719" t="s">
        <v>70</v>
      </c>
      <c r="H1719" s="2">
        <v>64</v>
      </c>
      <c r="I1719">
        <v>179</v>
      </c>
      <c r="J1719" s="3">
        <v>1146</v>
      </c>
      <c r="K1719" s="4">
        <v>298</v>
      </c>
      <c r="L1719" t="s">
        <v>27</v>
      </c>
    </row>
    <row r="1720" spans="1:12" x14ac:dyDescent="0.35">
      <c r="A1720" t="s">
        <v>18</v>
      </c>
      <c r="B1720">
        <v>1185732</v>
      </c>
      <c r="C1720" s="1">
        <v>44419</v>
      </c>
      <c r="D1720" t="s">
        <v>48</v>
      </c>
      <c r="E1720" t="s">
        <v>49</v>
      </c>
      <c r="F1720" t="s">
        <v>50</v>
      </c>
      <c r="G1720" t="s">
        <v>39</v>
      </c>
      <c r="H1720" s="2">
        <v>28</v>
      </c>
      <c r="I1720">
        <v>179</v>
      </c>
      <c r="J1720">
        <v>501</v>
      </c>
      <c r="K1720" s="4">
        <v>211</v>
      </c>
      <c r="L1720" t="s">
        <v>27</v>
      </c>
    </row>
    <row r="1721" spans="1:12" x14ac:dyDescent="0.35">
      <c r="A1721" t="s">
        <v>18</v>
      </c>
      <c r="B1721">
        <v>1128299</v>
      </c>
      <c r="C1721" s="1">
        <v>44371</v>
      </c>
      <c r="D1721" t="s">
        <v>48</v>
      </c>
      <c r="E1721" t="s">
        <v>85</v>
      </c>
      <c r="F1721" t="s">
        <v>86</v>
      </c>
      <c r="G1721" t="s">
        <v>56</v>
      </c>
      <c r="H1721" s="2">
        <v>62</v>
      </c>
      <c r="I1721">
        <v>179</v>
      </c>
      <c r="J1721" s="3">
        <v>1110</v>
      </c>
      <c r="K1721" s="4">
        <v>455</v>
      </c>
      <c r="L1721" t="s">
        <v>27</v>
      </c>
    </row>
    <row r="1722" spans="1:12" x14ac:dyDescent="0.35">
      <c r="A1722" t="s">
        <v>18</v>
      </c>
      <c r="B1722">
        <v>1128299</v>
      </c>
      <c r="C1722" s="1">
        <v>44493</v>
      </c>
      <c r="D1722" t="s">
        <v>48</v>
      </c>
      <c r="E1722" t="s">
        <v>85</v>
      </c>
      <c r="F1722" t="s">
        <v>86</v>
      </c>
      <c r="G1722" t="s">
        <v>39</v>
      </c>
      <c r="H1722" s="2">
        <v>37</v>
      </c>
      <c r="I1722">
        <v>179</v>
      </c>
      <c r="J1722">
        <v>662</v>
      </c>
      <c r="K1722" s="4">
        <v>252</v>
      </c>
      <c r="L1722" t="s">
        <v>27</v>
      </c>
    </row>
    <row r="1723" spans="1:12" x14ac:dyDescent="0.35">
      <c r="A1723" t="s">
        <v>18</v>
      </c>
      <c r="B1723">
        <v>1128299</v>
      </c>
      <c r="C1723" s="1">
        <v>44271</v>
      </c>
      <c r="D1723" t="s">
        <v>19</v>
      </c>
      <c r="E1723" t="s">
        <v>20</v>
      </c>
      <c r="F1723" t="s">
        <v>21</v>
      </c>
      <c r="G1723" t="s">
        <v>26</v>
      </c>
      <c r="H1723" s="2">
        <v>29</v>
      </c>
      <c r="I1723">
        <v>179</v>
      </c>
      <c r="J1723">
        <v>519</v>
      </c>
      <c r="K1723" s="4">
        <v>239</v>
      </c>
      <c r="L1723" t="s">
        <v>27</v>
      </c>
    </row>
    <row r="1724" spans="1:12" x14ac:dyDescent="0.35">
      <c r="A1724" t="s">
        <v>23</v>
      </c>
      <c r="B1724">
        <v>1197831</v>
      </c>
      <c r="C1724" s="1">
        <v>44473</v>
      </c>
      <c r="D1724" t="s">
        <v>48</v>
      </c>
      <c r="E1724" t="s">
        <v>79</v>
      </c>
      <c r="F1724" t="s">
        <v>80</v>
      </c>
      <c r="G1724" t="s">
        <v>32</v>
      </c>
      <c r="H1724" s="2">
        <v>31</v>
      </c>
      <c r="I1724">
        <v>179</v>
      </c>
      <c r="J1724">
        <v>555</v>
      </c>
      <c r="K1724" s="4">
        <v>233</v>
      </c>
      <c r="L1724" t="s">
        <v>27</v>
      </c>
    </row>
    <row r="1725" spans="1:12" x14ac:dyDescent="0.35">
      <c r="A1725" t="s">
        <v>23</v>
      </c>
      <c r="B1725">
        <v>1197831</v>
      </c>
      <c r="C1725" s="1">
        <v>44473</v>
      </c>
      <c r="D1725" t="s">
        <v>48</v>
      </c>
      <c r="E1725" t="s">
        <v>79</v>
      </c>
      <c r="F1725" t="s">
        <v>80</v>
      </c>
      <c r="G1725" t="s">
        <v>16</v>
      </c>
      <c r="H1725" s="2">
        <v>34</v>
      </c>
      <c r="I1725">
        <v>179</v>
      </c>
      <c r="J1725">
        <v>609</v>
      </c>
      <c r="K1725" s="4">
        <v>359</v>
      </c>
      <c r="L1725" t="s">
        <v>27</v>
      </c>
    </row>
    <row r="1726" spans="1:12" x14ac:dyDescent="0.35">
      <c r="A1726" t="s">
        <v>23</v>
      </c>
      <c r="B1726">
        <v>1128299</v>
      </c>
      <c r="C1726" s="1">
        <v>44299</v>
      </c>
      <c r="D1726" t="s">
        <v>13</v>
      </c>
      <c r="E1726" t="s">
        <v>57</v>
      </c>
      <c r="F1726" t="s">
        <v>58</v>
      </c>
      <c r="G1726" t="s">
        <v>26</v>
      </c>
      <c r="H1726" s="2">
        <v>37</v>
      </c>
      <c r="I1726">
        <v>179</v>
      </c>
      <c r="J1726">
        <v>662</v>
      </c>
      <c r="K1726" s="4">
        <v>285</v>
      </c>
      <c r="L1726" t="s">
        <v>27</v>
      </c>
    </row>
    <row r="1727" spans="1:12" x14ac:dyDescent="0.35">
      <c r="A1727" t="s">
        <v>12</v>
      </c>
      <c r="B1727">
        <v>1185732</v>
      </c>
      <c r="C1727" s="1">
        <v>44425</v>
      </c>
      <c r="D1727" t="s">
        <v>19</v>
      </c>
      <c r="E1727" t="s">
        <v>37</v>
      </c>
      <c r="F1727" t="s">
        <v>38</v>
      </c>
      <c r="G1727" t="s">
        <v>32</v>
      </c>
      <c r="H1727" s="2">
        <v>37</v>
      </c>
      <c r="I1727">
        <v>179</v>
      </c>
      <c r="J1727">
        <v>662</v>
      </c>
      <c r="K1727" s="4">
        <v>291</v>
      </c>
      <c r="L1727" t="s">
        <v>27</v>
      </c>
    </row>
    <row r="1728" spans="1:12" x14ac:dyDescent="0.35">
      <c r="A1728" t="s">
        <v>18</v>
      </c>
      <c r="B1728">
        <v>1197831</v>
      </c>
      <c r="C1728" s="1">
        <v>44335</v>
      </c>
      <c r="D1728" t="s">
        <v>19</v>
      </c>
      <c r="E1728" t="s">
        <v>61</v>
      </c>
      <c r="F1728" t="s">
        <v>62</v>
      </c>
      <c r="G1728" t="s">
        <v>26</v>
      </c>
      <c r="H1728" s="2">
        <v>28</v>
      </c>
      <c r="I1728">
        <v>179</v>
      </c>
      <c r="J1728">
        <v>501</v>
      </c>
      <c r="K1728" s="4">
        <v>216</v>
      </c>
      <c r="L1728" t="s">
        <v>27</v>
      </c>
    </row>
    <row r="1729" spans="1:12" x14ac:dyDescent="0.35">
      <c r="A1729" t="s">
        <v>51</v>
      </c>
      <c r="B1729">
        <v>1185732</v>
      </c>
      <c r="C1729" s="1">
        <v>44210</v>
      </c>
      <c r="D1729" t="s">
        <v>43</v>
      </c>
      <c r="E1729" t="s">
        <v>112</v>
      </c>
      <c r="F1729" t="s">
        <v>113</v>
      </c>
      <c r="G1729" t="s">
        <v>26</v>
      </c>
      <c r="H1729" s="2">
        <v>35</v>
      </c>
      <c r="I1729">
        <v>179</v>
      </c>
      <c r="J1729">
        <v>627</v>
      </c>
      <c r="K1729" s="4">
        <v>326</v>
      </c>
      <c r="L1729" t="s">
        <v>27</v>
      </c>
    </row>
    <row r="1730" spans="1:12" x14ac:dyDescent="0.35">
      <c r="A1730" t="s">
        <v>51</v>
      </c>
      <c r="B1730">
        <v>1185732</v>
      </c>
      <c r="C1730" s="1">
        <v>44449</v>
      </c>
      <c r="D1730" t="s">
        <v>43</v>
      </c>
      <c r="E1730" t="s">
        <v>125</v>
      </c>
      <c r="F1730" t="s">
        <v>126</v>
      </c>
      <c r="G1730" t="s">
        <v>26</v>
      </c>
      <c r="H1730" s="2">
        <v>44</v>
      </c>
      <c r="I1730">
        <v>179</v>
      </c>
      <c r="J1730">
        <v>788</v>
      </c>
      <c r="K1730" s="4">
        <v>386</v>
      </c>
      <c r="L1730" t="s">
        <v>27</v>
      </c>
    </row>
    <row r="1731" spans="1:12" x14ac:dyDescent="0.35">
      <c r="A1731" t="s">
        <v>23</v>
      </c>
      <c r="B1731">
        <v>1197831</v>
      </c>
      <c r="C1731" s="1">
        <v>44320</v>
      </c>
      <c r="D1731" t="s">
        <v>19</v>
      </c>
      <c r="E1731" t="s">
        <v>74</v>
      </c>
      <c r="F1731" t="s">
        <v>75</v>
      </c>
      <c r="G1731" t="s">
        <v>39</v>
      </c>
      <c r="H1731" s="2">
        <v>25</v>
      </c>
      <c r="I1731">
        <v>178</v>
      </c>
      <c r="J1731">
        <v>445</v>
      </c>
      <c r="K1731" s="4">
        <v>214</v>
      </c>
      <c r="L1731" t="s">
        <v>27</v>
      </c>
    </row>
    <row r="1732" spans="1:12" x14ac:dyDescent="0.35">
      <c r="A1732" t="s">
        <v>18</v>
      </c>
      <c r="B1732">
        <v>1128299</v>
      </c>
      <c r="C1732" s="1">
        <v>44334</v>
      </c>
      <c r="D1732" t="s">
        <v>19</v>
      </c>
      <c r="E1732" t="s">
        <v>20</v>
      </c>
      <c r="F1732" t="s">
        <v>21</v>
      </c>
      <c r="G1732" t="s">
        <v>16</v>
      </c>
      <c r="H1732" s="2">
        <v>46</v>
      </c>
      <c r="I1732">
        <v>178</v>
      </c>
      <c r="J1732">
        <v>819</v>
      </c>
      <c r="K1732" s="4">
        <v>328</v>
      </c>
      <c r="L1732" t="s">
        <v>27</v>
      </c>
    </row>
    <row r="1733" spans="1:12" x14ac:dyDescent="0.35">
      <c r="A1733" t="s">
        <v>23</v>
      </c>
      <c r="B1733">
        <v>1185732</v>
      </c>
      <c r="C1733" s="1">
        <v>44546</v>
      </c>
      <c r="D1733" t="s">
        <v>19</v>
      </c>
      <c r="E1733" t="s">
        <v>37</v>
      </c>
      <c r="F1733" t="s">
        <v>38</v>
      </c>
      <c r="G1733" t="s">
        <v>16</v>
      </c>
      <c r="H1733" s="2">
        <v>53</v>
      </c>
      <c r="I1733">
        <v>178</v>
      </c>
      <c r="J1733">
        <v>943</v>
      </c>
      <c r="K1733" s="4">
        <v>519</v>
      </c>
      <c r="L1733" t="s">
        <v>27</v>
      </c>
    </row>
    <row r="1734" spans="1:12" x14ac:dyDescent="0.35">
      <c r="A1734" t="s">
        <v>18</v>
      </c>
      <c r="B1734">
        <v>1197831</v>
      </c>
      <c r="C1734" s="1">
        <v>44219</v>
      </c>
      <c r="D1734" t="s">
        <v>19</v>
      </c>
      <c r="E1734" t="s">
        <v>54</v>
      </c>
      <c r="F1734" t="s">
        <v>55</v>
      </c>
      <c r="G1734" t="s">
        <v>26</v>
      </c>
      <c r="H1734" s="2">
        <v>17</v>
      </c>
      <c r="I1734">
        <v>178</v>
      </c>
      <c r="J1734">
        <v>303</v>
      </c>
      <c r="K1734" s="4">
        <v>142</v>
      </c>
      <c r="L1734" t="s">
        <v>27</v>
      </c>
    </row>
    <row r="1735" spans="1:12" x14ac:dyDescent="0.35">
      <c r="A1735" t="s">
        <v>51</v>
      </c>
      <c r="B1735">
        <v>1185732</v>
      </c>
      <c r="C1735" s="1">
        <v>44543</v>
      </c>
      <c r="D1735" t="s">
        <v>43</v>
      </c>
      <c r="E1735" t="s">
        <v>112</v>
      </c>
      <c r="F1735" t="s">
        <v>113</v>
      </c>
      <c r="G1735" t="s">
        <v>26</v>
      </c>
      <c r="H1735" s="2">
        <v>51</v>
      </c>
      <c r="I1735">
        <v>178</v>
      </c>
      <c r="J1735">
        <v>908</v>
      </c>
      <c r="K1735" s="4">
        <v>318</v>
      </c>
      <c r="L1735" t="s">
        <v>27</v>
      </c>
    </row>
    <row r="1736" spans="1:12" x14ac:dyDescent="0.35">
      <c r="A1736" t="s">
        <v>51</v>
      </c>
      <c r="B1736">
        <v>1185732</v>
      </c>
      <c r="C1736" s="1">
        <v>44326</v>
      </c>
      <c r="D1736" t="s">
        <v>43</v>
      </c>
      <c r="E1736" t="s">
        <v>125</v>
      </c>
      <c r="F1736" t="s">
        <v>126</v>
      </c>
      <c r="G1736" t="s">
        <v>26</v>
      </c>
      <c r="H1736" s="2">
        <v>48</v>
      </c>
      <c r="I1736">
        <v>177</v>
      </c>
      <c r="J1736">
        <v>850</v>
      </c>
      <c r="K1736" s="4">
        <v>433</v>
      </c>
      <c r="L1736" t="s">
        <v>27</v>
      </c>
    </row>
    <row r="1737" spans="1:12" x14ac:dyDescent="0.35">
      <c r="A1737" t="s">
        <v>23</v>
      </c>
      <c r="B1737">
        <v>1197831</v>
      </c>
      <c r="C1737" s="1">
        <v>44039</v>
      </c>
      <c r="D1737" t="s">
        <v>19</v>
      </c>
      <c r="E1737" t="s">
        <v>59</v>
      </c>
      <c r="F1737" t="s">
        <v>60</v>
      </c>
      <c r="G1737" t="s">
        <v>32</v>
      </c>
      <c r="H1737" s="2">
        <v>32</v>
      </c>
      <c r="I1737">
        <v>176</v>
      </c>
      <c r="J1737">
        <v>563</v>
      </c>
      <c r="K1737" s="4">
        <v>253</v>
      </c>
      <c r="L1737" t="s">
        <v>17</v>
      </c>
    </row>
    <row r="1738" spans="1:12" x14ac:dyDescent="0.35">
      <c r="A1738" t="s">
        <v>63</v>
      </c>
      <c r="B1738">
        <v>1189833</v>
      </c>
      <c r="C1738" s="1">
        <v>44273</v>
      </c>
      <c r="D1738" t="s">
        <v>48</v>
      </c>
      <c r="E1738" t="s">
        <v>66</v>
      </c>
      <c r="F1738" t="s">
        <v>76</v>
      </c>
      <c r="G1738" t="s">
        <v>16</v>
      </c>
      <c r="H1738" s="2">
        <v>41</v>
      </c>
      <c r="I1738">
        <v>176</v>
      </c>
      <c r="J1738">
        <v>722</v>
      </c>
      <c r="K1738" s="4">
        <v>216</v>
      </c>
      <c r="L1738" t="s">
        <v>17</v>
      </c>
    </row>
    <row r="1739" spans="1:12" x14ac:dyDescent="0.35">
      <c r="A1739" t="s">
        <v>63</v>
      </c>
      <c r="B1739">
        <v>1189833</v>
      </c>
      <c r="C1739" s="1">
        <v>44326</v>
      </c>
      <c r="D1739" t="s">
        <v>48</v>
      </c>
      <c r="E1739" t="s">
        <v>66</v>
      </c>
      <c r="F1739" t="s">
        <v>76</v>
      </c>
      <c r="G1739" t="s">
        <v>56</v>
      </c>
      <c r="H1739" s="2">
        <v>46</v>
      </c>
      <c r="I1739">
        <v>176</v>
      </c>
      <c r="J1739">
        <v>810</v>
      </c>
      <c r="K1739" s="4">
        <v>405</v>
      </c>
      <c r="L1739" t="s">
        <v>17</v>
      </c>
    </row>
    <row r="1740" spans="1:12" x14ac:dyDescent="0.35">
      <c r="A1740" t="s">
        <v>63</v>
      </c>
      <c r="B1740">
        <v>1189833</v>
      </c>
      <c r="C1740" s="1">
        <v>44331</v>
      </c>
      <c r="D1740" t="s">
        <v>48</v>
      </c>
      <c r="E1740" t="s">
        <v>66</v>
      </c>
      <c r="F1740" t="s">
        <v>76</v>
      </c>
      <c r="G1740" t="s">
        <v>32</v>
      </c>
      <c r="H1740" s="2">
        <v>49</v>
      </c>
      <c r="I1740">
        <v>176</v>
      </c>
      <c r="J1740">
        <v>862</v>
      </c>
      <c r="K1740" s="4">
        <v>440</v>
      </c>
      <c r="L1740" t="s">
        <v>17</v>
      </c>
    </row>
    <row r="1741" spans="1:12" x14ac:dyDescent="0.35">
      <c r="A1741" t="s">
        <v>63</v>
      </c>
      <c r="B1741">
        <v>1189833</v>
      </c>
      <c r="C1741" s="1">
        <v>44334</v>
      </c>
      <c r="D1741" t="s">
        <v>48</v>
      </c>
      <c r="E1741" t="s">
        <v>66</v>
      </c>
      <c r="F1741" t="s">
        <v>76</v>
      </c>
      <c r="G1741" t="s">
        <v>16</v>
      </c>
      <c r="H1741" s="2">
        <v>62</v>
      </c>
      <c r="I1741">
        <v>176</v>
      </c>
      <c r="J1741" s="3">
        <v>1091</v>
      </c>
      <c r="K1741" s="4">
        <v>382</v>
      </c>
      <c r="L1741" t="s">
        <v>17</v>
      </c>
    </row>
    <row r="1742" spans="1:12" x14ac:dyDescent="0.35">
      <c r="A1742" t="s">
        <v>63</v>
      </c>
      <c r="B1742">
        <v>1189833</v>
      </c>
      <c r="C1742" s="1">
        <v>44338</v>
      </c>
      <c r="D1742" t="s">
        <v>48</v>
      </c>
      <c r="E1742" t="s">
        <v>66</v>
      </c>
      <c r="F1742" t="s">
        <v>76</v>
      </c>
      <c r="G1742" t="s">
        <v>56</v>
      </c>
      <c r="H1742" s="2">
        <v>47</v>
      </c>
      <c r="I1742">
        <v>176</v>
      </c>
      <c r="J1742">
        <v>827</v>
      </c>
      <c r="K1742" s="4">
        <v>372</v>
      </c>
      <c r="L1742" t="s">
        <v>17</v>
      </c>
    </row>
    <row r="1743" spans="1:12" x14ac:dyDescent="0.35">
      <c r="A1743" t="s">
        <v>23</v>
      </c>
      <c r="B1743">
        <v>1197831</v>
      </c>
      <c r="C1743" s="1">
        <v>44425</v>
      </c>
      <c r="D1743" t="s">
        <v>19</v>
      </c>
      <c r="E1743" t="s">
        <v>59</v>
      </c>
      <c r="F1743" t="s">
        <v>68</v>
      </c>
      <c r="G1743" t="s">
        <v>26</v>
      </c>
      <c r="H1743" s="2">
        <v>23</v>
      </c>
      <c r="I1743">
        <v>176</v>
      </c>
      <c r="J1743">
        <v>405</v>
      </c>
      <c r="K1743" s="4">
        <v>174</v>
      </c>
      <c r="L1743" t="s">
        <v>17</v>
      </c>
    </row>
    <row r="1744" spans="1:12" x14ac:dyDescent="0.35">
      <c r="A1744" t="s">
        <v>23</v>
      </c>
      <c r="B1744">
        <v>1197831</v>
      </c>
      <c r="C1744" s="1">
        <v>44451</v>
      </c>
      <c r="D1744" t="s">
        <v>19</v>
      </c>
      <c r="E1744" t="s">
        <v>59</v>
      </c>
      <c r="F1744" t="s">
        <v>68</v>
      </c>
      <c r="G1744" t="s">
        <v>32</v>
      </c>
      <c r="H1744" s="2">
        <v>44</v>
      </c>
      <c r="I1744">
        <v>176</v>
      </c>
      <c r="J1744">
        <v>774</v>
      </c>
      <c r="K1744" s="4">
        <v>364</v>
      </c>
      <c r="L1744" t="s">
        <v>17</v>
      </c>
    </row>
    <row r="1745" spans="1:12" x14ac:dyDescent="0.35">
      <c r="A1745" t="s">
        <v>23</v>
      </c>
      <c r="B1745">
        <v>1197831</v>
      </c>
      <c r="C1745" s="1">
        <v>44468</v>
      </c>
      <c r="D1745" t="s">
        <v>19</v>
      </c>
      <c r="E1745" t="s">
        <v>59</v>
      </c>
      <c r="F1745" t="s">
        <v>68</v>
      </c>
      <c r="G1745" t="s">
        <v>39</v>
      </c>
      <c r="H1745" s="2">
        <v>54</v>
      </c>
      <c r="I1745">
        <v>176</v>
      </c>
      <c r="J1745">
        <v>950</v>
      </c>
      <c r="K1745" s="4">
        <v>485</v>
      </c>
      <c r="L1745" t="s">
        <v>17</v>
      </c>
    </row>
    <row r="1746" spans="1:12" x14ac:dyDescent="0.35">
      <c r="A1746" t="s">
        <v>23</v>
      </c>
      <c r="B1746">
        <v>1197831</v>
      </c>
      <c r="C1746" s="1">
        <v>44481</v>
      </c>
      <c r="D1746" t="s">
        <v>19</v>
      </c>
      <c r="E1746" t="s">
        <v>59</v>
      </c>
      <c r="F1746" t="s">
        <v>68</v>
      </c>
      <c r="G1746" t="s">
        <v>32</v>
      </c>
      <c r="H1746" s="2">
        <v>63</v>
      </c>
      <c r="I1746">
        <v>176</v>
      </c>
      <c r="J1746" s="3">
        <v>1109</v>
      </c>
      <c r="K1746" s="4">
        <v>610</v>
      </c>
      <c r="L1746" t="s">
        <v>17</v>
      </c>
    </row>
    <row r="1747" spans="1:12" x14ac:dyDescent="0.35">
      <c r="A1747" t="s">
        <v>23</v>
      </c>
      <c r="B1747">
        <v>1197831</v>
      </c>
      <c r="C1747" s="1">
        <v>44484</v>
      </c>
      <c r="D1747" t="s">
        <v>19</v>
      </c>
      <c r="E1747" t="s">
        <v>59</v>
      </c>
      <c r="F1747" t="s">
        <v>68</v>
      </c>
      <c r="G1747" t="s">
        <v>16</v>
      </c>
      <c r="H1747" s="2">
        <v>67</v>
      </c>
      <c r="I1747">
        <v>176</v>
      </c>
      <c r="J1747" s="3">
        <v>1179</v>
      </c>
      <c r="K1747" s="4">
        <v>766</v>
      </c>
      <c r="L1747" t="s">
        <v>17</v>
      </c>
    </row>
    <row r="1748" spans="1:12" x14ac:dyDescent="0.35">
      <c r="A1748" t="s">
        <v>23</v>
      </c>
      <c r="B1748">
        <v>1197831</v>
      </c>
      <c r="C1748" s="1">
        <v>44284</v>
      </c>
      <c r="D1748" t="s">
        <v>19</v>
      </c>
      <c r="E1748" t="s">
        <v>74</v>
      </c>
      <c r="F1748" t="s">
        <v>75</v>
      </c>
      <c r="G1748" t="s">
        <v>39</v>
      </c>
      <c r="H1748" s="2">
        <v>24</v>
      </c>
      <c r="I1748">
        <v>176</v>
      </c>
      <c r="J1748">
        <v>422</v>
      </c>
      <c r="K1748" s="4">
        <v>215</v>
      </c>
      <c r="L1748" t="s">
        <v>17</v>
      </c>
    </row>
    <row r="1749" spans="1:12" x14ac:dyDescent="0.35">
      <c r="A1749" t="s">
        <v>18</v>
      </c>
      <c r="B1749">
        <v>1185732</v>
      </c>
      <c r="C1749" s="1">
        <v>44208</v>
      </c>
      <c r="D1749" t="s">
        <v>13</v>
      </c>
      <c r="E1749" t="s">
        <v>14</v>
      </c>
      <c r="F1749" t="s">
        <v>15</v>
      </c>
      <c r="G1749" t="s">
        <v>16</v>
      </c>
      <c r="H1749" s="2">
        <v>44</v>
      </c>
      <c r="I1749">
        <v>176</v>
      </c>
      <c r="J1749">
        <v>774</v>
      </c>
      <c r="K1749" s="4">
        <v>503</v>
      </c>
      <c r="L1749" t="s">
        <v>17</v>
      </c>
    </row>
    <row r="1750" spans="1:12" x14ac:dyDescent="0.35">
      <c r="A1750" t="s">
        <v>18</v>
      </c>
      <c r="B1750">
        <v>1185732</v>
      </c>
      <c r="C1750" s="1">
        <v>44509</v>
      </c>
      <c r="D1750" t="s">
        <v>43</v>
      </c>
      <c r="E1750" t="s">
        <v>44</v>
      </c>
      <c r="F1750" t="s">
        <v>101</v>
      </c>
      <c r="G1750" t="s">
        <v>16</v>
      </c>
      <c r="H1750" s="2">
        <v>68</v>
      </c>
      <c r="I1750">
        <v>176</v>
      </c>
      <c r="J1750" s="3">
        <v>1197</v>
      </c>
      <c r="K1750" s="4">
        <v>766</v>
      </c>
      <c r="L1750" t="s">
        <v>17</v>
      </c>
    </row>
    <row r="1751" spans="1:12" x14ac:dyDescent="0.35">
      <c r="A1751" t="s">
        <v>42</v>
      </c>
      <c r="B1751">
        <v>1128299</v>
      </c>
      <c r="C1751" s="1">
        <v>44371</v>
      </c>
      <c r="D1751" t="s">
        <v>13</v>
      </c>
      <c r="E1751" t="s">
        <v>99</v>
      </c>
      <c r="F1751" t="s">
        <v>100</v>
      </c>
      <c r="G1751" t="s">
        <v>39</v>
      </c>
      <c r="H1751" s="2">
        <v>62</v>
      </c>
      <c r="I1751">
        <v>176</v>
      </c>
      <c r="J1751" s="3">
        <v>1091</v>
      </c>
      <c r="K1751" s="4">
        <v>502</v>
      </c>
      <c r="L1751" t="s">
        <v>17</v>
      </c>
    </row>
    <row r="1752" spans="1:12" x14ac:dyDescent="0.35">
      <c r="A1752" t="s">
        <v>23</v>
      </c>
      <c r="B1752">
        <v>1185732</v>
      </c>
      <c r="C1752" s="1">
        <v>44424</v>
      </c>
      <c r="D1752" t="s">
        <v>33</v>
      </c>
      <c r="E1752" t="s">
        <v>45</v>
      </c>
      <c r="F1752" t="s">
        <v>46</v>
      </c>
      <c r="G1752" t="s">
        <v>16</v>
      </c>
      <c r="H1752" s="2">
        <v>45</v>
      </c>
      <c r="I1752">
        <v>176</v>
      </c>
      <c r="J1752">
        <v>792</v>
      </c>
      <c r="K1752" s="4">
        <v>539</v>
      </c>
      <c r="L1752" t="s">
        <v>17</v>
      </c>
    </row>
    <row r="1753" spans="1:12" x14ac:dyDescent="0.35">
      <c r="A1753" t="s">
        <v>23</v>
      </c>
      <c r="B1753">
        <v>1185732</v>
      </c>
      <c r="C1753" s="1">
        <v>44545</v>
      </c>
      <c r="D1753" t="s">
        <v>33</v>
      </c>
      <c r="E1753" t="s">
        <v>45</v>
      </c>
      <c r="F1753" t="s">
        <v>46</v>
      </c>
      <c r="G1753" t="s">
        <v>39</v>
      </c>
      <c r="H1753" s="2">
        <v>46</v>
      </c>
      <c r="I1753">
        <v>176</v>
      </c>
      <c r="J1753">
        <v>810</v>
      </c>
      <c r="K1753" s="4">
        <v>429</v>
      </c>
      <c r="L1753" t="s">
        <v>17</v>
      </c>
    </row>
    <row r="1754" spans="1:12" x14ac:dyDescent="0.35">
      <c r="A1754" t="s">
        <v>23</v>
      </c>
      <c r="B1754">
        <v>1197831</v>
      </c>
      <c r="C1754" s="1">
        <v>44444</v>
      </c>
      <c r="D1754" t="s">
        <v>48</v>
      </c>
      <c r="E1754" t="s">
        <v>79</v>
      </c>
      <c r="F1754" t="s">
        <v>80</v>
      </c>
      <c r="G1754" t="s">
        <v>26</v>
      </c>
      <c r="H1754" s="2">
        <v>50</v>
      </c>
      <c r="I1754">
        <v>176</v>
      </c>
      <c r="J1754">
        <v>880</v>
      </c>
      <c r="K1754" s="4">
        <v>440</v>
      </c>
      <c r="L1754" t="s">
        <v>17</v>
      </c>
    </row>
    <row r="1755" spans="1:12" x14ac:dyDescent="0.35">
      <c r="A1755" t="s">
        <v>42</v>
      </c>
      <c r="B1755">
        <v>1197831</v>
      </c>
      <c r="C1755" s="1">
        <v>44534</v>
      </c>
      <c r="D1755" t="s">
        <v>48</v>
      </c>
      <c r="E1755" t="s">
        <v>79</v>
      </c>
      <c r="F1755" t="s">
        <v>80</v>
      </c>
      <c r="G1755" t="s">
        <v>32</v>
      </c>
      <c r="H1755" s="2">
        <v>56</v>
      </c>
      <c r="I1755">
        <v>176</v>
      </c>
      <c r="J1755">
        <v>986</v>
      </c>
      <c r="K1755" s="4">
        <v>513</v>
      </c>
      <c r="L1755" t="s">
        <v>17</v>
      </c>
    </row>
    <row r="1756" spans="1:12" x14ac:dyDescent="0.35">
      <c r="A1756" t="s">
        <v>63</v>
      </c>
      <c r="B1756">
        <v>1128299</v>
      </c>
      <c r="C1756" s="1">
        <v>44434</v>
      </c>
      <c r="D1756" t="s">
        <v>48</v>
      </c>
      <c r="E1756" t="s">
        <v>114</v>
      </c>
      <c r="F1756" t="s">
        <v>115</v>
      </c>
      <c r="G1756" t="s">
        <v>39</v>
      </c>
      <c r="H1756" s="2">
        <v>60</v>
      </c>
      <c r="I1756">
        <v>176</v>
      </c>
      <c r="J1756" s="3">
        <v>1056</v>
      </c>
      <c r="K1756" s="4">
        <v>549</v>
      </c>
      <c r="L1756" t="s">
        <v>17</v>
      </c>
    </row>
    <row r="1757" spans="1:12" x14ac:dyDescent="0.35">
      <c r="A1757" t="s">
        <v>23</v>
      </c>
      <c r="B1757">
        <v>1128299</v>
      </c>
      <c r="C1757" s="1">
        <v>44360</v>
      </c>
      <c r="D1757" t="s">
        <v>13</v>
      </c>
      <c r="E1757" t="s">
        <v>57</v>
      </c>
      <c r="F1757" t="s">
        <v>58</v>
      </c>
      <c r="G1757" t="s">
        <v>26</v>
      </c>
      <c r="H1757" s="2">
        <v>46</v>
      </c>
      <c r="I1757">
        <v>176</v>
      </c>
      <c r="J1757">
        <v>810</v>
      </c>
      <c r="K1757" s="4">
        <v>429</v>
      </c>
      <c r="L1757" t="s">
        <v>17</v>
      </c>
    </row>
    <row r="1758" spans="1:12" x14ac:dyDescent="0.35">
      <c r="A1758" t="s">
        <v>42</v>
      </c>
      <c r="B1758">
        <v>1185732</v>
      </c>
      <c r="C1758" s="1">
        <v>44476</v>
      </c>
      <c r="D1758" t="s">
        <v>13</v>
      </c>
      <c r="E1758" t="s">
        <v>69</v>
      </c>
      <c r="F1758" t="s">
        <v>65</v>
      </c>
      <c r="G1758" t="s">
        <v>32</v>
      </c>
      <c r="H1758" s="2">
        <v>41</v>
      </c>
      <c r="I1758">
        <v>176</v>
      </c>
      <c r="J1758">
        <v>722</v>
      </c>
      <c r="K1758" s="4">
        <v>281</v>
      </c>
      <c r="L1758" t="s">
        <v>17</v>
      </c>
    </row>
    <row r="1759" spans="1:12" x14ac:dyDescent="0.35">
      <c r="A1759" t="s">
        <v>42</v>
      </c>
      <c r="B1759">
        <v>1185732</v>
      </c>
      <c r="C1759" s="1">
        <v>44476</v>
      </c>
      <c r="D1759" t="s">
        <v>13</v>
      </c>
      <c r="E1759" t="s">
        <v>69</v>
      </c>
      <c r="F1759" t="s">
        <v>65</v>
      </c>
      <c r="G1759" t="s">
        <v>56</v>
      </c>
      <c r="H1759" s="2">
        <v>41</v>
      </c>
      <c r="I1759">
        <v>176</v>
      </c>
      <c r="J1759">
        <v>722</v>
      </c>
      <c r="K1759" s="4">
        <v>289</v>
      </c>
      <c r="L1759" t="s">
        <v>17</v>
      </c>
    </row>
    <row r="1760" spans="1:12" x14ac:dyDescent="0.35">
      <c r="A1760" t="s">
        <v>23</v>
      </c>
      <c r="B1760">
        <v>1185732</v>
      </c>
      <c r="C1760" s="1">
        <v>44411</v>
      </c>
      <c r="D1760" t="s">
        <v>13</v>
      </c>
      <c r="E1760" t="s">
        <v>77</v>
      </c>
      <c r="F1760" t="s">
        <v>78</v>
      </c>
      <c r="G1760" t="s">
        <v>70</v>
      </c>
      <c r="H1760" s="2">
        <v>53</v>
      </c>
      <c r="I1760">
        <v>176</v>
      </c>
      <c r="J1760">
        <v>933</v>
      </c>
      <c r="K1760" s="4">
        <v>448</v>
      </c>
      <c r="L1760" t="s">
        <v>17</v>
      </c>
    </row>
    <row r="1761" spans="1:12" x14ac:dyDescent="0.35">
      <c r="A1761" t="s">
        <v>23</v>
      </c>
      <c r="B1761">
        <v>1185732</v>
      </c>
      <c r="C1761" s="1">
        <v>44473</v>
      </c>
      <c r="D1761" t="s">
        <v>13</v>
      </c>
      <c r="E1761" t="s">
        <v>77</v>
      </c>
      <c r="F1761" t="s">
        <v>78</v>
      </c>
      <c r="G1761" t="s">
        <v>16</v>
      </c>
      <c r="H1761" s="2">
        <v>48</v>
      </c>
      <c r="I1761">
        <v>176</v>
      </c>
      <c r="J1761">
        <v>845</v>
      </c>
      <c r="K1761" s="4">
        <v>532</v>
      </c>
      <c r="L1761" t="s">
        <v>17</v>
      </c>
    </row>
    <row r="1762" spans="1:12" x14ac:dyDescent="0.35">
      <c r="A1762" t="s">
        <v>12</v>
      </c>
      <c r="B1762">
        <v>1185732</v>
      </c>
      <c r="C1762" s="1">
        <v>44393</v>
      </c>
      <c r="D1762" t="s">
        <v>19</v>
      </c>
      <c r="E1762" t="s">
        <v>37</v>
      </c>
      <c r="F1762" t="s">
        <v>38</v>
      </c>
      <c r="G1762" t="s">
        <v>16</v>
      </c>
      <c r="H1762" s="2">
        <v>61</v>
      </c>
      <c r="I1762">
        <v>176</v>
      </c>
      <c r="J1762" s="3">
        <v>1074</v>
      </c>
      <c r="K1762" s="4">
        <v>655</v>
      </c>
      <c r="L1762" t="s">
        <v>17</v>
      </c>
    </row>
    <row r="1763" spans="1:12" x14ac:dyDescent="0.35">
      <c r="A1763" t="s">
        <v>12</v>
      </c>
      <c r="B1763">
        <v>1185732</v>
      </c>
      <c r="C1763" s="1">
        <v>44487</v>
      </c>
      <c r="D1763" t="s">
        <v>19</v>
      </c>
      <c r="E1763" t="s">
        <v>37</v>
      </c>
      <c r="F1763" t="s">
        <v>38</v>
      </c>
      <c r="G1763" t="s">
        <v>26</v>
      </c>
      <c r="H1763" s="2">
        <v>32</v>
      </c>
      <c r="I1763">
        <v>176</v>
      </c>
      <c r="J1763">
        <v>563</v>
      </c>
      <c r="K1763" s="4">
        <v>304</v>
      </c>
      <c r="L1763" t="s">
        <v>17</v>
      </c>
    </row>
    <row r="1764" spans="1:12" x14ac:dyDescent="0.35">
      <c r="A1764" t="s">
        <v>23</v>
      </c>
      <c r="B1764">
        <v>1197831</v>
      </c>
      <c r="C1764" s="1">
        <v>44219</v>
      </c>
      <c r="D1764" t="s">
        <v>19</v>
      </c>
      <c r="E1764" t="s">
        <v>37</v>
      </c>
      <c r="F1764" t="s">
        <v>38</v>
      </c>
      <c r="G1764" t="s">
        <v>26</v>
      </c>
      <c r="H1764" s="2">
        <v>24</v>
      </c>
      <c r="I1764">
        <v>176</v>
      </c>
      <c r="J1764">
        <v>422</v>
      </c>
      <c r="K1764" s="4">
        <v>215</v>
      </c>
      <c r="L1764" t="s">
        <v>17</v>
      </c>
    </row>
    <row r="1765" spans="1:12" x14ac:dyDescent="0.35">
      <c r="A1765" t="s">
        <v>42</v>
      </c>
      <c r="B1765">
        <v>1185732</v>
      </c>
      <c r="C1765" s="1">
        <v>44546</v>
      </c>
      <c r="D1765" t="s">
        <v>43</v>
      </c>
      <c r="E1765" t="s">
        <v>64</v>
      </c>
      <c r="F1765" t="s">
        <v>65</v>
      </c>
      <c r="G1765" t="s">
        <v>26</v>
      </c>
      <c r="H1765" s="2">
        <v>60</v>
      </c>
      <c r="I1765">
        <v>176</v>
      </c>
      <c r="J1765" s="3">
        <v>1056</v>
      </c>
      <c r="K1765" s="4">
        <v>549</v>
      </c>
      <c r="L1765" t="s">
        <v>17</v>
      </c>
    </row>
    <row r="1766" spans="1:12" x14ac:dyDescent="0.35">
      <c r="A1766" t="s">
        <v>51</v>
      </c>
      <c r="B1766">
        <v>1185732</v>
      </c>
      <c r="C1766" s="1">
        <v>44419</v>
      </c>
      <c r="D1766" t="s">
        <v>43</v>
      </c>
      <c r="E1766" t="s">
        <v>125</v>
      </c>
      <c r="F1766" t="s">
        <v>126</v>
      </c>
      <c r="G1766" t="s">
        <v>26</v>
      </c>
      <c r="H1766" s="2">
        <v>58</v>
      </c>
      <c r="I1766">
        <v>176</v>
      </c>
      <c r="J1766" s="3">
        <v>1021</v>
      </c>
      <c r="K1766" s="4">
        <v>612</v>
      </c>
      <c r="L1766" t="s">
        <v>17</v>
      </c>
    </row>
    <row r="1767" spans="1:12" x14ac:dyDescent="0.35">
      <c r="A1767" t="s">
        <v>23</v>
      </c>
      <c r="B1767">
        <v>1197831</v>
      </c>
      <c r="C1767" s="1">
        <v>44035</v>
      </c>
      <c r="D1767" t="s">
        <v>19</v>
      </c>
      <c r="E1767" t="s">
        <v>59</v>
      </c>
      <c r="F1767" t="s">
        <v>60</v>
      </c>
      <c r="G1767" t="s">
        <v>70</v>
      </c>
      <c r="H1767" s="2">
        <v>26</v>
      </c>
      <c r="I1767">
        <v>176</v>
      </c>
      <c r="J1767">
        <v>458</v>
      </c>
      <c r="K1767" s="4">
        <v>156</v>
      </c>
      <c r="L1767" t="s">
        <v>27</v>
      </c>
    </row>
    <row r="1768" spans="1:12" x14ac:dyDescent="0.35">
      <c r="A1768" t="s">
        <v>63</v>
      </c>
      <c r="B1768">
        <v>1189833</v>
      </c>
      <c r="C1768" s="1">
        <v>44277</v>
      </c>
      <c r="D1768" t="s">
        <v>48</v>
      </c>
      <c r="E1768" t="s">
        <v>66</v>
      </c>
      <c r="F1768" t="s">
        <v>76</v>
      </c>
      <c r="G1768" t="s">
        <v>56</v>
      </c>
      <c r="H1768" s="2">
        <v>36</v>
      </c>
      <c r="I1768">
        <v>176</v>
      </c>
      <c r="J1768">
        <v>634</v>
      </c>
      <c r="K1768" s="4">
        <v>247</v>
      </c>
      <c r="L1768" t="s">
        <v>27</v>
      </c>
    </row>
    <row r="1769" spans="1:12" x14ac:dyDescent="0.35">
      <c r="A1769" t="s">
        <v>18</v>
      </c>
      <c r="B1769">
        <v>1128299</v>
      </c>
      <c r="C1769" s="1">
        <v>43864</v>
      </c>
      <c r="D1769" t="s">
        <v>48</v>
      </c>
      <c r="E1769" t="s">
        <v>116</v>
      </c>
      <c r="F1769" t="s">
        <v>117</v>
      </c>
      <c r="G1769" t="s">
        <v>32</v>
      </c>
      <c r="H1769" s="2">
        <v>46</v>
      </c>
      <c r="I1769">
        <v>176</v>
      </c>
      <c r="J1769">
        <v>810</v>
      </c>
      <c r="K1769" s="4">
        <v>389</v>
      </c>
      <c r="L1769" t="s">
        <v>27</v>
      </c>
    </row>
    <row r="1770" spans="1:12" x14ac:dyDescent="0.35">
      <c r="A1770" t="s">
        <v>23</v>
      </c>
      <c r="B1770">
        <v>1197831</v>
      </c>
      <c r="C1770" s="1">
        <v>44334</v>
      </c>
      <c r="D1770" t="s">
        <v>19</v>
      </c>
      <c r="E1770" t="s">
        <v>74</v>
      </c>
      <c r="F1770" t="s">
        <v>75</v>
      </c>
      <c r="G1770" t="s">
        <v>56</v>
      </c>
      <c r="H1770" s="2">
        <v>44</v>
      </c>
      <c r="I1770">
        <v>176</v>
      </c>
      <c r="J1770">
        <v>774</v>
      </c>
      <c r="K1770" s="4">
        <v>465</v>
      </c>
      <c r="L1770" t="s">
        <v>27</v>
      </c>
    </row>
    <row r="1771" spans="1:12" x14ac:dyDescent="0.35">
      <c r="A1771" t="s">
        <v>42</v>
      </c>
      <c r="B1771">
        <v>1128299</v>
      </c>
      <c r="C1771" s="1">
        <v>44524</v>
      </c>
      <c r="D1771" t="s">
        <v>13</v>
      </c>
      <c r="E1771" t="s">
        <v>99</v>
      </c>
      <c r="F1771" t="s">
        <v>100</v>
      </c>
      <c r="G1771" t="s">
        <v>16</v>
      </c>
      <c r="H1771" s="2">
        <v>60</v>
      </c>
      <c r="I1771">
        <v>176</v>
      </c>
      <c r="J1771" s="3">
        <v>1056</v>
      </c>
      <c r="K1771" s="4">
        <v>348</v>
      </c>
      <c r="L1771" t="s">
        <v>27</v>
      </c>
    </row>
    <row r="1772" spans="1:12" x14ac:dyDescent="0.35">
      <c r="A1772" t="s">
        <v>23</v>
      </c>
      <c r="B1772">
        <v>1128299</v>
      </c>
      <c r="C1772" s="1">
        <v>44553</v>
      </c>
      <c r="D1772" t="s">
        <v>13</v>
      </c>
      <c r="E1772" t="s">
        <v>99</v>
      </c>
      <c r="F1772" t="s">
        <v>100</v>
      </c>
      <c r="G1772" t="s">
        <v>56</v>
      </c>
      <c r="H1772" s="2">
        <v>51</v>
      </c>
      <c r="I1772">
        <v>176</v>
      </c>
      <c r="J1772">
        <v>898</v>
      </c>
      <c r="K1772" s="4">
        <v>350</v>
      </c>
      <c r="L1772" t="s">
        <v>27</v>
      </c>
    </row>
    <row r="1773" spans="1:12" x14ac:dyDescent="0.35">
      <c r="A1773" t="s">
        <v>23</v>
      </c>
      <c r="B1773">
        <v>1185732</v>
      </c>
      <c r="C1773" s="1">
        <v>44215</v>
      </c>
      <c r="D1773" t="s">
        <v>13</v>
      </c>
      <c r="E1773" t="s">
        <v>99</v>
      </c>
      <c r="F1773" t="s">
        <v>100</v>
      </c>
      <c r="G1773" t="s">
        <v>32</v>
      </c>
      <c r="H1773" s="2">
        <v>18</v>
      </c>
      <c r="I1773">
        <v>176</v>
      </c>
      <c r="J1773">
        <v>317</v>
      </c>
      <c r="K1773" s="4">
        <v>101</v>
      </c>
      <c r="L1773" t="s">
        <v>27</v>
      </c>
    </row>
    <row r="1774" spans="1:12" x14ac:dyDescent="0.35">
      <c r="A1774" t="s">
        <v>18</v>
      </c>
      <c r="B1774">
        <v>1128299</v>
      </c>
      <c r="C1774" s="1">
        <v>44334</v>
      </c>
      <c r="D1774" t="s">
        <v>19</v>
      </c>
      <c r="E1774" t="s">
        <v>20</v>
      </c>
      <c r="F1774" t="s">
        <v>21</v>
      </c>
      <c r="G1774" t="s">
        <v>26</v>
      </c>
      <c r="H1774" s="2">
        <v>32</v>
      </c>
      <c r="I1774">
        <v>176</v>
      </c>
      <c r="J1774">
        <v>563</v>
      </c>
      <c r="K1774" s="4">
        <v>242</v>
      </c>
      <c r="L1774" t="s">
        <v>27</v>
      </c>
    </row>
    <row r="1775" spans="1:12" x14ac:dyDescent="0.35">
      <c r="A1775" t="s">
        <v>18</v>
      </c>
      <c r="B1775">
        <v>1197831</v>
      </c>
      <c r="C1775" s="1">
        <v>44291</v>
      </c>
      <c r="D1775" t="s">
        <v>48</v>
      </c>
      <c r="E1775" t="s">
        <v>79</v>
      </c>
      <c r="F1775" t="s">
        <v>80</v>
      </c>
      <c r="G1775" t="s">
        <v>16</v>
      </c>
      <c r="H1775" s="2">
        <v>23</v>
      </c>
      <c r="I1775">
        <v>176</v>
      </c>
      <c r="J1775">
        <v>405</v>
      </c>
      <c r="K1775" s="4">
        <v>231</v>
      </c>
      <c r="L1775" t="s">
        <v>27</v>
      </c>
    </row>
    <row r="1776" spans="1:12" x14ac:dyDescent="0.35">
      <c r="A1776" t="s">
        <v>63</v>
      </c>
      <c r="B1776">
        <v>1128299</v>
      </c>
      <c r="C1776" s="1">
        <v>44526</v>
      </c>
      <c r="D1776" t="s">
        <v>48</v>
      </c>
      <c r="E1776" t="s">
        <v>114</v>
      </c>
      <c r="F1776" t="s">
        <v>115</v>
      </c>
      <c r="G1776" t="s">
        <v>26</v>
      </c>
      <c r="H1776" s="2">
        <v>47</v>
      </c>
      <c r="I1776">
        <v>176</v>
      </c>
      <c r="J1776">
        <v>827</v>
      </c>
      <c r="K1776" s="4">
        <v>339</v>
      </c>
      <c r="L1776" t="s">
        <v>27</v>
      </c>
    </row>
    <row r="1777" spans="1:12" x14ac:dyDescent="0.35">
      <c r="A1777" t="s">
        <v>18</v>
      </c>
      <c r="B1777">
        <v>1197831</v>
      </c>
      <c r="C1777" s="1">
        <v>44520</v>
      </c>
      <c r="D1777" t="s">
        <v>19</v>
      </c>
      <c r="E1777" t="s">
        <v>54</v>
      </c>
      <c r="F1777" t="s">
        <v>55</v>
      </c>
      <c r="G1777" t="s">
        <v>26</v>
      </c>
      <c r="H1777" s="2">
        <v>18</v>
      </c>
      <c r="I1777">
        <v>176</v>
      </c>
      <c r="J1777">
        <v>317</v>
      </c>
      <c r="K1777" s="4">
        <v>146</v>
      </c>
      <c r="L1777" t="s">
        <v>27</v>
      </c>
    </row>
    <row r="1778" spans="1:12" x14ac:dyDescent="0.35">
      <c r="A1778" t="s">
        <v>63</v>
      </c>
      <c r="B1778">
        <v>1197831</v>
      </c>
      <c r="C1778" s="1">
        <v>44212</v>
      </c>
      <c r="D1778" t="s">
        <v>19</v>
      </c>
      <c r="E1778" t="s">
        <v>61</v>
      </c>
      <c r="F1778" t="s">
        <v>62</v>
      </c>
      <c r="G1778" t="s">
        <v>26</v>
      </c>
      <c r="H1778" s="2">
        <v>17</v>
      </c>
      <c r="I1778">
        <v>176</v>
      </c>
      <c r="J1778">
        <v>299</v>
      </c>
      <c r="K1778" s="4">
        <v>114</v>
      </c>
      <c r="L1778" t="s">
        <v>27</v>
      </c>
    </row>
    <row r="1779" spans="1:12" x14ac:dyDescent="0.35">
      <c r="A1779" t="s">
        <v>42</v>
      </c>
      <c r="B1779">
        <v>1185732</v>
      </c>
      <c r="C1779" s="1">
        <v>44355</v>
      </c>
      <c r="D1779" t="s">
        <v>43</v>
      </c>
      <c r="E1779" t="s">
        <v>110</v>
      </c>
      <c r="F1779" t="s">
        <v>111</v>
      </c>
      <c r="G1779" t="s">
        <v>26</v>
      </c>
      <c r="H1779" s="2">
        <v>36</v>
      </c>
      <c r="I1779">
        <v>176</v>
      </c>
      <c r="J1779">
        <v>634</v>
      </c>
      <c r="K1779" s="4">
        <v>253</v>
      </c>
      <c r="L1779" t="s">
        <v>27</v>
      </c>
    </row>
    <row r="1780" spans="1:12" x14ac:dyDescent="0.35">
      <c r="A1780" t="s">
        <v>42</v>
      </c>
      <c r="B1780">
        <v>1185732</v>
      </c>
      <c r="C1780" s="1">
        <v>44354</v>
      </c>
      <c r="D1780" t="s">
        <v>33</v>
      </c>
      <c r="E1780" t="s">
        <v>118</v>
      </c>
      <c r="F1780" t="s">
        <v>119</v>
      </c>
      <c r="G1780" t="s">
        <v>39</v>
      </c>
      <c r="H1780" s="2">
        <v>45</v>
      </c>
      <c r="I1780">
        <v>175</v>
      </c>
      <c r="J1780" s="3">
        <v>7875</v>
      </c>
      <c r="K1780" s="4">
        <v>2756</v>
      </c>
      <c r="L1780" t="s">
        <v>27</v>
      </c>
    </row>
    <row r="1781" spans="1:12" x14ac:dyDescent="0.35">
      <c r="A1781" t="s">
        <v>42</v>
      </c>
      <c r="B1781">
        <v>1185732</v>
      </c>
      <c r="C1781" s="1">
        <v>44373</v>
      </c>
      <c r="D1781" t="s">
        <v>33</v>
      </c>
      <c r="E1781" t="s">
        <v>118</v>
      </c>
      <c r="F1781" t="s">
        <v>119</v>
      </c>
      <c r="G1781" t="s">
        <v>32</v>
      </c>
      <c r="H1781" s="2">
        <v>50</v>
      </c>
      <c r="I1781">
        <v>175</v>
      </c>
      <c r="J1781" s="3">
        <v>8750</v>
      </c>
      <c r="K1781" s="4">
        <v>3063</v>
      </c>
      <c r="L1781" t="s">
        <v>27</v>
      </c>
    </row>
    <row r="1782" spans="1:12" x14ac:dyDescent="0.35">
      <c r="A1782" t="s">
        <v>42</v>
      </c>
      <c r="B1782">
        <v>1185732</v>
      </c>
      <c r="C1782" s="1">
        <v>44380</v>
      </c>
      <c r="D1782" t="s">
        <v>33</v>
      </c>
      <c r="E1782" t="s">
        <v>118</v>
      </c>
      <c r="F1782" t="s">
        <v>119</v>
      </c>
      <c r="G1782" t="s">
        <v>56</v>
      </c>
      <c r="H1782" s="2">
        <v>40</v>
      </c>
      <c r="I1782">
        <v>175</v>
      </c>
      <c r="J1782" s="3">
        <v>7000</v>
      </c>
      <c r="K1782" s="4">
        <v>2800</v>
      </c>
      <c r="L1782" t="s">
        <v>27</v>
      </c>
    </row>
    <row r="1783" spans="1:12" x14ac:dyDescent="0.35">
      <c r="A1783" t="s">
        <v>42</v>
      </c>
      <c r="B1783">
        <v>1185732</v>
      </c>
      <c r="C1783" s="1">
        <v>44381</v>
      </c>
      <c r="D1783" t="s">
        <v>33</v>
      </c>
      <c r="E1783" t="s">
        <v>118</v>
      </c>
      <c r="F1783" t="s">
        <v>119</v>
      </c>
      <c r="G1783" t="s">
        <v>70</v>
      </c>
      <c r="H1783" s="2">
        <v>50</v>
      </c>
      <c r="I1783">
        <v>175</v>
      </c>
      <c r="J1783" s="3">
        <v>8750</v>
      </c>
      <c r="K1783" s="4">
        <v>3063</v>
      </c>
      <c r="L1783" t="s">
        <v>27</v>
      </c>
    </row>
    <row r="1784" spans="1:12" x14ac:dyDescent="0.35">
      <c r="A1784" t="s">
        <v>42</v>
      </c>
      <c r="B1784">
        <v>1185732</v>
      </c>
      <c r="C1784" s="1">
        <v>44398</v>
      </c>
      <c r="D1784" t="s">
        <v>33</v>
      </c>
      <c r="E1784" t="s">
        <v>118</v>
      </c>
      <c r="F1784" t="s">
        <v>119</v>
      </c>
      <c r="G1784" t="s">
        <v>56</v>
      </c>
      <c r="H1784" s="2">
        <v>40</v>
      </c>
      <c r="I1784">
        <v>175</v>
      </c>
      <c r="J1784" s="3">
        <v>7000</v>
      </c>
      <c r="K1784" s="4">
        <v>2800</v>
      </c>
      <c r="L1784" t="s">
        <v>27</v>
      </c>
    </row>
    <row r="1785" spans="1:12" x14ac:dyDescent="0.35">
      <c r="A1785" t="s">
        <v>42</v>
      </c>
      <c r="B1785">
        <v>1185732</v>
      </c>
      <c r="C1785" s="1">
        <v>44399</v>
      </c>
      <c r="D1785" t="s">
        <v>33</v>
      </c>
      <c r="E1785" t="s">
        <v>118</v>
      </c>
      <c r="F1785" t="s">
        <v>119</v>
      </c>
      <c r="G1785" t="s">
        <v>70</v>
      </c>
      <c r="H1785" s="2">
        <v>50</v>
      </c>
      <c r="I1785">
        <v>175</v>
      </c>
      <c r="J1785" s="3">
        <v>8750</v>
      </c>
      <c r="K1785" s="4">
        <v>3063</v>
      </c>
      <c r="L1785" t="s">
        <v>27</v>
      </c>
    </row>
    <row r="1786" spans="1:12" x14ac:dyDescent="0.35">
      <c r="A1786" t="s">
        <v>42</v>
      </c>
      <c r="B1786">
        <v>1185732</v>
      </c>
      <c r="C1786" s="1">
        <v>44410</v>
      </c>
      <c r="D1786" t="s">
        <v>33</v>
      </c>
      <c r="E1786" t="s">
        <v>118</v>
      </c>
      <c r="F1786" t="s">
        <v>119</v>
      </c>
      <c r="G1786" t="s">
        <v>56</v>
      </c>
      <c r="H1786" s="2">
        <v>50</v>
      </c>
      <c r="I1786">
        <v>175</v>
      </c>
      <c r="J1786" s="3">
        <v>8750</v>
      </c>
      <c r="K1786" s="4">
        <v>3500</v>
      </c>
      <c r="L1786" t="s">
        <v>27</v>
      </c>
    </row>
    <row r="1787" spans="1:12" x14ac:dyDescent="0.35">
      <c r="A1787" t="s">
        <v>42</v>
      </c>
      <c r="B1787">
        <v>1185732</v>
      </c>
      <c r="C1787" s="1">
        <v>44499</v>
      </c>
      <c r="D1787" t="s">
        <v>43</v>
      </c>
      <c r="E1787" t="s">
        <v>135</v>
      </c>
      <c r="F1787" t="s">
        <v>136</v>
      </c>
      <c r="G1787" t="s">
        <v>32</v>
      </c>
      <c r="H1787" s="2">
        <v>35</v>
      </c>
      <c r="I1787">
        <v>175</v>
      </c>
      <c r="J1787" s="3">
        <v>6125</v>
      </c>
      <c r="K1787" s="4">
        <v>2450</v>
      </c>
      <c r="L1787" t="s">
        <v>27</v>
      </c>
    </row>
    <row r="1788" spans="1:12" x14ac:dyDescent="0.35">
      <c r="A1788" t="s">
        <v>42</v>
      </c>
      <c r="B1788">
        <v>1185732</v>
      </c>
      <c r="C1788" s="1">
        <v>44505</v>
      </c>
      <c r="D1788" t="s">
        <v>43</v>
      </c>
      <c r="E1788" t="s">
        <v>135</v>
      </c>
      <c r="F1788" t="s">
        <v>136</v>
      </c>
      <c r="G1788" t="s">
        <v>32</v>
      </c>
      <c r="H1788" s="2">
        <v>40</v>
      </c>
      <c r="I1788">
        <v>175</v>
      </c>
      <c r="J1788" s="3">
        <v>7000</v>
      </c>
      <c r="K1788" s="4">
        <v>2800</v>
      </c>
      <c r="L1788" t="s">
        <v>27</v>
      </c>
    </row>
    <row r="1789" spans="1:12" x14ac:dyDescent="0.35">
      <c r="A1789" t="s">
        <v>42</v>
      </c>
      <c r="B1789">
        <v>1185732</v>
      </c>
      <c r="C1789" s="1">
        <v>44508</v>
      </c>
      <c r="D1789" t="s">
        <v>43</v>
      </c>
      <c r="E1789" t="s">
        <v>135</v>
      </c>
      <c r="F1789" t="s">
        <v>136</v>
      </c>
      <c r="G1789" t="s">
        <v>16</v>
      </c>
      <c r="H1789" s="2">
        <v>50</v>
      </c>
      <c r="I1789">
        <v>175</v>
      </c>
      <c r="J1789" s="3">
        <v>8750</v>
      </c>
      <c r="K1789" s="4">
        <v>2188</v>
      </c>
      <c r="L1789" t="s">
        <v>27</v>
      </c>
    </row>
    <row r="1790" spans="1:12" x14ac:dyDescent="0.35">
      <c r="A1790" t="s">
        <v>42</v>
      </c>
      <c r="B1790">
        <v>1185732</v>
      </c>
      <c r="C1790" s="1">
        <v>44542</v>
      </c>
      <c r="D1790" t="s">
        <v>43</v>
      </c>
      <c r="E1790" t="s">
        <v>135</v>
      </c>
      <c r="F1790" t="s">
        <v>136</v>
      </c>
      <c r="G1790" t="s">
        <v>56</v>
      </c>
      <c r="H1790" s="2">
        <v>45</v>
      </c>
      <c r="I1790">
        <v>175</v>
      </c>
      <c r="J1790" s="3">
        <v>7875</v>
      </c>
      <c r="K1790" s="4">
        <v>2756</v>
      </c>
      <c r="L1790" t="s">
        <v>27</v>
      </c>
    </row>
    <row r="1791" spans="1:12" x14ac:dyDescent="0.35">
      <c r="A1791" t="s">
        <v>42</v>
      </c>
      <c r="B1791">
        <v>1185732</v>
      </c>
      <c r="C1791" s="1">
        <v>44135</v>
      </c>
      <c r="D1791" t="s">
        <v>33</v>
      </c>
      <c r="E1791" t="s">
        <v>104</v>
      </c>
      <c r="F1791" t="s">
        <v>105</v>
      </c>
      <c r="G1791" t="s">
        <v>32</v>
      </c>
      <c r="H1791" s="2">
        <v>30</v>
      </c>
      <c r="I1791">
        <v>175</v>
      </c>
      <c r="J1791" s="3">
        <v>5250</v>
      </c>
      <c r="K1791" s="4">
        <v>1575</v>
      </c>
      <c r="L1791" t="s">
        <v>36</v>
      </c>
    </row>
    <row r="1792" spans="1:12" x14ac:dyDescent="0.35">
      <c r="A1792" t="s">
        <v>42</v>
      </c>
      <c r="B1792">
        <v>1185732</v>
      </c>
      <c r="C1792" s="1">
        <v>44138</v>
      </c>
      <c r="D1792" t="s">
        <v>33</v>
      </c>
      <c r="E1792" t="s">
        <v>104</v>
      </c>
      <c r="F1792" t="s">
        <v>105</v>
      </c>
      <c r="G1792" t="s">
        <v>16</v>
      </c>
      <c r="H1792" s="2">
        <v>40</v>
      </c>
      <c r="I1792">
        <v>175</v>
      </c>
      <c r="J1792" s="3">
        <v>7000</v>
      </c>
      <c r="K1792" s="4">
        <v>3150</v>
      </c>
      <c r="L1792" t="s">
        <v>36</v>
      </c>
    </row>
    <row r="1793" spans="1:12" x14ac:dyDescent="0.35">
      <c r="A1793" t="s">
        <v>42</v>
      </c>
      <c r="B1793">
        <v>1185732</v>
      </c>
      <c r="C1793" s="1">
        <v>44144</v>
      </c>
      <c r="D1793" t="s">
        <v>33</v>
      </c>
      <c r="E1793" t="s">
        <v>104</v>
      </c>
      <c r="F1793" t="s">
        <v>105</v>
      </c>
      <c r="G1793" t="s">
        <v>16</v>
      </c>
      <c r="H1793" s="2">
        <v>40</v>
      </c>
      <c r="I1793">
        <v>175</v>
      </c>
      <c r="J1793" s="3">
        <v>7000</v>
      </c>
      <c r="K1793" s="4">
        <v>3150</v>
      </c>
      <c r="L1793" t="s">
        <v>36</v>
      </c>
    </row>
    <row r="1794" spans="1:12" x14ac:dyDescent="0.35">
      <c r="A1794" t="s">
        <v>42</v>
      </c>
      <c r="B1794">
        <v>1185732</v>
      </c>
      <c r="C1794" s="1">
        <v>44152</v>
      </c>
      <c r="D1794" t="s">
        <v>33</v>
      </c>
      <c r="E1794" t="s">
        <v>104</v>
      </c>
      <c r="F1794" t="s">
        <v>105</v>
      </c>
      <c r="G1794" t="s">
        <v>39</v>
      </c>
      <c r="H1794" s="2">
        <v>40</v>
      </c>
      <c r="I1794">
        <v>175</v>
      </c>
      <c r="J1794" s="3">
        <v>7000</v>
      </c>
      <c r="K1794" s="4">
        <v>2100</v>
      </c>
      <c r="L1794" t="s">
        <v>27</v>
      </c>
    </row>
    <row r="1795" spans="1:12" x14ac:dyDescent="0.35">
      <c r="A1795" t="s">
        <v>42</v>
      </c>
      <c r="B1795">
        <v>1185732</v>
      </c>
      <c r="C1795" s="1">
        <v>44153</v>
      </c>
      <c r="D1795" t="s">
        <v>33</v>
      </c>
      <c r="E1795" t="s">
        <v>104</v>
      </c>
      <c r="F1795" t="s">
        <v>105</v>
      </c>
      <c r="G1795" t="s">
        <v>32</v>
      </c>
      <c r="H1795" s="2">
        <v>35</v>
      </c>
      <c r="I1795">
        <v>175</v>
      </c>
      <c r="J1795" s="3">
        <v>6125</v>
      </c>
      <c r="K1795" s="4">
        <v>1838</v>
      </c>
      <c r="L1795" t="s">
        <v>27</v>
      </c>
    </row>
    <row r="1796" spans="1:12" x14ac:dyDescent="0.35">
      <c r="A1796" t="s">
        <v>42</v>
      </c>
      <c r="B1796">
        <v>1185732</v>
      </c>
      <c r="C1796" s="1">
        <v>44160</v>
      </c>
      <c r="D1796" t="s">
        <v>33</v>
      </c>
      <c r="E1796" t="s">
        <v>104</v>
      </c>
      <c r="F1796" t="s">
        <v>105</v>
      </c>
      <c r="G1796" t="s">
        <v>56</v>
      </c>
      <c r="H1796" s="2">
        <v>40</v>
      </c>
      <c r="I1796">
        <v>175</v>
      </c>
      <c r="J1796" s="3">
        <v>7000</v>
      </c>
      <c r="K1796" s="4">
        <v>2450</v>
      </c>
      <c r="L1796" t="s">
        <v>27</v>
      </c>
    </row>
    <row r="1797" spans="1:12" x14ac:dyDescent="0.35">
      <c r="A1797" t="s">
        <v>42</v>
      </c>
      <c r="B1797">
        <v>1185732</v>
      </c>
      <c r="C1797" s="1">
        <v>44166</v>
      </c>
      <c r="D1797" t="s">
        <v>33</v>
      </c>
      <c r="E1797" t="s">
        <v>104</v>
      </c>
      <c r="F1797" t="s">
        <v>105</v>
      </c>
      <c r="G1797" t="s">
        <v>56</v>
      </c>
      <c r="H1797" s="2">
        <v>35</v>
      </c>
      <c r="I1797">
        <v>175</v>
      </c>
      <c r="J1797" s="3">
        <v>6125</v>
      </c>
      <c r="K1797" s="4">
        <v>2144</v>
      </c>
      <c r="L1797" t="s">
        <v>27</v>
      </c>
    </row>
    <row r="1798" spans="1:12" x14ac:dyDescent="0.35">
      <c r="A1798" t="s">
        <v>42</v>
      </c>
      <c r="B1798">
        <v>1185732</v>
      </c>
      <c r="C1798" s="1">
        <v>44190</v>
      </c>
      <c r="D1798" t="s">
        <v>33</v>
      </c>
      <c r="E1798" t="s">
        <v>104</v>
      </c>
      <c r="F1798" t="s">
        <v>105</v>
      </c>
      <c r="G1798" t="s">
        <v>56</v>
      </c>
      <c r="H1798" s="2">
        <v>45</v>
      </c>
      <c r="I1798">
        <v>175</v>
      </c>
      <c r="J1798" s="3">
        <v>7875</v>
      </c>
      <c r="K1798" s="4">
        <v>2756</v>
      </c>
      <c r="L1798" t="s">
        <v>27</v>
      </c>
    </row>
    <row r="1799" spans="1:12" x14ac:dyDescent="0.35">
      <c r="A1799" t="s">
        <v>42</v>
      </c>
      <c r="B1799">
        <v>1185732</v>
      </c>
      <c r="C1799" s="1">
        <v>44345</v>
      </c>
      <c r="D1799" t="s">
        <v>33</v>
      </c>
      <c r="E1799" t="s">
        <v>120</v>
      </c>
      <c r="F1799" t="s">
        <v>121</v>
      </c>
      <c r="G1799" t="s">
        <v>32</v>
      </c>
      <c r="H1799" s="2">
        <v>25</v>
      </c>
      <c r="I1799">
        <v>175</v>
      </c>
      <c r="J1799" s="3">
        <v>4375</v>
      </c>
      <c r="K1799" s="4">
        <v>1531</v>
      </c>
      <c r="L1799" t="s">
        <v>27</v>
      </c>
    </row>
    <row r="1800" spans="1:12" x14ac:dyDescent="0.35">
      <c r="A1800" t="s">
        <v>42</v>
      </c>
      <c r="B1800">
        <v>1185732</v>
      </c>
      <c r="C1800" s="1">
        <v>44369</v>
      </c>
      <c r="D1800" t="s">
        <v>33</v>
      </c>
      <c r="E1800" t="s">
        <v>120</v>
      </c>
      <c r="F1800" t="s">
        <v>121</v>
      </c>
      <c r="G1800" t="s">
        <v>32</v>
      </c>
      <c r="H1800" s="2">
        <v>30</v>
      </c>
      <c r="I1800">
        <v>175</v>
      </c>
      <c r="J1800" s="3">
        <v>5250</v>
      </c>
      <c r="K1800" s="4">
        <v>1838</v>
      </c>
      <c r="L1800" t="s">
        <v>27</v>
      </c>
    </row>
    <row r="1801" spans="1:12" x14ac:dyDescent="0.35">
      <c r="A1801" t="s">
        <v>42</v>
      </c>
      <c r="B1801">
        <v>1185732</v>
      </c>
      <c r="C1801" s="1">
        <v>44376</v>
      </c>
      <c r="D1801" t="s">
        <v>33</v>
      </c>
      <c r="E1801" t="s">
        <v>120</v>
      </c>
      <c r="F1801" t="s">
        <v>121</v>
      </c>
      <c r="G1801" t="s">
        <v>56</v>
      </c>
      <c r="H1801" s="2">
        <v>35</v>
      </c>
      <c r="I1801">
        <v>175</v>
      </c>
      <c r="J1801" s="3">
        <v>6125</v>
      </c>
      <c r="K1801" s="4">
        <v>2450</v>
      </c>
      <c r="L1801" t="s">
        <v>27</v>
      </c>
    </row>
    <row r="1802" spans="1:12" x14ac:dyDescent="0.35">
      <c r="A1802" t="s">
        <v>42</v>
      </c>
      <c r="B1802">
        <v>1185732</v>
      </c>
      <c r="C1802" s="1">
        <v>44377</v>
      </c>
      <c r="D1802" t="s">
        <v>33</v>
      </c>
      <c r="E1802" t="s">
        <v>120</v>
      </c>
      <c r="F1802" t="s">
        <v>121</v>
      </c>
      <c r="G1802" t="s">
        <v>70</v>
      </c>
      <c r="H1802" s="2">
        <v>45</v>
      </c>
      <c r="I1802">
        <v>175</v>
      </c>
      <c r="J1802" s="3">
        <v>7875</v>
      </c>
      <c r="K1802" s="4">
        <v>2756</v>
      </c>
      <c r="L1802" t="s">
        <v>27</v>
      </c>
    </row>
    <row r="1803" spans="1:12" x14ac:dyDescent="0.35">
      <c r="A1803" t="s">
        <v>51</v>
      </c>
      <c r="B1803">
        <v>1185732</v>
      </c>
      <c r="C1803" s="1">
        <v>44494</v>
      </c>
      <c r="D1803" t="s">
        <v>43</v>
      </c>
      <c r="E1803" t="s">
        <v>122</v>
      </c>
      <c r="F1803" t="s">
        <v>86</v>
      </c>
      <c r="G1803" t="s">
        <v>39</v>
      </c>
      <c r="H1803" s="2">
        <v>40</v>
      </c>
      <c r="I1803">
        <v>175</v>
      </c>
      <c r="J1803" s="3">
        <v>7000</v>
      </c>
      <c r="K1803" s="4">
        <v>2450</v>
      </c>
      <c r="L1803" t="s">
        <v>27</v>
      </c>
    </row>
    <row r="1804" spans="1:12" x14ac:dyDescent="0.35">
      <c r="A1804" t="s">
        <v>51</v>
      </c>
      <c r="B1804">
        <v>1185732</v>
      </c>
      <c r="C1804" s="1">
        <v>44507</v>
      </c>
      <c r="D1804" t="s">
        <v>43</v>
      </c>
      <c r="E1804" t="s">
        <v>122</v>
      </c>
      <c r="F1804" t="s">
        <v>86</v>
      </c>
      <c r="G1804" t="s">
        <v>32</v>
      </c>
      <c r="H1804" s="2">
        <v>45</v>
      </c>
      <c r="I1804">
        <v>175</v>
      </c>
      <c r="J1804" s="3">
        <v>7875</v>
      </c>
      <c r="K1804" s="4">
        <v>3150</v>
      </c>
      <c r="L1804" t="s">
        <v>27</v>
      </c>
    </row>
    <row r="1805" spans="1:12" x14ac:dyDescent="0.35">
      <c r="A1805" t="s">
        <v>51</v>
      </c>
      <c r="B1805">
        <v>1185732</v>
      </c>
      <c r="C1805" s="1">
        <v>44514</v>
      </c>
      <c r="D1805" t="s">
        <v>43</v>
      </c>
      <c r="E1805" t="s">
        <v>122</v>
      </c>
      <c r="F1805" t="s">
        <v>86</v>
      </c>
      <c r="G1805" t="s">
        <v>56</v>
      </c>
      <c r="H1805" s="2">
        <v>45</v>
      </c>
      <c r="I1805">
        <v>175</v>
      </c>
      <c r="J1805" s="3">
        <v>7875</v>
      </c>
      <c r="K1805" s="4">
        <v>2363</v>
      </c>
      <c r="L1805" t="s">
        <v>27</v>
      </c>
    </row>
    <row r="1806" spans="1:12" x14ac:dyDescent="0.35">
      <c r="A1806" t="s">
        <v>51</v>
      </c>
      <c r="B1806">
        <v>1185732</v>
      </c>
      <c r="C1806" s="1">
        <v>44520</v>
      </c>
      <c r="D1806" t="s">
        <v>43</v>
      </c>
      <c r="E1806" t="s">
        <v>122</v>
      </c>
      <c r="F1806" t="s">
        <v>86</v>
      </c>
      <c r="G1806" t="s">
        <v>56</v>
      </c>
      <c r="H1806" s="2">
        <v>45</v>
      </c>
      <c r="I1806">
        <v>175</v>
      </c>
      <c r="J1806" s="3">
        <v>7875</v>
      </c>
      <c r="K1806" s="4">
        <v>2363</v>
      </c>
      <c r="L1806" t="s">
        <v>27</v>
      </c>
    </row>
    <row r="1807" spans="1:12" x14ac:dyDescent="0.35">
      <c r="A1807" t="s">
        <v>51</v>
      </c>
      <c r="B1807">
        <v>1185732</v>
      </c>
      <c r="C1807" s="1">
        <v>44554</v>
      </c>
      <c r="D1807" t="s">
        <v>43</v>
      </c>
      <c r="E1807" t="s">
        <v>122</v>
      </c>
      <c r="F1807" t="s">
        <v>86</v>
      </c>
      <c r="G1807" t="s">
        <v>56</v>
      </c>
      <c r="H1807" s="2">
        <v>45</v>
      </c>
      <c r="I1807">
        <v>175</v>
      </c>
      <c r="J1807" s="3">
        <v>7875</v>
      </c>
      <c r="K1807" s="4">
        <v>2363</v>
      </c>
      <c r="L1807" t="s">
        <v>27</v>
      </c>
    </row>
    <row r="1808" spans="1:12" x14ac:dyDescent="0.35">
      <c r="A1808" t="s">
        <v>51</v>
      </c>
      <c r="B1808">
        <v>1185732</v>
      </c>
      <c r="C1808" s="1">
        <v>44249</v>
      </c>
      <c r="D1808" t="s">
        <v>48</v>
      </c>
      <c r="E1808" t="s">
        <v>137</v>
      </c>
      <c r="F1808" t="s">
        <v>138</v>
      </c>
      <c r="G1808" t="s">
        <v>56</v>
      </c>
      <c r="H1808" s="2">
        <v>50</v>
      </c>
      <c r="I1808">
        <v>175</v>
      </c>
      <c r="J1808" s="3">
        <v>8750</v>
      </c>
      <c r="K1808" s="4">
        <v>2188</v>
      </c>
      <c r="L1808" t="s">
        <v>27</v>
      </c>
    </row>
    <row r="1809" spans="1:12" x14ac:dyDescent="0.35">
      <c r="A1809" t="s">
        <v>42</v>
      </c>
      <c r="B1809">
        <v>1128299</v>
      </c>
      <c r="C1809" s="1">
        <v>44206</v>
      </c>
      <c r="D1809" t="s">
        <v>48</v>
      </c>
      <c r="E1809" t="s">
        <v>137</v>
      </c>
      <c r="F1809" t="s">
        <v>138</v>
      </c>
      <c r="G1809" t="s">
        <v>70</v>
      </c>
      <c r="H1809" s="2">
        <v>50</v>
      </c>
      <c r="I1809">
        <v>175</v>
      </c>
      <c r="J1809" s="3">
        <v>8750</v>
      </c>
      <c r="K1809" s="4">
        <v>1313</v>
      </c>
      <c r="L1809" t="s">
        <v>27</v>
      </c>
    </row>
    <row r="1810" spans="1:12" x14ac:dyDescent="0.35">
      <c r="A1810" t="s">
        <v>42</v>
      </c>
      <c r="B1810">
        <v>1128299</v>
      </c>
      <c r="C1810" s="1">
        <v>44341</v>
      </c>
      <c r="D1810" t="s">
        <v>13</v>
      </c>
      <c r="E1810" t="s">
        <v>99</v>
      </c>
      <c r="F1810" t="s">
        <v>100</v>
      </c>
      <c r="G1810" t="s">
        <v>70</v>
      </c>
      <c r="H1810" s="2">
        <v>45</v>
      </c>
      <c r="I1810">
        <v>175</v>
      </c>
      <c r="J1810" s="3">
        <v>7875</v>
      </c>
      <c r="K1810" s="4">
        <v>3150</v>
      </c>
      <c r="L1810" t="s">
        <v>36</v>
      </c>
    </row>
    <row r="1811" spans="1:12" x14ac:dyDescent="0.35">
      <c r="A1811" t="s">
        <v>18</v>
      </c>
      <c r="B1811">
        <v>1128299</v>
      </c>
      <c r="C1811" s="1">
        <v>44341</v>
      </c>
      <c r="D1811" t="s">
        <v>48</v>
      </c>
      <c r="E1811" t="s">
        <v>85</v>
      </c>
      <c r="F1811" t="s">
        <v>86</v>
      </c>
      <c r="G1811" t="s">
        <v>70</v>
      </c>
      <c r="H1811" s="2">
        <v>45</v>
      </c>
      <c r="I1811">
        <v>175</v>
      </c>
      <c r="J1811" s="3">
        <v>7875</v>
      </c>
      <c r="K1811" s="4">
        <v>3150</v>
      </c>
      <c r="L1811" t="s">
        <v>36</v>
      </c>
    </row>
    <row r="1812" spans="1:12" x14ac:dyDescent="0.35">
      <c r="A1812" t="s">
        <v>18</v>
      </c>
      <c r="B1812">
        <v>1128299</v>
      </c>
      <c r="C1812" s="1">
        <v>44244</v>
      </c>
      <c r="D1812" t="s">
        <v>19</v>
      </c>
      <c r="E1812" t="s">
        <v>20</v>
      </c>
      <c r="F1812" t="s">
        <v>21</v>
      </c>
      <c r="G1812" t="s">
        <v>70</v>
      </c>
      <c r="H1812" s="2">
        <v>50</v>
      </c>
      <c r="I1812">
        <v>175</v>
      </c>
      <c r="J1812" s="3">
        <v>8750</v>
      </c>
      <c r="K1812" s="4">
        <v>3938</v>
      </c>
      <c r="L1812" t="s">
        <v>36</v>
      </c>
    </row>
    <row r="1813" spans="1:12" x14ac:dyDescent="0.35">
      <c r="A1813" t="s">
        <v>18</v>
      </c>
      <c r="B1813">
        <v>1128299</v>
      </c>
      <c r="C1813" s="1">
        <v>44303</v>
      </c>
      <c r="D1813" t="s">
        <v>19</v>
      </c>
      <c r="E1813" t="s">
        <v>20</v>
      </c>
      <c r="F1813" t="s">
        <v>21</v>
      </c>
      <c r="G1813" t="s">
        <v>70</v>
      </c>
      <c r="H1813" s="2">
        <v>45</v>
      </c>
      <c r="I1813">
        <v>175</v>
      </c>
      <c r="J1813" s="3">
        <v>7875</v>
      </c>
      <c r="K1813" s="4">
        <v>3544</v>
      </c>
      <c r="L1813" t="s">
        <v>36</v>
      </c>
    </row>
    <row r="1814" spans="1:12" x14ac:dyDescent="0.35">
      <c r="A1814" t="s">
        <v>23</v>
      </c>
      <c r="B1814">
        <v>1128299</v>
      </c>
      <c r="C1814" s="1">
        <v>44240</v>
      </c>
      <c r="D1814" t="s">
        <v>13</v>
      </c>
      <c r="E1814" t="s">
        <v>57</v>
      </c>
      <c r="F1814" t="s">
        <v>58</v>
      </c>
      <c r="G1814" t="s">
        <v>70</v>
      </c>
      <c r="H1814" s="2">
        <v>45</v>
      </c>
      <c r="I1814">
        <v>175</v>
      </c>
      <c r="J1814" s="3">
        <v>7875</v>
      </c>
      <c r="K1814" s="4">
        <v>2756</v>
      </c>
      <c r="L1814" t="s">
        <v>17</v>
      </c>
    </row>
    <row r="1815" spans="1:12" x14ac:dyDescent="0.35">
      <c r="A1815" t="s">
        <v>51</v>
      </c>
      <c r="B1815">
        <v>1185732</v>
      </c>
      <c r="C1815" s="1">
        <v>44308</v>
      </c>
      <c r="D1815" t="s">
        <v>13</v>
      </c>
      <c r="E1815" t="s">
        <v>106</v>
      </c>
      <c r="F1815" t="s">
        <v>107</v>
      </c>
      <c r="G1815" t="s">
        <v>39</v>
      </c>
      <c r="H1815" s="2">
        <v>45</v>
      </c>
      <c r="I1815">
        <v>175</v>
      </c>
      <c r="J1815" s="3">
        <v>7875</v>
      </c>
      <c r="K1815" s="4">
        <v>2756</v>
      </c>
      <c r="L1815" t="s">
        <v>17</v>
      </c>
    </row>
    <row r="1816" spans="1:12" x14ac:dyDescent="0.35">
      <c r="A1816" t="s">
        <v>51</v>
      </c>
      <c r="B1816">
        <v>1185732</v>
      </c>
      <c r="C1816" s="1">
        <v>44308</v>
      </c>
      <c r="D1816" t="s">
        <v>13</v>
      </c>
      <c r="E1816" t="s">
        <v>106</v>
      </c>
      <c r="F1816" t="s">
        <v>107</v>
      </c>
      <c r="G1816" t="s">
        <v>32</v>
      </c>
      <c r="H1816" s="2">
        <v>40</v>
      </c>
      <c r="I1816">
        <v>175</v>
      </c>
      <c r="J1816" s="3">
        <v>7000</v>
      </c>
      <c r="K1816" s="4">
        <v>2800</v>
      </c>
      <c r="L1816" t="s">
        <v>17</v>
      </c>
    </row>
    <row r="1817" spans="1:12" x14ac:dyDescent="0.35">
      <c r="A1817" t="s">
        <v>51</v>
      </c>
      <c r="B1817">
        <v>1185732</v>
      </c>
      <c r="C1817" s="1">
        <v>44491</v>
      </c>
      <c r="D1817" t="s">
        <v>13</v>
      </c>
      <c r="E1817" t="s">
        <v>106</v>
      </c>
      <c r="F1817" t="s">
        <v>107</v>
      </c>
      <c r="G1817" t="s">
        <v>32</v>
      </c>
      <c r="H1817" s="2">
        <v>45</v>
      </c>
      <c r="I1817">
        <v>175</v>
      </c>
      <c r="J1817" s="3">
        <v>7875</v>
      </c>
      <c r="K1817" s="4">
        <v>3150</v>
      </c>
      <c r="L1817" t="s">
        <v>17</v>
      </c>
    </row>
    <row r="1818" spans="1:12" x14ac:dyDescent="0.35">
      <c r="A1818" t="s">
        <v>18</v>
      </c>
      <c r="B1818">
        <v>1197831</v>
      </c>
      <c r="C1818" s="1">
        <v>44248</v>
      </c>
      <c r="D1818" t="s">
        <v>19</v>
      </c>
      <c r="E1818" t="s">
        <v>61</v>
      </c>
      <c r="F1818" t="s">
        <v>62</v>
      </c>
      <c r="G1818" t="s">
        <v>56</v>
      </c>
      <c r="H1818" s="2">
        <v>20</v>
      </c>
      <c r="I1818">
        <v>175</v>
      </c>
      <c r="J1818" s="3">
        <v>3500</v>
      </c>
      <c r="K1818" s="4">
        <v>1400</v>
      </c>
      <c r="L1818" t="s">
        <v>17</v>
      </c>
    </row>
    <row r="1819" spans="1:12" x14ac:dyDescent="0.35">
      <c r="A1819" t="s">
        <v>18</v>
      </c>
      <c r="B1819">
        <v>1197831</v>
      </c>
      <c r="C1819" s="1">
        <v>44274</v>
      </c>
      <c r="D1819" t="s">
        <v>19</v>
      </c>
      <c r="E1819" t="s">
        <v>61</v>
      </c>
      <c r="F1819" t="s">
        <v>62</v>
      </c>
      <c r="G1819" t="s">
        <v>70</v>
      </c>
      <c r="H1819" s="2">
        <v>35</v>
      </c>
      <c r="I1819">
        <v>175</v>
      </c>
      <c r="J1819" s="3">
        <v>6125</v>
      </c>
      <c r="K1819" s="4">
        <v>2144</v>
      </c>
      <c r="L1819" t="s">
        <v>17</v>
      </c>
    </row>
    <row r="1820" spans="1:12" x14ac:dyDescent="0.35">
      <c r="A1820" t="s">
        <v>18</v>
      </c>
      <c r="B1820">
        <v>1197831</v>
      </c>
      <c r="C1820" s="1">
        <v>44306</v>
      </c>
      <c r="D1820" t="s">
        <v>19</v>
      </c>
      <c r="E1820" t="s">
        <v>61</v>
      </c>
      <c r="F1820" t="s">
        <v>62</v>
      </c>
      <c r="G1820" t="s">
        <v>70</v>
      </c>
      <c r="H1820" s="2">
        <v>40</v>
      </c>
      <c r="I1820">
        <v>175</v>
      </c>
      <c r="J1820" s="3">
        <v>7000</v>
      </c>
      <c r="K1820" s="4">
        <v>2450</v>
      </c>
      <c r="L1820" t="s">
        <v>17</v>
      </c>
    </row>
    <row r="1821" spans="1:12" x14ac:dyDescent="0.35">
      <c r="A1821" t="s">
        <v>63</v>
      </c>
      <c r="B1821">
        <v>1197831</v>
      </c>
      <c r="C1821" s="1">
        <v>44483</v>
      </c>
      <c r="D1821" t="s">
        <v>33</v>
      </c>
      <c r="E1821" t="s">
        <v>71</v>
      </c>
      <c r="F1821" t="s">
        <v>72</v>
      </c>
      <c r="G1821" t="s">
        <v>56</v>
      </c>
      <c r="H1821" s="2">
        <v>20</v>
      </c>
      <c r="I1821">
        <v>175</v>
      </c>
      <c r="J1821" s="3">
        <v>3500</v>
      </c>
      <c r="K1821" s="4">
        <v>1225</v>
      </c>
      <c r="L1821" t="s">
        <v>17</v>
      </c>
    </row>
    <row r="1822" spans="1:12" x14ac:dyDescent="0.35">
      <c r="A1822" t="s">
        <v>63</v>
      </c>
      <c r="B1822">
        <v>1197831</v>
      </c>
      <c r="C1822" s="1">
        <v>44483</v>
      </c>
      <c r="D1822" t="s">
        <v>33</v>
      </c>
      <c r="E1822" t="s">
        <v>71</v>
      </c>
      <c r="F1822" t="s">
        <v>72</v>
      </c>
      <c r="G1822" t="s">
        <v>70</v>
      </c>
      <c r="H1822" s="2">
        <v>30</v>
      </c>
      <c r="I1822">
        <v>175</v>
      </c>
      <c r="J1822" s="3">
        <v>5250</v>
      </c>
      <c r="K1822" s="4">
        <v>1838</v>
      </c>
      <c r="L1822" t="s">
        <v>17</v>
      </c>
    </row>
    <row r="1823" spans="1:12" x14ac:dyDescent="0.35">
      <c r="A1823" t="s">
        <v>42</v>
      </c>
      <c r="B1823">
        <v>1185732</v>
      </c>
      <c r="C1823" s="1">
        <v>44208</v>
      </c>
      <c r="D1823" t="s">
        <v>33</v>
      </c>
      <c r="E1823" t="s">
        <v>71</v>
      </c>
      <c r="F1823" t="s">
        <v>72</v>
      </c>
      <c r="G1823" t="s">
        <v>70</v>
      </c>
      <c r="H1823" s="2">
        <v>50</v>
      </c>
      <c r="I1823">
        <v>175</v>
      </c>
      <c r="J1823" s="3">
        <v>8750</v>
      </c>
      <c r="K1823" s="4">
        <v>3063</v>
      </c>
      <c r="L1823" t="s">
        <v>17</v>
      </c>
    </row>
    <row r="1824" spans="1:12" x14ac:dyDescent="0.35">
      <c r="A1824" t="s">
        <v>42</v>
      </c>
      <c r="B1824">
        <v>1185732</v>
      </c>
      <c r="C1824" s="1">
        <v>44239</v>
      </c>
      <c r="D1824" t="s">
        <v>33</v>
      </c>
      <c r="E1824" t="s">
        <v>71</v>
      </c>
      <c r="F1824" t="s">
        <v>72</v>
      </c>
      <c r="G1824" t="s">
        <v>39</v>
      </c>
      <c r="H1824" s="2">
        <v>40</v>
      </c>
      <c r="I1824">
        <v>175</v>
      </c>
      <c r="J1824" s="3">
        <v>7000</v>
      </c>
      <c r="K1824" s="4">
        <v>2100</v>
      </c>
      <c r="L1824" t="s">
        <v>17</v>
      </c>
    </row>
    <row r="1825" spans="1:12" x14ac:dyDescent="0.35">
      <c r="A1825" t="s">
        <v>42</v>
      </c>
      <c r="B1825">
        <v>1185732</v>
      </c>
      <c r="C1825" s="1">
        <v>44239</v>
      </c>
      <c r="D1825" t="s">
        <v>33</v>
      </c>
      <c r="E1825" t="s">
        <v>87</v>
      </c>
      <c r="F1825" t="s">
        <v>88</v>
      </c>
      <c r="G1825" t="s">
        <v>70</v>
      </c>
      <c r="H1825" s="2">
        <v>50</v>
      </c>
      <c r="I1825">
        <v>175</v>
      </c>
      <c r="J1825" s="3">
        <v>8750</v>
      </c>
      <c r="K1825" s="4">
        <v>3063</v>
      </c>
      <c r="L1825" t="s">
        <v>17</v>
      </c>
    </row>
    <row r="1826" spans="1:12" x14ac:dyDescent="0.35">
      <c r="A1826" t="s">
        <v>42</v>
      </c>
      <c r="B1826">
        <v>1185732</v>
      </c>
      <c r="C1826" s="1">
        <v>44329</v>
      </c>
      <c r="D1826" t="s">
        <v>33</v>
      </c>
      <c r="E1826" t="s">
        <v>87</v>
      </c>
      <c r="F1826" t="s">
        <v>88</v>
      </c>
      <c r="G1826" t="s">
        <v>32</v>
      </c>
      <c r="H1826" s="2">
        <v>45</v>
      </c>
      <c r="I1826">
        <v>175</v>
      </c>
      <c r="J1826" s="3">
        <v>7875</v>
      </c>
      <c r="K1826" s="4">
        <v>2363</v>
      </c>
      <c r="L1826" t="s">
        <v>17</v>
      </c>
    </row>
    <row r="1827" spans="1:12" x14ac:dyDescent="0.35">
      <c r="A1827" t="s">
        <v>42</v>
      </c>
      <c r="B1827">
        <v>1185732</v>
      </c>
      <c r="C1827" s="1">
        <v>44359</v>
      </c>
      <c r="D1827" t="s">
        <v>33</v>
      </c>
      <c r="E1827" t="s">
        <v>87</v>
      </c>
      <c r="F1827" t="s">
        <v>88</v>
      </c>
      <c r="G1827" t="s">
        <v>56</v>
      </c>
      <c r="H1827" s="2">
        <v>35</v>
      </c>
      <c r="I1827">
        <v>175</v>
      </c>
      <c r="J1827" s="3">
        <v>6125</v>
      </c>
      <c r="K1827" s="4">
        <v>1838</v>
      </c>
      <c r="L1827" t="s">
        <v>17</v>
      </c>
    </row>
    <row r="1828" spans="1:12" x14ac:dyDescent="0.35">
      <c r="A1828" t="s">
        <v>42</v>
      </c>
      <c r="B1828">
        <v>1185732</v>
      </c>
      <c r="C1828" s="1">
        <v>44359</v>
      </c>
      <c r="D1828" t="s">
        <v>33</v>
      </c>
      <c r="E1828" t="s">
        <v>87</v>
      </c>
      <c r="F1828" t="s">
        <v>88</v>
      </c>
      <c r="G1828" t="s">
        <v>70</v>
      </c>
      <c r="H1828" s="2">
        <v>45</v>
      </c>
      <c r="I1828">
        <v>175</v>
      </c>
      <c r="J1828" s="3">
        <v>7875</v>
      </c>
      <c r="K1828" s="4">
        <v>2756</v>
      </c>
      <c r="L1828" t="s">
        <v>17</v>
      </c>
    </row>
    <row r="1829" spans="1:12" x14ac:dyDescent="0.35">
      <c r="A1829" t="s">
        <v>42</v>
      </c>
      <c r="B1829">
        <v>1185732</v>
      </c>
      <c r="C1829" s="1">
        <v>44388</v>
      </c>
      <c r="D1829" t="s">
        <v>33</v>
      </c>
      <c r="E1829" t="s">
        <v>87</v>
      </c>
      <c r="F1829" t="s">
        <v>88</v>
      </c>
      <c r="G1829" t="s">
        <v>56</v>
      </c>
      <c r="H1829" s="2">
        <v>40</v>
      </c>
      <c r="I1829">
        <v>175</v>
      </c>
      <c r="J1829" s="3">
        <v>7000</v>
      </c>
      <c r="K1829" s="4">
        <v>2100</v>
      </c>
      <c r="L1829" t="s">
        <v>17</v>
      </c>
    </row>
    <row r="1830" spans="1:12" x14ac:dyDescent="0.35">
      <c r="A1830" t="s">
        <v>42</v>
      </c>
      <c r="B1830">
        <v>1185732</v>
      </c>
      <c r="C1830" s="1">
        <v>44420</v>
      </c>
      <c r="D1830" t="s">
        <v>33</v>
      </c>
      <c r="E1830" t="s">
        <v>87</v>
      </c>
      <c r="F1830" t="s">
        <v>88</v>
      </c>
      <c r="G1830" t="s">
        <v>70</v>
      </c>
      <c r="H1830" s="2">
        <v>50</v>
      </c>
      <c r="I1830">
        <v>175</v>
      </c>
      <c r="J1830" s="3">
        <v>8750</v>
      </c>
      <c r="K1830" s="4">
        <v>3063</v>
      </c>
      <c r="L1830" t="s">
        <v>17</v>
      </c>
    </row>
    <row r="1831" spans="1:12" x14ac:dyDescent="0.35">
      <c r="A1831" t="s">
        <v>42</v>
      </c>
      <c r="B1831">
        <v>1185732</v>
      </c>
      <c r="C1831" s="1">
        <v>44452</v>
      </c>
      <c r="D1831" t="s">
        <v>33</v>
      </c>
      <c r="E1831" t="s">
        <v>87</v>
      </c>
      <c r="F1831" t="s">
        <v>88</v>
      </c>
      <c r="G1831" t="s">
        <v>32</v>
      </c>
      <c r="H1831" s="2">
        <v>35</v>
      </c>
      <c r="I1831">
        <v>175</v>
      </c>
      <c r="J1831" s="3">
        <v>6125</v>
      </c>
      <c r="K1831" s="4">
        <v>1838</v>
      </c>
      <c r="L1831" t="s">
        <v>17</v>
      </c>
    </row>
    <row r="1832" spans="1:12" x14ac:dyDescent="0.35">
      <c r="A1832" t="s">
        <v>23</v>
      </c>
      <c r="B1832">
        <v>1185732</v>
      </c>
      <c r="C1832" s="1">
        <v>44512</v>
      </c>
      <c r="D1832" t="s">
        <v>33</v>
      </c>
      <c r="E1832" t="s">
        <v>87</v>
      </c>
      <c r="F1832" t="s">
        <v>88</v>
      </c>
      <c r="G1832" t="s">
        <v>56</v>
      </c>
      <c r="H1832" s="2">
        <v>45</v>
      </c>
      <c r="I1832">
        <v>175</v>
      </c>
      <c r="J1832" s="3">
        <v>7875</v>
      </c>
      <c r="K1832" s="4">
        <v>2363</v>
      </c>
      <c r="L1832" t="s">
        <v>17</v>
      </c>
    </row>
    <row r="1833" spans="1:12" x14ac:dyDescent="0.35">
      <c r="A1833" t="s">
        <v>23</v>
      </c>
      <c r="B1833">
        <v>1185732</v>
      </c>
      <c r="C1833" s="1">
        <v>44205</v>
      </c>
      <c r="D1833" t="s">
        <v>33</v>
      </c>
      <c r="E1833" t="s">
        <v>87</v>
      </c>
      <c r="F1833" t="s">
        <v>88</v>
      </c>
      <c r="G1833" t="s">
        <v>70</v>
      </c>
      <c r="H1833" s="2">
        <v>45</v>
      </c>
      <c r="I1833">
        <v>175</v>
      </c>
      <c r="J1833" s="3">
        <v>7875</v>
      </c>
      <c r="K1833" s="4">
        <v>2756</v>
      </c>
      <c r="L1833" t="s">
        <v>17</v>
      </c>
    </row>
    <row r="1834" spans="1:12" x14ac:dyDescent="0.35">
      <c r="A1834" t="s">
        <v>23</v>
      </c>
      <c r="B1834">
        <v>1185732</v>
      </c>
      <c r="C1834" s="1">
        <v>44236</v>
      </c>
      <c r="D1834" t="s">
        <v>33</v>
      </c>
      <c r="E1834" t="s">
        <v>87</v>
      </c>
      <c r="F1834" t="s">
        <v>88</v>
      </c>
      <c r="G1834" t="s">
        <v>39</v>
      </c>
      <c r="H1834" s="2">
        <v>35</v>
      </c>
      <c r="I1834">
        <v>175</v>
      </c>
      <c r="J1834" s="3">
        <v>6125</v>
      </c>
      <c r="K1834" s="4">
        <v>1838</v>
      </c>
      <c r="L1834" t="s">
        <v>17</v>
      </c>
    </row>
    <row r="1835" spans="1:12" x14ac:dyDescent="0.35">
      <c r="A1835" t="s">
        <v>23</v>
      </c>
      <c r="B1835">
        <v>1185732</v>
      </c>
      <c r="C1835" s="1">
        <v>44236</v>
      </c>
      <c r="D1835" t="s">
        <v>33</v>
      </c>
      <c r="E1835" t="s">
        <v>89</v>
      </c>
      <c r="F1835" t="s">
        <v>90</v>
      </c>
      <c r="G1835" t="s">
        <v>70</v>
      </c>
      <c r="H1835" s="2">
        <v>45</v>
      </c>
      <c r="I1835">
        <v>175</v>
      </c>
      <c r="J1835" s="3">
        <v>7875</v>
      </c>
      <c r="K1835" s="4">
        <v>2756</v>
      </c>
      <c r="L1835" t="s">
        <v>17</v>
      </c>
    </row>
    <row r="1836" spans="1:12" x14ac:dyDescent="0.35">
      <c r="A1836" t="s">
        <v>23</v>
      </c>
      <c r="B1836">
        <v>1185732</v>
      </c>
      <c r="C1836" s="1">
        <v>44326</v>
      </c>
      <c r="D1836" t="s">
        <v>33</v>
      </c>
      <c r="E1836" t="s">
        <v>89</v>
      </c>
      <c r="F1836" t="s">
        <v>90</v>
      </c>
      <c r="G1836" t="s">
        <v>32</v>
      </c>
      <c r="H1836" s="2">
        <v>40</v>
      </c>
      <c r="I1836">
        <v>175</v>
      </c>
      <c r="J1836" s="3">
        <v>7000</v>
      </c>
      <c r="K1836" s="4">
        <v>2100</v>
      </c>
      <c r="L1836" t="s">
        <v>36</v>
      </c>
    </row>
    <row r="1837" spans="1:12" x14ac:dyDescent="0.35">
      <c r="A1837" t="s">
        <v>23</v>
      </c>
      <c r="B1837">
        <v>1185732</v>
      </c>
      <c r="C1837" s="1">
        <v>44356</v>
      </c>
      <c r="D1837" t="s">
        <v>33</v>
      </c>
      <c r="E1837" t="s">
        <v>89</v>
      </c>
      <c r="F1837" t="s">
        <v>90</v>
      </c>
      <c r="G1837" t="s">
        <v>56</v>
      </c>
      <c r="H1837" s="2">
        <v>30</v>
      </c>
      <c r="I1837">
        <v>175</v>
      </c>
      <c r="J1837" s="3">
        <v>5250</v>
      </c>
      <c r="K1837" s="4">
        <v>1575</v>
      </c>
      <c r="L1837" t="s">
        <v>36</v>
      </c>
    </row>
    <row r="1838" spans="1:12" x14ac:dyDescent="0.35">
      <c r="A1838" t="s">
        <v>23</v>
      </c>
      <c r="B1838">
        <v>1185732</v>
      </c>
      <c r="C1838" s="1">
        <v>44356</v>
      </c>
      <c r="D1838" t="s">
        <v>33</v>
      </c>
      <c r="E1838" t="s">
        <v>89</v>
      </c>
      <c r="F1838" t="s">
        <v>90</v>
      </c>
      <c r="G1838" t="s">
        <v>70</v>
      </c>
      <c r="H1838" s="2">
        <v>40</v>
      </c>
      <c r="I1838">
        <v>175</v>
      </c>
      <c r="J1838" s="3">
        <v>7000</v>
      </c>
      <c r="K1838" s="4">
        <v>2450</v>
      </c>
      <c r="L1838" t="s">
        <v>36</v>
      </c>
    </row>
    <row r="1839" spans="1:12" x14ac:dyDescent="0.35">
      <c r="A1839" t="s">
        <v>23</v>
      </c>
      <c r="B1839">
        <v>1185732</v>
      </c>
      <c r="C1839" s="1">
        <v>44385</v>
      </c>
      <c r="D1839" t="s">
        <v>33</v>
      </c>
      <c r="E1839" t="s">
        <v>89</v>
      </c>
      <c r="F1839" t="s">
        <v>90</v>
      </c>
      <c r="G1839" t="s">
        <v>56</v>
      </c>
      <c r="H1839" s="2">
        <v>40</v>
      </c>
      <c r="I1839">
        <v>175</v>
      </c>
      <c r="J1839" s="3">
        <v>7000</v>
      </c>
      <c r="K1839" s="4">
        <v>2100</v>
      </c>
      <c r="L1839" t="s">
        <v>36</v>
      </c>
    </row>
    <row r="1840" spans="1:12" x14ac:dyDescent="0.35">
      <c r="A1840" t="s">
        <v>23</v>
      </c>
      <c r="B1840">
        <v>1185732</v>
      </c>
      <c r="C1840" s="1">
        <v>44417</v>
      </c>
      <c r="D1840" t="s">
        <v>33</v>
      </c>
      <c r="E1840" t="s">
        <v>89</v>
      </c>
      <c r="F1840" t="s">
        <v>90</v>
      </c>
      <c r="G1840" t="s">
        <v>70</v>
      </c>
      <c r="H1840" s="2">
        <v>50</v>
      </c>
      <c r="I1840">
        <v>175</v>
      </c>
      <c r="J1840" s="3">
        <v>8750</v>
      </c>
      <c r="K1840" s="4">
        <v>3063</v>
      </c>
      <c r="L1840" t="s">
        <v>36</v>
      </c>
    </row>
    <row r="1841" spans="1:12" x14ac:dyDescent="0.35">
      <c r="A1841" t="s">
        <v>23</v>
      </c>
      <c r="B1841">
        <v>1185732</v>
      </c>
      <c r="C1841" s="1">
        <v>44449</v>
      </c>
      <c r="D1841" t="s">
        <v>33</v>
      </c>
      <c r="E1841" t="s">
        <v>89</v>
      </c>
      <c r="F1841" t="s">
        <v>90</v>
      </c>
      <c r="G1841" t="s">
        <v>32</v>
      </c>
      <c r="H1841" s="2">
        <v>30</v>
      </c>
      <c r="I1841">
        <v>175</v>
      </c>
      <c r="J1841" s="3">
        <v>5250</v>
      </c>
      <c r="K1841" s="4">
        <v>1575</v>
      </c>
      <c r="L1841" t="s">
        <v>36</v>
      </c>
    </row>
    <row r="1842" spans="1:12" x14ac:dyDescent="0.35">
      <c r="A1842" t="s">
        <v>42</v>
      </c>
      <c r="B1842">
        <v>1185732</v>
      </c>
      <c r="C1842" s="1">
        <v>44509</v>
      </c>
      <c r="D1842" t="s">
        <v>33</v>
      </c>
      <c r="E1842" t="s">
        <v>89</v>
      </c>
      <c r="F1842" t="s">
        <v>90</v>
      </c>
      <c r="G1842" t="s">
        <v>56</v>
      </c>
      <c r="H1842" s="2">
        <v>40</v>
      </c>
      <c r="I1842">
        <v>175</v>
      </c>
      <c r="J1842" s="3">
        <v>7000</v>
      </c>
      <c r="K1842" s="4">
        <v>2100</v>
      </c>
      <c r="L1842" t="s">
        <v>36</v>
      </c>
    </row>
    <row r="1843" spans="1:12" x14ac:dyDescent="0.35">
      <c r="A1843" t="s">
        <v>42</v>
      </c>
      <c r="B1843">
        <v>1185732</v>
      </c>
      <c r="C1843" s="1">
        <v>44260</v>
      </c>
      <c r="D1843" t="s">
        <v>33</v>
      </c>
      <c r="E1843" t="s">
        <v>91</v>
      </c>
      <c r="F1843" t="s">
        <v>92</v>
      </c>
      <c r="G1843" t="s">
        <v>39</v>
      </c>
      <c r="H1843" s="2">
        <v>20</v>
      </c>
      <c r="I1843">
        <v>175</v>
      </c>
      <c r="J1843" s="3">
        <v>3500</v>
      </c>
      <c r="K1843" s="4">
        <v>1225</v>
      </c>
      <c r="L1843" t="s">
        <v>36</v>
      </c>
    </row>
    <row r="1844" spans="1:12" x14ac:dyDescent="0.35">
      <c r="A1844" t="s">
        <v>42</v>
      </c>
      <c r="B1844">
        <v>1185732</v>
      </c>
      <c r="C1844" s="1">
        <v>44292</v>
      </c>
      <c r="D1844" t="s">
        <v>33</v>
      </c>
      <c r="E1844" t="s">
        <v>91</v>
      </c>
      <c r="F1844" t="s">
        <v>92</v>
      </c>
      <c r="G1844" t="s">
        <v>39</v>
      </c>
      <c r="H1844" s="2">
        <v>20</v>
      </c>
      <c r="I1844">
        <v>175</v>
      </c>
      <c r="J1844" s="3">
        <v>3500</v>
      </c>
      <c r="K1844" s="4">
        <v>1225</v>
      </c>
      <c r="L1844" t="s">
        <v>36</v>
      </c>
    </row>
    <row r="1845" spans="1:12" x14ac:dyDescent="0.35">
      <c r="A1845" t="s">
        <v>42</v>
      </c>
      <c r="B1845">
        <v>1185732</v>
      </c>
      <c r="C1845" s="1">
        <v>44292</v>
      </c>
      <c r="D1845" t="s">
        <v>33</v>
      </c>
      <c r="E1845" t="s">
        <v>91</v>
      </c>
      <c r="F1845" t="s">
        <v>92</v>
      </c>
      <c r="G1845" t="s">
        <v>32</v>
      </c>
      <c r="H1845" s="2">
        <v>10</v>
      </c>
      <c r="I1845">
        <v>175</v>
      </c>
      <c r="J1845" s="3">
        <v>1750</v>
      </c>
      <c r="K1845" s="4">
        <v>525</v>
      </c>
      <c r="L1845" t="s">
        <v>36</v>
      </c>
    </row>
    <row r="1846" spans="1:12" x14ac:dyDescent="0.35">
      <c r="A1846" t="s">
        <v>42</v>
      </c>
      <c r="B1846">
        <v>1185732</v>
      </c>
      <c r="C1846" s="1">
        <v>44353</v>
      </c>
      <c r="D1846" t="s">
        <v>33</v>
      </c>
      <c r="E1846" t="s">
        <v>91</v>
      </c>
      <c r="F1846" t="s">
        <v>92</v>
      </c>
      <c r="G1846" t="s">
        <v>56</v>
      </c>
      <c r="H1846" s="2">
        <v>25</v>
      </c>
      <c r="I1846">
        <v>175</v>
      </c>
      <c r="J1846" s="3">
        <v>4375</v>
      </c>
      <c r="K1846" s="4">
        <v>1313</v>
      </c>
      <c r="L1846" t="s">
        <v>36</v>
      </c>
    </row>
    <row r="1847" spans="1:12" x14ac:dyDescent="0.35">
      <c r="A1847" t="s">
        <v>42</v>
      </c>
      <c r="B1847">
        <v>1185732</v>
      </c>
      <c r="C1847" s="1">
        <v>44353</v>
      </c>
      <c r="D1847" t="s">
        <v>33</v>
      </c>
      <c r="E1847" t="s">
        <v>91</v>
      </c>
      <c r="F1847" t="s">
        <v>92</v>
      </c>
      <c r="G1847" t="s">
        <v>70</v>
      </c>
      <c r="H1847" s="2">
        <v>35</v>
      </c>
      <c r="I1847">
        <v>175</v>
      </c>
      <c r="J1847" s="3">
        <v>6125</v>
      </c>
      <c r="K1847" s="4">
        <v>3063</v>
      </c>
      <c r="L1847" t="s">
        <v>36</v>
      </c>
    </row>
    <row r="1848" spans="1:12" x14ac:dyDescent="0.35">
      <c r="A1848" t="s">
        <v>42</v>
      </c>
      <c r="B1848">
        <v>1185732</v>
      </c>
      <c r="C1848" s="1">
        <v>44382</v>
      </c>
      <c r="D1848" t="s">
        <v>33</v>
      </c>
      <c r="E1848" t="s">
        <v>91</v>
      </c>
      <c r="F1848" t="s">
        <v>92</v>
      </c>
      <c r="G1848" t="s">
        <v>56</v>
      </c>
      <c r="H1848" s="2">
        <v>40</v>
      </c>
      <c r="I1848">
        <v>175</v>
      </c>
      <c r="J1848" s="3">
        <v>7000</v>
      </c>
      <c r="K1848" s="4">
        <v>2100</v>
      </c>
      <c r="L1848" t="s">
        <v>36</v>
      </c>
    </row>
    <row r="1849" spans="1:12" x14ac:dyDescent="0.35">
      <c r="A1849" t="s">
        <v>42</v>
      </c>
      <c r="B1849">
        <v>1185732</v>
      </c>
      <c r="C1849" s="1">
        <v>44414</v>
      </c>
      <c r="D1849" t="s">
        <v>33</v>
      </c>
      <c r="E1849" t="s">
        <v>91</v>
      </c>
      <c r="F1849" t="s">
        <v>92</v>
      </c>
      <c r="G1849" t="s">
        <v>70</v>
      </c>
      <c r="H1849" s="2">
        <v>50</v>
      </c>
      <c r="I1849">
        <v>175</v>
      </c>
      <c r="J1849" s="3">
        <v>8750</v>
      </c>
      <c r="K1849" s="4">
        <v>4375</v>
      </c>
      <c r="L1849" t="s">
        <v>36</v>
      </c>
    </row>
    <row r="1850" spans="1:12" x14ac:dyDescent="0.35">
      <c r="A1850" t="s">
        <v>42</v>
      </c>
      <c r="B1850">
        <v>1185732</v>
      </c>
      <c r="C1850" s="1">
        <v>44446</v>
      </c>
      <c r="D1850" t="s">
        <v>33</v>
      </c>
      <c r="E1850" t="s">
        <v>91</v>
      </c>
      <c r="F1850" t="s">
        <v>92</v>
      </c>
      <c r="G1850" t="s">
        <v>32</v>
      </c>
      <c r="H1850" s="2">
        <v>25</v>
      </c>
      <c r="I1850">
        <v>175</v>
      </c>
      <c r="J1850" s="3">
        <v>4375</v>
      </c>
      <c r="K1850" s="4">
        <v>1313</v>
      </c>
      <c r="L1850" t="s">
        <v>36</v>
      </c>
    </row>
    <row r="1851" spans="1:12" x14ac:dyDescent="0.35">
      <c r="A1851" t="s">
        <v>18</v>
      </c>
      <c r="B1851">
        <v>1185732</v>
      </c>
      <c r="C1851" s="1">
        <v>44257</v>
      </c>
      <c r="D1851" t="s">
        <v>33</v>
      </c>
      <c r="E1851" t="s">
        <v>40</v>
      </c>
      <c r="F1851" t="s">
        <v>41</v>
      </c>
      <c r="G1851" t="s">
        <v>39</v>
      </c>
      <c r="H1851" s="2">
        <v>20</v>
      </c>
      <c r="I1851">
        <v>175</v>
      </c>
      <c r="J1851" s="3">
        <v>3500</v>
      </c>
      <c r="K1851" s="4">
        <v>1225</v>
      </c>
      <c r="L1851" t="s">
        <v>36</v>
      </c>
    </row>
    <row r="1852" spans="1:12" x14ac:dyDescent="0.35">
      <c r="A1852" t="s">
        <v>18</v>
      </c>
      <c r="B1852">
        <v>1185732</v>
      </c>
      <c r="C1852" s="1">
        <v>44320</v>
      </c>
      <c r="D1852" t="s">
        <v>33</v>
      </c>
      <c r="E1852" t="s">
        <v>40</v>
      </c>
      <c r="F1852" t="s">
        <v>41</v>
      </c>
      <c r="G1852" t="s">
        <v>32</v>
      </c>
      <c r="H1852" s="2">
        <v>35</v>
      </c>
      <c r="I1852">
        <v>175</v>
      </c>
      <c r="J1852" s="3">
        <v>6125</v>
      </c>
      <c r="K1852" s="4">
        <v>1838</v>
      </c>
      <c r="L1852" t="s">
        <v>36</v>
      </c>
    </row>
    <row r="1853" spans="1:12" x14ac:dyDescent="0.35">
      <c r="A1853" t="s">
        <v>18</v>
      </c>
      <c r="B1853">
        <v>1185732</v>
      </c>
      <c r="C1853" s="1">
        <v>44320</v>
      </c>
      <c r="D1853" t="s">
        <v>33</v>
      </c>
      <c r="E1853" t="s">
        <v>40</v>
      </c>
      <c r="F1853" t="s">
        <v>41</v>
      </c>
      <c r="G1853" t="s">
        <v>70</v>
      </c>
      <c r="H1853" s="2">
        <v>45</v>
      </c>
      <c r="I1853">
        <v>175</v>
      </c>
      <c r="J1853" s="3">
        <v>7875</v>
      </c>
      <c r="K1853" s="4">
        <v>3938</v>
      </c>
      <c r="L1853" t="s">
        <v>36</v>
      </c>
    </row>
    <row r="1854" spans="1:12" x14ac:dyDescent="0.35">
      <c r="A1854" t="s">
        <v>18</v>
      </c>
      <c r="B1854">
        <v>1185732</v>
      </c>
      <c r="C1854" s="1">
        <v>44350</v>
      </c>
      <c r="D1854" t="s">
        <v>33</v>
      </c>
      <c r="E1854" t="s">
        <v>40</v>
      </c>
      <c r="F1854" t="s">
        <v>41</v>
      </c>
      <c r="G1854" t="s">
        <v>56</v>
      </c>
      <c r="H1854" s="2">
        <v>25</v>
      </c>
      <c r="I1854">
        <v>175</v>
      </c>
      <c r="J1854" s="3">
        <v>4375</v>
      </c>
      <c r="K1854" s="4">
        <v>1313</v>
      </c>
      <c r="L1854" t="s">
        <v>36</v>
      </c>
    </row>
    <row r="1855" spans="1:12" x14ac:dyDescent="0.35">
      <c r="A1855" t="s">
        <v>18</v>
      </c>
      <c r="B1855">
        <v>1185732</v>
      </c>
      <c r="C1855" s="1">
        <v>44350</v>
      </c>
      <c r="D1855" t="s">
        <v>33</v>
      </c>
      <c r="E1855" t="s">
        <v>40</v>
      </c>
      <c r="F1855" t="s">
        <v>41</v>
      </c>
      <c r="G1855" t="s">
        <v>70</v>
      </c>
      <c r="H1855" s="2">
        <v>35</v>
      </c>
      <c r="I1855">
        <v>175</v>
      </c>
      <c r="J1855" s="3">
        <v>6125</v>
      </c>
      <c r="K1855" s="4">
        <v>3063</v>
      </c>
      <c r="L1855" t="s">
        <v>36</v>
      </c>
    </row>
    <row r="1856" spans="1:12" x14ac:dyDescent="0.35">
      <c r="A1856" t="s">
        <v>18</v>
      </c>
      <c r="B1856">
        <v>1185732</v>
      </c>
      <c r="C1856" s="1">
        <v>44379</v>
      </c>
      <c r="D1856" t="s">
        <v>33</v>
      </c>
      <c r="E1856" t="s">
        <v>40</v>
      </c>
      <c r="F1856" t="s">
        <v>41</v>
      </c>
      <c r="G1856" t="s">
        <v>56</v>
      </c>
      <c r="H1856" s="2">
        <v>40</v>
      </c>
      <c r="I1856">
        <v>175</v>
      </c>
      <c r="J1856" s="3">
        <v>7000</v>
      </c>
      <c r="K1856" s="4">
        <v>2100</v>
      </c>
      <c r="L1856" t="s">
        <v>36</v>
      </c>
    </row>
    <row r="1857" spans="1:12" x14ac:dyDescent="0.35">
      <c r="A1857" t="s">
        <v>18</v>
      </c>
      <c r="B1857">
        <v>1185732</v>
      </c>
      <c r="C1857" s="1">
        <v>44411</v>
      </c>
      <c r="D1857" t="s">
        <v>33</v>
      </c>
      <c r="E1857" t="s">
        <v>40</v>
      </c>
      <c r="F1857" t="s">
        <v>41</v>
      </c>
      <c r="G1857" t="s">
        <v>70</v>
      </c>
      <c r="H1857" s="2">
        <v>50</v>
      </c>
      <c r="I1857">
        <v>175</v>
      </c>
      <c r="J1857" s="3">
        <v>8750</v>
      </c>
      <c r="K1857" s="4">
        <v>4375</v>
      </c>
      <c r="L1857" t="s">
        <v>36</v>
      </c>
    </row>
    <row r="1858" spans="1:12" x14ac:dyDescent="0.35">
      <c r="A1858" t="s">
        <v>18</v>
      </c>
      <c r="B1858">
        <v>1185732</v>
      </c>
      <c r="C1858" s="1">
        <v>44264</v>
      </c>
      <c r="D1858" t="s">
        <v>33</v>
      </c>
      <c r="E1858" t="s">
        <v>81</v>
      </c>
      <c r="F1858" t="s">
        <v>82</v>
      </c>
      <c r="G1858" t="s">
        <v>70</v>
      </c>
      <c r="H1858" s="2">
        <v>35</v>
      </c>
      <c r="I1858">
        <v>175</v>
      </c>
      <c r="J1858" s="3">
        <v>6125</v>
      </c>
      <c r="K1858" s="4">
        <v>1838</v>
      </c>
      <c r="L1858" t="s">
        <v>36</v>
      </c>
    </row>
    <row r="1859" spans="1:12" x14ac:dyDescent="0.35">
      <c r="A1859" t="s">
        <v>18</v>
      </c>
      <c r="B1859">
        <v>1185732</v>
      </c>
      <c r="C1859" s="1">
        <v>44327</v>
      </c>
      <c r="D1859" t="s">
        <v>33</v>
      </c>
      <c r="E1859" t="s">
        <v>81</v>
      </c>
      <c r="F1859" t="s">
        <v>82</v>
      </c>
      <c r="G1859" t="s">
        <v>56</v>
      </c>
      <c r="H1859" s="2">
        <v>35</v>
      </c>
      <c r="I1859">
        <v>175</v>
      </c>
      <c r="J1859" s="3">
        <v>6125</v>
      </c>
      <c r="K1859" s="4">
        <v>2144</v>
      </c>
      <c r="L1859" t="s">
        <v>36</v>
      </c>
    </row>
    <row r="1860" spans="1:12" x14ac:dyDescent="0.35">
      <c r="A1860" t="s">
        <v>18</v>
      </c>
      <c r="B1860">
        <v>1185732</v>
      </c>
      <c r="C1860" s="1">
        <v>44357</v>
      </c>
      <c r="D1860" t="s">
        <v>33</v>
      </c>
      <c r="E1860" t="s">
        <v>81</v>
      </c>
      <c r="F1860" t="s">
        <v>82</v>
      </c>
      <c r="G1860" t="s">
        <v>56</v>
      </c>
      <c r="H1860" s="2">
        <v>30</v>
      </c>
      <c r="I1860">
        <v>175</v>
      </c>
      <c r="J1860" s="3">
        <v>5250</v>
      </c>
      <c r="K1860" s="4">
        <v>1838</v>
      </c>
      <c r="L1860" t="s">
        <v>36</v>
      </c>
    </row>
    <row r="1861" spans="1:12" x14ac:dyDescent="0.35">
      <c r="A1861" t="s">
        <v>18</v>
      </c>
      <c r="B1861">
        <v>1185732</v>
      </c>
      <c r="C1861" s="1">
        <v>44357</v>
      </c>
      <c r="D1861" t="s">
        <v>33</v>
      </c>
      <c r="E1861" t="s">
        <v>81</v>
      </c>
      <c r="F1861" t="s">
        <v>82</v>
      </c>
      <c r="G1861" t="s">
        <v>70</v>
      </c>
      <c r="H1861" s="2">
        <v>40</v>
      </c>
      <c r="I1861">
        <v>175</v>
      </c>
      <c r="J1861" s="3">
        <v>7000</v>
      </c>
      <c r="K1861" s="4">
        <v>2100</v>
      </c>
      <c r="L1861" t="s">
        <v>36</v>
      </c>
    </row>
    <row r="1862" spans="1:12" x14ac:dyDescent="0.35">
      <c r="A1862" t="s">
        <v>18</v>
      </c>
      <c r="B1862">
        <v>1185732</v>
      </c>
      <c r="C1862" s="1">
        <v>44386</v>
      </c>
      <c r="D1862" t="s">
        <v>33</v>
      </c>
      <c r="E1862" t="s">
        <v>81</v>
      </c>
      <c r="F1862" t="s">
        <v>82</v>
      </c>
      <c r="G1862" t="s">
        <v>56</v>
      </c>
      <c r="H1862" s="2">
        <v>45</v>
      </c>
      <c r="I1862">
        <v>175</v>
      </c>
      <c r="J1862" s="3">
        <v>7875</v>
      </c>
      <c r="K1862" s="4">
        <v>2756</v>
      </c>
      <c r="L1862" t="s">
        <v>36</v>
      </c>
    </row>
    <row r="1863" spans="1:12" x14ac:dyDescent="0.35">
      <c r="A1863" t="s">
        <v>18</v>
      </c>
      <c r="B1863">
        <v>1185732</v>
      </c>
      <c r="C1863" s="1">
        <v>44418</v>
      </c>
      <c r="D1863" t="s">
        <v>33</v>
      </c>
      <c r="E1863" t="s">
        <v>81</v>
      </c>
      <c r="F1863" t="s">
        <v>82</v>
      </c>
      <c r="G1863" t="s">
        <v>70</v>
      </c>
      <c r="H1863" s="2">
        <v>50</v>
      </c>
      <c r="I1863">
        <v>175</v>
      </c>
      <c r="J1863" s="3">
        <v>8750</v>
      </c>
      <c r="K1863" s="4">
        <v>2625</v>
      </c>
      <c r="L1863" t="s">
        <v>36</v>
      </c>
    </row>
    <row r="1864" spans="1:12" x14ac:dyDescent="0.35">
      <c r="A1864" t="s">
        <v>18</v>
      </c>
      <c r="B1864">
        <v>1185732</v>
      </c>
      <c r="C1864" s="1">
        <v>44450</v>
      </c>
      <c r="D1864" t="s">
        <v>33</v>
      </c>
      <c r="E1864" t="s">
        <v>81</v>
      </c>
      <c r="F1864" t="s">
        <v>82</v>
      </c>
      <c r="G1864" t="s">
        <v>32</v>
      </c>
      <c r="H1864" s="2">
        <v>25</v>
      </c>
      <c r="I1864">
        <v>175</v>
      </c>
      <c r="J1864" s="3">
        <v>4375</v>
      </c>
      <c r="K1864" s="4">
        <v>1531</v>
      </c>
      <c r="L1864" t="s">
        <v>36</v>
      </c>
    </row>
    <row r="1865" spans="1:12" x14ac:dyDescent="0.35">
      <c r="A1865" t="s">
        <v>18</v>
      </c>
      <c r="B1865">
        <v>1185732</v>
      </c>
      <c r="C1865" s="1">
        <v>44244</v>
      </c>
      <c r="D1865" t="s">
        <v>43</v>
      </c>
      <c r="E1865" t="s">
        <v>64</v>
      </c>
      <c r="F1865" t="s">
        <v>65</v>
      </c>
      <c r="G1865" t="s">
        <v>56</v>
      </c>
      <c r="H1865" s="2">
        <v>35</v>
      </c>
      <c r="I1865">
        <v>175</v>
      </c>
      <c r="J1865" s="3">
        <v>6125</v>
      </c>
      <c r="K1865" s="4">
        <v>2450</v>
      </c>
      <c r="L1865" t="s">
        <v>36</v>
      </c>
    </row>
    <row r="1866" spans="1:12" x14ac:dyDescent="0.35">
      <c r="A1866" t="s">
        <v>18</v>
      </c>
      <c r="B1866">
        <v>1185732</v>
      </c>
      <c r="C1866" s="1">
        <v>44271</v>
      </c>
      <c r="D1866" t="s">
        <v>43</v>
      </c>
      <c r="E1866" t="s">
        <v>64</v>
      </c>
      <c r="F1866" t="s">
        <v>65</v>
      </c>
      <c r="G1866" t="s">
        <v>56</v>
      </c>
      <c r="H1866" s="2">
        <v>25</v>
      </c>
      <c r="I1866">
        <v>175</v>
      </c>
      <c r="J1866" s="3">
        <v>4375</v>
      </c>
      <c r="K1866" s="4">
        <v>1750</v>
      </c>
      <c r="L1866" t="s">
        <v>36</v>
      </c>
    </row>
    <row r="1867" spans="1:12" x14ac:dyDescent="0.35">
      <c r="A1867" t="s">
        <v>18</v>
      </c>
      <c r="B1867">
        <v>1185732</v>
      </c>
      <c r="C1867" s="1">
        <v>44303</v>
      </c>
      <c r="D1867" t="s">
        <v>43</v>
      </c>
      <c r="E1867" t="s">
        <v>64</v>
      </c>
      <c r="F1867" t="s">
        <v>65</v>
      </c>
      <c r="G1867" t="s">
        <v>56</v>
      </c>
      <c r="H1867" s="2">
        <v>25</v>
      </c>
      <c r="I1867">
        <v>175</v>
      </c>
      <c r="J1867" s="3">
        <v>4375</v>
      </c>
      <c r="K1867" s="4">
        <v>1750</v>
      </c>
      <c r="L1867" t="s">
        <v>36</v>
      </c>
    </row>
    <row r="1868" spans="1:12" x14ac:dyDescent="0.35">
      <c r="A1868" t="s">
        <v>18</v>
      </c>
      <c r="B1868">
        <v>1185732</v>
      </c>
      <c r="C1868" s="1">
        <v>44486</v>
      </c>
      <c r="D1868" t="s">
        <v>43</v>
      </c>
      <c r="E1868" t="s">
        <v>64</v>
      </c>
      <c r="F1868" t="s">
        <v>65</v>
      </c>
      <c r="G1868" t="s">
        <v>32</v>
      </c>
      <c r="H1868" s="2">
        <v>35</v>
      </c>
      <c r="I1868">
        <v>175</v>
      </c>
      <c r="J1868" s="3">
        <v>6125</v>
      </c>
      <c r="K1868" s="4">
        <v>2450</v>
      </c>
      <c r="L1868" t="s">
        <v>36</v>
      </c>
    </row>
    <row r="1869" spans="1:12" x14ac:dyDescent="0.35">
      <c r="A1869" t="s">
        <v>18</v>
      </c>
      <c r="B1869">
        <v>1185732</v>
      </c>
      <c r="C1869" s="1">
        <v>44486</v>
      </c>
      <c r="D1869" t="s">
        <v>43</v>
      </c>
      <c r="E1869" t="s">
        <v>64</v>
      </c>
      <c r="F1869" t="s">
        <v>65</v>
      </c>
      <c r="G1869" t="s">
        <v>56</v>
      </c>
      <c r="H1869" s="2">
        <v>35</v>
      </c>
      <c r="I1869">
        <v>175</v>
      </c>
      <c r="J1869" s="3">
        <v>6125</v>
      </c>
      <c r="K1869" s="4">
        <v>2450</v>
      </c>
      <c r="L1869" t="s">
        <v>36</v>
      </c>
    </row>
    <row r="1870" spans="1:12" x14ac:dyDescent="0.35">
      <c r="A1870" t="s">
        <v>18</v>
      </c>
      <c r="B1870">
        <v>1185732</v>
      </c>
      <c r="C1870" s="1">
        <v>44486</v>
      </c>
      <c r="D1870" t="s">
        <v>43</v>
      </c>
      <c r="E1870" t="s">
        <v>64</v>
      </c>
      <c r="F1870" t="s">
        <v>65</v>
      </c>
      <c r="G1870" t="s">
        <v>70</v>
      </c>
      <c r="H1870" s="2">
        <v>45</v>
      </c>
      <c r="I1870">
        <v>175</v>
      </c>
      <c r="J1870" s="3">
        <v>7875</v>
      </c>
      <c r="K1870" s="4">
        <v>3150</v>
      </c>
      <c r="L1870" t="s">
        <v>36</v>
      </c>
    </row>
    <row r="1871" spans="1:12" x14ac:dyDescent="0.35">
      <c r="A1871" t="s">
        <v>18</v>
      </c>
      <c r="B1871">
        <v>1185732</v>
      </c>
      <c r="C1871" s="1">
        <v>44249</v>
      </c>
      <c r="D1871" t="s">
        <v>43</v>
      </c>
      <c r="E1871" t="s">
        <v>64</v>
      </c>
      <c r="F1871" t="s">
        <v>65</v>
      </c>
      <c r="G1871" t="s">
        <v>32</v>
      </c>
      <c r="H1871" s="2">
        <v>25</v>
      </c>
      <c r="I1871">
        <v>175</v>
      </c>
      <c r="J1871" s="3">
        <v>4375</v>
      </c>
      <c r="K1871" s="4">
        <v>1531</v>
      </c>
      <c r="L1871" t="s">
        <v>36</v>
      </c>
    </row>
    <row r="1872" spans="1:12" x14ac:dyDescent="0.35">
      <c r="A1872" t="s">
        <v>18</v>
      </c>
      <c r="B1872">
        <v>1185732</v>
      </c>
      <c r="C1872" s="1">
        <v>44275</v>
      </c>
      <c r="D1872" t="s">
        <v>43</v>
      </c>
      <c r="E1872" t="s">
        <v>93</v>
      </c>
      <c r="F1872" t="s">
        <v>94</v>
      </c>
      <c r="G1872" t="s">
        <v>32</v>
      </c>
      <c r="H1872" s="2">
        <v>25</v>
      </c>
      <c r="I1872">
        <v>175</v>
      </c>
      <c r="J1872" s="3">
        <v>4375</v>
      </c>
      <c r="K1872" s="4">
        <v>1531</v>
      </c>
      <c r="L1872" t="s">
        <v>36</v>
      </c>
    </row>
    <row r="1873" spans="1:12" x14ac:dyDescent="0.35">
      <c r="A1873" t="s">
        <v>18</v>
      </c>
      <c r="B1873">
        <v>1185732</v>
      </c>
      <c r="C1873" s="1">
        <v>44275</v>
      </c>
      <c r="D1873" t="s">
        <v>43</v>
      </c>
      <c r="E1873" t="s">
        <v>93</v>
      </c>
      <c r="F1873" t="s">
        <v>94</v>
      </c>
      <c r="G1873" t="s">
        <v>16</v>
      </c>
      <c r="H1873" s="2">
        <v>35</v>
      </c>
      <c r="I1873">
        <v>175</v>
      </c>
      <c r="J1873" s="3">
        <v>6125</v>
      </c>
      <c r="K1873" s="4">
        <v>1838</v>
      </c>
      <c r="L1873" t="s">
        <v>36</v>
      </c>
    </row>
    <row r="1874" spans="1:12" x14ac:dyDescent="0.35">
      <c r="A1874" t="s">
        <v>18</v>
      </c>
      <c r="B1874">
        <v>1185732</v>
      </c>
      <c r="C1874" s="1">
        <v>44336</v>
      </c>
      <c r="D1874" t="s">
        <v>43</v>
      </c>
      <c r="E1874" t="s">
        <v>93</v>
      </c>
      <c r="F1874" t="s">
        <v>94</v>
      </c>
      <c r="G1874" t="s">
        <v>39</v>
      </c>
      <c r="H1874" s="2">
        <v>45</v>
      </c>
      <c r="I1874">
        <v>175</v>
      </c>
      <c r="J1874" s="3">
        <v>7875</v>
      </c>
      <c r="K1874" s="4">
        <v>2756</v>
      </c>
      <c r="L1874" t="s">
        <v>36</v>
      </c>
    </row>
    <row r="1875" spans="1:12" x14ac:dyDescent="0.35">
      <c r="A1875" t="s">
        <v>42</v>
      </c>
      <c r="B1875">
        <v>1185732</v>
      </c>
      <c r="C1875" s="1">
        <v>44369</v>
      </c>
      <c r="D1875" t="s">
        <v>43</v>
      </c>
      <c r="E1875" t="s">
        <v>93</v>
      </c>
      <c r="F1875" t="s">
        <v>94</v>
      </c>
      <c r="G1875" t="s">
        <v>32</v>
      </c>
      <c r="H1875" s="2">
        <v>40</v>
      </c>
      <c r="I1875">
        <v>175</v>
      </c>
      <c r="J1875" s="3">
        <v>7000</v>
      </c>
      <c r="K1875" s="4">
        <v>2450</v>
      </c>
      <c r="L1875" t="s">
        <v>36</v>
      </c>
    </row>
    <row r="1876" spans="1:12" x14ac:dyDescent="0.35">
      <c r="A1876" t="s">
        <v>23</v>
      </c>
      <c r="B1876">
        <v>1185732</v>
      </c>
      <c r="C1876" s="1">
        <v>44397</v>
      </c>
      <c r="D1876" t="s">
        <v>43</v>
      </c>
      <c r="E1876" t="s">
        <v>93</v>
      </c>
      <c r="F1876" t="s">
        <v>94</v>
      </c>
      <c r="G1876" t="s">
        <v>70</v>
      </c>
      <c r="H1876" s="2">
        <v>50</v>
      </c>
      <c r="I1876">
        <v>175</v>
      </c>
      <c r="J1876" s="3">
        <v>8750</v>
      </c>
      <c r="K1876" s="4">
        <v>2625</v>
      </c>
      <c r="L1876" t="s">
        <v>36</v>
      </c>
    </row>
    <row r="1877" spans="1:12" x14ac:dyDescent="0.35">
      <c r="A1877" t="s">
        <v>42</v>
      </c>
      <c r="B1877">
        <v>1185732</v>
      </c>
      <c r="C1877" s="1">
        <v>44521</v>
      </c>
      <c r="D1877" t="s">
        <v>43</v>
      </c>
      <c r="E1877" t="s">
        <v>93</v>
      </c>
      <c r="F1877" t="s">
        <v>94</v>
      </c>
      <c r="G1877" t="s">
        <v>39</v>
      </c>
      <c r="H1877" s="2">
        <v>50</v>
      </c>
      <c r="I1877">
        <v>175</v>
      </c>
      <c r="J1877" s="3">
        <v>8750</v>
      </c>
      <c r="K1877" s="4">
        <v>3063</v>
      </c>
      <c r="L1877" t="s">
        <v>36</v>
      </c>
    </row>
    <row r="1878" spans="1:12" x14ac:dyDescent="0.35">
      <c r="A1878" t="s">
        <v>42</v>
      </c>
      <c r="B1878">
        <v>1185732</v>
      </c>
      <c r="C1878" s="1">
        <v>44550</v>
      </c>
      <c r="D1878" t="s">
        <v>43</v>
      </c>
      <c r="E1878" t="s">
        <v>93</v>
      </c>
      <c r="F1878" t="s">
        <v>94</v>
      </c>
      <c r="G1878" t="s">
        <v>56</v>
      </c>
      <c r="H1878" s="2">
        <v>50</v>
      </c>
      <c r="I1878">
        <v>175</v>
      </c>
      <c r="J1878" s="3">
        <v>8750</v>
      </c>
      <c r="K1878" s="4">
        <v>3063</v>
      </c>
      <c r="L1878" t="s">
        <v>36</v>
      </c>
    </row>
    <row r="1879" spans="1:12" x14ac:dyDescent="0.35">
      <c r="A1879" t="s">
        <v>42</v>
      </c>
      <c r="B1879">
        <v>1185732</v>
      </c>
      <c r="C1879" s="1">
        <v>44213</v>
      </c>
      <c r="D1879" t="s">
        <v>43</v>
      </c>
      <c r="E1879" t="s">
        <v>93</v>
      </c>
      <c r="F1879" t="s">
        <v>94</v>
      </c>
      <c r="G1879" t="s">
        <v>56</v>
      </c>
      <c r="H1879" s="2">
        <v>35</v>
      </c>
      <c r="I1879">
        <v>175</v>
      </c>
      <c r="J1879" s="3">
        <v>6125</v>
      </c>
      <c r="K1879" s="4">
        <v>2450</v>
      </c>
      <c r="L1879" t="s">
        <v>36</v>
      </c>
    </row>
    <row r="1880" spans="1:12" x14ac:dyDescent="0.35">
      <c r="A1880" t="s">
        <v>42</v>
      </c>
      <c r="B1880">
        <v>1185732</v>
      </c>
      <c r="C1880" s="1">
        <v>44268</v>
      </c>
      <c r="D1880" t="s">
        <v>43</v>
      </c>
      <c r="E1880" t="s">
        <v>95</v>
      </c>
      <c r="F1880" t="s">
        <v>96</v>
      </c>
      <c r="G1880" t="s">
        <v>70</v>
      </c>
      <c r="H1880" s="2">
        <v>50</v>
      </c>
      <c r="I1880">
        <v>175</v>
      </c>
      <c r="J1880" s="3">
        <v>8750</v>
      </c>
      <c r="K1880" s="4">
        <v>2625</v>
      </c>
      <c r="L1880" t="s">
        <v>36</v>
      </c>
    </row>
    <row r="1881" spans="1:12" x14ac:dyDescent="0.35">
      <c r="A1881" t="s">
        <v>63</v>
      </c>
      <c r="B1881">
        <v>1185732</v>
      </c>
      <c r="C1881" s="1">
        <v>44206</v>
      </c>
      <c r="D1881" t="s">
        <v>43</v>
      </c>
      <c r="E1881" t="s">
        <v>95</v>
      </c>
      <c r="F1881" t="s">
        <v>96</v>
      </c>
      <c r="G1881" t="s">
        <v>70</v>
      </c>
      <c r="H1881" s="2">
        <v>45</v>
      </c>
      <c r="I1881">
        <v>175</v>
      </c>
      <c r="J1881" s="3">
        <v>7875</v>
      </c>
      <c r="K1881" s="4">
        <v>2363</v>
      </c>
      <c r="L1881" t="s">
        <v>36</v>
      </c>
    </row>
    <row r="1882" spans="1:12" x14ac:dyDescent="0.35">
      <c r="A1882" t="s">
        <v>63</v>
      </c>
      <c r="B1882">
        <v>1185732</v>
      </c>
      <c r="C1882" s="1">
        <v>44235</v>
      </c>
      <c r="D1882" t="s">
        <v>43</v>
      </c>
      <c r="E1882" t="s">
        <v>95</v>
      </c>
      <c r="F1882" t="s">
        <v>96</v>
      </c>
      <c r="G1882" t="s">
        <v>39</v>
      </c>
      <c r="H1882" s="2">
        <v>35</v>
      </c>
      <c r="I1882">
        <v>175</v>
      </c>
      <c r="J1882" s="3">
        <v>6125</v>
      </c>
      <c r="K1882" s="4">
        <v>2144</v>
      </c>
      <c r="L1882" t="s">
        <v>36</v>
      </c>
    </row>
    <row r="1883" spans="1:12" x14ac:dyDescent="0.35">
      <c r="A1883" t="s">
        <v>63</v>
      </c>
      <c r="B1883">
        <v>1185732</v>
      </c>
      <c r="C1883" s="1">
        <v>44235</v>
      </c>
      <c r="D1883" t="s">
        <v>43</v>
      </c>
      <c r="E1883" t="s">
        <v>83</v>
      </c>
      <c r="F1883" t="s">
        <v>84</v>
      </c>
      <c r="G1883" t="s">
        <v>70</v>
      </c>
      <c r="H1883" s="2">
        <v>45</v>
      </c>
      <c r="I1883">
        <v>175</v>
      </c>
      <c r="J1883" s="3">
        <v>7875</v>
      </c>
      <c r="K1883" s="4">
        <v>2363</v>
      </c>
      <c r="L1883" t="s">
        <v>36</v>
      </c>
    </row>
    <row r="1884" spans="1:12" x14ac:dyDescent="0.35">
      <c r="A1884" t="s">
        <v>63</v>
      </c>
      <c r="B1884">
        <v>1185732</v>
      </c>
      <c r="C1884" s="1">
        <v>44293</v>
      </c>
      <c r="D1884" t="s">
        <v>43</v>
      </c>
      <c r="E1884" t="s">
        <v>83</v>
      </c>
      <c r="F1884" t="s">
        <v>84</v>
      </c>
      <c r="G1884" t="s">
        <v>39</v>
      </c>
      <c r="H1884" s="2">
        <v>35</v>
      </c>
      <c r="I1884">
        <v>175</v>
      </c>
      <c r="J1884" s="3">
        <v>6125</v>
      </c>
      <c r="K1884" s="4">
        <v>2144</v>
      </c>
      <c r="L1884" t="s">
        <v>36</v>
      </c>
    </row>
    <row r="1885" spans="1:12" x14ac:dyDescent="0.35">
      <c r="A1885" t="s">
        <v>63</v>
      </c>
      <c r="B1885">
        <v>1185732</v>
      </c>
      <c r="C1885" s="1">
        <v>44293</v>
      </c>
      <c r="D1885" t="s">
        <v>43</v>
      </c>
      <c r="E1885" t="s">
        <v>83</v>
      </c>
      <c r="F1885" t="s">
        <v>84</v>
      </c>
      <c r="G1885" t="s">
        <v>32</v>
      </c>
      <c r="H1885" s="2">
        <v>25</v>
      </c>
      <c r="I1885">
        <v>175</v>
      </c>
      <c r="J1885" s="3">
        <v>4375</v>
      </c>
      <c r="K1885" s="4">
        <v>1750</v>
      </c>
      <c r="L1885" t="s">
        <v>36</v>
      </c>
    </row>
    <row r="1886" spans="1:12" x14ac:dyDescent="0.35">
      <c r="A1886" t="s">
        <v>63</v>
      </c>
      <c r="B1886">
        <v>1185732</v>
      </c>
      <c r="C1886" s="1">
        <v>44415</v>
      </c>
      <c r="D1886" t="s">
        <v>43</v>
      </c>
      <c r="E1886" t="s">
        <v>83</v>
      </c>
      <c r="F1886" t="s">
        <v>84</v>
      </c>
      <c r="G1886" t="s">
        <v>70</v>
      </c>
      <c r="H1886" s="2">
        <v>50</v>
      </c>
      <c r="I1886">
        <v>175</v>
      </c>
      <c r="J1886" s="3">
        <v>8750</v>
      </c>
      <c r="K1886" s="4">
        <v>2625</v>
      </c>
      <c r="L1886" t="s">
        <v>36</v>
      </c>
    </row>
    <row r="1887" spans="1:12" x14ac:dyDescent="0.35">
      <c r="A1887" t="s">
        <v>63</v>
      </c>
      <c r="B1887">
        <v>1185732</v>
      </c>
      <c r="C1887" s="1">
        <v>44445</v>
      </c>
      <c r="D1887" t="s">
        <v>43</v>
      </c>
      <c r="E1887" t="s">
        <v>83</v>
      </c>
      <c r="F1887" t="s">
        <v>84</v>
      </c>
      <c r="G1887" t="s">
        <v>32</v>
      </c>
      <c r="H1887" s="2">
        <v>40</v>
      </c>
      <c r="I1887">
        <v>175</v>
      </c>
      <c r="J1887" s="3">
        <v>7000</v>
      </c>
      <c r="K1887" s="4">
        <v>2800</v>
      </c>
      <c r="L1887" t="s">
        <v>36</v>
      </c>
    </row>
    <row r="1888" spans="1:12" x14ac:dyDescent="0.35">
      <c r="A1888" t="s">
        <v>23</v>
      </c>
      <c r="B1888">
        <v>1185732</v>
      </c>
      <c r="C1888" s="1">
        <v>44442</v>
      </c>
      <c r="D1888" t="s">
        <v>43</v>
      </c>
      <c r="E1888" t="s">
        <v>108</v>
      </c>
      <c r="F1888" t="s">
        <v>109</v>
      </c>
      <c r="G1888" t="s">
        <v>56</v>
      </c>
      <c r="H1888" s="2">
        <v>45</v>
      </c>
      <c r="I1888">
        <v>175</v>
      </c>
      <c r="J1888" s="3">
        <v>7875</v>
      </c>
      <c r="K1888" s="4">
        <v>2363</v>
      </c>
      <c r="L1888" t="s">
        <v>36</v>
      </c>
    </row>
    <row r="1889" spans="1:12" x14ac:dyDescent="0.35">
      <c r="A1889" t="s">
        <v>42</v>
      </c>
      <c r="B1889">
        <v>1185732</v>
      </c>
      <c r="C1889" s="1">
        <v>44235</v>
      </c>
      <c r="D1889" t="s">
        <v>43</v>
      </c>
      <c r="E1889" t="s">
        <v>108</v>
      </c>
      <c r="F1889" t="s">
        <v>109</v>
      </c>
      <c r="G1889" t="s">
        <v>32</v>
      </c>
      <c r="H1889" s="2">
        <v>25</v>
      </c>
      <c r="I1889">
        <v>175</v>
      </c>
      <c r="J1889" s="3">
        <v>4375</v>
      </c>
      <c r="K1889" s="4">
        <v>1750</v>
      </c>
      <c r="L1889" t="s">
        <v>36</v>
      </c>
    </row>
    <row r="1890" spans="1:12" x14ac:dyDescent="0.35">
      <c r="A1890" t="s">
        <v>42</v>
      </c>
      <c r="B1890">
        <v>1185732</v>
      </c>
      <c r="C1890" s="1">
        <v>44261</v>
      </c>
      <c r="D1890" t="s">
        <v>43</v>
      </c>
      <c r="E1890" t="s">
        <v>110</v>
      </c>
      <c r="F1890" t="s">
        <v>111</v>
      </c>
      <c r="G1890" t="s">
        <v>32</v>
      </c>
      <c r="H1890" s="2">
        <v>25</v>
      </c>
      <c r="I1890">
        <v>175</v>
      </c>
      <c r="J1890" s="3">
        <v>4375</v>
      </c>
      <c r="K1890" s="4">
        <v>1750</v>
      </c>
      <c r="L1890" t="s">
        <v>36</v>
      </c>
    </row>
    <row r="1891" spans="1:12" x14ac:dyDescent="0.35">
      <c r="A1891" t="s">
        <v>42</v>
      </c>
      <c r="B1891">
        <v>1185732</v>
      </c>
      <c r="C1891" s="1">
        <v>44261</v>
      </c>
      <c r="D1891" t="s">
        <v>43</v>
      </c>
      <c r="E1891" t="s">
        <v>110</v>
      </c>
      <c r="F1891" t="s">
        <v>111</v>
      </c>
      <c r="G1891" t="s">
        <v>16</v>
      </c>
      <c r="H1891" s="2">
        <v>35</v>
      </c>
      <c r="I1891">
        <v>175</v>
      </c>
      <c r="J1891" s="3">
        <v>6125</v>
      </c>
      <c r="K1891" s="4">
        <v>2450</v>
      </c>
      <c r="L1891" t="s">
        <v>36</v>
      </c>
    </row>
    <row r="1892" spans="1:12" x14ac:dyDescent="0.35">
      <c r="A1892" t="s">
        <v>42</v>
      </c>
      <c r="B1892">
        <v>1185732</v>
      </c>
      <c r="C1892" s="1">
        <v>44322</v>
      </c>
      <c r="D1892" t="s">
        <v>43</v>
      </c>
      <c r="E1892" t="s">
        <v>110</v>
      </c>
      <c r="F1892" t="s">
        <v>111</v>
      </c>
      <c r="G1892" t="s">
        <v>39</v>
      </c>
      <c r="H1892" s="2">
        <v>45</v>
      </c>
      <c r="I1892">
        <v>175</v>
      </c>
      <c r="J1892" s="3">
        <v>7875</v>
      </c>
      <c r="K1892" s="4">
        <v>2756</v>
      </c>
      <c r="L1892" t="s">
        <v>36</v>
      </c>
    </row>
    <row r="1893" spans="1:12" x14ac:dyDescent="0.35">
      <c r="A1893" t="s">
        <v>42</v>
      </c>
      <c r="B1893">
        <v>1185732</v>
      </c>
      <c r="C1893" s="1">
        <v>44322</v>
      </c>
      <c r="D1893" t="s">
        <v>43</v>
      </c>
      <c r="E1893" t="s">
        <v>110</v>
      </c>
      <c r="F1893" t="s">
        <v>111</v>
      </c>
      <c r="G1893" t="s">
        <v>70</v>
      </c>
      <c r="H1893" s="2">
        <v>50</v>
      </c>
      <c r="I1893">
        <v>175</v>
      </c>
      <c r="J1893" s="3">
        <v>8750</v>
      </c>
      <c r="K1893" s="4">
        <v>2625</v>
      </c>
      <c r="L1893" t="s">
        <v>36</v>
      </c>
    </row>
    <row r="1894" spans="1:12" x14ac:dyDescent="0.35">
      <c r="A1894" t="s">
        <v>23</v>
      </c>
      <c r="B1894">
        <v>1185732</v>
      </c>
      <c r="C1894" s="1">
        <v>44268</v>
      </c>
      <c r="D1894" t="s">
        <v>43</v>
      </c>
      <c r="E1894" t="s">
        <v>112</v>
      </c>
      <c r="F1894" t="s">
        <v>113</v>
      </c>
      <c r="G1894" t="s">
        <v>39</v>
      </c>
      <c r="H1894" s="2">
        <v>40</v>
      </c>
      <c r="I1894">
        <v>175</v>
      </c>
      <c r="J1894" s="3">
        <v>7000</v>
      </c>
      <c r="K1894" s="4">
        <v>2100</v>
      </c>
      <c r="L1894" t="s">
        <v>36</v>
      </c>
    </row>
    <row r="1895" spans="1:12" x14ac:dyDescent="0.35">
      <c r="A1895" t="s">
        <v>23</v>
      </c>
      <c r="B1895">
        <v>1185732</v>
      </c>
      <c r="C1895" s="1">
        <v>44329</v>
      </c>
      <c r="D1895" t="s">
        <v>43</v>
      </c>
      <c r="E1895" t="s">
        <v>112</v>
      </c>
      <c r="F1895" t="s">
        <v>113</v>
      </c>
      <c r="G1895" t="s">
        <v>56</v>
      </c>
      <c r="H1895" s="2">
        <v>45</v>
      </c>
      <c r="I1895">
        <v>175</v>
      </c>
      <c r="J1895" s="3">
        <v>7875</v>
      </c>
      <c r="K1895" s="4">
        <v>1969</v>
      </c>
      <c r="L1895" t="s">
        <v>36</v>
      </c>
    </row>
    <row r="1896" spans="1:12" x14ac:dyDescent="0.35">
      <c r="A1896" t="s">
        <v>23</v>
      </c>
      <c r="B1896">
        <v>1185732</v>
      </c>
      <c r="C1896" s="1">
        <v>44422</v>
      </c>
      <c r="D1896" t="s">
        <v>43</v>
      </c>
      <c r="E1896" t="s">
        <v>112</v>
      </c>
      <c r="F1896" t="s">
        <v>113</v>
      </c>
      <c r="G1896" t="s">
        <v>56</v>
      </c>
      <c r="H1896" s="2">
        <v>45</v>
      </c>
      <c r="I1896">
        <v>175</v>
      </c>
      <c r="J1896" s="3">
        <v>7875</v>
      </c>
      <c r="K1896" s="4">
        <v>1969</v>
      </c>
      <c r="L1896" t="s">
        <v>36</v>
      </c>
    </row>
    <row r="1897" spans="1:12" x14ac:dyDescent="0.35">
      <c r="A1897" t="s">
        <v>51</v>
      </c>
      <c r="B1897">
        <v>1185732</v>
      </c>
      <c r="C1897" s="1">
        <v>44210</v>
      </c>
      <c r="D1897" t="s">
        <v>43</v>
      </c>
      <c r="E1897" t="s">
        <v>112</v>
      </c>
      <c r="F1897" t="s">
        <v>113</v>
      </c>
      <c r="G1897" t="s">
        <v>56</v>
      </c>
      <c r="H1897" s="2">
        <v>40</v>
      </c>
      <c r="I1897">
        <v>175</v>
      </c>
      <c r="J1897" s="3">
        <v>7000</v>
      </c>
      <c r="K1897" s="4">
        <v>2450</v>
      </c>
      <c r="L1897" t="s">
        <v>36</v>
      </c>
    </row>
    <row r="1898" spans="1:12" x14ac:dyDescent="0.35">
      <c r="A1898" t="s">
        <v>51</v>
      </c>
      <c r="B1898">
        <v>1185732</v>
      </c>
      <c r="C1898" s="1">
        <v>44217</v>
      </c>
      <c r="D1898" t="s">
        <v>43</v>
      </c>
      <c r="E1898" t="s">
        <v>125</v>
      </c>
      <c r="F1898" t="s">
        <v>126</v>
      </c>
      <c r="G1898" t="s">
        <v>56</v>
      </c>
      <c r="H1898" s="2">
        <v>45</v>
      </c>
      <c r="I1898">
        <v>175</v>
      </c>
      <c r="J1898" s="3">
        <v>7875</v>
      </c>
      <c r="K1898" s="4">
        <v>2363</v>
      </c>
      <c r="L1898" t="s">
        <v>36</v>
      </c>
    </row>
    <row r="1899" spans="1:12" x14ac:dyDescent="0.35">
      <c r="A1899" t="s">
        <v>51</v>
      </c>
      <c r="B1899">
        <v>1185732</v>
      </c>
      <c r="C1899" s="1">
        <v>44304</v>
      </c>
      <c r="D1899" t="s">
        <v>43</v>
      </c>
      <c r="E1899" t="s">
        <v>127</v>
      </c>
      <c r="F1899" t="s">
        <v>128</v>
      </c>
      <c r="G1899" t="s">
        <v>56</v>
      </c>
      <c r="H1899" s="2">
        <v>45</v>
      </c>
      <c r="I1899">
        <v>175</v>
      </c>
      <c r="J1899" s="3">
        <v>7875</v>
      </c>
      <c r="K1899" s="4">
        <v>2363</v>
      </c>
      <c r="L1899" t="s">
        <v>36</v>
      </c>
    </row>
    <row r="1900" spans="1:12" x14ac:dyDescent="0.35">
      <c r="A1900" t="s">
        <v>23</v>
      </c>
      <c r="B1900">
        <v>1197831</v>
      </c>
      <c r="C1900" s="1">
        <v>44034</v>
      </c>
      <c r="D1900" t="s">
        <v>43</v>
      </c>
      <c r="E1900" t="s">
        <v>44</v>
      </c>
      <c r="F1900" t="s">
        <v>44</v>
      </c>
      <c r="G1900" t="s">
        <v>56</v>
      </c>
      <c r="H1900" s="2">
        <v>34</v>
      </c>
      <c r="I1900">
        <v>175</v>
      </c>
      <c r="J1900">
        <v>595</v>
      </c>
      <c r="K1900" s="4">
        <v>327</v>
      </c>
      <c r="L1900" t="s">
        <v>17</v>
      </c>
    </row>
    <row r="1901" spans="1:12" x14ac:dyDescent="0.35">
      <c r="A1901" t="s">
        <v>23</v>
      </c>
      <c r="B1901">
        <v>1197831</v>
      </c>
      <c r="C1901" s="1">
        <v>44040</v>
      </c>
      <c r="D1901" t="s">
        <v>19</v>
      </c>
      <c r="E1901" t="s">
        <v>59</v>
      </c>
      <c r="F1901" t="s">
        <v>60</v>
      </c>
      <c r="G1901" t="s">
        <v>56</v>
      </c>
      <c r="H1901" s="2">
        <v>34</v>
      </c>
      <c r="I1901">
        <v>175</v>
      </c>
      <c r="J1901">
        <v>595</v>
      </c>
      <c r="K1901" s="4">
        <v>357</v>
      </c>
      <c r="L1901" t="s">
        <v>17</v>
      </c>
    </row>
    <row r="1902" spans="1:12" x14ac:dyDescent="0.35">
      <c r="A1902" t="s">
        <v>12</v>
      </c>
      <c r="B1902">
        <v>1197831</v>
      </c>
      <c r="C1902" s="1">
        <v>44083</v>
      </c>
      <c r="D1902" t="s">
        <v>19</v>
      </c>
      <c r="E1902" t="s">
        <v>59</v>
      </c>
      <c r="F1902" t="s">
        <v>60</v>
      </c>
      <c r="G1902" t="s">
        <v>70</v>
      </c>
      <c r="H1902" s="2">
        <v>44</v>
      </c>
      <c r="I1902">
        <v>175</v>
      </c>
      <c r="J1902">
        <v>770</v>
      </c>
      <c r="K1902" s="4">
        <v>331</v>
      </c>
      <c r="L1902" t="s">
        <v>17</v>
      </c>
    </row>
    <row r="1903" spans="1:12" x14ac:dyDescent="0.35">
      <c r="A1903" t="s">
        <v>18</v>
      </c>
      <c r="B1903">
        <v>1128299</v>
      </c>
      <c r="C1903" s="1">
        <v>44139</v>
      </c>
      <c r="D1903" t="s">
        <v>19</v>
      </c>
      <c r="E1903" t="s">
        <v>59</v>
      </c>
      <c r="F1903" t="s">
        <v>60</v>
      </c>
      <c r="G1903" t="s">
        <v>56</v>
      </c>
      <c r="H1903" s="2">
        <v>48</v>
      </c>
      <c r="I1903">
        <v>175</v>
      </c>
      <c r="J1903">
        <v>840</v>
      </c>
      <c r="K1903" s="4">
        <v>336</v>
      </c>
      <c r="L1903" t="s">
        <v>17</v>
      </c>
    </row>
    <row r="1904" spans="1:12" x14ac:dyDescent="0.35">
      <c r="A1904" t="s">
        <v>18</v>
      </c>
      <c r="B1904">
        <v>1128299</v>
      </c>
      <c r="C1904" s="1">
        <v>44149</v>
      </c>
      <c r="D1904" t="s">
        <v>48</v>
      </c>
      <c r="E1904" t="s">
        <v>66</v>
      </c>
      <c r="F1904" t="s">
        <v>67</v>
      </c>
      <c r="G1904" t="s">
        <v>39</v>
      </c>
      <c r="H1904" s="2">
        <v>58</v>
      </c>
      <c r="I1904">
        <v>175</v>
      </c>
      <c r="J1904" s="3">
        <v>1015</v>
      </c>
      <c r="K1904" s="4">
        <v>305</v>
      </c>
      <c r="L1904" t="s">
        <v>17</v>
      </c>
    </row>
    <row r="1905" spans="1:12" x14ac:dyDescent="0.35">
      <c r="A1905" t="s">
        <v>18</v>
      </c>
      <c r="B1905">
        <v>1128299</v>
      </c>
      <c r="C1905" s="1">
        <v>44242</v>
      </c>
      <c r="D1905" t="s">
        <v>48</v>
      </c>
      <c r="E1905" t="s">
        <v>66</v>
      </c>
      <c r="F1905" t="s">
        <v>67</v>
      </c>
      <c r="G1905" t="s">
        <v>70</v>
      </c>
      <c r="H1905" s="2">
        <v>59</v>
      </c>
      <c r="I1905">
        <v>175</v>
      </c>
      <c r="J1905" s="3">
        <v>1033</v>
      </c>
      <c r="K1905" s="4">
        <v>620</v>
      </c>
      <c r="L1905" t="s">
        <v>17</v>
      </c>
    </row>
    <row r="1906" spans="1:12" x14ac:dyDescent="0.35">
      <c r="A1906" t="s">
        <v>63</v>
      </c>
      <c r="B1906">
        <v>1189833</v>
      </c>
      <c r="C1906" s="1">
        <v>44295</v>
      </c>
      <c r="D1906" t="s">
        <v>48</v>
      </c>
      <c r="E1906" t="s">
        <v>66</v>
      </c>
      <c r="F1906" t="s">
        <v>76</v>
      </c>
      <c r="G1906" t="s">
        <v>32</v>
      </c>
      <c r="H1906" s="2">
        <v>49</v>
      </c>
      <c r="I1906">
        <v>175</v>
      </c>
      <c r="J1906">
        <v>858</v>
      </c>
      <c r="K1906" s="4">
        <v>472</v>
      </c>
      <c r="L1906" t="s">
        <v>17</v>
      </c>
    </row>
    <row r="1907" spans="1:12" x14ac:dyDescent="0.35">
      <c r="A1907" t="s">
        <v>63</v>
      </c>
      <c r="B1907">
        <v>1189833</v>
      </c>
      <c r="C1907" s="1">
        <v>44308</v>
      </c>
      <c r="D1907" t="s">
        <v>48</v>
      </c>
      <c r="E1907" t="s">
        <v>66</v>
      </c>
      <c r="F1907" t="s">
        <v>76</v>
      </c>
      <c r="G1907" t="s">
        <v>56</v>
      </c>
      <c r="H1907" s="2">
        <v>44</v>
      </c>
      <c r="I1907">
        <v>175</v>
      </c>
      <c r="J1907">
        <v>770</v>
      </c>
      <c r="K1907" s="4">
        <v>370</v>
      </c>
      <c r="L1907" t="s">
        <v>17</v>
      </c>
    </row>
    <row r="1908" spans="1:12" x14ac:dyDescent="0.35">
      <c r="A1908" t="s">
        <v>63</v>
      </c>
      <c r="B1908">
        <v>1189833</v>
      </c>
      <c r="C1908" s="1">
        <v>44332</v>
      </c>
      <c r="D1908" t="s">
        <v>48</v>
      </c>
      <c r="E1908" t="s">
        <v>66</v>
      </c>
      <c r="F1908" t="s">
        <v>76</v>
      </c>
      <c r="G1908" t="s">
        <v>56</v>
      </c>
      <c r="H1908" s="2">
        <v>48</v>
      </c>
      <c r="I1908">
        <v>175</v>
      </c>
      <c r="J1908">
        <v>840</v>
      </c>
      <c r="K1908" s="4">
        <v>378</v>
      </c>
      <c r="L1908" t="s">
        <v>17</v>
      </c>
    </row>
    <row r="1909" spans="1:12" x14ac:dyDescent="0.35">
      <c r="A1909" t="s">
        <v>23</v>
      </c>
      <c r="B1909">
        <v>1197831</v>
      </c>
      <c r="C1909" s="1">
        <v>44438</v>
      </c>
      <c r="D1909" t="s">
        <v>19</v>
      </c>
      <c r="E1909" t="s">
        <v>59</v>
      </c>
      <c r="F1909" t="s">
        <v>68</v>
      </c>
      <c r="G1909" t="s">
        <v>39</v>
      </c>
      <c r="H1909" s="2">
        <v>28</v>
      </c>
      <c r="I1909">
        <v>175</v>
      </c>
      <c r="J1909">
        <v>490</v>
      </c>
      <c r="K1909" s="4">
        <v>235</v>
      </c>
      <c r="L1909" t="s">
        <v>17</v>
      </c>
    </row>
    <row r="1910" spans="1:12" x14ac:dyDescent="0.35">
      <c r="A1910" t="s">
        <v>23</v>
      </c>
      <c r="B1910">
        <v>1197831</v>
      </c>
      <c r="C1910" s="1">
        <v>44445</v>
      </c>
      <c r="D1910" t="s">
        <v>19</v>
      </c>
      <c r="E1910" t="s">
        <v>59</v>
      </c>
      <c r="F1910" t="s">
        <v>68</v>
      </c>
      <c r="G1910" t="s">
        <v>32</v>
      </c>
      <c r="H1910" s="2">
        <v>24</v>
      </c>
      <c r="I1910">
        <v>175</v>
      </c>
      <c r="J1910">
        <v>420</v>
      </c>
      <c r="K1910" s="4">
        <v>197</v>
      </c>
      <c r="L1910" t="s">
        <v>17</v>
      </c>
    </row>
    <row r="1911" spans="1:12" x14ac:dyDescent="0.35">
      <c r="A1911" t="s">
        <v>18</v>
      </c>
      <c r="B1911">
        <v>1128299</v>
      </c>
      <c r="C1911" s="1">
        <v>44015</v>
      </c>
      <c r="D1911" t="s">
        <v>48</v>
      </c>
      <c r="E1911" t="s">
        <v>97</v>
      </c>
      <c r="F1911" t="s">
        <v>98</v>
      </c>
      <c r="G1911" t="s">
        <v>32</v>
      </c>
      <c r="H1911" s="2">
        <v>78</v>
      </c>
      <c r="I1911">
        <v>175</v>
      </c>
      <c r="J1911" s="3">
        <v>1365</v>
      </c>
      <c r="K1911" s="4">
        <v>478</v>
      </c>
      <c r="L1911" t="s">
        <v>17</v>
      </c>
    </row>
    <row r="1912" spans="1:12" x14ac:dyDescent="0.35">
      <c r="A1912" t="s">
        <v>42</v>
      </c>
      <c r="B1912">
        <v>1185732</v>
      </c>
      <c r="C1912" s="1">
        <v>44052</v>
      </c>
      <c r="D1912" t="s">
        <v>48</v>
      </c>
      <c r="E1912" t="s">
        <v>97</v>
      </c>
      <c r="F1912" t="s">
        <v>98</v>
      </c>
      <c r="G1912" t="s">
        <v>56</v>
      </c>
      <c r="H1912" s="2">
        <v>38</v>
      </c>
      <c r="I1912">
        <v>175</v>
      </c>
      <c r="J1912">
        <v>665</v>
      </c>
      <c r="K1912" s="4">
        <v>266</v>
      </c>
      <c r="L1912" t="s">
        <v>17</v>
      </c>
    </row>
    <row r="1913" spans="1:12" x14ac:dyDescent="0.35">
      <c r="A1913" t="s">
        <v>42</v>
      </c>
      <c r="B1913">
        <v>1185732</v>
      </c>
      <c r="C1913" s="1">
        <v>44064</v>
      </c>
      <c r="D1913" t="s">
        <v>13</v>
      </c>
      <c r="E1913" t="s">
        <v>14</v>
      </c>
      <c r="F1913" t="s">
        <v>73</v>
      </c>
      <c r="G1913" t="s">
        <v>56</v>
      </c>
      <c r="H1913" s="2">
        <v>36</v>
      </c>
      <c r="I1913">
        <v>175</v>
      </c>
      <c r="J1913">
        <v>630</v>
      </c>
      <c r="K1913" s="4">
        <v>252</v>
      </c>
      <c r="L1913" t="s">
        <v>17</v>
      </c>
    </row>
    <row r="1914" spans="1:12" x14ac:dyDescent="0.35">
      <c r="A1914" t="s">
        <v>18</v>
      </c>
      <c r="B1914">
        <v>1185732</v>
      </c>
      <c r="C1914" s="1">
        <v>43945</v>
      </c>
      <c r="D1914" t="s">
        <v>13</v>
      </c>
      <c r="E1914" t="s">
        <v>14</v>
      </c>
      <c r="F1914" t="s">
        <v>73</v>
      </c>
      <c r="G1914" t="s">
        <v>56</v>
      </c>
      <c r="H1914" s="2">
        <v>49</v>
      </c>
      <c r="I1914">
        <v>175</v>
      </c>
      <c r="J1914">
        <v>858</v>
      </c>
      <c r="K1914" s="4">
        <v>369</v>
      </c>
      <c r="L1914" t="s">
        <v>17</v>
      </c>
    </row>
    <row r="1915" spans="1:12" x14ac:dyDescent="0.35">
      <c r="A1915" t="s">
        <v>23</v>
      </c>
      <c r="B1915">
        <v>1197831</v>
      </c>
      <c r="C1915" s="1">
        <v>44457</v>
      </c>
      <c r="D1915" t="s">
        <v>19</v>
      </c>
      <c r="E1915" t="s">
        <v>24</v>
      </c>
      <c r="F1915" t="s">
        <v>25</v>
      </c>
      <c r="G1915" t="s">
        <v>26</v>
      </c>
      <c r="H1915" s="2">
        <v>51</v>
      </c>
      <c r="I1915">
        <v>175</v>
      </c>
      <c r="J1915">
        <v>893</v>
      </c>
      <c r="K1915" s="4">
        <v>536</v>
      </c>
      <c r="L1915" t="s">
        <v>17</v>
      </c>
    </row>
    <row r="1916" spans="1:12" x14ac:dyDescent="0.35">
      <c r="A1916" t="s">
        <v>23</v>
      </c>
      <c r="B1916">
        <v>1197831</v>
      </c>
      <c r="C1916" s="1">
        <v>44477</v>
      </c>
      <c r="D1916" t="s">
        <v>19</v>
      </c>
      <c r="E1916" t="s">
        <v>24</v>
      </c>
      <c r="F1916" t="s">
        <v>25</v>
      </c>
      <c r="G1916" t="s">
        <v>32</v>
      </c>
      <c r="H1916" s="2">
        <v>64</v>
      </c>
      <c r="I1916">
        <v>175</v>
      </c>
      <c r="J1916" s="3">
        <v>1120</v>
      </c>
      <c r="K1916" s="4">
        <v>694</v>
      </c>
      <c r="L1916" t="s">
        <v>17</v>
      </c>
    </row>
    <row r="1917" spans="1:12" x14ac:dyDescent="0.35">
      <c r="A1917" t="s">
        <v>12</v>
      </c>
      <c r="B1917">
        <v>1128299</v>
      </c>
      <c r="C1917" s="1">
        <v>44517</v>
      </c>
      <c r="D1917" t="s">
        <v>13</v>
      </c>
      <c r="E1917" t="s">
        <v>14</v>
      </c>
      <c r="F1917" t="s">
        <v>15</v>
      </c>
      <c r="G1917" t="s">
        <v>39</v>
      </c>
      <c r="H1917" s="2">
        <v>54</v>
      </c>
      <c r="I1917">
        <v>175</v>
      </c>
      <c r="J1917">
        <v>945</v>
      </c>
      <c r="K1917" s="4">
        <v>359</v>
      </c>
      <c r="L1917" t="s">
        <v>17</v>
      </c>
    </row>
    <row r="1918" spans="1:12" x14ac:dyDescent="0.35">
      <c r="A1918" t="s">
        <v>18</v>
      </c>
      <c r="B1918">
        <v>1185732</v>
      </c>
      <c r="C1918" s="1">
        <v>44357</v>
      </c>
      <c r="D1918" t="s">
        <v>43</v>
      </c>
      <c r="E1918" t="s">
        <v>44</v>
      </c>
      <c r="F1918" t="s">
        <v>101</v>
      </c>
      <c r="G1918" t="s">
        <v>39</v>
      </c>
      <c r="H1918" s="2">
        <v>54</v>
      </c>
      <c r="I1918">
        <v>175</v>
      </c>
      <c r="J1918">
        <v>945</v>
      </c>
      <c r="K1918" s="4">
        <v>454</v>
      </c>
      <c r="L1918" t="s">
        <v>17</v>
      </c>
    </row>
    <row r="1919" spans="1:12" x14ac:dyDescent="0.35">
      <c r="A1919" t="s">
        <v>42</v>
      </c>
      <c r="B1919">
        <v>1128299</v>
      </c>
      <c r="C1919" s="1">
        <v>44546</v>
      </c>
      <c r="D1919" t="s">
        <v>19</v>
      </c>
      <c r="E1919" t="s">
        <v>20</v>
      </c>
      <c r="F1919" t="s">
        <v>21</v>
      </c>
      <c r="G1919" t="s">
        <v>16</v>
      </c>
      <c r="H1919" s="2">
        <v>87</v>
      </c>
      <c r="I1919">
        <v>175</v>
      </c>
      <c r="J1919" s="3">
        <v>1523</v>
      </c>
      <c r="K1919" s="4">
        <v>685</v>
      </c>
      <c r="L1919" t="s">
        <v>17</v>
      </c>
    </row>
    <row r="1920" spans="1:12" x14ac:dyDescent="0.35">
      <c r="A1920" t="s">
        <v>42</v>
      </c>
      <c r="B1920">
        <v>1128299</v>
      </c>
      <c r="C1920" s="1">
        <v>44552</v>
      </c>
      <c r="D1920" t="s">
        <v>48</v>
      </c>
      <c r="E1920" t="s">
        <v>123</v>
      </c>
      <c r="F1920" t="s">
        <v>124</v>
      </c>
      <c r="G1920" t="s">
        <v>39</v>
      </c>
      <c r="H1920" s="2">
        <v>49</v>
      </c>
      <c r="I1920">
        <v>175</v>
      </c>
      <c r="J1920">
        <v>858</v>
      </c>
      <c r="K1920" s="4">
        <v>463</v>
      </c>
      <c r="L1920" t="s">
        <v>17</v>
      </c>
    </row>
    <row r="1921" spans="1:12" x14ac:dyDescent="0.35">
      <c r="A1921" t="s">
        <v>63</v>
      </c>
      <c r="B1921">
        <v>1128299</v>
      </c>
      <c r="C1921" s="1">
        <v>44434</v>
      </c>
      <c r="D1921" t="s">
        <v>48</v>
      </c>
      <c r="E1921" t="s">
        <v>114</v>
      </c>
      <c r="F1921" t="s">
        <v>115</v>
      </c>
      <c r="G1921" t="s">
        <v>26</v>
      </c>
      <c r="H1921" s="2">
        <v>56</v>
      </c>
      <c r="I1921">
        <v>175</v>
      </c>
      <c r="J1921">
        <v>980</v>
      </c>
      <c r="K1921" s="4">
        <v>490</v>
      </c>
      <c r="L1921" t="s">
        <v>17</v>
      </c>
    </row>
    <row r="1922" spans="1:12" x14ac:dyDescent="0.35">
      <c r="A1922" t="s">
        <v>23</v>
      </c>
      <c r="B1922">
        <v>1128299</v>
      </c>
      <c r="C1922" s="1">
        <v>44421</v>
      </c>
      <c r="D1922" t="s">
        <v>13</v>
      </c>
      <c r="E1922" t="s">
        <v>57</v>
      </c>
      <c r="F1922" t="s">
        <v>58</v>
      </c>
      <c r="G1922" t="s">
        <v>39</v>
      </c>
      <c r="H1922" s="2">
        <v>58</v>
      </c>
      <c r="I1922">
        <v>175</v>
      </c>
      <c r="J1922" s="3">
        <v>1015</v>
      </c>
      <c r="K1922" s="4">
        <v>528</v>
      </c>
      <c r="L1922" t="s">
        <v>17</v>
      </c>
    </row>
    <row r="1923" spans="1:12" x14ac:dyDescent="0.35">
      <c r="A1923" t="s">
        <v>42</v>
      </c>
      <c r="B1923">
        <v>1185732</v>
      </c>
      <c r="C1923" s="1">
        <v>44444</v>
      </c>
      <c r="D1923" t="s">
        <v>13</v>
      </c>
      <c r="E1923" t="s">
        <v>69</v>
      </c>
      <c r="F1923" t="s">
        <v>65</v>
      </c>
      <c r="G1923" t="s">
        <v>70</v>
      </c>
      <c r="H1923" s="2">
        <v>48</v>
      </c>
      <c r="I1923">
        <v>175</v>
      </c>
      <c r="J1923">
        <v>840</v>
      </c>
      <c r="K1923" s="4">
        <v>386</v>
      </c>
      <c r="L1923" t="s">
        <v>17</v>
      </c>
    </row>
    <row r="1924" spans="1:12" x14ac:dyDescent="0.35">
      <c r="A1924" t="s">
        <v>23</v>
      </c>
      <c r="B1924">
        <v>1185732</v>
      </c>
      <c r="C1924" s="1">
        <v>44441</v>
      </c>
      <c r="D1924" t="s">
        <v>13</v>
      </c>
      <c r="E1924" t="s">
        <v>77</v>
      </c>
      <c r="F1924" t="s">
        <v>78</v>
      </c>
      <c r="G1924" t="s">
        <v>32</v>
      </c>
      <c r="H1924" s="2">
        <v>28</v>
      </c>
      <c r="I1924">
        <v>175</v>
      </c>
      <c r="J1924">
        <v>490</v>
      </c>
      <c r="K1924" s="4">
        <v>250</v>
      </c>
      <c r="L1924" t="s">
        <v>17</v>
      </c>
    </row>
    <row r="1925" spans="1:12" x14ac:dyDescent="0.35">
      <c r="A1925" t="s">
        <v>23</v>
      </c>
      <c r="B1925">
        <v>1185732</v>
      </c>
      <c r="C1925" s="1">
        <v>44352</v>
      </c>
      <c r="D1925" t="s">
        <v>43</v>
      </c>
      <c r="E1925" t="s">
        <v>108</v>
      </c>
      <c r="F1925" t="s">
        <v>109</v>
      </c>
      <c r="G1925" t="s">
        <v>26</v>
      </c>
      <c r="H1925" s="2">
        <v>50</v>
      </c>
      <c r="I1925">
        <v>175</v>
      </c>
      <c r="J1925">
        <v>875</v>
      </c>
      <c r="K1925" s="4">
        <v>481</v>
      </c>
      <c r="L1925" t="s">
        <v>17</v>
      </c>
    </row>
    <row r="1926" spans="1:12" x14ac:dyDescent="0.35">
      <c r="A1926" t="s">
        <v>42</v>
      </c>
      <c r="B1926">
        <v>1185732</v>
      </c>
      <c r="C1926" s="1">
        <v>44527</v>
      </c>
      <c r="D1926" t="s">
        <v>43</v>
      </c>
      <c r="E1926" t="s">
        <v>135</v>
      </c>
      <c r="F1926" t="s">
        <v>136</v>
      </c>
      <c r="G1926" t="s">
        <v>26</v>
      </c>
      <c r="H1926" s="2">
        <v>49</v>
      </c>
      <c r="I1926">
        <v>175</v>
      </c>
      <c r="J1926">
        <v>858</v>
      </c>
      <c r="K1926" s="4">
        <v>489</v>
      </c>
      <c r="L1926" t="s">
        <v>27</v>
      </c>
    </row>
    <row r="1927" spans="1:12" x14ac:dyDescent="0.35">
      <c r="A1927" t="s">
        <v>42</v>
      </c>
      <c r="B1927">
        <v>1128299</v>
      </c>
      <c r="C1927" s="1">
        <v>44341</v>
      </c>
      <c r="D1927" t="s">
        <v>13</v>
      </c>
      <c r="E1927" t="s">
        <v>99</v>
      </c>
      <c r="F1927" t="s">
        <v>100</v>
      </c>
      <c r="G1927" t="s">
        <v>26</v>
      </c>
      <c r="H1927" s="2">
        <v>39</v>
      </c>
      <c r="I1927">
        <v>175</v>
      </c>
      <c r="J1927">
        <v>683</v>
      </c>
      <c r="K1927" s="4">
        <v>273</v>
      </c>
      <c r="L1927" t="s">
        <v>27</v>
      </c>
    </row>
    <row r="1928" spans="1:12" x14ac:dyDescent="0.35">
      <c r="A1928" t="s">
        <v>18</v>
      </c>
      <c r="B1928">
        <v>1128299</v>
      </c>
      <c r="C1928" s="1">
        <v>44244</v>
      </c>
      <c r="D1928" t="s">
        <v>48</v>
      </c>
      <c r="E1928" t="s">
        <v>85</v>
      </c>
      <c r="F1928" t="s">
        <v>86</v>
      </c>
      <c r="G1928" t="s">
        <v>26</v>
      </c>
      <c r="H1928" s="2">
        <v>24</v>
      </c>
      <c r="I1928">
        <v>175</v>
      </c>
      <c r="J1928">
        <v>420</v>
      </c>
      <c r="K1928" s="4">
        <v>189</v>
      </c>
      <c r="L1928" t="s">
        <v>27</v>
      </c>
    </row>
    <row r="1929" spans="1:12" x14ac:dyDescent="0.35">
      <c r="A1929" t="s">
        <v>18</v>
      </c>
      <c r="B1929">
        <v>1128299</v>
      </c>
      <c r="C1929" s="1">
        <v>44457</v>
      </c>
      <c r="D1929" t="s">
        <v>19</v>
      </c>
      <c r="E1929" t="s">
        <v>20</v>
      </c>
      <c r="F1929" t="s">
        <v>21</v>
      </c>
      <c r="G1929" t="s">
        <v>26</v>
      </c>
      <c r="H1929" s="2">
        <v>33</v>
      </c>
      <c r="I1929">
        <v>175</v>
      </c>
      <c r="J1929">
        <v>578</v>
      </c>
      <c r="K1929" s="4">
        <v>243</v>
      </c>
      <c r="L1929" t="s">
        <v>27</v>
      </c>
    </row>
    <row r="1930" spans="1:12" x14ac:dyDescent="0.35">
      <c r="A1930" t="s">
        <v>18</v>
      </c>
      <c r="B1930">
        <v>1128299</v>
      </c>
      <c r="C1930" s="1">
        <v>44457</v>
      </c>
      <c r="D1930" t="s">
        <v>19</v>
      </c>
      <c r="E1930" t="s">
        <v>20</v>
      </c>
      <c r="F1930" t="s">
        <v>21</v>
      </c>
      <c r="G1930" t="s">
        <v>39</v>
      </c>
      <c r="H1930" s="2">
        <v>40</v>
      </c>
      <c r="I1930">
        <v>175</v>
      </c>
      <c r="J1930">
        <v>700</v>
      </c>
      <c r="K1930" s="4">
        <v>301</v>
      </c>
      <c r="L1930" t="s">
        <v>27</v>
      </c>
    </row>
    <row r="1931" spans="1:12" x14ac:dyDescent="0.35">
      <c r="A1931" t="s">
        <v>42</v>
      </c>
      <c r="B1931">
        <v>1128299</v>
      </c>
      <c r="C1931" s="1">
        <v>44309</v>
      </c>
      <c r="D1931" t="s">
        <v>48</v>
      </c>
      <c r="E1931" t="s">
        <v>123</v>
      </c>
      <c r="F1931" t="s">
        <v>124</v>
      </c>
      <c r="G1931" t="s">
        <v>26</v>
      </c>
      <c r="H1931" s="2">
        <v>40</v>
      </c>
      <c r="I1931">
        <v>175</v>
      </c>
      <c r="J1931">
        <v>700</v>
      </c>
      <c r="K1931" s="4">
        <v>266</v>
      </c>
      <c r="L1931" t="s">
        <v>27</v>
      </c>
    </row>
    <row r="1932" spans="1:12" x14ac:dyDescent="0.35">
      <c r="A1932" t="s">
        <v>42</v>
      </c>
      <c r="B1932">
        <v>1128299</v>
      </c>
      <c r="C1932" s="1">
        <v>44492</v>
      </c>
      <c r="D1932" t="s">
        <v>48</v>
      </c>
      <c r="E1932" t="s">
        <v>123</v>
      </c>
      <c r="F1932" t="s">
        <v>124</v>
      </c>
      <c r="G1932" t="s">
        <v>39</v>
      </c>
      <c r="H1932" s="2">
        <v>33</v>
      </c>
      <c r="I1932">
        <v>175</v>
      </c>
      <c r="J1932">
        <v>578</v>
      </c>
      <c r="K1932" s="4">
        <v>243</v>
      </c>
      <c r="L1932" t="s">
        <v>27</v>
      </c>
    </row>
    <row r="1933" spans="1:12" x14ac:dyDescent="0.35">
      <c r="A1933" t="s">
        <v>51</v>
      </c>
      <c r="B1933">
        <v>1185732</v>
      </c>
      <c r="C1933" s="1">
        <v>44387</v>
      </c>
      <c r="D1933" t="s">
        <v>43</v>
      </c>
      <c r="E1933" t="s">
        <v>125</v>
      </c>
      <c r="F1933" t="s">
        <v>126</v>
      </c>
      <c r="G1933" t="s">
        <v>16</v>
      </c>
      <c r="H1933" s="2">
        <v>49</v>
      </c>
      <c r="I1933">
        <v>175</v>
      </c>
      <c r="J1933">
        <v>858</v>
      </c>
      <c r="K1933" s="4">
        <v>403</v>
      </c>
      <c r="L1933" t="s">
        <v>27</v>
      </c>
    </row>
    <row r="1934" spans="1:12" x14ac:dyDescent="0.35">
      <c r="A1934" t="s">
        <v>23</v>
      </c>
      <c r="B1934">
        <v>1197831</v>
      </c>
      <c r="C1934" s="1">
        <v>44046</v>
      </c>
      <c r="D1934" t="s">
        <v>19</v>
      </c>
      <c r="E1934" t="s">
        <v>59</v>
      </c>
      <c r="F1934" t="s">
        <v>60</v>
      </c>
      <c r="G1934" t="s">
        <v>56</v>
      </c>
      <c r="H1934" s="2">
        <v>37</v>
      </c>
      <c r="I1934">
        <v>174</v>
      </c>
      <c r="J1934">
        <v>644</v>
      </c>
      <c r="K1934" s="4">
        <v>373</v>
      </c>
      <c r="L1934" t="s">
        <v>17</v>
      </c>
    </row>
    <row r="1935" spans="1:12" x14ac:dyDescent="0.35">
      <c r="A1935" t="s">
        <v>18</v>
      </c>
      <c r="B1935">
        <v>1128299</v>
      </c>
      <c r="C1935" s="1">
        <v>44187</v>
      </c>
      <c r="D1935" t="s">
        <v>48</v>
      </c>
      <c r="E1935" t="s">
        <v>66</v>
      </c>
      <c r="F1935" t="s">
        <v>67</v>
      </c>
      <c r="G1935" t="s">
        <v>56</v>
      </c>
      <c r="H1935" s="2">
        <v>58</v>
      </c>
      <c r="I1935">
        <v>174</v>
      </c>
      <c r="J1935" s="3">
        <v>1009</v>
      </c>
      <c r="K1935" s="4">
        <v>434</v>
      </c>
      <c r="L1935" t="s">
        <v>17</v>
      </c>
    </row>
    <row r="1936" spans="1:12" x14ac:dyDescent="0.35">
      <c r="A1936" t="s">
        <v>63</v>
      </c>
      <c r="B1936">
        <v>1189833</v>
      </c>
      <c r="C1936" s="1">
        <v>44298</v>
      </c>
      <c r="D1936" t="s">
        <v>48</v>
      </c>
      <c r="E1936" t="s">
        <v>66</v>
      </c>
      <c r="F1936" t="s">
        <v>76</v>
      </c>
      <c r="G1936" t="s">
        <v>16</v>
      </c>
      <c r="H1936" s="2">
        <v>62</v>
      </c>
      <c r="I1936">
        <v>174</v>
      </c>
      <c r="J1936" s="3">
        <v>1079</v>
      </c>
      <c r="K1936" s="4">
        <v>356</v>
      </c>
      <c r="L1936" t="s">
        <v>17</v>
      </c>
    </row>
    <row r="1937" spans="1:12" x14ac:dyDescent="0.35">
      <c r="A1937" t="s">
        <v>63</v>
      </c>
      <c r="B1937">
        <v>1189833</v>
      </c>
      <c r="C1937" s="1">
        <v>44333</v>
      </c>
      <c r="D1937" t="s">
        <v>48</v>
      </c>
      <c r="E1937" t="s">
        <v>66</v>
      </c>
      <c r="F1937" t="s">
        <v>76</v>
      </c>
      <c r="G1937" t="s">
        <v>70</v>
      </c>
      <c r="H1937" s="2">
        <v>56</v>
      </c>
      <c r="I1937">
        <v>174</v>
      </c>
      <c r="J1937">
        <v>974</v>
      </c>
      <c r="K1937" s="4">
        <v>663</v>
      </c>
      <c r="L1937" t="s">
        <v>17</v>
      </c>
    </row>
    <row r="1938" spans="1:12" x14ac:dyDescent="0.35">
      <c r="A1938" t="s">
        <v>63</v>
      </c>
      <c r="B1938">
        <v>1189833</v>
      </c>
      <c r="C1938" s="1">
        <v>44339</v>
      </c>
      <c r="D1938" t="s">
        <v>48</v>
      </c>
      <c r="E1938" t="s">
        <v>66</v>
      </c>
      <c r="F1938" t="s">
        <v>76</v>
      </c>
      <c r="G1938" t="s">
        <v>70</v>
      </c>
      <c r="H1938" s="2">
        <v>55</v>
      </c>
      <c r="I1938">
        <v>174</v>
      </c>
      <c r="J1938">
        <v>957</v>
      </c>
      <c r="K1938" s="4">
        <v>660</v>
      </c>
      <c r="L1938" t="s">
        <v>17</v>
      </c>
    </row>
    <row r="1939" spans="1:12" x14ac:dyDescent="0.35">
      <c r="A1939" t="s">
        <v>23</v>
      </c>
      <c r="B1939">
        <v>1197831</v>
      </c>
      <c r="C1939" s="1">
        <v>44452</v>
      </c>
      <c r="D1939" t="s">
        <v>19</v>
      </c>
      <c r="E1939" t="s">
        <v>59</v>
      </c>
      <c r="F1939" t="s">
        <v>68</v>
      </c>
      <c r="G1939" t="s">
        <v>56</v>
      </c>
      <c r="H1939" s="2">
        <v>43</v>
      </c>
      <c r="I1939">
        <v>174</v>
      </c>
      <c r="J1939">
        <v>748</v>
      </c>
      <c r="K1939" s="4">
        <v>412</v>
      </c>
      <c r="L1939" t="s">
        <v>17</v>
      </c>
    </row>
    <row r="1940" spans="1:12" x14ac:dyDescent="0.35">
      <c r="A1940" t="s">
        <v>18</v>
      </c>
      <c r="B1940">
        <v>1128299</v>
      </c>
      <c r="C1940" s="1">
        <v>43867</v>
      </c>
      <c r="D1940" t="s">
        <v>48</v>
      </c>
      <c r="E1940" t="s">
        <v>116</v>
      </c>
      <c r="F1940" t="s">
        <v>117</v>
      </c>
      <c r="G1940" t="s">
        <v>16</v>
      </c>
      <c r="H1940" s="2">
        <v>73</v>
      </c>
      <c r="I1940">
        <v>174</v>
      </c>
      <c r="J1940" s="3">
        <v>1270</v>
      </c>
      <c r="K1940" s="4">
        <v>508</v>
      </c>
      <c r="L1940" t="s">
        <v>17</v>
      </c>
    </row>
    <row r="1941" spans="1:12" x14ac:dyDescent="0.35">
      <c r="A1941" t="s">
        <v>18</v>
      </c>
      <c r="B1941">
        <v>1128299</v>
      </c>
      <c r="C1941" s="1">
        <v>43869</v>
      </c>
      <c r="D1941" t="s">
        <v>48</v>
      </c>
      <c r="E1941" t="s">
        <v>116</v>
      </c>
      <c r="F1941" t="s">
        <v>117</v>
      </c>
      <c r="G1941" t="s">
        <v>39</v>
      </c>
      <c r="H1941" s="2">
        <v>61</v>
      </c>
      <c r="I1941">
        <v>174</v>
      </c>
      <c r="J1941" s="3">
        <v>1061</v>
      </c>
      <c r="K1941" s="4">
        <v>382</v>
      </c>
      <c r="L1941" t="s">
        <v>17</v>
      </c>
    </row>
    <row r="1942" spans="1:12" x14ac:dyDescent="0.35">
      <c r="A1942" t="s">
        <v>18</v>
      </c>
      <c r="B1942">
        <v>1128299</v>
      </c>
      <c r="C1942" s="1">
        <v>43880</v>
      </c>
      <c r="D1942" t="s">
        <v>48</v>
      </c>
      <c r="E1942" t="s">
        <v>116</v>
      </c>
      <c r="F1942" t="s">
        <v>117</v>
      </c>
      <c r="G1942" t="s">
        <v>26</v>
      </c>
      <c r="H1942" s="2">
        <v>56</v>
      </c>
      <c r="I1942">
        <v>174</v>
      </c>
      <c r="J1942">
        <v>974</v>
      </c>
      <c r="K1942" s="4">
        <v>468</v>
      </c>
      <c r="L1942" t="s">
        <v>17</v>
      </c>
    </row>
    <row r="1943" spans="1:12" x14ac:dyDescent="0.35">
      <c r="A1943" t="s">
        <v>18</v>
      </c>
      <c r="B1943">
        <v>1128299</v>
      </c>
      <c r="C1943" s="1">
        <v>44026</v>
      </c>
      <c r="D1943" t="s">
        <v>48</v>
      </c>
      <c r="E1943" t="s">
        <v>97</v>
      </c>
      <c r="F1943" t="s">
        <v>98</v>
      </c>
      <c r="G1943" t="s">
        <v>39</v>
      </c>
      <c r="H1943" s="2">
        <v>71</v>
      </c>
      <c r="I1943">
        <v>174</v>
      </c>
      <c r="J1943" s="3">
        <v>1235</v>
      </c>
      <c r="K1943" s="4">
        <v>432</v>
      </c>
      <c r="L1943" t="s">
        <v>17</v>
      </c>
    </row>
    <row r="1944" spans="1:12" x14ac:dyDescent="0.35">
      <c r="A1944" t="s">
        <v>23</v>
      </c>
      <c r="B1944">
        <v>1197831</v>
      </c>
      <c r="C1944" s="1">
        <v>44298</v>
      </c>
      <c r="D1944" t="s">
        <v>19</v>
      </c>
      <c r="E1944" t="s">
        <v>74</v>
      </c>
      <c r="F1944" t="s">
        <v>75</v>
      </c>
      <c r="G1944" t="s">
        <v>56</v>
      </c>
      <c r="H1944" s="2">
        <v>36</v>
      </c>
      <c r="I1944">
        <v>174</v>
      </c>
      <c r="J1944">
        <v>626</v>
      </c>
      <c r="K1944" s="4">
        <v>382</v>
      </c>
      <c r="L1944" t="s">
        <v>17</v>
      </c>
    </row>
    <row r="1945" spans="1:12" x14ac:dyDescent="0.35">
      <c r="A1945" t="s">
        <v>23</v>
      </c>
      <c r="B1945">
        <v>1197831</v>
      </c>
      <c r="C1945" s="1">
        <v>44327</v>
      </c>
      <c r="D1945" t="s">
        <v>19</v>
      </c>
      <c r="E1945" t="s">
        <v>74</v>
      </c>
      <c r="F1945" t="s">
        <v>75</v>
      </c>
      <c r="G1945" t="s">
        <v>32</v>
      </c>
      <c r="H1945" s="2">
        <v>50</v>
      </c>
      <c r="I1945">
        <v>174</v>
      </c>
      <c r="J1945">
        <v>870</v>
      </c>
      <c r="K1945" s="4">
        <v>487</v>
      </c>
      <c r="L1945" t="s">
        <v>17</v>
      </c>
    </row>
    <row r="1946" spans="1:12" x14ac:dyDescent="0.35">
      <c r="A1946" t="s">
        <v>23</v>
      </c>
      <c r="B1946">
        <v>1197831</v>
      </c>
      <c r="C1946" s="1">
        <v>44416</v>
      </c>
      <c r="D1946" t="s">
        <v>19</v>
      </c>
      <c r="E1946" t="s">
        <v>24</v>
      </c>
      <c r="F1946" t="s">
        <v>25</v>
      </c>
      <c r="G1946" t="s">
        <v>39</v>
      </c>
      <c r="H1946" s="2">
        <v>33</v>
      </c>
      <c r="I1946">
        <v>174</v>
      </c>
      <c r="J1946">
        <v>574</v>
      </c>
      <c r="K1946" s="4">
        <v>310</v>
      </c>
      <c r="L1946" t="s">
        <v>17</v>
      </c>
    </row>
    <row r="1947" spans="1:12" x14ac:dyDescent="0.35">
      <c r="A1947" t="s">
        <v>51</v>
      </c>
      <c r="B1947">
        <v>1185732</v>
      </c>
      <c r="C1947" s="1">
        <v>44550</v>
      </c>
      <c r="D1947" t="s">
        <v>48</v>
      </c>
      <c r="E1947" t="s">
        <v>137</v>
      </c>
      <c r="F1947" t="s">
        <v>138</v>
      </c>
      <c r="G1947" t="s">
        <v>26</v>
      </c>
      <c r="H1947" s="2">
        <v>69</v>
      </c>
      <c r="I1947">
        <v>174</v>
      </c>
      <c r="J1947" s="3">
        <v>1201</v>
      </c>
      <c r="K1947" s="4">
        <v>564</v>
      </c>
      <c r="L1947" t="s">
        <v>17</v>
      </c>
    </row>
    <row r="1948" spans="1:12" x14ac:dyDescent="0.35">
      <c r="A1948" t="s">
        <v>18</v>
      </c>
      <c r="B1948">
        <v>1128299</v>
      </c>
      <c r="C1948" s="1">
        <v>44546</v>
      </c>
      <c r="D1948" t="s">
        <v>13</v>
      </c>
      <c r="E1948" t="s">
        <v>14</v>
      </c>
      <c r="F1948" t="s">
        <v>15</v>
      </c>
      <c r="G1948" t="s">
        <v>32</v>
      </c>
      <c r="H1948" s="2">
        <v>75</v>
      </c>
      <c r="I1948">
        <v>174</v>
      </c>
      <c r="J1948" s="3">
        <v>1305</v>
      </c>
      <c r="K1948" s="4">
        <v>522</v>
      </c>
      <c r="L1948" t="s">
        <v>17</v>
      </c>
    </row>
    <row r="1949" spans="1:12" x14ac:dyDescent="0.35">
      <c r="A1949" t="s">
        <v>18</v>
      </c>
      <c r="B1949">
        <v>1185732</v>
      </c>
      <c r="C1949" s="1">
        <v>44237</v>
      </c>
      <c r="D1949" t="s">
        <v>13</v>
      </c>
      <c r="E1949" t="s">
        <v>14</v>
      </c>
      <c r="F1949" t="s">
        <v>15</v>
      </c>
      <c r="G1949" t="s">
        <v>32</v>
      </c>
      <c r="H1949" s="2">
        <v>33</v>
      </c>
      <c r="I1949">
        <v>174</v>
      </c>
      <c r="J1949">
        <v>574</v>
      </c>
      <c r="K1949" s="4">
        <v>212</v>
      </c>
      <c r="L1949" t="s">
        <v>17</v>
      </c>
    </row>
    <row r="1950" spans="1:12" x14ac:dyDescent="0.35">
      <c r="A1950" t="s">
        <v>63</v>
      </c>
      <c r="B1950">
        <v>1185732</v>
      </c>
      <c r="C1950" s="1">
        <v>44239</v>
      </c>
      <c r="D1950" t="s">
        <v>48</v>
      </c>
      <c r="E1950" t="s">
        <v>102</v>
      </c>
      <c r="F1950" t="s">
        <v>103</v>
      </c>
      <c r="G1950" t="s">
        <v>16</v>
      </c>
      <c r="H1950" s="2">
        <v>38</v>
      </c>
      <c r="I1950">
        <v>174</v>
      </c>
      <c r="J1950">
        <v>661</v>
      </c>
      <c r="K1950" s="4">
        <v>258</v>
      </c>
      <c r="L1950" t="s">
        <v>17</v>
      </c>
    </row>
    <row r="1951" spans="1:12" x14ac:dyDescent="0.35">
      <c r="A1951" t="s">
        <v>63</v>
      </c>
      <c r="B1951">
        <v>1185732</v>
      </c>
      <c r="C1951" s="1">
        <v>44449</v>
      </c>
      <c r="D1951" t="s">
        <v>48</v>
      </c>
      <c r="E1951" t="s">
        <v>102</v>
      </c>
      <c r="F1951" t="s">
        <v>103</v>
      </c>
      <c r="G1951" t="s">
        <v>16</v>
      </c>
      <c r="H1951" s="2">
        <v>52</v>
      </c>
      <c r="I1951">
        <v>174</v>
      </c>
      <c r="J1951">
        <v>905</v>
      </c>
      <c r="K1951" s="4">
        <v>362</v>
      </c>
      <c r="L1951" t="s">
        <v>17</v>
      </c>
    </row>
    <row r="1952" spans="1:12" x14ac:dyDescent="0.35">
      <c r="A1952" t="s">
        <v>63</v>
      </c>
      <c r="B1952">
        <v>1185732</v>
      </c>
      <c r="C1952" s="1">
        <v>44481</v>
      </c>
      <c r="D1952" t="s">
        <v>48</v>
      </c>
      <c r="E1952" t="s">
        <v>102</v>
      </c>
      <c r="F1952" t="s">
        <v>103</v>
      </c>
      <c r="G1952" t="s">
        <v>39</v>
      </c>
      <c r="H1952" s="2">
        <v>44</v>
      </c>
      <c r="I1952">
        <v>174</v>
      </c>
      <c r="J1952">
        <v>766</v>
      </c>
      <c r="K1952" s="4">
        <v>306</v>
      </c>
      <c r="L1952" t="s">
        <v>17</v>
      </c>
    </row>
    <row r="1953" spans="1:12" x14ac:dyDescent="0.35">
      <c r="A1953" t="s">
        <v>42</v>
      </c>
      <c r="B1953">
        <v>1185732</v>
      </c>
      <c r="C1953" s="1">
        <v>44540</v>
      </c>
      <c r="D1953" t="s">
        <v>48</v>
      </c>
      <c r="E1953" t="s">
        <v>102</v>
      </c>
      <c r="F1953" t="s">
        <v>103</v>
      </c>
      <c r="G1953" t="s">
        <v>16</v>
      </c>
      <c r="H1953" s="2">
        <v>56</v>
      </c>
      <c r="I1953">
        <v>174</v>
      </c>
      <c r="J1953">
        <v>974</v>
      </c>
      <c r="K1953" s="4">
        <v>351</v>
      </c>
      <c r="L1953" t="s">
        <v>17</v>
      </c>
    </row>
    <row r="1954" spans="1:12" x14ac:dyDescent="0.35">
      <c r="A1954" t="s">
        <v>23</v>
      </c>
      <c r="B1954">
        <v>1185732</v>
      </c>
      <c r="C1954" s="1">
        <v>44454</v>
      </c>
      <c r="D1954" t="s">
        <v>33</v>
      </c>
      <c r="E1954" t="s">
        <v>45</v>
      </c>
      <c r="F1954" t="s">
        <v>46</v>
      </c>
      <c r="G1954" t="s">
        <v>39</v>
      </c>
      <c r="H1954" s="2">
        <v>37</v>
      </c>
      <c r="I1954">
        <v>174</v>
      </c>
      <c r="J1954">
        <v>644</v>
      </c>
      <c r="K1954" s="4">
        <v>328</v>
      </c>
      <c r="L1954" t="s">
        <v>17</v>
      </c>
    </row>
    <row r="1955" spans="1:12" x14ac:dyDescent="0.35">
      <c r="A1955" t="s">
        <v>42</v>
      </c>
      <c r="B1955">
        <v>1185732</v>
      </c>
      <c r="C1955" s="1">
        <v>44458</v>
      </c>
      <c r="D1955" t="s">
        <v>33</v>
      </c>
      <c r="E1955" t="s">
        <v>34</v>
      </c>
      <c r="F1955" t="s">
        <v>35</v>
      </c>
      <c r="G1955" t="s">
        <v>26</v>
      </c>
      <c r="H1955" s="2">
        <v>32</v>
      </c>
      <c r="I1955">
        <v>174</v>
      </c>
      <c r="J1955">
        <v>557</v>
      </c>
      <c r="K1955" s="4">
        <v>278</v>
      </c>
      <c r="L1955" t="s">
        <v>17</v>
      </c>
    </row>
    <row r="1956" spans="1:12" x14ac:dyDescent="0.35">
      <c r="A1956" t="s">
        <v>18</v>
      </c>
      <c r="B1956">
        <v>1185732</v>
      </c>
      <c r="C1956" s="1">
        <v>44328</v>
      </c>
      <c r="D1956" t="s">
        <v>48</v>
      </c>
      <c r="E1956" t="s">
        <v>49</v>
      </c>
      <c r="F1956" t="s">
        <v>50</v>
      </c>
      <c r="G1956" t="s">
        <v>26</v>
      </c>
      <c r="H1956" s="2">
        <v>32</v>
      </c>
      <c r="I1956">
        <v>174</v>
      </c>
      <c r="J1956">
        <v>557</v>
      </c>
      <c r="K1956" s="4">
        <v>284</v>
      </c>
      <c r="L1956" t="s">
        <v>17</v>
      </c>
    </row>
    <row r="1957" spans="1:12" x14ac:dyDescent="0.35">
      <c r="A1957" t="s">
        <v>18</v>
      </c>
      <c r="B1957">
        <v>1128299</v>
      </c>
      <c r="C1957" s="1">
        <v>44517</v>
      </c>
      <c r="D1957" t="s">
        <v>19</v>
      </c>
      <c r="E1957" t="s">
        <v>20</v>
      </c>
      <c r="F1957" t="s">
        <v>21</v>
      </c>
      <c r="G1957" t="s">
        <v>16</v>
      </c>
      <c r="H1957" s="2">
        <v>81</v>
      </c>
      <c r="I1957">
        <v>174</v>
      </c>
      <c r="J1957" s="3">
        <v>1409</v>
      </c>
      <c r="K1957" s="4">
        <v>677</v>
      </c>
      <c r="L1957" t="s">
        <v>17</v>
      </c>
    </row>
    <row r="1958" spans="1:12" x14ac:dyDescent="0.35">
      <c r="A1958" t="s">
        <v>42</v>
      </c>
      <c r="B1958">
        <v>1197831</v>
      </c>
      <c r="C1958" s="1">
        <v>44231</v>
      </c>
      <c r="D1958" t="s">
        <v>19</v>
      </c>
      <c r="E1958" t="s">
        <v>20</v>
      </c>
      <c r="F1958" t="s">
        <v>21</v>
      </c>
      <c r="G1958" t="s">
        <v>39</v>
      </c>
      <c r="H1958" s="2">
        <v>32</v>
      </c>
      <c r="I1958">
        <v>174</v>
      </c>
      <c r="J1958">
        <v>557</v>
      </c>
      <c r="K1958" s="4">
        <v>234</v>
      </c>
      <c r="L1958" t="s">
        <v>17</v>
      </c>
    </row>
    <row r="1959" spans="1:12" x14ac:dyDescent="0.35">
      <c r="A1959" t="s">
        <v>18</v>
      </c>
      <c r="B1959">
        <v>1197831</v>
      </c>
      <c r="C1959" s="1">
        <v>44351</v>
      </c>
      <c r="D1959" t="s">
        <v>48</v>
      </c>
      <c r="E1959" t="s">
        <v>79</v>
      </c>
      <c r="F1959" t="s">
        <v>80</v>
      </c>
      <c r="G1959" t="s">
        <v>32</v>
      </c>
      <c r="H1959" s="2">
        <v>47</v>
      </c>
      <c r="I1959">
        <v>174</v>
      </c>
      <c r="J1959">
        <v>818</v>
      </c>
      <c r="K1959" s="4">
        <v>393</v>
      </c>
      <c r="L1959" t="s">
        <v>17</v>
      </c>
    </row>
    <row r="1960" spans="1:12" x14ac:dyDescent="0.35">
      <c r="A1960" t="s">
        <v>12</v>
      </c>
      <c r="B1960">
        <v>1197831</v>
      </c>
      <c r="C1960" s="1">
        <v>44306</v>
      </c>
      <c r="D1960" t="s">
        <v>19</v>
      </c>
      <c r="E1960" t="s">
        <v>54</v>
      </c>
      <c r="F1960" t="s">
        <v>55</v>
      </c>
      <c r="G1960" t="s">
        <v>26</v>
      </c>
      <c r="H1960" s="2">
        <v>23</v>
      </c>
      <c r="I1960">
        <v>174</v>
      </c>
      <c r="J1960">
        <v>400</v>
      </c>
      <c r="K1960" s="4">
        <v>216</v>
      </c>
      <c r="L1960" t="s">
        <v>17</v>
      </c>
    </row>
    <row r="1961" spans="1:12" x14ac:dyDescent="0.35">
      <c r="A1961" t="s">
        <v>23</v>
      </c>
      <c r="B1961">
        <v>1197831</v>
      </c>
      <c r="C1961" s="1">
        <v>44488</v>
      </c>
      <c r="D1961" t="s">
        <v>19</v>
      </c>
      <c r="E1961" t="s">
        <v>59</v>
      </c>
      <c r="F1961" t="s">
        <v>68</v>
      </c>
      <c r="G1961" t="s">
        <v>56</v>
      </c>
      <c r="H1961" s="2">
        <v>59</v>
      </c>
      <c r="I1961">
        <v>173</v>
      </c>
      <c r="J1961" s="3">
        <v>1021</v>
      </c>
      <c r="K1961" s="4">
        <v>633</v>
      </c>
      <c r="L1961" t="s">
        <v>17</v>
      </c>
    </row>
    <row r="1962" spans="1:12" x14ac:dyDescent="0.35">
      <c r="A1962" t="s">
        <v>63</v>
      </c>
      <c r="B1962">
        <v>1189833</v>
      </c>
      <c r="C1962" s="1">
        <v>44205</v>
      </c>
      <c r="D1962" t="s">
        <v>33</v>
      </c>
      <c r="E1962" t="s">
        <v>131</v>
      </c>
      <c r="F1962" t="s">
        <v>132</v>
      </c>
      <c r="G1962" t="s">
        <v>26</v>
      </c>
      <c r="H1962" s="2">
        <v>32</v>
      </c>
      <c r="I1962">
        <v>173</v>
      </c>
      <c r="J1962">
        <v>554</v>
      </c>
      <c r="K1962" s="4">
        <v>304</v>
      </c>
      <c r="L1962" t="s">
        <v>17</v>
      </c>
    </row>
    <row r="1963" spans="1:12" x14ac:dyDescent="0.35">
      <c r="A1963" t="s">
        <v>63</v>
      </c>
      <c r="B1963">
        <v>1189833</v>
      </c>
      <c r="C1963" s="1">
        <v>44254</v>
      </c>
      <c r="D1963" t="s">
        <v>33</v>
      </c>
      <c r="E1963" t="s">
        <v>131</v>
      </c>
      <c r="F1963" t="s">
        <v>132</v>
      </c>
      <c r="G1963" t="s">
        <v>39</v>
      </c>
      <c r="H1963" s="2">
        <v>42</v>
      </c>
      <c r="I1963">
        <v>173</v>
      </c>
      <c r="J1963">
        <v>727</v>
      </c>
      <c r="K1963" s="4">
        <v>298</v>
      </c>
      <c r="L1963" t="s">
        <v>17</v>
      </c>
    </row>
    <row r="1964" spans="1:12" x14ac:dyDescent="0.35">
      <c r="A1964" t="s">
        <v>23</v>
      </c>
      <c r="B1964">
        <v>1197831</v>
      </c>
      <c r="C1964" s="1">
        <v>44319</v>
      </c>
      <c r="D1964" t="s">
        <v>19</v>
      </c>
      <c r="E1964" t="s">
        <v>74</v>
      </c>
      <c r="F1964" t="s">
        <v>75</v>
      </c>
      <c r="G1964" t="s">
        <v>26</v>
      </c>
      <c r="H1964" s="2">
        <v>33</v>
      </c>
      <c r="I1964">
        <v>173</v>
      </c>
      <c r="J1964">
        <v>571</v>
      </c>
      <c r="K1964" s="4">
        <v>325</v>
      </c>
      <c r="L1964" t="s">
        <v>17</v>
      </c>
    </row>
    <row r="1965" spans="1:12" x14ac:dyDescent="0.35">
      <c r="A1965" t="s">
        <v>23</v>
      </c>
      <c r="B1965">
        <v>1197831</v>
      </c>
      <c r="C1965" s="1">
        <v>44435</v>
      </c>
      <c r="D1965" t="s">
        <v>19</v>
      </c>
      <c r="E1965" t="s">
        <v>24</v>
      </c>
      <c r="F1965" t="s">
        <v>25</v>
      </c>
      <c r="G1965" t="s">
        <v>32</v>
      </c>
      <c r="H1965" s="2">
        <v>15</v>
      </c>
      <c r="I1965">
        <v>173</v>
      </c>
      <c r="J1965">
        <v>260</v>
      </c>
      <c r="K1965" s="4">
        <v>145</v>
      </c>
      <c r="L1965" t="s">
        <v>17</v>
      </c>
    </row>
    <row r="1966" spans="1:12" x14ac:dyDescent="0.35">
      <c r="A1966" t="s">
        <v>23</v>
      </c>
      <c r="B1966">
        <v>1197831</v>
      </c>
      <c r="C1966" s="1">
        <v>44448</v>
      </c>
      <c r="D1966" t="s">
        <v>19</v>
      </c>
      <c r="E1966" t="s">
        <v>24</v>
      </c>
      <c r="F1966" t="s">
        <v>25</v>
      </c>
      <c r="G1966" t="s">
        <v>56</v>
      </c>
      <c r="H1966" s="2">
        <v>44</v>
      </c>
      <c r="I1966">
        <v>173</v>
      </c>
      <c r="J1966">
        <v>761</v>
      </c>
      <c r="K1966" s="4">
        <v>563</v>
      </c>
      <c r="L1966" t="s">
        <v>17</v>
      </c>
    </row>
    <row r="1967" spans="1:12" x14ac:dyDescent="0.35">
      <c r="A1967" t="s">
        <v>51</v>
      </c>
      <c r="B1967">
        <v>1185732</v>
      </c>
      <c r="C1967" s="1">
        <v>44249</v>
      </c>
      <c r="D1967" t="s">
        <v>48</v>
      </c>
      <c r="E1967" t="s">
        <v>137</v>
      </c>
      <c r="F1967" t="s">
        <v>138</v>
      </c>
      <c r="G1967" t="s">
        <v>26</v>
      </c>
      <c r="H1967" s="2">
        <v>51</v>
      </c>
      <c r="I1967">
        <v>173</v>
      </c>
      <c r="J1967">
        <v>882</v>
      </c>
      <c r="K1967" s="4">
        <v>415</v>
      </c>
      <c r="L1967" t="s">
        <v>17</v>
      </c>
    </row>
    <row r="1968" spans="1:12" x14ac:dyDescent="0.35">
      <c r="A1968" t="s">
        <v>12</v>
      </c>
      <c r="B1968">
        <v>1128299</v>
      </c>
      <c r="C1968" s="1">
        <v>44334</v>
      </c>
      <c r="D1968" t="s">
        <v>13</v>
      </c>
      <c r="E1968" t="s">
        <v>14</v>
      </c>
      <c r="F1968" t="s">
        <v>15</v>
      </c>
      <c r="G1968" t="s">
        <v>16</v>
      </c>
      <c r="H1968" s="2">
        <v>67</v>
      </c>
      <c r="I1968">
        <v>173</v>
      </c>
      <c r="J1968" s="3">
        <v>1159</v>
      </c>
      <c r="K1968" s="4">
        <v>672</v>
      </c>
      <c r="L1968" t="s">
        <v>17</v>
      </c>
    </row>
    <row r="1969" spans="1:12" x14ac:dyDescent="0.35">
      <c r="A1969" t="s">
        <v>23</v>
      </c>
      <c r="B1969">
        <v>1185732</v>
      </c>
      <c r="C1969" s="1">
        <v>44392</v>
      </c>
      <c r="D1969" t="s">
        <v>33</v>
      </c>
      <c r="E1969" t="s">
        <v>45</v>
      </c>
      <c r="F1969" t="s">
        <v>46</v>
      </c>
      <c r="G1969" t="s">
        <v>32</v>
      </c>
      <c r="H1969" s="2">
        <v>46</v>
      </c>
      <c r="I1969">
        <v>173</v>
      </c>
      <c r="J1969">
        <v>796</v>
      </c>
      <c r="K1969" s="4">
        <v>358</v>
      </c>
      <c r="L1969" t="s">
        <v>17</v>
      </c>
    </row>
    <row r="1970" spans="1:12" x14ac:dyDescent="0.35">
      <c r="A1970" t="s">
        <v>23</v>
      </c>
      <c r="B1970">
        <v>1185732</v>
      </c>
      <c r="C1970" s="1">
        <v>44454</v>
      </c>
      <c r="D1970" t="s">
        <v>33</v>
      </c>
      <c r="E1970" t="s">
        <v>45</v>
      </c>
      <c r="F1970" t="s">
        <v>46</v>
      </c>
      <c r="G1970" t="s">
        <v>16</v>
      </c>
      <c r="H1970" s="2">
        <v>48</v>
      </c>
      <c r="I1970">
        <v>173</v>
      </c>
      <c r="J1970">
        <v>830</v>
      </c>
      <c r="K1970" s="4">
        <v>540</v>
      </c>
      <c r="L1970" t="s">
        <v>17</v>
      </c>
    </row>
    <row r="1971" spans="1:12" x14ac:dyDescent="0.35">
      <c r="A1971" t="s">
        <v>18</v>
      </c>
      <c r="B1971">
        <v>1185732</v>
      </c>
      <c r="C1971" s="1">
        <v>44480</v>
      </c>
      <c r="D1971" t="s">
        <v>48</v>
      </c>
      <c r="E1971" t="s">
        <v>49</v>
      </c>
      <c r="F1971" t="s">
        <v>50</v>
      </c>
      <c r="G1971" t="s">
        <v>26</v>
      </c>
      <c r="H1971" s="2">
        <v>28</v>
      </c>
      <c r="I1971">
        <v>173</v>
      </c>
      <c r="J1971">
        <v>484</v>
      </c>
      <c r="K1971" s="4">
        <v>247</v>
      </c>
      <c r="L1971" t="s">
        <v>17</v>
      </c>
    </row>
    <row r="1972" spans="1:12" x14ac:dyDescent="0.35">
      <c r="A1972" t="s">
        <v>18</v>
      </c>
      <c r="B1972">
        <v>1128299</v>
      </c>
      <c r="C1972" s="1">
        <v>44524</v>
      </c>
      <c r="D1972" t="s">
        <v>48</v>
      </c>
      <c r="E1972" t="s">
        <v>85</v>
      </c>
      <c r="F1972" t="s">
        <v>86</v>
      </c>
      <c r="G1972" t="s">
        <v>26</v>
      </c>
      <c r="H1972" s="2">
        <v>44</v>
      </c>
      <c r="I1972">
        <v>173</v>
      </c>
      <c r="J1972">
        <v>761</v>
      </c>
      <c r="K1972" s="4">
        <v>350</v>
      </c>
      <c r="L1972" t="s">
        <v>17</v>
      </c>
    </row>
    <row r="1973" spans="1:12" x14ac:dyDescent="0.35">
      <c r="A1973" t="s">
        <v>18</v>
      </c>
      <c r="B1973">
        <v>1128299</v>
      </c>
      <c r="C1973" s="1">
        <v>44553</v>
      </c>
      <c r="D1973" t="s">
        <v>48</v>
      </c>
      <c r="E1973" t="s">
        <v>85</v>
      </c>
      <c r="F1973" t="s">
        <v>86</v>
      </c>
      <c r="G1973" t="s">
        <v>16</v>
      </c>
      <c r="H1973" s="2">
        <v>77</v>
      </c>
      <c r="I1973">
        <v>173</v>
      </c>
      <c r="J1973" s="3">
        <v>1332</v>
      </c>
      <c r="K1973" s="4">
        <v>533</v>
      </c>
      <c r="L1973" t="s">
        <v>17</v>
      </c>
    </row>
    <row r="1974" spans="1:12" x14ac:dyDescent="0.35">
      <c r="A1974" t="s">
        <v>23</v>
      </c>
      <c r="B1974">
        <v>1197831</v>
      </c>
      <c r="C1974" s="1">
        <v>44473</v>
      </c>
      <c r="D1974" t="s">
        <v>48</v>
      </c>
      <c r="E1974" t="s">
        <v>79</v>
      </c>
      <c r="F1974" t="s">
        <v>80</v>
      </c>
      <c r="G1974" t="s">
        <v>39</v>
      </c>
      <c r="H1974" s="2">
        <v>37</v>
      </c>
      <c r="I1974">
        <v>173</v>
      </c>
      <c r="J1974">
        <v>640</v>
      </c>
      <c r="K1974" s="4">
        <v>346</v>
      </c>
      <c r="L1974" t="s">
        <v>17</v>
      </c>
    </row>
    <row r="1975" spans="1:12" x14ac:dyDescent="0.35">
      <c r="A1975" t="s">
        <v>23</v>
      </c>
      <c r="B1975">
        <v>1128299</v>
      </c>
      <c r="C1975" s="1">
        <v>44389</v>
      </c>
      <c r="D1975" t="s">
        <v>13</v>
      </c>
      <c r="E1975" t="s">
        <v>57</v>
      </c>
      <c r="F1975" t="s">
        <v>58</v>
      </c>
      <c r="G1975" t="s">
        <v>39</v>
      </c>
      <c r="H1975" s="2">
        <v>51</v>
      </c>
      <c r="I1975">
        <v>173</v>
      </c>
      <c r="J1975">
        <v>882</v>
      </c>
      <c r="K1975" s="4">
        <v>450</v>
      </c>
      <c r="L1975" t="s">
        <v>17</v>
      </c>
    </row>
    <row r="1976" spans="1:12" x14ac:dyDescent="0.35">
      <c r="A1976" t="s">
        <v>23</v>
      </c>
      <c r="B1976">
        <v>1128299</v>
      </c>
      <c r="C1976" s="1">
        <v>44513</v>
      </c>
      <c r="D1976" t="s">
        <v>13</v>
      </c>
      <c r="E1976" t="s">
        <v>57</v>
      </c>
      <c r="F1976" t="s">
        <v>58</v>
      </c>
      <c r="G1976" t="s">
        <v>39</v>
      </c>
      <c r="H1976" s="2">
        <v>58</v>
      </c>
      <c r="I1976">
        <v>173</v>
      </c>
      <c r="J1976" s="3">
        <v>1003</v>
      </c>
      <c r="K1976" s="4">
        <v>542</v>
      </c>
      <c r="L1976" t="s">
        <v>17</v>
      </c>
    </row>
    <row r="1977" spans="1:12" x14ac:dyDescent="0.35">
      <c r="A1977" t="s">
        <v>23</v>
      </c>
      <c r="B1977">
        <v>1185732</v>
      </c>
      <c r="C1977" s="1">
        <v>44202</v>
      </c>
      <c r="D1977" t="s">
        <v>13</v>
      </c>
      <c r="E1977" t="s">
        <v>69</v>
      </c>
      <c r="F1977" t="s">
        <v>65</v>
      </c>
      <c r="G1977" t="s">
        <v>56</v>
      </c>
      <c r="H1977" s="2">
        <v>29</v>
      </c>
      <c r="I1977">
        <v>173</v>
      </c>
      <c r="J1977">
        <v>502</v>
      </c>
      <c r="K1977" s="4">
        <v>276</v>
      </c>
      <c r="L1977" t="s">
        <v>17</v>
      </c>
    </row>
    <row r="1978" spans="1:12" x14ac:dyDescent="0.35">
      <c r="A1978" t="s">
        <v>51</v>
      </c>
      <c r="B1978">
        <v>1185732</v>
      </c>
      <c r="C1978" s="1">
        <v>44209</v>
      </c>
      <c r="D1978" t="s">
        <v>13</v>
      </c>
      <c r="E1978" t="s">
        <v>77</v>
      </c>
      <c r="F1978" t="s">
        <v>78</v>
      </c>
      <c r="G1978" t="s">
        <v>16</v>
      </c>
      <c r="H1978" s="2">
        <v>32</v>
      </c>
      <c r="I1978">
        <v>173</v>
      </c>
      <c r="J1978">
        <v>554</v>
      </c>
      <c r="K1978" s="4">
        <v>360</v>
      </c>
      <c r="L1978" t="s">
        <v>17</v>
      </c>
    </row>
    <row r="1979" spans="1:12" x14ac:dyDescent="0.35">
      <c r="A1979" t="s">
        <v>51</v>
      </c>
      <c r="B1979">
        <v>1185732</v>
      </c>
      <c r="C1979" s="1">
        <v>44386</v>
      </c>
      <c r="D1979" t="s">
        <v>33</v>
      </c>
      <c r="E1979" t="s">
        <v>52</v>
      </c>
      <c r="F1979" t="s">
        <v>53</v>
      </c>
      <c r="G1979" t="s">
        <v>32</v>
      </c>
      <c r="H1979" s="2">
        <v>51</v>
      </c>
      <c r="I1979">
        <v>173</v>
      </c>
      <c r="J1979">
        <v>882</v>
      </c>
      <c r="K1979" s="4">
        <v>450</v>
      </c>
      <c r="L1979" t="s">
        <v>17</v>
      </c>
    </row>
    <row r="1980" spans="1:12" x14ac:dyDescent="0.35">
      <c r="A1980" t="s">
        <v>51</v>
      </c>
      <c r="B1980">
        <v>1185732</v>
      </c>
      <c r="C1980" s="1">
        <v>44448</v>
      </c>
      <c r="D1980" t="s">
        <v>33</v>
      </c>
      <c r="E1980" t="s">
        <v>52</v>
      </c>
      <c r="F1980" t="s">
        <v>53</v>
      </c>
      <c r="G1980" t="s">
        <v>39</v>
      </c>
      <c r="H1980" s="2">
        <v>47</v>
      </c>
      <c r="I1980">
        <v>173</v>
      </c>
      <c r="J1980">
        <v>813</v>
      </c>
      <c r="K1980" s="4">
        <v>382</v>
      </c>
      <c r="L1980" t="s">
        <v>17</v>
      </c>
    </row>
    <row r="1981" spans="1:12" x14ac:dyDescent="0.35">
      <c r="A1981" t="s">
        <v>51</v>
      </c>
      <c r="B1981">
        <v>1185732</v>
      </c>
      <c r="C1981" s="1">
        <v>44333</v>
      </c>
      <c r="D1981" t="s">
        <v>43</v>
      </c>
      <c r="E1981" t="s">
        <v>127</v>
      </c>
      <c r="F1981" t="s">
        <v>128</v>
      </c>
      <c r="G1981" t="s">
        <v>26</v>
      </c>
      <c r="H1981" s="2">
        <v>64</v>
      </c>
      <c r="I1981">
        <v>173</v>
      </c>
      <c r="J1981" s="3">
        <v>1107</v>
      </c>
      <c r="K1981" s="4">
        <v>587</v>
      </c>
      <c r="L1981" t="s">
        <v>17</v>
      </c>
    </row>
    <row r="1982" spans="1:12" x14ac:dyDescent="0.35">
      <c r="A1982" t="s">
        <v>42</v>
      </c>
      <c r="B1982">
        <v>1185732</v>
      </c>
      <c r="C1982" s="1">
        <v>44249</v>
      </c>
      <c r="D1982" t="s">
        <v>43</v>
      </c>
      <c r="E1982" t="s">
        <v>127</v>
      </c>
      <c r="F1982" t="s">
        <v>128</v>
      </c>
      <c r="G1982" t="s">
        <v>26</v>
      </c>
      <c r="H1982" s="2">
        <v>52</v>
      </c>
      <c r="I1982">
        <v>173</v>
      </c>
      <c r="J1982">
        <v>900</v>
      </c>
      <c r="K1982" s="4">
        <v>405</v>
      </c>
      <c r="L1982" t="s">
        <v>17</v>
      </c>
    </row>
    <row r="1983" spans="1:12" x14ac:dyDescent="0.35">
      <c r="A1983" t="s">
        <v>18</v>
      </c>
      <c r="B1983">
        <v>1128299</v>
      </c>
      <c r="C1983" s="1">
        <v>44140</v>
      </c>
      <c r="D1983" t="s">
        <v>48</v>
      </c>
      <c r="E1983" t="s">
        <v>66</v>
      </c>
      <c r="F1983" t="s">
        <v>67</v>
      </c>
      <c r="G1983" t="s">
        <v>70</v>
      </c>
      <c r="H1983" s="2">
        <v>38</v>
      </c>
      <c r="I1983">
        <v>173</v>
      </c>
      <c r="J1983">
        <v>657</v>
      </c>
      <c r="K1983" s="4">
        <v>355</v>
      </c>
      <c r="L1983" t="s">
        <v>27</v>
      </c>
    </row>
    <row r="1984" spans="1:12" x14ac:dyDescent="0.35">
      <c r="A1984" t="s">
        <v>63</v>
      </c>
      <c r="B1984">
        <v>1189833</v>
      </c>
      <c r="C1984" s="1">
        <v>44296</v>
      </c>
      <c r="D1984" t="s">
        <v>48</v>
      </c>
      <c r="E1984" t="s">
        <v>66</v>
      </c>
      <c r="F1984" t="s">
        <v>76</v>
      </c>
      <c r="G1984" t="s">
        <v>56</v>
      </c>
      <c r="H1984" s="2">
        <v>31</v>
      </c>
      <c r="I1984">
        <v>173</v>
      </c>
      <c r="J1984">
        <v>536</v>
      </c>
      <c r="K1984" s="4">
        <v>204</v>
      </c>
      <c r="L1984" t="s">
        <v>27</v>
      </c>
    </row>
    <row r="1985" spans="1:12" x14ac:dyDescent="0.35">
      <c r="A1985" t="s">
        <v>18</v>
      </c>
      <c r="B1985">
        <v>1128299</v>
      </c>
      <c r="C1985" s="1">
        <v>43838</v>
      </c>
      <c r="D1985" t="s">
        <v>48</v>
      </c>
      <c r="E1985" t="s">
        <v>116</v>
      </c>
      <c r="F1985" t="s">
        <v>117</v>
      </c>
      <c r="G1985" t="s">
        <v>26</v>
      </c>
      <c r="H1985" s="2">
        <v>27</v>
      </c>
      <c r="I1985">
        <v>173</v>
      </c>
      <c r="J1985">
        <v>467</v>
      </c>
      <c r="K1985" s="4">
        <v>201</v>
      </c>
      <c r="L1985" t="s">
        <v>27</v>
      </c>
    </row>
    <row r="1986" spans="1:12" x14ac:dyDescent="0.35">
      <c r="A1986" t="s">
        <v>23</v>
      </c>
      <c r="B1986">
        <v>1197831</v>
      </c>
      <c r="C1986" s="1">
        <v>44458</v>
      </c>
      <c r="D1986" t="s">
        <v>19</v>
      </c>
      <c r="E1986" t="s">
        <v>24</v>
      </c>
      <c r="F1986" t="s">
        <v>25</v>
      </c>
      <c r="G1986" t="s">
        <v>39</v>
      </c>
      <c r="H1986" s="2">
        <v>36</v>
      </c>
      <c r="I1986">
        <v>173</v>
      </c>
      <c r="J1986">
        <v>623</v>
      </c>
      <c r="K1986" s="4">
        <v>343</v>
      </c>
      <c r="L1986" t="s">
        <v>27</v>
      </c>
    </row>
    <row r="1987" spans="1:12" x14ac:dyDescent="0.35">
      <c r="A1987" t="s">
        <v>23</v>
      </c>
      <c r="B1987">
        <v>1197831</v>
      </c>
      <c r="C1987" s="1">
        <v>44464</v>
      </c>
      <c r="D1987" t="s">
        <v>19</v>
      </c>
      <c r="E1987" t="s">
        <v>24</v>
      </c>
      <c r="F1987" t="s">
        <v>25</v>
      </c>
      <c r="G1987" t="s">
        <v>39</v>
      </c>
      <c r="H1987" s="2">
        <v>23</v>
      </c>
      <c r="I1987">
        <v>173</v>
      </c>
      <c r="J1987">
        <v>398</v>
      </c>
      <c r="K1987" s="4">
        <v>219</v>
      </c>
      <c r="L1987" t="s">
        <v>27</v>
      </c>
    </row>
    <row r="1988" spans="1:12" x14ac:dyDescent="0.35">
      <c r="A1988" t="s">
        <v>12</v>
      </c>
      <c r="B1988">
        <v>1128299</v>
      </c>
      <c r="C1988" s="1">
        <v>44334</v>
      </c>
      <c r="D1988" t="s">
        <v>13</v>
      </c>
      <c r="E1988" t="s">
        <v>14</v>
      </c>
      <c r="F1988" t="s">
        <v>15</v>
      </c>
      <c r="G1988" t="s">
        <v>16</v>
      </c>
      <c r="H1988" s="2">
        <v>48</v>
      </c>
      <c r="I1988">
        <v>173</v>
      </c>
      <c r="J1988">
        <v>830</v>
      </c>
      <c r="K1988" s="4">
        <v>390</v>
      </c>
      <c r="L1988" t="s">
        <v>27</v>
      </c>
    </row>
    <row r="1989" spans="1:12" x14ac:dyDescent="0.35">
      <c r="A1989" t="s">
        <v>12</v>
      </c>
      <c r="B1989">
        <v>1128299</v>
      </c>
      <c r="C1989" s="1">
        <v>44517</v>
      </c>
      <c r="D1989" t="s">
        <v>13</v>
      </c>
      <c r="E1989" t="s">
        <v>14</v>
      </c>
      <c r="F1989" t="s">
        <v>15</v>
      </c>
      <c r="G1989" t="s">
        <v>32</v>
      </c>
      <c r="H1989" s="2">
        <v>44</v>
      </c>
      <c r="I1989">
        <v>173</v>
      </c>
      <c r="J1989">
        <v>761</v>
      </c>
      <c r="K1989" s="4">
        <v>282</v>
      </c>
      <c r="L1989" t="s">
        <v>27</v>
      </c>
    </row>
    <row r="1990" spans="1:12" x14ac:dyDescent="0.35">
      <c r="A1990" t="s">
        <v>42</v>
      </c>
      <c r="B1990">
        <v>1128299</v>
      </c>
      <c r="C1990" s="1">
        <v>44493</v>
      </c>
      <c r="D1990" t="s">
        <v>13</v>
      </c>
      <c r="E1990" t="s">
        <v>99</v>
      </c>
      <c r="F1990" t="s">
        <v>100</v>
      </c>
      <c r="G1990" t="s">
        <v>39</v>
      </c>
      <c r="H1990" s="2">
        <v>39</v>
      </c>
      <c r="I1990">
        <v>173</v>
      </c>
      <c r="J1990">
        <v>675</v>
      </c>
      <c r="K1990" s="4">
        <v>256</v>
      </c>
      <c r="L1990" t="s">
        <v>27</v>
      </c>
    </row>
    <row r="1991" spans="1:12" x14ac:dyDescent="0.35">
      <c r="A1991" t="s">
        <v>42</v>
      </c>
      <c r="B1991">
        <v>1128299</v>
      </c>
      <c r="C1991" s="1">
        <v>44524</v>
      </c>
      <c r="D1991" t="s">
        <v>13</v>
      </c>
      <c r="E1991" t="s">
        <v>99</v>
      </c>
      <c r="F1991" t="s">
        <v>100</v>
      </c>
      <c r="G1991" t="s">
        <v>26</v>
      </c>
      <c r="H1991" s="2">
        <v>34</v>
      </c>
      <c r="I1991">
        <v>173</v>
      </c>
      <c r="J1991">
        <v>588</v>
      </c>
      <c r="K1991" s="4">
        <v>247</v>
      </c>
      <c r="L1991" t="s">
        <v>27</v>
      </c>
    </row>
    <row r="1992" spans="1:12" x14ac:dyDescent="0.35">
      <c r="A1992" t="s">
        <v>18</v>
      </c>
      <c r="B1992">
        <v>1128299</v>
      </c>
      <c r="C1992" s="1">
        <v>44341</v>
      </c>
      <c r="D1992" t="s">
        <v>48</v>
      </c>
      <c r="E1992" t="s">
        <v>85</v>
      </c>
      <c r="F1992" t="s">
        <v>86</v>
      </c>
      <c r="G1992" t="s">
        <v>16</v>
      </c>
      <c r="H1992" s="2">
        <v>46</v>
      </c>
      <c r="I1992">
        <v>173</v>
      </c>
      <c r="J1992">
        <v>796</v>
      </c>
      <c r="K1992" s="4">
        <v>286</v>
      </c>
      <c r="L1992" t="s">
        <v>27</v>
      </c>
    </row>
    <row r="1993" spans="1:12" x14ac:dyDescent="0.35">
      <c r="A1993" t="s">
        <v>18</v>
      </c>
      <c r="B1993">
        <v>1197831</v>
      </c>
      <c r="C1993" s="1">
        <v>44383</v>
      </c>
      <c r="D1993" t="s">
        <v>48</v>
      </c>
      <c r="E1993" t="s">
        <v>79</v>
      </c>
      <c r="F1993" t="s">
        <v>80</v>
      </c>
      <c r="G1993" t="s">
        <v>70</v>
      </c>
      <c r="H1993" s="2">
        <v>43</v>
      </c>
      <c r="I1993">
        <v>173</v>
      </c>
      <c r="J1993">
        <v>744</v>
      </c>
      <c r="K1993" s="4">
        <v>298</v>
      </c>
      <c r="L1993" t="s">
        <v>27</v>
      </c>
    </row>
    <row r="1994" spans="1:12" x14ac:dyDescent="0.35">
      <c r="A1994" t="s">
        <v>63</v>
      </c>
      <c r="B1994">
        <v>1128299</v>
      </c>
      <c r="C1994" s="1">
        <v>44253</v>
      </c>
      <c r="D1994" t="s">
        <v>48</v>
      </c>
      <c r="E1994" t="s">
        <v>123</v>
      </c>
      <c r="F1994" t="s">
        <v>124</v>
      </c>
      <c r="G1994" t="s">
        <v>26</v>
      </c>
      <c r="H1994" s="2">
        <v>27</v>
      </c>
      <c r="I1994">
        <v>173</v>
      </c>
      <c r="J1994">
        <v>467</v>
      </c>
      <c r="K1994" s="4">
        <v>187</v>
      </c>
      <c r="L1994" t="s">
        <v>27</v>
      </c>
    </row>
    <row r="1995" spans="1:12" x14ac:dyDescent="0.35">
      <c r="A1995" t="s">
        <v>23</v>
      </c>
      <c r="B1995">
        <v>1128299</v>
      </c>
      <c r="C1995" s="1">
        <v>44555</v>
      </c>
      <c r="D1995" t="s">
        <v>48</v>
      </c>
      <c r="E1995" t="s">
        <v>114</v>
      </c>
      <c r="F1995" t="s">
        <v>115</v>
      </c>
      <c r="G1995" t="s">
        <v>16</v>
      </c>
      <c r="H1995" s="2">
        <v>56</v>
      </c>
      <c r="I1995">
        <v>173</v>
      </c>
      <c r="J1995">
        <v>969</v>
      </c>
      <c r="K1995" s="4">
        <v>262</v>
      </c>
      <c r="L1995" t="s">
        <v>27</v>
      </c>
    </row>
    <row r="1996" spans="1:12" x14ac:dyDescent="0.35">
      <c r="A1996" t="s">
        <v>23</v>
      </c>
      <c r="B1996">
        <v>1128299</v>
      </c>
      <c r="C1996" s="1">
        <v>44389</v>
      </c>
      <c r="D1996" t="s">
        <v>13</v>
      </c>
      <c r="E1996" t="s">
        <v>57</v>
      </c>
      <c r="F1996" t="s">
        <v>58</v>
      </c>
      <c r="G1996" t="s">
        <v>39</v>
      </c>
      <c r="H1996" s="2">
        <v>37</v>
      </c>
      <c r="I1996">
        <v>173</v>
      </c>
      <c r="J1996">
        <v>640</v>
      </c>
      <c r="K1996" s="4">
        <v>294</v>
      </c>
      <c r="L1996" t="s">
        <v>27</v>
      </c>
    </row>
    <row r="1997" spans="1:12" x14ac:dyDescent="0.35">
      <c r="A1997" t="s">
        <v>23</v>
      </c>
      <c r="B1997">
        <v>1128299</v>
      </c>
      <c r="C1997" s="1">
        <v>44482</v>
      </c>
      <c r="D1997" t="s">
        <v>13</v>
      </c>
      <c r="E1997" t="s">
        <v>57</v>
      </c>
      <c r="F1997" t="s">
        <v>58</v>
      </c>
      <c r="G1997" t="s">
        <v>26</v>
      </c>
      <c r="H1997" s="2">
        <v>34</v>
      </c>
      <c r="I1997">
        <v>173</v>
      </c>
      <c r="J1997">
        <v>588</v>
      </c>
      <c r="K1997" s="4">
        <v>271</v>
      </c>
      <c r="L1997" t="s">
        <v>27</v>
      </c>
    </row>
    <row r="1998" spans="1:12" x14ac:dyDescent="0.35">
      <c r="A1998" t="s">
        <v>23</v>
      </c>
      <c r="B1998">
        <v>1128299</v>
      </c>
      <c r="C1998" s="1">
        <v>44482</v>
      </c>
      <c r="D1998" t="s">
        <v>13</v>
      </c>
      <c r="E1998" t="s">
        <v>57</v>
      </c>
      <c r="F1998" t="s">
        <v>58</v>
      </c>
      <c r="G1998" t="s">
        <v>39</v>
      </c>
      <c r="H1998" s="2">
        <v>34</v>
      </c>
      <c r="I1998">
        <v>173</v>
      </c>
      <c r="J1998">
        <v>588</v>
      </c>
      <c r="K1998" s="4">
        <v>247</v>
      </c>
      <c r="L1998" t="s">
        <v>27</v>
      </c>
    </row>
    <row r="1999" spans="1:12" x14ac:dyDescent="0.35">
      <c r="A1999" t="s">
        <v>23</v>
      </c>
      <c r="B1999">
        <v>1128299</v>
      </c>
      <c r="C1999" s="1">
        <v>44513</v>
      </c>
      <c r="D1999" t="s">
        <v>13</v>
      </c>
      <c r="E1999" t="s">
        <v>57</v>
      </c>
      <c r="F1999" t="s">
        <v>58</v>
      </c>
      <c r="G1999" t="s">
        <v>26</v>
      </c>
      <c r="H1999" s="2">
        <v>36</v>
      </c>
      <c r="I1999">
        <v>173</v>
      </c>
      <c r="J1999">
        <v>623</v>
      </c>
      <c r="K1999" s="4">
        <v>262</v>
      </c>
      <c r="L1999" t="s">
        <v>27</v>
      </c>
    </row>
    <row r="2000" spans="1:12" x14ac:dyDescent="0.35">
      <c r="A2000" t="s">
        <v>18</v>
      </c>
      <c r="B2000">
        <v>1197831</v>
      </c>
      <c r="C2000" s="1">
        <v>44490</v>
      </c>
      <c r="D2000" t="s">
        <v>19</v>
      </c>
      <c r="E2000" t="s">
        <v>61</v>
      </c>
      <c r="F2000" t="s">
        <v>62</v>
      </c>
      <c r="G2000" t="s">
        <v>26</v>
      </c>
      <c r="H2000" s="2">
        <v>20</v>
      </c>
      <c r="I2000">
        <v>173</v>
      </c>
      <c r="J2000">
        <v>346</v>
      </c>
      <c r="K2000" s="4">
        <v>163</v>
      </c>
      <c r="L2000" t="s">
        <v>27</v>
      </c>
    </row>
    <row r="2001" spans="1:12" x14ac:dyDescent="0.35">
      <c r="A2001" t="s">
        <v>42</v>
      </c>
      <c r="B2001">
        <v>1185732</v>
      </c>
      <c r="C2001" s="1">
        <v>44533</v>
      </c>
      <c r="D2001" t="s">
        <v>43</v>
      </c>
      <c r="E2001" t="s">
        <v>108</v>
      </c>
      <c r="F2001" t="s">
        <v>109</v>
      </c>
      <c r="G2001" t="s">
        <v>26</v>
      </c>
      <c r="H2001" s="2">
        <v>45</v>
      </c>
      <c r="I2001">
        <v>173</v>
      </c>
      <c r="J2001">
        <v>779</v>
      </c>
      <c r="K2001" s="4">
        <v>327</v>
      </c>
      <c r="L2001" t="s">
        <v>27</v>
      </c>
    </row>
    <row r="2002" spans="1:12" x14ac:dyDescent="0.35">
      <c r="A2002" t="s">
        <v>42</v>
      </c>
      <c r="B2002">
        <v>1185732</v>
      </c>
      <c r="C2002" s="1">
        <v>44383</v>
      </c>
      <c r="D2002" t="s">
        <v>43</v>
      </c>
      <c r="E2002" t="s">
        <v>110</v>
      </c>
      <c r="F2002" t="s">
        <v>111</v>
      </c>
      <c r="G2002" t="s">
        <v>26</v>
      </c>
      <c r="H2002" s="2">
        <v>38</v>
      </c>
      <c r="I2002">
        <v>173</v>
      </c>
      <c r="J2002">
        <v>657</v>
      </c>
      <c r="K2002" s="4">
        <v>250</v>
      </c>
      <c r="L2002" t="s">
        <v>27</v>
      </c>
    </row>
    <row r="2003" spans="1:12" x14ac:dyDescent="0.35">
      <c r="A2003" t="s">
        <v>23</v>
      </c>
      <c r="B2003">
        <v>1185732</v>
      </c>
      <c r="C2003" s="1">
        <v>44329</v>
      </c>
      <c r="D2003" t="s">
        <v>43</v>
      </c>
      <c r="E2003" t="s">
        <v>112</v>
      </c>
      <c r="F2003" t="s">
        <v>113</v>
      </c>
      <c r="G2003" t="s">
        <v>26</v>
      </c>
      <c r="H2003" s="2">
        <v>41</v>
      </c>
      <c r="I2003">
        <v>173</v>
      </c>
      <c r="J2003">
        <v>709</v>
      </c>
      <c r="K2003" s="4">
        <v>255</v>
      </c>
      <c r="L2003" t="s">
        <v>27</v>
      </c>
    </row>
    <row r="2004" spans="1:12" x14ac:dyDescent="0.35">
      <c r="A2004" t="s">
        <v>51</v>
      </c>
      <c r="B2004">
        <v>1185732</v>
      </c>
      <c r="C2004" s="1">
        <v>44217</v>
      </c>
      <c r="D2004" t="s">
        <v>43</v>
      </c>
      <c r="E2004" t="s">
        <v>125</v>
      </c>
      <c r="F2004" t="s">
        <v>126</v>
      </c>
      <c r="G2004" t="s">
        <v>26</v>
      </c>
      <c r="H2004" s="2">
        <v>34</v>
      </c>
      <c r="I2004">
        <v>173</v>
      </c>
      <c r="J2004">
        <v>588</v>
      </c>
      <c r="K2004" s="4">
        <v>253</v>
      </c>
      <c r="L2004" t="s">
        <v>27</v>
      </c>
    </row>
    <row r="2005" spans="1:12" x14ac:dyDescent="0.35">
      <c r="A2005" t="s">
        <v>18</v>
      </c>
      <c r="B2005">
        <v>1128299</v>
      </c>
      <c r="C2005" s="1">
        <v>43850</v>
      </c>
      <c r="D2005" t="s">
        <v>48</v>
      </c>
      <c r="E2005" t="s">
        <v>116</v>
      </c>
      <c r="F2005" t="s">
        <v>117</v>
      </c>
      <c r="G2005" t="s">
        <v>26</v>
      </c>
      <c r="H2005" s="2">
        <v>41</v>
      </c>
      <c r="I2005">
        <v>171</v>
      </c>
      <c r="J2005">
        <v>701</v>
      </c>
      <c r="K2005" s="4">
        <v>294</v>
      </c>
      <c r="L2005" t="s">
        <v>27</v>
      </c>
    </row>
    <row r="2006" spans="1:12" x14ac:dyDescent="0.35">
      <c r="A2006" t="s">
        <v>18</v>
      </c>
      <c r="B2006">
        <v>1128299</v>
      </c>
      <c r="C2006" s="1">
        <v>43856</v>
      </c>
      <c r="D2006" t="s">
        <v>48</v>
      </c>
      <c r="E2006" t="s">
        <v>116</v>
      </c>
      <c r="F2006" t="s">
        <v>117</v>
      </c>
      <c r="G2006" t="s">
        <v>26</v>
      </c>
      <c r="H2006" s="2">
        <v>43</v>
      </c>
      <c r="I2006">
        <v>171</v>
      </c>
      <c r="J2006">
        <v>735</v>
      </c>
      <c r="K2006" s="4">
        <v>353</v>
      </c>
      <c r="L2006" t="s">
        <v>27</v>
      </c>
    </row>
    <row r="2007" spans="1:12" x14ac:dyDescent="0.35">
      <c r="A2007" t="s">
        <v>18</v>
      </c>
      <c r="B2007">
        <v>1128299</v>
      </c>
      <c r="C2007" s="1">
        <v>43870</v>
      </c>
      <c r="D2007" t="s">
        <v>48</v>
      </c>
      <c r="E2007" t="s">
        <v>116</v>
      </c>
      <c r="F2007" t="s">
        <v>117</v>
      </c>
      <c r="G2007" t="s">
        <v>32</v>
      </c>
      <c r="H2007" s="2">
        <v>47</v>
      </c>
      <c r="I2007">
        <v>171</v>
      </c>
      <c r="J2007">
        <v>804</v>
      </c>
      <c r="K2007" s="4">
        <v>362</v>
      </c>
      <c r="L2007" t="s">
        <v>27</v>
      </c>
    </row>
    <row r="2008" spans="1:12" x14ac:dyDescent="0.35">
      <c r="A2008" t="s">
        <v>18</v>
      </c>
      <c r="B2008">
        <v>1128299</v>
      </c>
      <c r="C2008" s="1">
        <v>43886</v>
      </c>
      <c r="D2008" t="s">
        <v>48</v>
      </c>
      <c r="E2008" t="s">
        <v>116</v>
      </c>
      <c r="F2008" t="s">
        <v>117</v>
      </c>
      <c r="G2008" t="s">
        <v>26</v>
      </c>
      <c r="H2008" s="2">
        <v>47</v>
      </c>
      <c r="I2008">
        <v>171</v>
      </c>
      <c r="J2008">
        <v>804</v>
      </c>
      <c r="K2008" s="4">
        <v>321</v>
      </c>
      <c r="L2008" t="s">
        <v>27</v>
      </c>
    </row>
    <row r="2009" spans="1:12" x14ac:dyDescent="0.35">
      <c r="A2009" t="s">
        <v>23</v>
      </c>
      <c r="B2009">
        <v>1128299</v>
      </c>
      <c r="C2009" s="1">
        <v>44271</v>
      </c>
      <c r="D2009" t="s">
        <v>13</v>
      </c>
      <c r="E2009" t="s">
        <v>14</v>
      </c>
      <c r="F2009" t="s">
        <v>15</v>
      </c>
      <c r="G2009" t="s">
        <v>26</v>
      </c>
      <c r="H2009" s="2">
        <v>35</v>
      </c>
      <c r="I2009">
        <v>171</v>
      </c>
      <c r="J2009">
        <v>599</v>
      </c>
      <c r="K2009" s="4">
        <v>203</v>
      </c>
      <c r="L2009" t="s">
        <v>27</v>
      </c>
    </row>
    <row r="2010" spans="1:12" x14ac:dyDescent="0.35">
      <c r="A2010" t="s">
        <v>12</v>
      </c>
      <c r="B2010">
        <v>1128299</v>
      </c>
      <c r="C2010" s="1">
        <v>44303</v>
      </c>
      <c r="D2010" t="s">
        <v>13</v>
      </c>
      <c r="E2010" t="s">
        <v>14</v>
      </c>
      <c r="F2010" t="s">
        <v>15</v>
      </c>
      <c r="G2010" t="s">
        <v>26</v>
      </c>
      <c r="H2010" s="2">
        <v>47</v>
      </c>
      <c r="I2010">
        <v>171</v>
      </c>
      <c r="J2010">
        <v>804</v>
      </c>
      <c r="K2010" s="4">
        <v>289</v>
      </c>
      <c r="L2010" t="s">
        <v>27</v>
      </c>
    </row>
    <row r="2011" spans="1:12" x14ac:dyDescent="0.35">
      <c r="A2011" t="s">
        <v>18</v>
      </c>
      <c r="B2011">
        <v>1128299</v>
      </c>
      <c r="C2011" s="1">
        <v>44400</v>
      </c>
      <c r="D2011" t="s">
        <v>48</v>
      </c>
      <c r="E2011" t="s">
        <v>85</v>
      </c>
      <c r="F2011" t="s">
        <v>86</v>
      </c>
      <c r="G2011" t="s">
        <v>56</v>
      </c>
      <c r="H2011" s="2">
        <v>61</v>
      </c>
      <c r="I2011">
        <v>171</v>
      </c>
      <c r="J2011" s="3">
        <v>1043</v>
      </c>
      <c r="K2011" s="4">
        <v>428</v>
      </c>
      <c r="L2011" t="s">
        <v>27</v>
      </c>
    </row>
    <row r="2012" spans="1:12" x14ac:dyDescent="0.35">
      <c r="A2012" t="s">
        <v>63</v>
      </c>
      <c r="B2012">
        <v>1128299</v>
      </c>
      <c r="C2012" s="1">
        <v>44402</v>
      </c>
      <c r="D2012" t="s">
        <v>48</v>
      </c>
      <c r="E2012" t="s">
        <v>114</v>
      </c>
      <c r="F2012" t="s">
        <v>115</v>
      </c>
      <c r="G2012" t="s">
        <v>32</v>
      </c>
      <c r="H2012" s="2">
        <v>39</v>
      </c>
      <c r="I2012">
        <v>171</v>
      </c>
      <c r="J2012">
        <v>667</v>
      </c>
      <c r="K2012" s="4">
        <v>247</v>
      </c>
      <c r="L2012" t="s">
        <v>27</v>
      </c>
    </row>
    <row r="2013" spans="1:12" x14ac:dyDescent="0.35">
      <c r="A2013" t="s">
        <v>63</v>
      </c>
      <c r="B2013">
        <v>1128299</v>
      </c>
      <c r="C2013" s="1">
        <v>44495</v>
      </c>
      <c r="D2013" t="s">
        <v>48</v>
      </c>
      <c r="E2013" t="s">
        <v>114</v>
      </c>
      <c r="F2013" t="s">
        <v>115</v>
      </c>
      <c r="G2013" t="s">
        <v>26</v>
      </c>
      <c r="H2013" s="2">
        <v>35</v>
      </c>
      <c r="I2013">
        <v>171</v>
      </c>
      <c r="J2013">
        <v>599</v>
      </c>
      <c r="K2013" s="4">
        <v>221</v>
      </c>
      <c r="L2013" t="s">
        <v>27</v>
      </c>
    </row>
    <row r="2014" spans="1:12" x14ac:dyDescent="0.35">
      <c r="A2014" t="s">
        <v>42</v>
      </c>
      <c r="B2014">
        <v>1185732</v>
      </c>
      <c r="C2014" s="1">
        <v>44521</v>
      </c>
      <c r="D2014" t="s">
        <v>43</v>
      </c>
      <c r="E2014" t="s">
        <v>93</v>
      </c>
      <c r="F2014" t="s">
        <v>94</v>
      </c>
      <c r="G2014" t="s">
        <v>32</v>
      </c>
      <c r="H2014" s="2">
        <v>50</v>
      </c>
      <c r="I2014">
        <v>170</v>
      </c>
      <c r="J2014" s="3">
        <v>8500</v>
      </c>
      <c r="K2014" s="4">
        <v>2975</v>
      </c>
      <c r="L2014" t="s">
        <v>36</v>
      </c>
    </row>
    <row r="2015" spans="1:12" x14ac:dyDescent="0.35">
      <c r="A2015" t="s">
        <v>18</v>
      </c>
      <c r="B2015">
        <v>1128299</v>
      </c>
      <c r="C2015" s="1">
        <v>44188</v>
      </c>
      <c r="D2015" t="s">
        <v>48</v>
      </c>
      <c r="E2015" t="s">
        <v>66</v>
      </c>
      <c r="F2015" t="s">
        <v>67</v>
      </c>
      <c r="G2015" t="s">
        <v>70</v>
      </c>
      <c r="H2015" s="2">
        <v>51</v>
      </c>
      <c r="I2015">
        <v>170</v>
      </c>
      <c r="J2015">
        <v>867</v>
      </c>
      <c r="K2015" s="4">
        <v>468</v>
      </c>
      <c r="L2015" t="s">
        <v>27</v>
      </c>
    </row>
    <row r="2016" spans="1:12" x14ac:dyDescent="0.35">
      <c r="A2016" t="s">
        <v>42</v>
      </c>
      <c r="B2016">
        <v>1185732</v>
      </c>
      <c r="C2016" s="1">
        <v>44521</v>
      </c>
      <c r="D2016" t="s">
        <v>43</v>
      </c>
      <c r="E2016" t="s">
        <v>135</v>
      </c>
      <c r="F2016" t="s">
        <v>136</v>
      </c>
      <c r="G2016" t="s">
        <v>26</v>
      </c>
      <c r="H2016" s="2">
        <v>49</v>
      </c>
      <c r="I2016">
        <v>170</v>
      </c>
      <c r="J2016">
        <v>833</v>
      </c>
      <c r="K2016" s="4">
        <v>475</v>
      </c>
      <c r="L2016" t="s">
        <v>27</v>
      </c>
    </row>
    <row r="2017" spans="1:12" x14ac:dyDescent="0.35">
      <c r="A2017" t="s">
        <v>18</v>
      </c>
      <c r="B2017">
        <v>1128299</v>
      </c>
      <c r="C2017" s="1">
        <v>43873</v>
      </c>
      <c r="D2017" t="s">
        <v>48</v>
      </c>
      <c r="E2017" t="s">
        <v>116</v>
      </c>
      <c r="F2017" t="s">
        <v>117</v>
      </c>
      <c r="G2017" t="s">
        <v>16</v>
      </c>
      <c r="H2017" s="2">
        <v>61</v>
      </c>
      <c r="I2017">
        <v>170</v>
      </c>
      <c r="J2017" s="3">
        <v>1037</v>
      </c>
      <c r="K2017" s="4">
        <v>280</v>
      </c>
      <c r="L2017" t="s">
        <v>27</v>
      </c>
    </row>
    <row r="2018" spans="1:12" x14ac:dyDescent="0.35">
      <c r="A2018" t="s">
        <v>18</v>
      </c>
      <c r="B2018">
        <v>1128299</v>
      </c>
      <c r="C2018" s="1">
        <v>43904</v>
      </c>
      <c r="D2018" t="s">
        <v>48</v>
      </c>
      <c r="E2018" t="s">
        <v>116</v>
      </c>
      <c r="F2018" t="s">
        <v>117</v>
      </c>
      <c r="G2018" t="s">
        <v>16</v>
      </c>
      <c r="H2018" s="2">
        <v>56</v>
      </c>
      <c r="I2018">
        <v>170</v>
      </c>
      <c r="J2018">
        <v>952</v>
      </c>
      <c r="K2018" s="4">
        <v>171</v>
      </c>
      <c r="L2018" t="s">
        <v>27</v>
      </c>
    </row>
    <row r="2019" spans="1:12" x14ac:dyDescent="0.35">
      <c r="A2019" t="s">
        <v>23</v>
      </c>
      <c r="B2019">
        <v>1197831</v>
      </c>
      <c r="C2019" s="1">
        <v>44270</v>
      </c>
      <c r="D2019" t="s">
        <v>19</v>
      </c>
      <c r="E2019" t="s">
        <v>74</v>
      </c>
      <c r="F2019" t="s">
        <v>75</v>
      </c>
      <c r="G2019" t="s">
        <v>16</v>
      </c>
      <c r="H2019" s="2">
        <v>24</v>
      </c>
      <c r="I2019">
        <v>170</v>
      </c>
      <c r="J2019">
        <v>408</v>
      </c>
      <c r="K2019" s="4">
        <v>216</v>
      </c>
      <c r="L2019" t="s">
        <v>27</v>
      </c>
    </row>
    <row r="2020" spans="1:12" x14ac:dyDescent="0.35">
      <c r="A2020" t="s">
        <v>23</v>
      </c>
      <c r="B2020">
        <v>1197831</v>
      </c>
      <c r="C2020" s="1">
        <v>44285</v>
      </c>
      <c r="D2020" t="s">
        <v>19</v>
      </c>
      <c r="E2020" t="s">
        <v>74</v>
      </c>
      <c r="F2020" t="s">
        <v>75</v>
      </c>
      <c r="G2020" t="s">
        <v>32</v>
      </c>
      <c r="H2020" s="2">
        <v>15</v>
      </c>
      <c r="I2020">
        <v>170</v>
      </c>
      <c r="J2020">
        <v>255</v>
      </c>
      <c r="K2020" s="4">
        <v>112</v>
      </c>
      <c r="L2020" t="s">
        <v>27</v>
      </c>
    </row>
    <row r="2021" spans="1:12" x14ac:dyDescent="0.35">
      <c r="A2021" t="s">
        <v>12</v>
      </c>
      <c r="B2021">
        <v>1128299</v>
      </c>
      <c r="C2021" s="1">
        <v>44517</v>
      </c>
      <c r="D2021" t="s">
        <v>13</v>
      </c>
      <c r="E2021" t="s">
        <v>14</v>
      </c>
      <c r="F2021" t="s">
        <v>15</v>
      </c>
      <c r="G2021" t="s">
        <v>56</v>
      </c>
      <c r="H2021" s="2">
        <v>47</v>
      </c>
      <c r="I2021">
        <v>170</v>
      </c>
      <c r="J2021">
        <v>799</v>
      </c>
      <c r="K2021" s="4">
        <v>272</v>
      </c>
      <c r="L2021" t="s">
        <v>27</v>
      </c>
    </row>
    <row r="2022" spans="1:12" x14ac:dyDescent="0.35">
      <c r="A2022" t="s">
        <v>18</v>
      </c>
      <c r="B2022">
        <v>1185732</v>
      </c>
      <c r="C2022" s="1">
        <v>44208</v>
      </c>
      <c r="D2022" t="s">
        <v>13</v>
      </c>
      <c r="E2022" t="s">
        <v>14</v>
      </c>
      <c r="F2022" t="s">
        <v>15</v>
      </c>
      <c r="G2022" t="s">
        <v>56</v>
      </c>
      <c r="H2022" s="2">
        <v>30</v>
      </c>
      <c r="I2022">
        <v>170</v>
      </c>
      <c r="J2022">
        <v>510</v>
      </c>
      <c r="K2022" s="4">
        <v>189</v>
      </c>
      <c r="L2022" t="s">
        <v>27</v>
      </c>
    </row>
    <row r="2023" spans="1:12" x14ac:dyDescent="0.35">
      <c r="A2023" t="s">
        <v>23</v>
      </c>
      <c r="B2023">
        <v>1185732</v>
      </c>
      <c r="C2023" s="1">
        <v>44244</v>
      </c>
      <c r="D2023" t="s">
        <v>13</v>
      </c>
      <c r="E2023" t="s">
        <v>99</v>
      </c>
      <c r="F2023" t="s">
        <v>100</v>
      </c>
      <c r="G2023" t="s">
        <v>32</v>
      </c>
      <c r="H2023" s="2">
        <v>17</v>
      </c>
      <c r="I2023">
        <v>170</v>
      </c>
      <c r="J2023">
        <v>289</v>
      </c>
      <c r="K2023" s="4">
        <v>104</v>
      </c>
      <c r="L2023" t="s">
        <v>27</v>
      </c>
    </row>
    <row r="2024" spans="1:12" x14ac:dyDescent="0.35">
      <c r="A2024" t="s">
        <v>18</v>
      </c>
      <c r="B2024">
        <v>1185732</v>
      </c>
      <c r="C2024" s="1">
        <v>44540</v>
      </c>
      <c r="D2024" t="s">
        <v>48</v>
      </c>
      <c r="E2024" t="s">
        <v>49</v>
      </c>
      <c r="F2024" t="s">
        <v>50</v>
      </c>
      <c r="G2024" t="s">
        <v>39</v>
      </c>
      <c r="H2024" s="2">
        <v>22</v>
      </c>
      <c r="I2024">
        <v>170</v>
      </c>
      <c r="J2024">
        <v>374</v>
      </c>
      <c r="K2024" s="4">
        <v>157</v>
      </c>
      <c r="L2024" t="s">
        <v>27</v>
      </c>
    </row>
    <row r="2025" spans="1:12" x14ac:dyDescent="0.35">
      <c r="A2025" t="s">
        <v>18</v>
      </c>
      <c r="B2025">
        <v>1185732</v>
      </c>
      <c r="C2025" s="1">
        <v>44540</v>
      </c>
      <c r="D2025" t="s">
        <v>48</v>
      </c>
      <c r="E2025" t="s">
        <v>49</v>
      </c>
      <c r="F2025" t="s">
        <v>50</v>
      </c>
      <c r="G2025" t="s">
        <v>16</v>
      </c>
      <c r="H2025" s="2">
        <v>29</v>
      </c>
      <c r="I2025">
        <v>170</v>
      </c>
      <c r="J2025">
        <v>493</v>
      </c>
      <c r="K2025" s="4">
        <v>256</v>
      </c>
      <c r="L2025" t="s">
        <v>27</v>
      </c>
    </row>
    <row r="2026" spans="1:12" x14ac:dyDescent="0.35">
      <c r="A2026" t="s">
        <v>42</v>
      </c>
      <c r="B2026">
        <v>1128299</v>
      </c>
      <c r="C2026" s="1">
        <v>44492</v>
      </c>
      <c r="D2026" t="s">
        <v>48</v>
      </c>
      <c r="E2026" t="s">
        <v>123</v>
      </c>
      <c r="F2026" t="s">
        <v>124</v>
      </c>
      <c r="G2026" t="s">
        <v>26</v>
      </c>
      <c r="H2026" s="2">
        <v>36</v>
      </c>
      <c r="I2026">
        <v>170</v>
      </c>
      <c r="J2026">
        <v>612</v>
      </c>
      <c r="K2026" s="4">
        <v>257</v>
      </c>
      <c r="L2026" t="s">
        <v>27</v>
      </c>
    </row>
    <row r="2027" spans="1:12" x14ac:dyDescent="0.35">
      <c r="A2027" t="s">
        <v>63</v>
      </c>
      <c r="B2027">
        <v>1128299</v>
      </c>
      <c r="C2027" s="1">
        <v>44526</v>
      </c>
      <c r="D2027" t="s">
        <v>48</v>
      </c>
      <c r="E2027" t="s">
        <v>114</v>
      </c>
      <c r="F2027" t="s">
        <v>115</v>
      </c>
      <c r="G2027" t="s">
        <v>16</v>
      </c>
      <c r="H2027" s="2">
        <v>56</v>
      </c>
      <c r="I2027">
        <v>170</v>
      </c>
      <c r="J2027">
        <v>952</v>
      </c>
      <c r="K2027" s="4">
        <v>286</v>
      </c>
      <c r="L2027" t="s">
        <v>27</v>
      </c>
    </row>
    <row r="2028" spans="1:12" x14ac:dyDescent="0.35">
      <c r="A2028" t="s">
        <v>18</v>
      </c>
      <c r="B2028">
        <v>1197831</v>
      </c>
      <c r="C2028" s="1">
        <v>44549</v>
      </c>
      <c r="D2028" t="s">
        <v>19</v>
      </c>
      <c r="E2028" t="s">
        <v>54</v>
      </c>
      <c r="F2028" t="s">
        <v>55</v>
      </c>
      <c r="G2028" t="s">
        <v>16</v>
      </c>
      <c r="H2028" s="2">
        <v>55</v>
      </c>
      <c r="I2028">
        <v>170</v>
      </c>
      <c r="J2028">
        <v>935</v>
      </c>
      <c r="K2028" s="4">
        <v>421</v>
      </c>
      <c r="L2028" t="s">
        <v>27</v>
      </c>
    </row>
    <row r="2029" spans="1:12" x14ac:dyDescent="0.35">
      <c r="A2029" t="s">
        <v>23</v>
      </c>
      <c r="B2029">
        <v>1185732</v>
      </c>
      <c r="C2029" s="1">
        <v>44442</v>
      </c>
      <c r="D2029" t="s">
        <v>43</v>
      </c>
      <c r="E2029" t="s">
        <v>108</v>
      </c>
      <c r="F2029" t="s">
        <v>109</v>
      </c>
      <c r="G2029" t="s">
        <v>26</v>
      </c>
      <c r="H2029" s="2">
        <v>43</v>
      </c>
      <c r="I2029">
        <v>170</v>
      </c>
      <c r="J2029">
        <v>731</v>
      </c>
      <c r="K2029" s="4">
        <v>344</v>
      </c>
      <c r="L2029" t="s">
        <v>27</v>
      </c>
    </row>
    <row r="2030" spans="1:12" x14ac:dyDescent="0.35">
      <c r="A2030" t="s">
        <v>12</v>
      </c>
      <c r="B2030">
        <v>1197831</v>
      </c>
      <c r="C2030" s="1">
        <v>44065</v>
      </c>
      <c r="D2030" t="s">
        <v>19</v>
      </c>
      <c r="E2030" t="s">
        <v>59</v>
      </c>
      <c r="F2030" t="s">
        <v>60</v>
      </c>
      <c r="G2030" t="s">
        <v>70</v>
      </c>
      <c r="H2030" s="2">
        <v>41</v>
      </c>
      <c r="I2030">
        <v>169</v>
      </c>
      <c r="J2030">
        <v>693</v>
      </c>
      <c r="K2030" s="4">
        <v>312</v>
      </c>
      <c r="L2030" t="s">
        <v>17</v>
      </c>
    </row>
    <row r="2031" spans="1:12" x14ac:dyDescent="0.35">
      <c r="A2031" t="s">
        <v>12</v>
      </c>
      <c r="B2031">
        <v>1197831</v>
      </c>
      <c r="C2031" s="1">
        <v>44077</v>
      </c>
      <c r="D2031" t="s">
        <v>19</v>
      </c>
      <c r="E2031" t="s">
        <v>59</v>
      </c>
      <c r="F2031" t="s">
        <v>60</v>
      </c>
      <c r="G2031" t="s">
        <v>70</v>
      </c>
      <c r="H2031" s="2">
        <v>41</v>
      </c>
      <c r="I2031">
        <v>169</v>
      </c>
      <c r="J2031">
        <v>693</v>
      </c>
      <c r="K2031" s="4">
        <v>277</v>
      </c>
      <c r="L2031" t="s">
        <v>17</v>
      </c>
    </row>
    <row r="2032" spans="1:12" x14ac:dyDescent="0.35">
      <c r="A2032" t="s">
        <v>12</v>
      </c>
      <c r="B2032">
        <v>1197831</v>
      </c>
      <c r="C2032" s="1">
        <v>44134</v>
      </c>
      <c r="D2032" t="s">
        <v>19</v>
      </c>
      <c r="E2032" t="s">
        <v>59</v>
      </c>
      <c r="F2032" t="s">
        <v>60</v>
      </c>
      <c r="G2032" t="s">
        <v>70</v>
      </c>
      <c r="H2032" s="2">
        <v>42</v>
      </c>
      <c r="I2032">
        <v>169</v>
      </c>
      <c r="J2032">
        <v>710</v>
      </c>
      <c r="K2032" s="4">
        <v>319</v>
      </c>
      <c r="L2032" t="s">
        <v>17</v>
      </c>
    </row>
    <row r="2033" spans="1:12" x14ac:dyDescent="0.35">
      <c r="A2033" t="s">
        <v>63</v>
      </c>
      <c r="B2033">
        <v>1189833</v>
      </c>
      <c r="C2033" s="1">
        <v>44270</v>
      </c>
      <c r="D2033" t="s">
        <v>48</v>
      </c>
      <c r="E2033" t="s">
        <v>66</v>
      </c>
      <c r="F2033" t="s">
        <v>76</v>
      </c>
      <c r="G2033" t="s">
        <v>32</v>
      </c>
      <c r="H2033" s="2">
        <v>44</v>
      </c>
      <c r="I2033">
        <v>169</v>
      </c>
      <c r="J2033">
        <v>744</v>
      </c>
      <c r="K2033" s="4">
        <v>372</v>
      </c>
      <c r="L2033" t="s">
        <v>17</v>
      </c>
    </row>
    <row r="2034" spans="1:12" x14ac:dyDescent="0.35">
      <c r="A2034" t="s">
        <v>63</v>
      </c>
      <c r="B2034">
        <v>1189833</v>
      </c>
      <c r="C2034" s="1">
        <v>44276</v>
      </c>
      <c r="D2034" t="s">
        <v>48</v>
      </c>
      <c r="E2034" t="s">
        <v>66</v>
      </c>
      <c r="F2034" t="s">
        <v>76</v>
      </c>
      <c r="G2034" t="s">
        <v>32</v>
      </c>
      <c r="H2034" s="2">
        <v>42</v>
      </c>
      <c r="I2034">
        <v>169</v>
      </c>
      <c r="J2034">
        <v>710</v>
      </c>
      <c r="K2034" s="4">
        <v>390</v>
      </c>
      <c r="L2034" t="s">
        <v>17</v>
      </c>
    </row>
    <row r="2035" spans="1:12" x14ac:dyDescent="0.35">
      <c r="A2035" t="s">
        <v>63</v>
      </c>
      <c r="B2035">
        <v>1189833</v>
      </c>
      <c r="C2035" s="1">
        <v>44300</v>
      </c>
      <c r="D2035" t="s">
        <v>48</v>
      </c>
      <c r="E2035" t="s">
        <v>66</v>
      </c>
      <c r="F2035" t="s">
        <v>76</v>
      </c>
      <c r="G2035" t="s">
        <v>39</v>
      </c>
      <c r="H2035" s="2">
        <v>47</v>
      </c>
      <c r="I2035">
        <v>169</v>
      </c>
      <c r="J2035">
        <v>794</v>
      </c>
      <c r="K2035" s="4">
        <v>278</v>
      </c>
      <c r="L2035" t="s">
        <v>17</v>
      </c>
    </row>
    <row r="2036" spans="1:12" x14ac:dyDescent="0.35">
      <c r="A2036" t="s">
        <v>63</v>
      </c>
      <c r="B2036">
        <v>1189833</v>
      </c>
      <c r="C2036" s="1">
        <v>44320</v>
      </c>
      <c r="D2036" t="s">
        <v>48</v>
      </c>
      <c r="E2036" t="s">
        <v>66</v>
      </c>
      <c r="F2036" t="s">
        <v>76</v>
      </c>
      <c r="G2036" t="s">
        <v>56</v>
      </c>
      <c r="H2036" s="2">
        <v>47</v>
      </c>
      <c r="I2036">
        <v>169</v>
      </c>
      <c r="J2036">
        <v>794</v>
      </c>
      <c r="K2036" s="4">
        <v>381</v>
      </c>
      <c r="L2036" t="s">
        <v>17</v>
      </c>
    </row>
    <row r="2037" spans="1:12" x14ac:dyDescent="0.35">
      <c r="A2037" t="s">
        <v>63</v>
      </c>
      <c r="B2037">
        <v>1189833</v>
      </c>
      <c r="C2037" s="1">
        <v>44337</v>
      </c>
      <c r="D2037" t="s">
        <v>48</v>
      </c>
      <c r="E2037" t="s">
        <v>66</v>
      </c>
      <c r="F2037" t="s">
        <v>76</v>
      </c>
      <c r="G2037" t="s">
        <v>32</v>
      </c>
      <c r="H2037" s="2">
        <v>47</v>
      </c>
      <c r="I2037">
        <v>169</v>
      </c>
      <c r="J2037">
        <v>794</v>
      </c>
      <c r="K2037" s="4">
        <v>397</v>
      </c>
      <c r="L2037" t="s">
        <v>17</v>
      </c>
    </row>
    <row r="2038" spans="1:12" x14ac:dyDescent="0.35">
      <c r="A2038" t="s">
        <v>23</v>
      </c>
      <c r="B2038">
        <v>1197831</v>
      </c>
      <c r="C2038" s="1">
        <v>44432</v>
      </c>
      <c r="D2038" t="s">
        <v>19</v>
      </c>
      <c r="E2038" t="s">
        <v>59</v>
      </c>
      <c r="F2038" t="s">
        <v>68</v>
      </c>
      <c r="G2038" t="s">
        <v>39</v>
      </c>
      <c r="H2038" s="2">
        <v>39</v>
      </c>
      <c r="I2038">
        <v>169</v>
      </c>
      <c r="J2038">
        <v>659</v>
      </c>
      <c r="K2038" s="4">
        <v>330</v>
      </c>
      <c r="L2038" t="s">
        <v>17</v>
      </c>
    </row>
    <row r="2039" spans="1:12" x14ac:dyDescent="0.35">
      <c r="A2039" t="s">
        <v>23</v>
      </c>
      <c r="B2039">
        <v>1197831</v>
      </c>
      <c r="C2039" s="1">
        <v>44474</v>
      </c>
      <c r="D2039" t="s">
        <v>19</v>
      </c>
      <c r="E2039" t="s">
        <v>59</v>
      </c>
      <c r="F2039" t="s">
        <v>68</v>
      </c>
      <c r="G2039" t="s">
        <v>39</v>
      </c>
      <c r="H2039" s="2">
        <v>38</v>
      </c>
      <c r="I2039">
        <v>169</v>
      </c>
      <c r="J2039">
        <v>642</v>
      </c>
      <c r="K2039" s="4">
        <v>328</v>
      </c>
      <c r="L2039" t="s">
        <v>17</v>
      </c>
    </row>
    <row r="2040" spans="1:12" x14ac:dyDescent="0.35">
      <c r="A2040" t="s">
        <v>18</v>
      </c>
      <c r="B2040">
        <v>1185732</v>
      </c>
      <c r="C2040" s="1">
        <v>44058</v>
      </c>
      <c r="D2040" t="s">
        <v>13</v>
      </c>
      <c r="E2040" t="s">
        <v>14</v>
      </c>
      <c r="F2040" t="s">
        <v>73</v>
      </c>
      <c r="G2040" t="s">
        <v>56</v>
      </c>
      <c r="H2040" s="2">
        <v>38</v>
      </c>
      <c r="I2040">
        <v>169</v>
      </c>
      <c r="J2040">
        <v>642</v>
      </c>
      <c r="K2040" s="4">
        <v>283</v>
      </c>
      <c r="L2040" t="s">
        <v>17</v>
      </c>
    </row>
    <row r="2041" spans="1:12" x14ac:dyDescent="0.35">
      <c r="A2041" t="s">
        <v>63</v>
      </c>
      <c r="B2041">
        <v>1189833</v>
      </c>
      <c r="C2041" s="1">
        <v>44223</v>
      </c>
      <c r="D2041" t="s">
        <v>33</v>
      </c>
      <c r="E2041" t="s">
        <v>131</v>
      </c>
      <c r="F2041" t="s">
        <v>132</v>
      </c>
      <c r="G2041" t="s">
        <v>26</v>
      </c>
      <c r="H2041" s="2">
        <v>36</v>
      </c>
      <c r="I2041">
        <v>169</v>
      </c>
      <c r="J2041">
        <v>608</v>
      </c>
      <c r="K2041" s="4">
        <v>359</v>
      </c>
      <c r="L2041" t="s">
        <v>17</v>
      </c>
    </row>
    <row r="2042" spans="1:12" x14ac:dyDescent="0.35">
      <c r="A2042" t="s">
        <v>23</v>
      </c>
      <c r="B2042">
        <v>1197831</v>
      </c>
      <c r="C2042" s="1">
        <v>44271</v>
      </c>
      <c r="D2042" t="s">
        <v>19</v>
      </c>
      <c r="E2042" t="s">
        <v>74</v>
      </c>
      <c r="F2042" t="s">
        <v>75</v>
      </c>
      <c r="G2042" t="s">
        <v>26</v>
      </c>
      <c r="H2042" s="2">
        <v>24</v>
      </c>
      <c r="I2042">
        <v>169</v>
      </c>
      <c r="J2042">
        <v>406</v>
      </c>
      <c r="K2042" s="4">
        <v>203</v>
      </c>
      <c r="L2042" t="s">
        <v>17</v>
      </c>
    </row>
    <row r="2043" spans="1:12" x14ac:dyDescent="0.35">
      <c r="A2043" t="s">
        <v>23</v>
      </c>
      <c r="B2043">
        <v>1197831</v>
      </c>
      <c r="C2043" s="1">
        <v>44283</v>
      </c>
      <c r="D2043" t="s">
        <v>19</v>
      </c>
      <c r="E2043" t="s">
        <v>74</v>
      </c>
      <c r="F2043" t="s">
        <v>75</v>
      </c>
      <c r="G2043" t="s">
        <v>26</v>
      </c>
      <c r="H2043" s="2">
        <v>19</v>
      </c>
      <c r="I2043">
        <v>169</v>
      </c>
      <c r="J2043">
        <v>321</v>
      </c>
      <c r="K2043" s="4">
        <v>161</v>
      </c>
      <c r="L2043" t="s">
        <v>17</v>
      </c>
    </row>
    <row r="2044" spans="1:12" x14ac:dyDescent="0.35">
      <c r="A2044" t="s">
        <v>23</v>
      </c>
      <c r="B2044">
        <v>1197831</v>
      </c>
      <c r="C2044" s="1">
        <v>44297</v>
      </c>
      <c r="D2044" t="s">
        <v>19</v>
      </c>
      <c r="E2044" t="s">
        <v>74</v>
      </c>
      <c r="F2044" t="s">
        <v>75</v>
      </c>
      <c r="G2044" t="s">
        <v>32</v>
      </c>
      <c r="H2044" s="2">
        <v>36</v>
      </c>
      <c r="I2044">
        <v>169</v>
      </c>
      <c r="J2044">
        <v>608</v>
      </c>
      <c r="K2044" s="4">
        <v>310</v>
      </c>
      <c r="L2044" t="s">
        <v>17</v>
      </c>
    </row>
    <row r="2045" spans="1:12" x14ac:dyDescent="0.35">
      <c r="A2045" t="s">
        <v>23</v>
      </c>
      <c r="B2045">
        <v>1197831</v>
      </c>
      <c r="C2045" s="1">
        <v>44314</v>
      </c>
      <c r="D2045" t="s">
        <v>19</v>
      </c>
      <c r="E2045" t="s">
        <v>74</v>
      </c>
      <c r="F2045" t="s">
        <v>75</v>
      </c>
      <c r="G2045" t="s">
        <v>39</v>
      </c>
      <c r="H2045" s="2">
        <v>47</v>
      </c>
      <c r="I2045">
        <v>169</v>
      </c>
      <c r="J2045">
        <v>794</v>
      </c>
      <c r="K2045" s="4">
        <v>477</v>
      </c>
      <c r="L2045" t="s">
        <v>17</v>
      </c>
    </row>
    <row r="2046" spans="1:12" x14ac:dyDescent="0.35">
      <c r="A2046" t="s">
        <v>23</v>
      </c>
      <c r="B2046">
        <v>1197831</v>
      </c>
      <c r="C2046" s="1">
        <v>44330</v>
      </c>
      <c r="D2046" t="s">
        <v>19</v>
      </c>
      <c r="E2046" t="s">
        <v>74</v>
      </c>
      <c r="F2046" t="s">
        <v>75</v>
      </c>
      <c r="G2046" t="s">
        <v>16</v>
      </c>
      <c r="H2046" s="2">
        <v>59</v>
      </c>
      <c r="I2046">
        <v>169</v>
      </c>
      <c r="J2046">
        <v>997</v>
      </c>
      <c r="K2046" s="4">
        <v>708</v>
      </c>
      <c r="L2046" t="s">
        <v>17</v>
      </c>
    </row>
    <row r="2047" spans="1:12" x14ac:dyDescent="0.35">
      <c r="A2047" t="s">
        <v>23</v>
      </c>
      <c r="B2047">
        <v>1197831</v>
      </c>
      <c r="C2047" s="1">
        <v>44469</v>
      </c>
      <c r="D2047" t="s">
        <v>19</v>
      </c>
      <c r="E2047" t="s">
        <v>24</v>
      </c>
      <c r="F2047" t="s">
        <v>25</v>
      </c>
      <c r="G2047" t="s">
        <v>26</v>
      </c>
      <c r="H2047" s="2">
        <v>18</v>
      </c>
      <c r="I2047">
        <v>169</v>
      </c>
      <c r="J2047">
        <v>304</v>
      </c>
      <c r="K2047" s="4">
        <v>195</v>
      </c>
      <c r="L2047" t="s">
        <v>17</v>
      </c>
    </row>
    <row r="2048" spans="1:12" x14ac:dyDescent="0.35">
      <c r="A2048" t="s">
        <v>23</v>
      </c>
      <c r="B2048">
        <v>1197831</v>
      </c>
      <c r="C2048" s="1">
        <v>44470</v>
      </c>
      <c r="D2048" t="s">
        <v>19</v>
      </c>
      <c r="E2048" t="s">
        <v>24</v>
      </c>
      <c r="F2048" t="s">
        <v>25</v>
      </c>
      <c r="G2048" t="s">
        <v>39</v>
      </c>
      <c r="H2048" s="2">
        <v>19</v>
      </c>
      <c r="I2048">
        <v>169</v>
      </c>
      <c r="J2048">
        <v>321</v>
      </c>
      <c r="K2048" s="4">
        <v>196</v>
      </c>
      <c r="L2048" t="s">
        <v>17</v>
      </c>
    </row>
    <row r="2049" spans="1:12" x14ac:dyDescent="0.35">
      <c r="A2049" t="s">
        <v>42</v>
      </c>
      <c r="B2049">
        <v>1128299</v>
      </c>
      <c r="C2049" s="1">
        <v>44357</v>
      </c>
      <c r="D2049" t="s">
        <v>48</v>
      </c>
      <c r="E2049" t="s">
        <v>129</v>
      </c>
      <c r="F2049" t="s">
        <v>130</v>
      </c>
      <c r="G2049" t="s">
        <v>16</v>
      </c>
      <c r="H2049" s="2">
        <v>97</v>
      </c>
      <c r="I2049">
        <v>169</v>
      </c>
      <c r="J2049" s="3">
        <v>1639</v>
      </c>
      <c r="K2049" s="4">
        <v>852</v>
      </c>
      <c r="L2049" t="s">
        <v>17</v>
      </c>
    </row>
    <row r="2050" spans="1:12" x14ac:dyDescent="0.35">
      <c r="A2050" t="s">
        <v>12</v>
      </c>
      <c r="B2050">
        <v>1128299</v>
      </c>
      <c r="C2050" s="1">
        <v>44517</v>
      </c>
      <c r="D2050" t="s">
        <v>13</v>
      </c>
      <c r="E2050" t="s">
        <v>14</v>
      </c>
      <c r="F2050" t="s">
        <v>15</v>
      </c>
      <c r="G2050" t="s">
        <v>26</v>
      </c>
      <c r="H2050" s="2">
        <v>52</v>
      </c>
      <c r="I2050">
        <v>169</v>
      </c>
      <c r="J2050">
        <v>879</v>
      </c>
      <c r="K2050" s="4">
        <v>352</v>
      </c>
      <c r="L2050" t="s">
        <v>17</v>
      </c>
    </row>
    <row r="2051" spans="1:12" x14ac:dyDescent="0.35">
      <c r="A2051" t="s">
        <v>18</v>
      </c>
      <c r="B2051">
        <v>1185732</v>
      </c>
      <c r="C2051" s="1">
        <v>44208</v>
      </c>
      <c r="D2051" t="s">
        <v>13</v>
      </c>
      <c r="E2051" t="s">
        <v>14</v>
      </c>
      <c r="F2051" t="s">
        <v>15</v>
      </c>
      <c r="G2051" t="s">
        <v>32</v>
      </c>
      <c r="H2051" s="2">
        <v>32</v>
      </c>
      <c r="I2051">
        <v>169</v>
      </c>
      <c r="J2051">
        <v>541</v>
      </c>
      <c r="K2051" s="4">
        <v>206</v>
      </c>
      <c r="L2051" t="s">
        <v>17</v>
      </c>
    </row>
    <row r="2052" spans="1:12" x14ac:dyDescent="0.35">
      <c r="A2052" t="s">
        <v>18</v>
      </c>
      <c r="B2052">
        <v>1185732</v>
      </c>
      <c r="C2052" s="1">
        <v>44324</v>
      </c>
      <c r="D2052" t="s">
        <v>43</v>
      </c>
      <c r="E2052" t="s">
        <v>44</v>
      </c>
      <c r="F2052" t="s">
        <v>101</v>
      </c>
      <c r="G2052" t="s">
        <v>16</v>
      </c>
      <c r="H2052" s="2">
        <v>59</v>
      </c>
      <c r="I2052">
        <v>169</v>
      </c>
      <c r="J2052">
        <v>997</v>
      </c>
      <c r="K2052" s="4">
        <v>628</v>
      </c>
      <c r="L2052" t="s">
        <v>17</v>
      </c>
    </row>
    <row r="2053" spans="1:12" x14ac:dyDescent="0.35">
      <c r="A2053" t="s">
        <v>18</v>
      </c>
      <c r="B2053">
        <v>1185732</v>
      </c>
      <c r="C2053" s="1">
        <v>44385</v>
      </c>
      <c r="D2053" t="s">
        <v>43</v>
      </c>
      <c r="E2053" t="s">
        <v>44</v>
      </c>
      <c r="F2053" t="s">
        <v>101</v>
      </c>
      <c r="G2053" t="s">
        <v>32</v>
      </c>
      <c r="H2053" s="2">
        <v>51</v>
      </c>
      <c r="I2053">
        <v>169</v>
      </c>
      <c r="J2053">
        <v>862</v>
      </c>
      <c r="K2053" s="4">
        <v>302</v>
      </c>
      <c r="L2053" t="s">
        <v>17</v>
      </c>
    </row>
    <row r="2054" spans="1:12" x14ac:dyDescent="0.35">
      <c r="A2054" t="s">
        <v>18</v>
      </c>
      <c r="B2054">
        <v>1185732</v>
      </c>
      <c r="C2054" s="1">
        <v>44538</v>
      </c>
      <c r="D2054" t="s">
        <v>43</v>
      </c>
      <c r="E2054" t="s">
        <v>44</v>
      </c>
      <c r="F2054" t="s">
        <v>101</v>
      </c>
      <c r="G2054" t="s">
        <v>39</v>
      </c>
      <c r="H2054" s="2">
        <v>51</v>
      </c>
      <c r="I2054">
        <v>169</v>
      </c>
      <c r="J2054">
        <v>862</v>
      </c>
      <c r="K2054" s="4">
        <v>431</v>
      </c>
      <c r="L2054" t="s">
        <v>17</v>
      </c>
    </row>
    <row r="2055" spans="1:12" x14ac:dyDescent="0.35">
      <c r="A2055" t="s">
        <v>42</v>
      </c>
      <c r="B2055">
        <v>1128299</v>
      </c>
      <c r="C2055" s="1">
        <v>44524</v>
      </c>
      <c r="D2055" t="s">
        <v>13</v>
      </c>
      <c r="E2055" t="s">
        <v>99</v>
      </c>
      <c r="F2055" t="s">
        <v>100</v>
      </c>
      <c r="G2055" t="s">
        <v>39</v>
      </c>
      <c r="H2055" s="2">
        <v>47</v>
      </c>
      <c r="I2055">
        <v>169</v>
      </c>
      <c r="J2055">
        <v>794</v>
      </c>
      <c r="K2055" s="4">
        <v>389</v>
      </c>
      <c r="L2055" t="s">
        <v>17</v>
      </c>
    </row>
    <row r="2056" spans="1:12" x14ac:dyDescent="0.35">
      <c r="A2056" t="s">
        <v>23</v>
      </c>
      <c r="B2056">
        <v>1185732</v>
      </c>
      <c r="C2056" s="1">
        <v>44364</v>
      </c>
      <c r="D2056" t="s">
        <v>33</v>
      </c>
      <c r="E2056" t="s">
        <v>45</v>
      </c>
      <c r="F2056" t="s">
        <v>46</v>
      </c>
      <c r="G2056" t="s">
        <v>16</v>
      </c>
      <c r="H2056" s="2">
        <v>60</v>
      </c>
      <c r="I2056">
        <v>169</v>
      </c>
      <c r="J2056" s="3">
        <v>1014</v>
      </c>
      <c r="K2056" s="4">
        <v>659</v>
      </c>
      <c r="L2056" t="s">
        <v>17</v>
      </c>
    </row>
    <row r="2057" spans="1:12" x14ac:dyDescent="0.35">
      <c r="A2057" t="s">
        <v>23</v>
      </c>
      <c r="B2057">
        <v>1185732</v>
      </c>
      <c r="C2057" s="1">
        <v>44516</v>
      </c>
      <c r="D2057" t="s">
        <v>33</v>
      </c>
      <c r="E2057" t="s">
        <v>45</v>
      </c>
      <c r="F2057" t="s">
        <v>46</v>
      </c>
      <c r="G2057" t="s">
        <v>16</v>
      </c>
      <c r="H2057" s="2">
        <v>59</v>
      </c>
      <c r="I2057">
        <v>169</v>
      </c>
      <c r="J2057">
        <v>997</v>
      </c>
      <c r="K2057" s="4">
        <v>688</v>
      </c>
      <c r="L2057" t="s">
        <v>17</v>
      </c>
    </row>
    <row r="2058" spans="1:12" x14ac:dyDescent="0.35">
      <c r="A2058" t="s">
        <v>18</v>
      </c>
      <c r="B2058">
        <v>1185732</v>
      </c>
      <c r="C2058" s="1">
        <v>44451</v>
      </c>
      <c r="D2058" t="s">
        <v>48</v>
      </c>
      <c r="E2058" t="s">
        <v>49</v>
      </c>
      <c r="F2058" t="s">
        <v>50</v>
      </c>
      <c r="G2058" t="s">
        <v>26</v>
      </c>
      <c r="H2058" s="2">
        <v>29</v>
      </c>
      <c r="I2058">
        <v>169</v>
      </c>
      <c r="J2058">
        <v>490</v>
      </c>
      <c r="K2058" s="4">
        <v>255</v>
      </c>
      <c r="L2058" t="s">
        <v>17</v>
      </c>
    </row>
    <row r="2059" spans="1:12" x14ac:dyDescent="0.35">
      <c r="A2059" t="s">
        <v>18</v>
      </c>
      <c r="B2059">
        <v>1128299</v>
      </c>
      <c r="C2059" s="1">
        <v>44371</v>
      </c>
      <c r="D2059" t="s">
        <v>48</v>
      </c>
      <c r="E2059" t="s">
        <v>85</v>
      </c>
      <c r="F2059" t="s">
        <v>86</v>
      </c>
      <c r="G2059" t="s">
        <v>39</v>
      </c>
      <c r="H2059" s="2">
        <v>62</v>
      </c>
      <c r="I2059">
        <v>169</v>
      </c>
      <c r="J2059" s="3">
        <v>1048</v>
      </c>
      <c r="K2059" s="4">
        <v>513</v>
      </c>
      <c r="L2059" t="s">
        <v>17</v>
      </c>
    </row>
    <row r="2060" spans="1:12" x14ac:dyDescent="0.35">
      <c r="A2060" t="s">
        <v>42</v>
      </c>
      <c r="B2060">
        <v>1197831</v>
      </c>
      <c r="C2060" s="1">
        <v>44261</v>
      </c>
      <c r="D2060" t="s">
        <v>48</v>
      </c>
      <c r="E2060" t="s">
        <v>79</v>
      </c>
      <c r="F2060" t="s">
        <v>80</v>
      </c>
      <c r="G2060" t="s">
        <v>39</v>
      </c>
      <c r="H2060" s="2">
        <v>36</v>
      </c>
      <c r="I2060">
        <v>169</v>
      </c>
      <c r="J2060">
        <v>608</v>
      </c>
      <c r="K2060" s="4">
        <v>280</v>
      </c>
      <c r="L2060" t="s">
        <v>17</v>
      </c>
    </row>
    <row r="2061" spans="1:12" x14ac:dyDescent="0.35">
      <c r="A2061" t="s">
        <v>42</v>
      </c>
      <c r="B2061">
        <v>1185732</v>
      </c>
      <c r="C2061" s="1">
        <v>44234</v>
      </c>
      <c r="D2061" t="s">
        <v>13</v>
      </c>
      <c r="E2061" t="s">
        <v>69</v>
      </c>
      <c r="F2061" t="s">
        <v>65</v>
      </c>
      <c r="G2061" t="s">
        <v>56</v>
      </c>
      <c r="H2061" s="2">
        <v>33</v>
      </c>
      <c r="I2061">
        <v>169</v>
      </c>
      <c r="J2061">
        <v>558</v>
      </c>
      <c r="K2061" s="4">
        <v>251</v>
      </c>
      <c r="L2061" t="s">
        <v>17</v>
      </c>
    </row>
    <row r="2062" spans="1:12" x14ac:dyDescent="0.35">
      <c r="A2062" t="s">
        <v>23</v>
      </c>
      <c r="B2062">
        <v>1185732</v>
      </c>
      <c r="C2062" s="1">
        <v>44231</v>
      </c>
      <c r="D2062" t="s">
        <v>13</v>
      </c>
      <c r="E2062" t="s">
        <v>69</v>
      </c>
      <c r="F2062" t="s">
        <v>65</v>
      </c>
      <c r="G2062" t="s">
        <v>32</v>
      </c>
      <c r="H2062" s="2">
        <v>23</v>
      </c>
      <c r="I2062">
        <v>169</v>
      </c>
      <c r="J2062">
        <v>389</v>
      </c>
      <c r="K2062" s="4">
        <v>214</v>
      </c>
      <c r="L2062" t="s">
        <v>17</v>
      </c>
    </row>
    <row r="2063" spans="1:12" x14ac:dyDescent="0.35">
      <c r="A2063" t="s">
        <v>23</v>
      </c>
      <c r="B2063">
        <v>1185732</v>
      </c>
      <c r="C2063" s="1">
        <v>44257</v>
      </c>
      <c r="D2063" t="s">
        <v>13</v>
      </c>
      <c r="E2063" t="s">
        <v>77</v>
      </c>
      <c r="F2063" t="s">
        <v>78</v>
      </c>
      <c r="G2063" t="s">
        <v>16</v>
      </c>
      <c r="H2063" s="2">
        <v>27</v>
      </c>
      <c r="I2063">
        <v>169</v>
      </c>
      <c r="J2063">
        <v>456</v>
      </c>
      <c r="K2063" s="4">
        <v>283</v>
      </c>
      <c r="L2063" t="s">
        <v>17</v>
      </c>
    </row>
    <row r="2064" spans="1:12" x14ac:dyDescent="0.35">
      <c r="A2064" t="s">
        <v>23</v>
      </c>
      <c r="B2064">
        <v>1185732</v>
      </c>
      <c r="C2064" s="1">
        <v>44318</v>
      </c>
      <c r="D2064" t="s">
        <v>13</v>
      </c>
      <c r="E2064" t="s">
        <v>77</v>
      </c>
      <c r="F2064" t="s">
        <v>78</v>
      </c>
      <c r="G2064" t="s">
        <v>32</v>
      </c>
      <c r="H2064" s="2">
        <v>37</v>
      </c>
      <c r="I2064">
        <v>169</v>
      </c>
      <c r="J2064">
        <v>625</v>
      </c>
      <c r="K2064" s="4">
        <v>331</v>
      </c>
      <c r="L2064" t="s">
        <v>17</v>
      </c>
    </row>
    <row r="2065" spans="1:12" x14ac:dyDescent="0.35">
      <c r="A2065" t="s">
        <v>23</v>
      </c>
      <c r="B2065">
        <v>1185732</v>
      </c>
      <c r="C2065" s="1">
        <v>44351</v>
      </c>
      <c r="D2065" t="s">
        <v>13</v>
      </c>
      <c r="E2065" t="s">
        <v>77</v>
      </c>
      <c r="F2065" t="s">
        <v>78</v>
      </c>
      <c r="G2065" t="s">
        <v>32</v>
      </c>
      <c r="H2065" s="2">
        <v>47</v>
      </c>
      <c r="I2065">
        <v>169</v>
      </c>
      <c r="J2065">
        <v>794</v>
      </c>
      <c r="K2065" s="4">
        <v>429</v>
      </c>
      <c r="L2065" t="s">
        <v>17</v>
      </c>
    </row>
    <row r="2066" spans="1:12" x14ac:dyDescent="0.35">
      <c r="A2066" t="s">
        <v>23</v>
      </c>
      <c r="B2066">
        <v>1185732</v>
      </c>
      <c r="C2066" s="1">
        <v>44351</v>
      </c>
      <c r="D2066" t="s">
        <v>13</v>
      </c>
      <c r="E2066" t="s">
        <v>77</v>
      </c>
      <c r="F2066" t="s">
        <v>78</v>
      </c>
      <c r="G2066" t="s">
        <v>56</v>
      </c>
      <c r="H2066" s="2">
        <v>49</v>
      </c>
      <c r="I2066">
        <v>169</v>
      </c>
      <c r="J2066">
        <v>828</v>
      </c>
      <c r="K2066" s="4">
        <v>422</v>
      </c>
      <c r="L2066" t="s">
        <v>17</v>
      </c>
    </row>
    <row r="2067" spans="1:12" x14ac:dyDescent="0.35">
      <c r="A2067" t="s">
        <v>51</v>
      </c>
      <c r="B2067">
        <v>1185732</v>
      </c>
      <c r="C2067" s="1">
        <v>44532</v>
      </c>
      <c r="D2067" t="s">
        <v>13</v>
      </c>
      <c r="E2067" t="s">
        <v>77</v>
      </c>
      <c r="F2067" t="s">
        <v>78</v>
      </c>
      <c r="G2067" t="s">
        <v>70</v>
      </c>
      <c r="H2067" s="2">
        <v>65</v>
      </c>
      <c r="I2067">
        <v>169</v>
      </c>
      <c r="J2067" s="3">
        <v>1099</v>
      </c>
      <c r="K2067" s="4">
        <v>538</v>
      </c>
      <c r="L2067" t="s">
        <v>17</v>
      </c>
    </row>
    <row r="2068" spans="1:12" x14ac:dyDescent="0.35">
      <c r="A2068" t="s">
        <v>51</v>
      </c>
      <c r="B2068">
        <v>1185732</v>
      </c>
      <c r="C2068" s="1">
        <v>44418</v>
      </c>
      <c r="D2068" t="s">
        <v>33</v>
      </c>
      <c r="E2068" t="s">
        <v>52</v>
      </c>
      <c r="F2068" t="s">
        <v>53</v>
      </c>
      <c r="G2068" t="s">
        <v>16</v>
      </c>
      <c r="H2068" s="2">
        <v>54</v>
      </c>
      <c r="I2068">
        <v>169</v>
      </c>
      <c r="J2068">
        <v>913</v>
      </c>
      <c r="K2068" s="4">
        <v>557</v>
      </c>
      <c r="L2068" t="s">
        <v>17</v>
      </c>
    </row>
    <row r="2069" spans="1:12" x14ac:dyDescent="0.35">
      <c r="A2069" t="s">
        <v>51</v>
      </c>
      <c r="B2069">
        <v>1185732</v>
      </c>
      <c r="C2069" s="1">
        <v>44510</v>
      </c>
      <c r="D2069" t="s">
        <v>33</v>
      </c>
      <c r="E2069" t="s">
        <v>52</v>
      </c>
      <c r="F2069" t="s">
        <v>53</v>
      </c>
      <c r="G2069" t="s">
        <v>26</v>
      </c>
      <c r="H2069" s="2">
        <v>34</v>
      </c>
      <c r="I2069">
        <v>169</v>
      </c>
      <c r="J2069">
        <v>575</v>
      </c>
      <c r="K2069" s="4">
        <v>299</v>
      </c>
      <c r="L2069" t="s">
        <v>17</v>
      </c>
    </row>
    <row r="2070" spans="1:12" x14ac:dyDescent="0.35">
      <c r="A2070" t="s">
        <v>42</v>
      </c>
      <c r="B2070">
        <v>1185732</v>
      </c>
      <c r="C2070" s="1">
        <v>44303</v>
      </c>
      <c r="D2070" t="s">
        <v>19</v>
      </c>
      <c r="E2070" t="s">
        <v>37</v>
      </c>
      <c r="F2070" t="s">
        <v>38</v>
      </c>
      <c r="G2070" t="s">
        <v>26</v>
      </c>
      <c r="H2070" s="2">
        <v>23</v>
      </c>
      <c r="I2070">
        <v>169</v>
      </c>
      <c r="J2070">
        <v>389</v>
      </c>
      <c r="K2070" s="4">
        <v>210</v>
      </c>
      <c r="L2070" t="s">
        <v>17</v>
      </c>
    </row>
    <row r="2071" spans="1:12" x14ac:dyDescent="0.35">
      <c r="A2071" t="s">
        <v>12</v>
      </c>
      <c r="B2071">
        <v>1185732</v>
      </c>
      <c r="C2071" s="1">
        <v>44425</v>
      </c>
      <c r="D2071" t="s">
        <v>19</v>
      </c>
      <c r="E2071" t="s">
        <v>37</v>
      </c>
      <c r="F2071" t="s">
        <v>38</v>
      </c>
      <c r="G2071" t="s">
        <v>16</v>
      </c>
      <c r="H2071" s="2">
        <v>53</v>
      </c>
      <c r="I2071">
        <v>169</v>
      </c>
      <c r="J2071">
        <v>896</v>
      </c>
      <c r="K2071" s="4">
        <v>582</v>
      </c>
      <c r="L2071" t="s">
        <v>17</v>
      </c>
    </row>
    <row r="2072" spans="1:12" x14ac:dyDescent="0.35">
      <c r="A2072" t="s">
        <v>18</v>
      </c>
      <c r="B2072">
        <v>1197831</v>
      </c>
      <c r="C2072" s="1">
        <v>44248</v>
      </c>
      <c r="D2072" t="s">
        <v>19</v>
      </c>
      <c r="E2072" t="s">
        <v>54</v>
      </c>
      <c r="F2072" t="s">
        <v>55</v>
      </c>
      <c r="G2072" t="s">
        <v>26</v>
      </c>
      <c r="H2072" s="2">
        <v>24</v>
      </c>
      <c r="I2072">
        <v>169</v>
      </c>
      <c r="J2072">
        <v>406</v>
      </c>
      <c r="K2072" s="4">
        <v>211</v>
      </c>
      <c r="L2072" t="s">
        <v>17</v>
      </c>
    </row>
    <row r="2073" spans="1:12" x14ac:dyDescent="0.35">
      <c r="A2073" t="s">
        <v>63</v>
      </c>
      <c r="B2073">
        <v>1197831</v>
      </c>
      <c r="C2073" s="1">
        <v>44549</v>
      </c>
      <c r="D2073" t="s">
        <v>19</v>
      </c>
      <c r="E2073" t="s">
        <v>61</v>
      </c>
      <c r="F2073" t="s">
        <v>62</v>
      </c>
      <c r="G2073" t="s">
        <v>26</v>
      </c>
      <c r="H2073" s="2">
        <v>64</v>
      </c>
      <c r="I2073">
        <v>169</v>
      </c>
      <c r="J2073" s="3">
        <v>1082</v>
      </c>
      <c r="K2073" s="4">
        <v>595</v>
      </c>
      <c r="L2073" t="s">
        <v>17</v>
      </c>
    </row>
    <row r="2074" spans="1:12" x14ac:dyDescent="0.35">
      <c r="A2074" t="s">
        <v>51</v>
      </c>
      <c r="B2074">
        <v>1185732</v>
      </c>
      <c r="C2074" s="1">
        <v>44366</v>
      </c>
      <c r="D2074" t="s">
        <v>43</v>
      </c>
      <c r="E2074" t="s">
        <v>127</v>
      </c>
      <c r="F2074" t="s">
        <v>128</v>
      </c>
      <c r="G2074" t="s">
        <v>26</v>
      </c>
      <c r="H2074" s="2">
        <v>59</v>
      </c>
      <c r="I2074">
        <v>169</v>
      </c>
      <c r="J2074">
        <v>997</v>
      </c>
      <c r="K2074" s="4">
        <v>528</v>
      </c>
      <c r="L2074" t="s">
        <v>17</v>
      </c>
    </row>
    <row r="2075" spans="1:12" x14ac:dyDescent="0.35">
      <c r="A2075" t="s">
        <v>42</v>
      </c>
      <c r="B2075">
        <v>1185732</v>
      </c>
      <c r="C2075" s="1">
        <v>44547</v>
      </c>
      <c r="D2075" t="s">
        <v>43</v>
      </c>
      <c r="E2075" t="s">
        <v>127</v>
      </c>
      <c r="F2075" t="s">
        <v>128</v>
      </c>
      <c r="G2075" t="s">
        <v>26</v>
      </c>
      <c r="H2075" s="2">
        <v>71</v>
      </c>
      <c r="I2075">
        <v>169</v>
      </c>
      <c r="J2075" s="3">
        <v>1200</v>
      </c>
      <c r="K2075" s="4">
        <v>660</v>
      </c>
      <c r="L2075" t="s">
        <v>17</v>
      </c>
    </row>
    <row r="2076" spans="1:12" x14ac:dyDescent="0.35">
      <c r="A2076" t="s">
        <v>12</v>
      </c>
      <c r="B2076">
        <v>1197831</v>
      </c>
      <c r="C2076" s="1">
        <v>44059</v>
      </c>
      <c r="D2076" t="s">
        <v>19</v>
      </c>
      <c r="E2076" t="s">
        <v>59</v>
      </c>
      <c r="F2076" t="s">
        <v>60</v>
      </c>
      <c r="G2076" t="s">
        <v>70</v>
      </c>
      <c r="H2076" s="2">
        <v>42</v>
      </c>
      <c r="I2076">
        <v>168</v>
      </c>
      <c r="J2076">
        <v>706</v>
      </c>
      <c r="K2076" s="4">
        <v>282</v>
      </c>
      <c r="L2076" t="s">
        <v>17</v>
      </c>
    </row>
    <row r="2077" spans="1:12" x14ac:dyDescent="0.35">
      <c r="A2077" t="s">
        <v>12</v>
      </c>
      <c r="B2077">
        <v>1197831</v>
      </c>
      <c r="C2077" s="1">
        <v>44088</v>
      </c>
      <c r="D2077" t="s">
        <v>19</v>
      </c>
      <c r="E2077" t="s">
        <v>59</v>
      </c>
      <c r="F2077" t="s">
        <v>60</v>
      </c>
      <c r="G2077" t="s">
        <v>56</v>
      </c>
      <c r="H2077" s="2">
        <v>45</v>
      </c>
      <c r="I2077">
        <v>168</v>
      </c>
      <c r="J2077">
        <v>756</v>
      </c>
      <c r="K2077" s="4">
        <v>438</v>
      </c>
      <c r="L2077" t="s">
        <v>17</v>
      </c>
    </row>
    <row r="2078" spans="1:12" x14ac:dyDescent="0.35">
      <c r="A2078" t="s">
        <v>18</v>
      </c>
      <c r="B2078">
        <v>1128299</v>
      </c>
      <c r="C2078" s="1">
        <v>43954</v>
      </c>
      <c r="D2078" t="s">
        <v>48</v>
      </c>
      <c r="E2078" t="s">
        <v>133</v>
      </c>
      <c r="F2078" t="s">
        <v>134</v>
      </c>
      <c r="G2078" t="s">
        <v>39</v>
      </c>
      <c r="H2078" s="2">
        <v>69</v>
      </c>
      <c r="I2078">
        <v>168</v>
      </c>
      <c r="J2078" s="3">
        <v>1159</v>
      </c>
      <c r="K2078" s="4">
        <v>417</v>
      </c>
      <c r="L2078" t="s">
        <v>17</v>
      </c>
    </row>
    <row r="2079" spans="1:12" x14ac:dyDescent="0.35">
      <c r="A2079" t="s">
        <v>12</v>
      </c>
      <c r="B2079">
        <v>1128299</v>
      </c>
      <c r="C2079" s="1">
        <v>44510</v>
      </c>
      <c r="D2079" t="s">
        <v>48</v>
      </c>
      <c r="E2079" t="s">
        <v>129</v>
      </c>
      <c r="F2079" t="s">
        <v>130</v>
      </c>
      <c r="G2079" t="s">
        <v>39</v>
      </c>
      <c r="H2079" s="2">
        <v>56</v>
      </c>
      <c r="I2079">
        <v>168</v>
      </c>
      <c r="J2079">
        <v>941</v>
      </c>
      <c r="K2079" s="4">
        <v>301</v>
      </c>
      <c r="L2079" t="s">
        <v>17</v>
      </c>
    </row>
    <row r="2080" spans="1:12" x14ac:dyDescent="0.35">
      <c r="A2080" t="s">
        <v>18</v>
      </c>
      <c r="B2080">
        <v>1185732</v>
      </c>
      <c r="C2080" s="1">
        <v>44385</v>
      </c>
      <c r="D2080" t="s">
        <v>43</v>
      </c>
      <c r="E2080" t="s">
        <v>44</v>
      </c>
      <c r="F2080" t="s">
        <v>101</v>
      </c>
      <c r="G2080" t="s">
        <v>70</v>
      </c>
      <c r="H2080" s="2">
        <v>62</v>
      </c>
      <c r="I2080">
        <v>168</v>
      </c>
      <c r="J2080" s="3">
        <v>1042</v>
      </c>
      <c r="K2080" s="4">
        <v>479</v>
      </c>
      <c r="L2080" t="s">
        <v>17</v>
      </c>
    </row>
    <row r="2081" spans="1:12" x14ac:dyDescent="0.35">
      <c r="A2081" t="s">
        <v>63</v>
      </c>
      <c r="B2081">
        <v>1185732</v>
      </c>
      <c r="C2081" s="1">
        <v>44210</v>
      </c>
      <c r="D2081" t="s">
        <v>43</v>
      </c>
      <c r="E2081" t="s">
        <v>44</v>
      </c>
      <c r="F2081" t="s">
        <v>101</v>
      </c>
      <c r="G2081" t="s">
        <v>32</v>
      </c>
      <c r="H2081" s="2">
        <v>29</v>
      </c>
      <c r="I2081">
        <v>168</v>
      </c>
      <c r="J2081">
        <v>487</v>
      </c>
      <c r="K2081" s="4">
        <v>234</v>
      </c>
      <c r="L2081" t="s">
        <v>17</v>
      </c>
    </row>
    <row r="2082" spans="1:12" x14ac:dyDescent="0.35">
      <c r="A2082" t="s">
        <v>63</v>
      </c>
      <c r="B2082">
        <v>1185732</v>
      </c>
      <c r="C2082" s="1">
        <v>44359</v>
      </c>
      <c r="D2082" t="s">
        <v>48</v>
      </c>
      <c r="E2082" t="s">
        <v>102</v>
      </c>
      <c r="F2082" t="s">
        <v>103</v>
      </c>
      <c r="G2082" t="s">
        <v>39</v>
      </c>
      <c r="H2082" s="2">
        <v>42</v>
      </c>
      <c r="I2082">
        <v>168</v>
      </c>
      <c r="J2082">
        <v>706</v>
      </c>
      <c r="K2082" s="4">
        <v>289</v>
      </c>
      <c r="L2082" t="s">
        <v>17</v>
      </c>
    </row>
    <row r="2083" spans="1:12" x14ac:dyDescent="0.35">
      <c r="A2083" t="s">
        <v>63</v>
      </c>
      <c r="B2083">
        <v>1185732</v>
      </c>
      <c r="C2083" s="1">
        <v>44540</v>
      </c>
      <c r="D2083" t="s">
        <v>48</v>
      </c>
      <c r="E2083" t="s">
        <v>102</v>
      </c>
      <c r="F2083" t="s">
        <v>103</v>
      </c>
      <c r="G2083" t="s">
        <v>39</v>
      </c>
      <c r="H2083" s="2">
        <v>44</v>
      </c>
      <c r="I2083">
        <v>168</v>
      </c>
      <c r="J2083">
        <v>739</v>
      </c>
      <c r="K2083" s="4">
        <v>303</v>
      </c>
      <c r="L2083" t="s">
        <v>17</v>
      </c>
    </row>
    <row r="2084" spans="1:12" x14ac:dyDescent="0.35">
      <c r="A2084" t="s">
        <v>42</v>
      </c>
      <c r="B2084">
        <v>1185732</v>
      </c>
      <c r="C2084" s="1">
        <v>44545</v>
      </c>
      <c r="D2084" t="s">
        <v>33</v>
      </c>
      <c r="E2084" t="s">
        <v>45</v>
      </c>
      <c r="F2084" t="s">
        <v>46</v>
      </c>
      <c r="G2084" t="s">
        <v>32</v>
      </c>
      <c r="H2084" s="2">
        <v>48</v>
      </c>
      <c r="I2084">
        <v>168</v>
      </c>
      <c r="J2084">
        <v>806</v>
      </c>
      <c r="K2084" s="4">
        <v>363</v>
      </c>
      <c r="L2084" t="s">
        <v>17</v>
      </c>
    </row>
    <row r="2085" spans="1:12" x14ac:dyDescent="0.35">
      <c r="A2085" t="s">
        <v>42</v>
      </c>
      <c r="B2085">
        <v>1185732</v>
      </c>
      <c r="C2085" s="1">
        <v>44365</v>
      </c>
      <c r="D2085" t="s">
        <v>33</v>
      </c>
      <c r="E2085" t="s">
        <v>34</v>
      </c>
      <c r="F2085" t="s">
        <v>35</v>
      </c>
      <c r="G2085" t="s">
        <v>26</v>
      </c>
      <c r="H2085" s="2">
        <v>32</v>
      </c>
      <c r="I2085">
        <v>168</v>
      </c>
      <c r="J2085">
        <v>538</v>
      </c>
      <c r="K2085" s="4">
        <v>290</v>
      </c>
      <c r="L2085" t="s">
        <v>17</v>
      </c>
    </row>
    <row r="2086" spans="1:12" x14ac:dyDescent="0.35">
      <c r="A2086" t="s">
        <v>18</v>
      </c>
      <c r="B2086">
        <v>1185732</v>
      </c>
      <c r="C2086" s="1">
        <v>44265</v>
      </c>
      <c r="D2086" t="s">
        <v>48</v>
      </c>
      <c r="E2086" t="s">
        <v>49</v>
      </c>
      <c r="F2086" t="s">
        <v>50</v>
      </c>
      <c r="G2086" t="s">
        <v>26</v>
      </c>
      <c r="H2086" s="2">
        <v>29</v>
      </c>
      <c r="I2086">
        <v>168</v>
      </c>
      <c r="J2086">
        <v>487</v>
      </c>
      <c r="K2086" s="4">
        <v>253</v>
      </c>
      <c r="L2086" t="s">
        <v>17</v>
      </c>
    </row>
    <row r="2087" spans="1:12" x14ac:dyDescent="0.35">
      <c r="A2087" t="s">
        <v>18</v>
      </c>
      <c r="B2087">
        <v>1128299</v>
      </c>
      <c r="C2087" s="1">
        <v>44393</v>
      </c>
      <c r="D2087" t="s">
        <v>19</v>
      </c>
      <c r="E2087" t="s">
        <v>20</v>
      </c>
      <c r="F2087" t="s">
        <v>21</v>
      </c>
      <c r="G2087" t="s">
        <v>56</v>
      </c>
      <c r="H2087" s="2">
        <v>86</v>
      </c>
      <c r="I2087">
        <v>168</v>
      </c>
      <c r="J2087" s="3">
        <v>1445</v>
      </c>
      <c r="K2087" s="4">
        <v>780</v>
      </c>
      <c r="L2087" t="s">
        <v>17</v>
      </c>
    </row>
    <row r="2088" spans="1:12" x14ac:dyDescent="0.35">
      <c r="A2088" t="s">
        <v>51</v>
      </c>
      <c r="B2088">
        <v>1185732</v>
      </c>
      <c r="C2088" s="1">
        <v>44398</v>
      </c>
      <c r="D2088" t="s">
        <v>13</v>
      </c>
      <c r="E2088" t="s">
        <v>106</v>
      </c>
      <c r="F2088" t="s">
        <v>107</v>
      </c>
      <c r="G2088" t="s">
        <v>26</v>
      </c>
      <c r="H2088" s="2">
        <v>47</v>
      </c>
      <c r="I2088">
        <v>168</v>
      </c>
      <c r="J2088">
        <v>790</v>
      </c>
      <c r="K2088" s="4">
        <v>434</v>
      </c>
      <c r="L2088" t="s">
        <v>17</v>
      </c>
    </row>
    <row r="2089" spans="1:12" x14ac:dyDescent="0.35">
      <c r="A2089" t="s">
        <v>12</v>
      </c>
      <c r="B2089">
        <v>1185732</v>
      </c>
      <c r="C2089" s="1">
        <v>44425</v>
      </c>
      <c r="D2089" t="s">
        <v>19</v>
      </c>
      <c r="E2089" t="s">
        <v>37</v>
      </c>
      <c r="F2089" t="s">
        <v>38</v>
      </c>
      <c r="G2089" t="s">
        <v>39</v>
      </c>
      <c r="H2089" s="2">
        <v>50</v>
      </c>
      <c r="I2089">
        <v>168</v>
      </c>
      <c r="J2089">
        <v>840</v>
      </c>
      <c r="K2089" s="4">
        <v>403</v>
      </c>
      <c r="L2089" t="s">
        <v>17</v>
      </c>
    </row>
    <row r="2090" spans="1:12" x14ac:dyDescent="0.35">
      <c r="A2090" t="s">
        <v>63</v>
      </c>
      <c r="B2090">
        <v>1185732</v>
      </c>
      <c r="C2090" s="1">
        <v>44543</v>
      </c>
      <c r="D2090" t="s">
        <v>43</v>
      </c>
      <c r="E2090" t="s">
        <v>95</v>
      </c>
      <c r="F2090" t="s">
        <v>96</v>
      </c>
      <c r="G2090" t="s">
        <v>26</v>
      </c>
      <c r="H2090" s="2">
        <v>62</v>
      </c>
      <c r="I2090">
        <v>168</v>
      </c>
      <c r="J2090" s="3">
        <v>1042</v>
      </c>
      <c r="K2090" s="4">
        <v>490</v>
      </c>
      <c r="L2090" t="s">
        <v>17</v>
      </c>
    </row>
    <row r="2091" spans="1:12" x14ac:dyDescent="0.35">
      <c r="A2091" t="s">
        <v>51</v>
      </c>
      <c r="B2091">
        <v>1185732</v>
      </c>
      <c r="C2091" s="1">
        <v>44540</v>
      </c>
      <c r="D2091" t="s">
        <v>43</v>
      </c>
      <c r="E2091" t="s">
        <v>125</v>
      </c>
      <c r="F2091" t="s">
        <v>126</v>
      </c>
      <c r="G2091" t="s">
        <v>26</v>
      </c>
      <c r="H2091" s="2">
        <v>64</v>
      </c>
      <c r="I2091">
        <v>168</v>
      </c>
      <c r="J2091" s="3">
        <v>1075</v>
      </c>
      <c r="K2091" s="4">
        <v>645</v>
      </c>
      <c r="L2091" t="s">
        <v>17</v>
      </c>
    </row>
    <row r="2092" spans="1:12" x14ac:dyDescent="0.35">
      <c r="A2092" t="s">
        <v>23</v>
      </c>
      <c r="B2092">
        <v>1197831</v>
      </c>
      <c r="C2092" s="1">
        <v>44489</v>
      </c>
      <c r="D2092" t="s">
        <v>19</v>
      </c>
      <c r="E2092" t="s">
        <v>59</v>
      </c>
      <c r="F2092" t="s">
        <v>68</v>
      </c>
      <c r="G2092" t="s">
        <v>70</v>
      </c>
      <c r="H2092" s="2">
        <v>47</v>
      </c>
      <c r="I2092">
        <v>168</v>
      </c>
      <c r="J2092">
        <v>790</v>
      </c>
      <c r="K2092" s="4">
        <v>292</v>
      </c>
      <c r="L2092" t="s">
        <v>27</v>
      </c>
    </row>
    <row r="2093" spans="1:12" x14ac:dyDescent="0.35">
      <c r="A2093" t="s">
        <v>42</v>
      </c>
      <c r="B2093">
        <v>1128299</v>
      </c>
      <c r="C2093" s="1">
        <v>44341</v>
      </c>
      <c r="D2093" t="s">
        <v>13</v>
      </c>
      <c r="E2093" t="s">
        <v>99</v>
      </c>
      <c r="F2093" t="s">
        <v>100</v>
      </c>
      <c r="G2093" t="s">
        <v>16</v>
      </c>
      <c r="H2093" s="2">
        <v>44</v>
      </c>
      <c r="I2093">
        <v>168</v>
      </c>
      <c r="J2093">
        <v>739</v>
      </c>
      <c r="K2093" s="4">
        <v>259</v>
      </c>
      <c r="L2093" t="s">
        <v>27</v>
      </c>
    </row>
    <row r="2094" spans="1:12" x14ac:dyDescent="0.35">
      <c r="A2094" t="s">
        <v>18</v>
      </c>
      <c r="B2094">
        <v>1128299</v>
      </c>
      <c r="C2094" s="1">
        <v>44303</v>
      </c>
      <c r="D2094" t="s">
        <v>19</v>
      </c>
      <c r="E2094" t="s">
        <v>20</v>
      </c>
      <c r="F2094" t="s">
        <v>21</v>
      </c>
      <c r="G2094" t="s">
        <v>26</v>
      </c>
      <c r="H2094" s="2">
        <v>38</v>
      </c>
      <c r="I2094">
        <v>168</v>
      </c>
      <c r="J2094">
        <v>638</v>
      </c>
      <c r="K2094" s="4">
        <v>300</v>
      </c>
      <c r="L2094" t="s">
        <v>27</v>
      </c>
    </row>
    <row r="2095" spans="1:12" x14ac:dyDescent="0.35">
      <c r="A2095" t="s">
        <v>42</v>
      </c>
      <c r="B2095">
        <v>1128299</v>
      </c>
      <c r="C2095" s="1">
        <v>44546</v>
      </c>
      <c r="D2095" t="s">
        <v>19</v>
      </c>
      <c r="E2095" t="s">
        <v>20</v>
      </c>
      <c r="F2095" t="s">
        <v>21</v>
      </c>
      <c r="G2095" t="s">
        <v>70</v>
      </c>
      <c r="H2095" s="2">
        <v>55</v>
      </c>
      <c r="I2095">
        <v>168</v>
      </c>
      <c r="J2095">
        <v>924</v>
      </c>
      <c r="K2095" s="4">
        <v>444</v>
      </c>
      <c r="L2095" t="s">
        <v>27</v>
      </c>
    </row>
    <row r="2096" spans="1:12" x14ac:dyDescent="0.35">
      <c r="A2096" t="s">
        <v>12</v>
      </c>
      <c r="B2096">
        <v>1185732</v>
      </c>
      <c r="C2096" s="1">
        <v>44393</v>
      </c>
      <c r="D2096" t="s">
        <v>19</v>
      </c>
      <c r="E2096" t="s">
        <v>37</v>
      </c>
      <c r="F2096" t="s">
        <v>38</v>
      </c>
      <c r="G2096" t="s">
        <v>32</v>
      </c>
      <c r="H2096" s="2">
        <v>37</v>
      </c>
      <c r="I2096">
        <v>168</v>
      </c>
      <c r="J2096">
        <v>622</v>
      </c>
      <c r="K2096" s="4">
        <v>261</v>
      </c>
      <c r="L2096" t="s">
        <v>27</v>
      </c>
    </row>
    <row r="2097" spans="1:12" x14ac:dyDescent="0.35">
      <c r="A2097" t="s">
        <v>23</v>
      </c>
      <c r="B2097">
        <v>1185732</v>
      </c>
      <c r="C2097" s="1">
        <v>44517</v>
      </c>
      <c r="D2097" t="s">
        <v>19</v>
      </c>
      <c r="E2097" t="s">
        <v>37</v>
      </c>
      <c r="F2097" t="s">
        <v>38</v>
      </c>
      <c r="G2097" t="s">
        <v>16</v>
      </c>
      <c r="H2097" s="2">
        <v>51</v>
      </c>
      <c r="I2097">
        <v>168</v>
      </c>
      <c r="J2097">
        <v>857</v>
      </c>
      <c r="K2097" s="4">
        <v>488</v>
      </c>
      <c r="L2097" t="s">
        <v>27</v>
      </c>
    </row>
    <row r="2098" spans="1:12" x14ac:dyDescent="0.35">
      <c r="A2098" t="s">
        <v>51</v>
      </c>
      <c r="B2098">
        <v>1185732</v>
      </c>
      <c r="C2098" s="1">
        <v>44297</v>
      </c>
      <c r="D2098" t="s">
        <v>43</v>
      </c>
      <c r="E2098" t="s">
        <v>125</v>
      </c>
      <c r="F2098" t="s">
        <v>126</v>
      </c>
      <c r="G2098" t="s">
        <v>26</v>
      </c>
      <c r="H2098" s="2">
        <v>30</v>
      </c>
      <c r="I2098">
        <v>168</v>
      </c>
      <c r="J2098">
        <v>504</v>
      </c>
      <c r="K2098" s="4">
        <v>262</v>
      </c>
      <c r="L2098" t="s">
        <v>27</v>
      </c>
    </row>
    <row r="2099" spans="1:12" x14ac:dyDescent="0.35">
      <c r="A2099" t="s">
        <v>23</v>
      </c>
      <c r="B2099">
        <v>1197831</v>
      </c>
      <c r="C2099" s="1">
        <v>44459</v>
      </c>
      <c r="D2099" t="s">
        <v>19</v>
      </c>
      <c r="E2099" t="s">
        <v>59</v>
      </c>
      <c r="F2099" t="s">
        <v>68</v>
      </c>
      <c r="G2099" t="s">
        <v>70</v>
      </c>
      <c r="H2099" s="2">
        <v>47</v>
      </c>
      <c r="I2099">
        <v>167</v>
      </c>
      <c r="J2099">
        <v>785</v>
      </c>
      <c r="K2099" s="4">
        <v>361</v>
      </c>
      <c r="L2099" t="s">
        <v>17</v>
      </c>
    </row>
    <row r="2100" spans="1:12" x14ac:dyDescent="0.35">
      <c r="A2100" t="s">
        <v>18</v>
      </c>
      <c r="B2100">
        <v>1128299</v>
      </c>
      <c r="C2100" s="1">
        <v>43989</v>
      </c>
      <c r="D2100" t="s">
        <v>48</v>
      </c>
      <c r="E2100" t="s">
        <v>97</v>
      </c>
      <c r="F2100" t="s">
        <v>98</v>
      </c>
      <c r="G2100" t="s">
        <v>26</v>
      </c>
      <c r="H2100" s="2">
        <v>46</v>
      </c>
      <c r="I2100">
        <v>167</v>
      </c>
      <c r="J2100">
        <v>768</v>
      </c>
      <c r="K2100" s="4">
        <v>346</v>
      </c>
      <c r="L2100" t="s">
        <v>17</v>
      </c>
    </row>
    <row r="2101" spans="1:12" x14ac:dyDescent="0.35">
      <c r="A2101" t="s">
        <v>63</v>
      </c>
      <c r="B2101">
        <v>1189833</v>
      </c>
      <c r="C2101" s="1">
        <v>44253</v>
      </c>
      <c r="D2101" t="s">
        <v>33</v>
      </c>
      <c r="E2101" t="s">
        <v>131</v>
      </c>
      <c r="F2101" t="s">
        <v>132</v>
      </c>
      <c r="G2101" t="s">
        <v>26</v>
      </c>
      <c r="H2101" s="2">
        <v>38</v>
      </c>
      <c r="I2101">
        <v>167</v>
      </c>
      <c r="J2101">
        <v>635</v>
      </c>
      <c r="K2101" s="4">
        <v>374</v>
      </c>
      <c r="L2101" t="s">
        <v>17</v>
      </c>
    </row>
    <row r="2102" spans="1:12" x14ac:dyDescent="0.35">
      <c r="A2102" t="s">
        <v>63</v>
      </c>
      <c r="B2102">
        <v>1185732</v>
      </c>
      <c r="C2102" s="1">
        <v>44511</v>
      </c>
      <c r="D2102" t="s">
        <v>48</v>
      </c>
      <c r="E2102" t="s">
        <v>102</v>
      </c>
      <c r="F2102" t="s">
        <v>103</v>
      </c>
      <c r="G2102" t="s">
        <v>39</v>
      </c>
      <c r="H2102" s="2">
        <v>42</v>
      </c>
      <c r="I2102">
        <v>167</v>
      </c>
      <c r="J2102">
        <v>701</v>
      </c>
      <c r="K2102" s="4">
        <v>302</v>
      </c>
      <c r="L2102" t="s">
        <v>17</v>
      </c>
    </row>
    <row r="2103" spans="1:12" x14ac:dyDescent="0.35">
      <c r="A2103" t="s">
        <v>23</v>
      </c>
      <c r="B2103">
        <v>1185732</v>
      </c>
      <c r="C2103" s="1">
        <v>44364</v>
      </c>
      <c r="D2103" t="s">
        <v>33</v>
      </c>
      <c r="E2103" t="s">
        <v>45</v>
      </c>
      <c r="F2103" t="s">
        <v>46</v>
      </c>
      <c r="G2103" t="s">
        <v>39</v>
      </c>
      <c r="H2103" s="2">
        <v>46</v>
      </c>
      <c r="I2103">
        <v>167</v>
      </c>
      <c r="J2103">
        <v>768</v>
      </c>
      <c r="K2103" s="4">
        <v>415</v>
      </c>
      <c r="L2103" t="s">
        <v>17</v>
      </c>
    </row>
    <row r="2104" spans="1:12" x14ac:dyDescent="0.35">
      <c r="A2104" t="s">
        <v>23</v>
      </c>
      <c r="B2104">
        <v>1185732</v>
      </c>
      <c r="C2104" s="1">
        <v>44486</v>
      </c>
      <c r="D2104" t="s">
        <v>33</v>
      </c>
      <c r="E2104" t="s">
        <v>45</v>
      </c>
      <c r="F2104" t="s">
        <v>46</v>
      </c>
      <c r="G2104" t="s">
        <v>39</v>
      </c>
      <c r="H2104" s="2">
        <v>37</v>
      </c>
      <c r="I2104">
        <v>167</v>
      </c>
      <c r="J2104">
        <v>618</v>
      </c>
      <c r="K2104" s="4">
        <v>315</v>
      </c>
      <c r="L2104" t="s">
        <v>17</v>
      </c>
    </row>
    <row r="2105" spans="1:12" x14ac:dyDescent="0.35">
      <c r="A2105" t="s">
        <v>18</v>
      </c>
      <c r="B2105">
        <v>1128299</v>
      </c>
      <c r="C2105" s="1">
        <v>44334</v>
      </c>
      <c r="D2105" t="s">
        <v>19</v>
      </c>
      <c r="E2105" t="s">
        <v>20</v>
      </c>
      <c r="F2105" t="s">
        <v>21</v>
      </c>
      <c r="G2105" t="s">
        <v>16</v>
      </c>
      <c r="H2105" s="2">
        <v>59</v>
      </c>
      <c r="I2105">
        <v>167</v>
      </c>
      <c r="J2105">
        <v>985</v>
      </c>
      <c r="K2105" s="4">
        <v>443</v>
      </c>
      <c r="L2105" t="s">
        <v>17</v>
      </c>
    </row>
    <row r="2106" spans="1:12" x14ac:dyDescent="0.35">
      <c r="A2106" t="s">
        <v>18</v>
      </c>
      <c r="B2106">
        <v>1197831</v>
      </c>
      <c r="C2106" s="1">
        <v>44321</v>
      </c>
      <c r="D2106" t="s">
        <v>48</v>
      </c>
      <c r="E2106" t="s">
        <v>79</v>
      </c>
      <c r="F2106" t="s">
        <v>80</v>
      </c>
      <c r="G2106" t="s">
        <v>32</v>
      </c>
      <c r="H2106" s="2">
        <v>23</v>
      </c>
      <c r="I2106">
        <v>167</v>
      </c>
      <c r="J2106">
        <v>384</v>
      </c>
      <c r="K2106" s="4">
        <v>181</v>
      </c>
      <c r="L2106" t="s">
        <v>17</v>
      </c>
    </row>
    <row r="2107" spans="1:12" x14ac:dyDescent="0.35">
      <c r="A2107" t="s">
        <v>23</v>
      </c>
      <c r="B2107">
        <v>1197831</v>
      </c>
      <c r="C2107" s="1">
        <v>44473</v>
      </c>
      <c r="D2107" t="s">
        <v>48</v>
      </c>
      <c r="E2107" t="s">
        <v>79</v>
      </c>
      <c r="F2107" t="s">
        <v>80</v>
      </c>
      <c r="G2107" t="s">
        <v>26</v>
      </c>
      <c r="H2107" s="2">
        <v>36</v>
      </c>
      <c r="I2107">
        <v>167</v>
      </c>
      <c r="J2107">
        <v>601</v>
      </c>
      <c r="K2107" s="4">
        <v>307</v>
      </c>
      <c r="L2107" t="s">
        <v>17</v>
      </c>
    </row>
    <row r="2108" spans="1:12" x14ac:dyDescent="0.35">
      <c r="A2108" t="s">
        <v>42</v>
      </c>
      <c r="B2108">
        <v>1128299</v>
      </c>
      <c r="C2108" s="1">
        <v>44463</v>
      </c>
      <c r="D2108" t="s">
        <v>48</v>
      </c>
      <c r="E2108" t="s">
        <v>123</v>
      </c>
      <c r="F2108" t="s">
        <v>124</v>
      </c>
      <c r="G2108" t="s">
        <v>26</v>
      </c>
      <c r="H2108" s="2">
        <v>41</v>
      </c>
      <c r="I2108">
        <v>167</v>
      </c>
      <c r="J2108">
        <v>685</v>
      </c>
      <c r="K2108" s="4">
        <v>336</v>
      </c>
      <c r="L2108" t="s">
        <v>17</v>
      </c>
    </row>
    <row r="2109" spans="1:12" x14ac:dyDescent="0.35">
      <c r="A2109" t="s">
        <v>23</v>
      </c>
      <c r="B2109">
        <v>1185732</v>
      </c>
      <c r="C2109" s="1">
        <v>44503</v>
      </c>
      <c r="D2109" t="s">
        <v>13</v>
      </c>
      <c r="E2109" t="s">
        <v>77</v>
      </c>
      <c r="F2109" t="s">
        <v>78</v>
      </c>
      <c r="G2109" t="s">
        <v>32</v>
      </c>
      <c r="H2109" s="2">
        <v>38</v>
      </c>
      <c r="I2109">
        <v>167</v>
      </c>
      <c r="J2109">
        <v>635</v>
      </c>
      <c r="K2109" s="4">
        <v>343</v>
      </c>
      <c r="L2109" t="s">
        <v>17</v>
      </c>
    </row>
    <row r="2110" spans="1:12" x14ac:dyDescent="0.35">
      <c r="A2110" t="s">
        <v>51</v>
      </c>
      <c r="B2110">
        <v>1185732</v>
      </c>
      <c r="C2110" s="1">
        <v>44209</v>
      </c>
      <c r="D2110" t="s">
        <v>13</v>
      </c>
      <c r="E2110" t="s">
        <v>77</v>
      </c>
      <c r="F2110" t="s">
        <v>78</v>
      </c>
      <c r="G2110" t="s">
        <v>32</v>
      </c>
      <c r="H2110" s="2">
        <v>24</v>
      </c>
      <c r="I2110">
        <v>167</v>
      </c>
      <c r="J2110">
        <v>401</v>
      </c>
      <c r="K2110" s="4">
        <v>216</v>
      </c>
      <c r="L2110" t="s">
        <v>17</v>
      </c>
    </row>
    <row r="2111" spans="1:12" x14ac:dyDescent="0.35">
      <c r="A2111" t="s">
        <v>51</v>
      </c>
      <c r="B2111">
        <v>1185732</v>
      </c>
      <c r="C2111" s="1">
        <v>44510</v>
      </c>
      <c r="D2111" t="s">
        <v>33</v>
      </c>
      <c r="E2111" t="s">
        <v>52</v>
      </c>
      <c r="F2111" t="s">
        <v>53</v>
      </c>
      <c r="G2111" t="s">
        <v>16</v>
      </c>
      <c r="H2111" s="2">
        <v>74</v>
      </c>
      <c r="I2111">
        <v>167</v>
      </c>
      <c r="J2111" s="3">
        <v>1236</v>
      </c>
      <c r="K2111" s="4">
        <v>791</v>
      </c>
      <c r="L2111" t="s">
        <v>17</v>
      </c>
    </row>
    <row r="2112" spans="1:12" x14ac:dyDescent="0.35">
      <c r="A2112" t="s">
        <v>51</v>
      </c>
      <c r="B2112">
        <v>1185732</v>
      </c>
      <c r="C2112" s="1">
        <v>44430</v>
      </c>
      <c r="D2112" t="s">
        <v>13</v>
      </c>
      <c r="E2112" t="s">
        <v>106</v>
      </c>
      <c r="F2112" t="s">
        <v>107</v>
      </c>
      <c r="G2112" t="s">
        <v>26</v>
      </c>
      <c r="H2112" s="2">
        <v>46</v>
      </c>
      <c r="I2112">
        <v>167</v>
      </c>
      <c r="J2112">
        <v>768</v>
      </c>
      <c r="K2112" s="4">
        <v>415</v>
      </c>
      <c r="L2112" t="s">
        <v>17</v>
      </c>
    </row>
    <row r="2113" spans="1:12" x14ac:dyDescent="0.35">
      <c r="A2113" t="s">
        <v>18</v>
      </c>
      <c r="B2113">
        <v>1197831</v>
      </c>
      <c r="C2113" s="1">
        <v>44219</v>
      </c>
      <c r="D2113" t="s">
        <v>19</v>
      </c>
      <c r="E2113" t="s">
        <v>54</v>
      </c>
      <c r="F2113" t="s">
        <v>55</v>
      </c>
      <c r="G2113" t="s">
        <v>26</v>
      </c>
      <c r="H2113" s="2">
        <v>24</v>
      </c>
      <c r="I2113">
        <v>167</v>
      </c>
      <c r="J2113">
        <v>401</v>
      </c>
      <c r="K2113" s="4">
        <v>212</v>
      </c>
      <c r="L2113" t="s">
        <v>17</v>
      </c>
    </row>
    <row r="2114" spans="1:12" x14ac:dyDescent="0.35">
      <c r="A2114" t="s">
        <v>18</v>
      </c>
      <c r="B2114">
        <v>1197831</v>
      </c>
      <c r="C2114" s="1">
        <v>44335</v>
      </c>
      <c r="D2114" t="s">
        <v>19</v>
      </c>
      <c r="E2114" t="s">
        <v>61</v>
      </c>
      <c r="F2114" t="s">
        <v>62</v>
      </c>
      <c r="G2114" t="s">
        <v>26</v>
      </c>
      <c r="H2114" s="2">
        <v>36</v>
      </c>
      <c r="I2114">
        <v>167</v>
      </c>
      <c r="J2114">
        <v>601</v>
      </c>
      <c r="K2114" s="4">
        <v>325</v>
      </c>
      <c r="L2114" t="s">
        <v>17</v>
      </c>
    </row>
    <row r="2115" spans="1:12" x14ac:dyDescent="0.35">
      <c r="A2115" t="s">
        <v>42</v>
      </c>
      <c r="B2115">
        <v>1185732</v>
      </c>
      <c r="C2115" s="1">
        <v>44383</v>
      </c>
      <c r="D2115" t="s">
        <v>43</v>
      </c>
      <c r="E2115" t="s">
        <v>110</v>
      </c>
      <c r="F2115" t="s">
        <v>111</v>
      </c>
      <c r="G2115" t="s">
        <v>26</v>
      </c>
      <c r="H2115" s="2">
        <v>46</v>
      </c>
      <c r="I2115">
        <v>167</v>
      </c>
      <c r="J2115">
        <v>768</v>
      </c>
      <c r="K2115" s="4">
        <v>346</v>
      </c>
      <c r="L2115" t="s">
        <v>17</v>
      </c>
    </row>
    <row r="2116" spans="1:12" x14ac:dyDescent="0.35">
      <c r="A2116" t="s">
        <v>51</v>
      </c>
      <c r="B2116">
        <v>1185732</v>
      </c>
      <c r="C2116" s="1">
        <v>44239</v>
      </c>
      <c r="D2116" t="s">
        <v>43</v>
      </c>
      <c r="E2116" t="s">
        <v>112</v>
      </c>
      <c r="F2116" t="s">
        <v>113</v>
      </c>
      <c r="G2116" t="s">
        <v>26</v>
      </c>
      <c r="H2116" s="2">
        <v>41</v>
      </c>
      <c r="I2116">
        <v>167</v>
      </c>
      <c r="J2116">
        <v>685</v>
      </c>
      <c r="K2116" s="4">
        <v>383</v>
      </c>
      <c r="L2116" t="s">
        <v>17</v>
      </c>
    </row>
    <row r="2117" spans="1:12" x14ac:dyDescent="0.35">
      <c r="A2117" t="s">
        <v>42</v>
      </c>
      <c r="B2117">
        <v>1185732</v>
      </c>
      <c r="C2117" s="1">
        <v>44497</v>
      </c>
      <c r="D2117" t="s">
        <v>43</v>
      </c>
      <c r="E2117" t="s">
        <v>135</v>
      </c>
      <c r="F2117" t="s">
        <v>136</v>
      </c>
      <c r="G2117" t="s">
        <v>26</v>
      </c>
      <c r="H2117" s="2">
        <v>32</v>
      </c>
      <c r="I2117">
        <v>166</v>
      </c>
      <c r="J2117">
        <v>531</v>
      </c>
      <c r="K2117" s="4">
        <v>319</v>
      </c>
      <c r="L2117" t="s">
        <v>27</v>
      </c>
    </row>
    <row r="2118" spans="1:12" x14ac:dyDescent="0.35">
      <c r="A2118" t="s">
        <v>18</v>
      </c>
      <c r="B2118">
        <v>1128299</v>
      </c>
      <c r="C2118" s="1">
        <v>43837</v>
      </c>
      <c r="D2118" t="s">
        <v>48</v>
      </c>
      <c r="E2118" t="s">
        <v>116</v>
      </c>
      <c r="F2118" t="s">
        <v>117</v>
      </c>
      <c r="G2118" t="s">
        <v>16</v>
      </c>
      <c r="H2118" s="2">
        <v>36</v>
      </c>
      <c r="I2118">
        <v>166</v>
      </c>
      <c r="J2118">
        <v>598</v>
      </c>
      <c r="K2118" s="4">
        <v>143</v>
      </c>
      <c r="L2118" t="s">
        <v>27</v>
      </c>
    </row>
    <row r="2119" spans="1:12" x14ac:dyDescent="0.35">
      <c r="A2119" t="s">
        <v>18</v>
      </c>
      <c r="B2119">
        <v>1128299</v>
      </c>
      <c r="C2119" s="1">
        <v>43901</v>
      </c>
      <c r="D2119" t="s">
        <v>48</v>
      </c>
      <c r="E2119" t="s">
        <v>116</v>
      </c>
      <c r="F2119" t="s">
        <v>117</v>
      </c>
      <c r="G2119" t="s">
        <v>32</v>
      </c>
      <c r="H2119" s="2">
        <v>47</v>
      </c>
      <c r="I2119">
        <v>166</v>
      </c>
      <c r="J2119">
        <v>780</v>
      </c>
      <c r="K2119" s="4">
        <v>328</v>
      </c>
      <c r="L2119" t="s">
        <v>27</v>
      </c>
    </row>
    <row r="2120" spans="1:12" x14ac:dyDescent="0.35">
      <c r="A2120" t="s">
        <v>18</v>
      </c>
      <c r="B2120">
        <v>1128299</v>
      </c>
      <c r="C2120" s="1">
        <v>43902</v>
      </c>
      <c r="D2120" t="s">
        <v>48</v>
      </c>
      <c r="E2120" t="s">
        <v>116</v>
      </c>
      <c r="F2120" t="s">
        <v>117</v>
      </c>
      <c r="G2120" t="s">
        <v>56</v>
      </c>
      <c r="H2120" s="2">
        <v>40</v>
      </c>
      <c r="I2120">
        <v>166</v>
      </c>
      <c r="J2120">
        <v>664</v>
      </c>
      <c r="K2120" s="4">
        <v>239</v>
      </c>
      <c r="L2120" t="s">
        <v>27</v>
      </c>
    </row>
    <row r="2121" spans="1:12" x14ac:dyDescent="0.35">
      <c r="A2121" t="s">
        <v>23</v>
      </c>
      <c r="B2121">
        <v>1197831</v>
      </c>
      <c r="C2121" s="1">
        <v>44279</v>
      </c>
      <c r="D2121" t="s">
        <v>19</v>
      </c>
      <c r="E2121" t="s">
        <v>74</v>
      </c>
      <c r="F2121" t="s">
        <v>75</v>
      </c>
      <c r="G2121" t="s">
        <v>32</v>
      </c>
      <c r="H2121" s="2">
        <v>22</v>
      </c>
      <c r="I2121">
        <v>166</v>
      </c>
      <c r="J2121">
        <v>365</v>
      </c>
      <c r="K2121" s="4">
        <v>157</v>
      </c>
      <c r="L2121" t="s">
        <v>27</v>
      </c>
    </row>
    <row r="2122" spans="1:12" x14ac:dyDescent="0.35">
      <c r="A2122" t="s">
        <v>23</v>
      </c>
      <c r="B2122">
        <v>1197831</v>
      </c>
      <c r="C2122" s="1">
        <v>44465</v>
      </c>
      <c r="D2122" t="s">
        <v>19</v>
      </c>
      <c r="E2122" t="s">
        <v>24</v>
      </c>
      <c r="F2122" t="s">
        <v>25</v>
      </c>
      <c r="G2122" t="s">
        <v>32</v>
      </c>
      <c r="H2122" s="2">
        <v>24</v>
      </c>
      <c r="I2122">
        <v>166</v>
      </c>
      <c r="J2122">
        <v>398</v>
      </c>
      <c r="K2122" s="4">
        <v>215</v>
      </c>
      <c r="L2122" t="s">
        <v>27</v>
      </c>
    </row>
    <row r="2123" spans="1:12" x14ac:dyDescent="0.35">
      <c r="A2123" t="s">
        <v>12</v>
      </c>
      <c r="B2123">
        <v>1128299</v>
      </c>
      <c r="C2123" s="1">
        <v>44425</v>
      </c>
      <c r="D2123" t="s">
        <v>13</v>
      </c>
      <c r="E2123" t="s">
        <v>14</v>
      </c>
      <c r="F2123" t="s">
        <v>15</v>
      </c>
      <c r="G2123" t="s">
        <v>70</v>
      </c>
      <c r="H2123" s="2">
        <v>63</v>
      </c>
      <c r="I2123">
        <v>166</v>
      </c>
      <c r="J2123" s="3">
        <v>1046</v>
      </c>
      <c r="K2123" s="4">
        <v>251</v>
      </c>
      <c r="L2123" t="s">
        <v>27</v>
      </c>
    </row>
    <row r="2124" spans="1:12" x14ac:dyDescent="0.35">
      <c r="A2124" t="s">
        <v>18</v>
      </c>
      <c r="B2124">
        <v>1128299</v>
      </c>
      <c r="C2124" s="1">
        <v>44310</v>
      </c>
      <c r="D2124" t="s">
        <v>48</v>
      </c>
      <c r="E2124" t="s">
        <v>85</v>
      </c>
      <c r="F2124" t="s">
        <v>86</v>
      </c>
      <c r="G2124" t="s">
        <v>26</v>
      </c>
      <c r="H2124" s="2">
        <v>44</v>
      </c>
      <c r="I2124">
        <v>166</v>
      </c>
      <c r="J2124">
        <v>730</v>
      </c>
      <c r="K2124" s="4">
        <v>285</v>
      </c>
      <c r="L2124" t="s">
        <v>27</v>
      </c>
    </row>
    <row r="2125" spans="1:12" x14ac:dyDescent="0.35">
      <c r="A2125" t="s">
        <v>42</v>
      </c>
      <c r="B2125">
        <v>1197831</v>
      </c>
      <c r="C2125" s="1">
        <v>44201</v>
      </c>
      <c r="D2125" t="s">
        <v>19</v>
      </c>
      <c r="E2125" t="s">
        <v>20</v>
      </c>
      <c r="F2125" t="s">
        <v>21</v>
      </c>
      <c r="G2125" t="s">
        <v>56</v>
      </c>
      <c r="H2125" s="2">
        <v>26</v>
      </c>
      <c r="I2125">
        <v>166</v>
      </c>
      <c r="J2125">
        <v>432</v>
      </c>
      <c r="K2125" s="4">
        <v>181</v>
      </c>
      <c r="L2125" t="s">
        <v>27</v>
      </c>
    </row>
    <row r="2126" spans="1:12" x14ac:dyDescent="0.35">
      <c r="A2126" t="s">
        <v>23</v>
      </c>
      <c r="B2126">
        <v>1197831</v>
      </c>
      <c r="C2126" s="1">
        <v>44416</v>
      </c>
      <c r="D2126" t="s">
        <v>48</v>
      </c>
      <c r="E2126" t="s">
        <v>79</v>
      </c>
      <c r="F2126" t="s">
        <v>80</v>
      </c>
      <c r="G2126" t="s">
        <v>70</v>
      </c>
      <c r="H2126" s="2">
        <v>39</v>
      </c>
      <c r="I2126">
        <v>166</v>
      </c>
      <c r="J2126">
        <v>647</v>
      </c>
      <c r="K2126" s="4">
        <v>272</v>
      </c>
      <c r="L2126" t="s">
        <v>27</v>
      </c>
    </row>
    <row r="2127" spans="1:12" x14ac:dyDescent="0.35">
      <c r="A2127" t="s">
        <v>63</v>
      </c>
      <c r="B2127">
        <v>1128299</v>
      </c>
      <c r="C2127" s="1">
        <v>44222</v>
      </c>
      <c r="D2127" t="s">
        <v>48</v>
      </c>
      <c r="E2127" t="s">
        <v>123</v>
      </c>
      <c r="F2127" t="s">
        <v>124</v>
      </c>
      <c r="G2127" t="s">
        <v>16</v>
      </c>
      <c r="H2127" s="2">
        <v>36</v>
      </c>
      <c r="I2127">
        <v>166</v>
      </c>
      <c r="J2127">
        <v>598</v>
      </c>
      <c r="K2127" s="4">
        <v>161</v>
      </c>
      <c r="L2127" t="s">
        <v>27</v>
      </c>
    </row>
    <row r="2128" spans="1:12" x14ac:dyDescent="0.35">
      <c r="A2128" t="s">
        <v>18</v>
      </c>
      <c r="B2128">
        <v>1197831</v>
      </c>
      <c r="C2128" s="1">
        <v>44428</v>
      </c>
      <c r="D2128" t="s">
        <v>19</v>
      </c>
      <c r="E2128" t="s">
        <v>61</v>
      </c>
      <c r="F2128" t="s">
        <v>62</v>
      </c>
      <c r="G2128" t="s">
        <v>16</v>
      </c>
      <c r="H2128" s="2">
        <v>40</v>
      </c>
      <c r="I2128">
        <v>166</v>
      </c>
      <c r="J2128">
        <v>664</v>
      </c>
      <c r="K2128" s="4">
        <v>312</v>
      </c>
      <c r="L2128" t="s">
        <v>27</v>
      </c>
    </row>
    <row r="2129" spans="1:12" x14ac:dyDescent="0.35">
      <c r="A2129" t="s">
        <v>63</v>
      </c>
      <c r="B2129">
        <v>1197831</v>
      </c>
      <c r="C2129" s="1">
        <v>44520</v>
      </c>
      <c r="D2129" t="s">
        <v>19</v>
      </c>
      <c r="E2129" t="s">
        <v>61</v>
      </c>
      <c r="F2129" t="s">
        <v>62</v>
      </c>
      <c r="G2129" t="s">
        <v>26</v>
      </c>
      <c r="H2129" s="2">
        <v>16</v>
      </c>
      <c r="I2129">
        <v>166</v>
      </c>
      <c r="J2129">
        <v>266</v>
      </c>
      <c r="K2129" s="4">
        <v>117</v>
      </c>
      <c r="L2129" t="s">
        <v>27</v>
      </c>
    </row>
    <row r="2130" spans="1:12" x14ac:dyDescent="0.35">
      <c r="A2130" t="s">
        <v>18</v>
      </c>
      <c r="B2130">
        <v>1128299</v>
      </c>
      <c r="C2130" s="1">
        <v>43863</v>
      </c>
      <c r="D2130" t="s">
        <v>48</v>
      </c>
      <c r="E2130" t="s">
        <v>116</v>
      </c>
      <c r="F2130" t="s">
        <v>117</v>
      </c>
      <c r="G2130" t="s">
        <v>39</v>
      </c>
      <c r="H2130" s="2">
        <v>62</v>
      </c>
      <c r="I2130">
        <v>165</v>
      </c>
      <c r="J2130" s="3">
        <v>1023</v>
      </c>
      <c r="K2130" s="4">
        <v>419</v>
      </c>
      <c r="L2130" t="s">
        <v>17</v>
      </c>
    </row>
    <row r="2131" spans="1:12" x14ac:dyDescent="0.35">
      <c r="A2131" t="s">
        <v>18</v>
      </c>
      <c r="B2131">
        <v>1128299</v>
      </c>
      <c r="C2131" s="1">
        <v>43864</v>
      </c>
      <c r="D2131" t="s">
        <v>48</v>
      </c>
      <c r="E2131" t="s">
        <v>116</v>
      </c>
      <c r="F2131" t="s">
        <v>117</v>
      </c>
      <c r="G2131" t="s">
        <v>32</v>
      </c>
      <c r="H2131" s="2">
        <v>62</v>
      </c>
      <c r="I2131">
        <v>165</v>
      </c>
      <c r="J2131" s="3">
        <v>1023</v>
      </c>
      <c r="K2131" s="4">
        <v>604</v>
      </c>
      <c r="L2131" t="s">
        <v>17</v>
      </c>
    </row>
    <row r="2132" spans="1:12" x14ac:dyDescent="0.35">
      <c r="A2132" t="s">
        <v>18</v>
      </c>
      <c r="B2132">
        <v>1128299</v>
      </c>
      <c r="C2132" s="1">
        <v>43887</v>
      </c>
      <c r="D2132" t="s">
        <v>48</v>
      </c>
      <c r="E2132" t="s">
        <v>116</v>
      </c>
      <c r="F2132" t="s">
        <v>117</v>
      </c>
      <c r="G2132" t="s">
        <v>39</v>
      </c>
      <c r="H2132" s="2">
        <v>59</v>
      </c>
      <c r="I2132">
        <v>165</v>
      </c>
      <c r="J2132">
        <v>974</v>
      </c>
      <c r="K2132" s="4">
        <v>341</v>
      </c>
      <c r="L2132" t="s">
        <v>17</v>
      </c>
    </row>
    <row r="2133" spans="1:12" x14ac:dyDescent="0.35">
      <c r="A2133" t="s">
        <v>18</v>
      </c>
      <c r="B2133">
        <v>1128299</v>
      </c>
      <c r="C2133" s="1">
        <v>43917</v>
      </c>
      <c r="D2133" t="s">
        <v>48</v>
      </c>
      <c r="E2133" t="s">
        <v>133</v>
      </c>
      <c r="F2133" t="s">
        <v>134</v>
      </c>
      <c r="G2133" t="s">
        <v>26</v>
      </c>
      <c r="H2133" s="2">
        <v>37</v>
      </c>
      <c r="I2133">
        <v>165</v>
      </c>
      <c r="J2133">
        <v>611</v>
      </c>
      <c r="K2133" s="4">
        <v>293</v>
      </c>
      <c r="L2133" t="s">
        <v>17</v>
      </c>
    </row>
    <row r="2134" spans="1:12" x14ac:dyDescent="0.35">
      <c r="A2134" t="s">
        <v>18</v>
      </c>
      <c r="B2134">
        <v>1128299</v>
      </c>
      <c r="C2134" s="1">
        <v>44001</v>
      </c>
      <c r="D2134" t="s">
        <v>48</v>
      </c>
      <c r="E2134" t="s">
        <v>97</v>
      </c>
      <c r="F2134" t="s">
        <v>98</v>
      </c>
      <c r="G2134" t="s">
        <v>26</v>
      </c>
      <c r="H2134" s="2">
        <v>55</v>
      </c>
      <c r="I2134">
        <v>165</v>
      </c>
      <c r="J2134">
        <v>908</v>
      </c>
      <c r="K2134" s="4">
        <v>372</v>
      </c>
      <c r="L2134" t="s">
        <v>17</v>
      </c>
    </row>
    <row r="2135" spans="1:12" x14ac:dyDescent="0.35">
      <c r="A2135" t="s">
        <v>63</v>
      </c>
      <c r="B2135">
        <v>1189833</v>
      </c>
      <c r="C2135" s="1">
        <v>44225</v>
      </c>
      <c r="D2135" t="s">
        <v>33</v>
      </c>
      <c r="E2135" t="s">
        <v>131</v>
      </c>
      <c r="F2135" t="s">
        <v>132</v>
      </c>
      <c r="G2135" t="s">
        <v>32</v>
      </c>
      <c r="H2135" s="2">
        <v>44</v>
      </c>
      <c r="I2135">
        <v>165</v>
      </c>
      <c r="J2135">
        <v>726</v>
      </c>
      <c r="K2135" s="4">
        <v>399</v>
      </c>
      <c r="L2135" t="s">
        <v>17</v>
      </c>
    </row>
    <row r="2136" spans="1:12" x14ac:dyDescent="0.35">
      <c r="A2136" t="s">
        <v>23</v>
      </c>
      <c r="B2136">
        <v>1197831</v>
      </c>
      <c r="C2136" s="1">
        <v>44305</v>
      </c>
      <c r="D2136" t="s">
        <v>19</v>
      </c>
      <c r="E2136" t="s">
        <v>74</v>
      </c>
      <c r="F2136" t="s">
        <v>75</v>
      </c>
      <c r="G2136" t="s">
        <v>70</v>
      </c>
      <c r="H2136" s="2">
        <v>43</v>
      </c>
      <c r="I2136">
        <v>165</v>
      </c>
      <c r="J2136">
        <v>710</v>
      </c>
      <c r="K2136" s="4">
        <v>376</v>
      </c>
      <c r="L2136" t="s">
        <v>17</v>
      </c>
    </row>
    <row r="2137" spans="1:12" x14ac:dyDescent="0.35">
      <c r="A2137" t="s">
        <v>42</v>
      </c>
      <c r="B2137">
        <v>1185732</v>
      </c>
      <c r="C2137" s="1">
        <v>44373</v>
      </c>
      <c r="D2137" t="s">
        <v>33</v>
      </c>
      <c r="E2137" t="s">
        <v>120</v>
      </c>
      <c r="F2137" t="s">
        <v>121</v>
      </c>
      <c r="G2137" t="s">
        <v>26</v>
      </c>
      <c r="H2137" s="2">
        <v>43</v>
      </c>
      <c r="I2137">
        <v>165</v>
      </c>
      <c r="J2137">
        <v>710</v>
      </c>
      <c r="K2137" s="4">
        <v>362</v>
      </c>
      <c r="L2137" t="s">
        <v>17</v>
      </c>
    </row>
    <row r="2138" spans="1:12" x14ac:dyDescent="0.35">
      <c r="A2138" t="s">
        <v>18</v>
      </c>
      <c r="B2138">
        <v>1185732</v>
      </c>
      <c r="C2138" s="1">
        <v>44208</v>
      </c>
      <c r="D2138" t="s">
        <v>13</v>
      </c>
      <c r="E2138" t="s">
        <v>14</v>
      </c>
      <c r="F2138" t="s">
        <v>15</v>
      </c>
      <c r="G2138" t="s">
        <v>70</v>
      </c>
      <c r="H2138" s="2">
        <v>51</v>
      </c>
      <c r="I2138">
        <v>165</v>
      </c>
      <c r="J2138">
        <v>842</v>
      </c>
      <c r="K2138" s="4">
        <v>379</v>
      </c>
      <c r="L2138" t="s">
        <v>17</v>
      </c>
    </row>
    <row r="2139" spans="1:12" x14ac:dyDescent="0.35">
      <c r="A2139" t="s">
        <v>18</v>
      </c>
      <c r="B2139">
        <v>1185732</v>
      </c>
      <c r="C2139" s="1">
        <v>44263</v>
      </c>
      <c r="D2139" t="s">
        <v>43</v>
      </c>
      <c r="E2139" t="s">
        <v>44</v>
      </c>
      <c r="F2139" t="s">
        <v>101</v>
      </c>
      <c r="G2139" t="s">
        <v>39</v>
      </c>
      <c r="H2139" s="2">
        <v>44</v>
      </c>
      <c r="I2139">
        <v>165</v>
      </c>
      <c r="J2139">
        <v>726</v>
      </c>
      <c r="K2139" s="4">
        <v>334</v>
      </c>
      <c r="L2139" t="s">
        <v>17</v>
      </c>
    </row>
    <row r="2140" spans="1:12" x14ac:dyDescent="0.35">
      <c r="A2140" t="s">
        <v>63</v>
      </c>
      <c r="B2140">
        <v>1185732</v>
      </c>
      <c r="C2140" s="1">
        <v>44265</v>
      </c>
      <c r="D2140" t="s">
        <v>48</v>
      </c>
      <c r="E2140" t="s">
        <v>102</v>
      </c>
      <c r="F2140" t="s">
        <v>103</v>
      </c>
      <c r="G2140" t="s">
        <v>16</v>
      </c>
      <c r="H2140" s="2">
        <v>37</v>
      </c>
      <c r="I2140">
        <v>165</v>
      </c>
      <c r="J2140">
        <v>611</v>
      </c>
      <c r="K2140" s="4">
        <v>226</v>
      </c>
      <c r="L2140" t="s">
        <v>17</v>
      </c>
    </row>
    <row r="2141" spans="1:12" x14ac:dyDescent="0.35">
      <c r="A2141" t="s">
        <v>42</v>
      </c>
      <c r="B2141">
        <v>1185732</v>
      </c>
      <c r="C2141" s="1">
        <v>44540</v>
      </c>
      <c r="D2141" t="s">
        <v>48</v>
      </c>
      <c r="E2141" t="s">
        <v>102</v>
      </c>
      <c r="F2141" t="s">
        <v>103</v>
      </c>
      <c r="G2141" t="s">
        <v>32</v>
      </c>
      <c r="H2141" s="2">
        <v>44</v>
      </c>
      <c r="I2141">
        <v>165</v>
      </c>
      <c r="J2141">
        <v>726</v>
      </c>
      <c r="K2141" s="4">
        <v>334</v>
      </c>
      <c r="L2141" t="s">
        <v>17</v>
      </c>
    </row>
    <row r="2142" spans="1:12" x14ac:dyDescent="0.35">
      <c r="A2142" t="s">
        <v>18</v>
      </c>
      <c r="B2142">
        <v>1128299</v>
      </c>
      <c r="C2142" s="1">
        <v>44400</v>
      </c>
      <c r="D2142" t="s">
        <v>48</v>
      </c>
      <c r="E2142" t="s">
        <v>85</v>
      </c>
      <c r="F2142" t="s">
        <v>86</v>
      </c>
      <c r="G2142" t="s">
        <v>56</v>
      </c>
      <c r="H2142" s="2">
        <v>82</v>
      </c>
      <c r="I2142">
        <v>165</v>
      </c>
      <c r="J2142" s="3">
        <v>1353</v>
      </c>
      <c r="K2142" s="4">
        <v>649</v>
      </c>
      <c r="L2142" t="s">
        <v>17</v>
      </c>
    </row>
    <row r="2143" spans="1:12" x14ac:dyDescent="0.35">
      <c r="A2143" t="s">
        <v>18</v>
      </c>
      <c r="B2143">
        <v>1128299</v>
      </c>
      <c r="C2143" s="1">
        <v>44553</v>
      </c>
      <c r="D2143" t="s">
        <v>48</v>
      </c>
      <c r="E2143" t="s">
        <v>85</v>
      </c>
      <c r="F2143" t="s">
        <v>86</v>
      </c>
      <c r="G2143" t="s">
        <v>32</v>
      </c>
      <c r="H2143" s="2">
        <v>67</v>
      </c>
      <c r="I2143">
        <v>165</v>
      </c>
      <c r="J2143" s="3">
        <v>1106</v>
      </c>
      <c r="K2143" s="4">
        <v>497</v>
      </c>
      <c r="L2143" t="s">
        <v>17</v>
      </c>
    </row>
    <row r="2144" spans="1:12" x14ac:dyDescent="0.35">
      <c r="A2144" t="s">
        <v>63</v>
      </c>
      <c r="B2144">
        <v>1128299</v>
      </c>
      <c r="C2144" s="1">
        <v>44280</v>
      </c>
      <c r="D2144" t="s">
        <v>48</v>
      </c>
      <c r="E2144" t="s">
        <v>114</v>
      </c>
      <c r="F2144" t="s">
        <v>115</v>
      </c>
      <c r="G2144" t="s">
        <v>26</v>
      </c>
      <c r="H2144" s="2">
        <v>44</v>
      </c>
      <c r="I2144">
        <v>165</v>
      </c>
      <c r="J2144">
        <v>726</v>
      </c>
      <c r="K2144" s="4">
        <v>363</v>
      </c>
      <c r="L2144" t="s">
        <v>17</v>
      </c>
    </row>
    <row r="2145" spans="1:12" x14ac:dyDescent="0.35">
      <c r="A2145" t="s">
        <v>63</v>
      </c>
      <c r="B2145">
        <v>1128299</v>
      </c>
      <c r="C2145" s="1">
        <v>44495</v>
      </c>
      <c r="D2145" t="s">
        <v>48</v>
      </c>
      <c r="E2145" t="s">
        <v>114</v>
      </c>
      <c r="F2145" t="s">
        <v>115</v>
      </c>
      <c r="G2145" t="s">
        <v>26</v>
      </c>
      <c r="H2145" s="2">
        <v>48</v>
      </c>
      <c r="I2145">
        <v>165</v>
      </c>
      <c r="J2145">
        <v>792</v>
      </c>
      <c r="K2145" s="4">
        <v>396</v>
      </c>
      <c r="L2145" t="s">
        <v>17</v>
      </c>
    </row>
    <row r="2146" spans="1:12" x14ac:dyDescent="0.35">
      <c r="A2146" t="s">
        <v>63</v>
      </c>
      <c r="B2146">
        <v>1197831</v>
      </c>
      <c r="C2146" s="1">
        <v>44451</v>
      </c>
      <c r="D2146" t="s">
        <v>33</v>
      </c>
      <c r="E2146" t="s">
        <v>71</v>
      </c>
      <c r="F2146" t="s">
        <v>72</v>
      </c>
      <c r="G2146" t="s">
        <v>26</v>
      </c>
      <c r="H2146" s="2">
        <v>47</v>
      </c>
      <c r="I2146">
        <v>165</v>
      </c>
      <c r="J2146">
        <v>776</v>
      </c>
      <c r="K2146" s="4">
        <v>388</v>
      </c>
      <c r="L2146" t="s">
        <v>17</v>
      </c>
    </row>
    <row r="2147" spans="1:12" x14ac:dyDescent="0.35">
      <c r="A2147" t="s">
        <v>18</v>
      </c>
      <c r="B2147">
        <v>1185732</v>
      </c>
      <c r="C2147" s="1">
        <v>44271</v>
      </c>
      <c r="D2147" t="s">
        <v>43</v>
      </c>
      <c r="E2147" t="s">
        <v>64</v>
      </c>
      <c r="F2147" t="s">
        <v>65</v>
      </c>
      <c r="G2147" t="s">
        <v>26</v>
      </c>
      <c r="H2147" s="2">
        <v>28</v>
      </c>
      <c r="I2147">
        <v>165</v>
      </c>
      <c r="J2147">
        <v>462</v>
      </c>
      <c r="K2147" s="4">
        <v>236</v>
      </c>
      <c r="L2147" t="s">
        <v>17</v>
      </c>
    </row>
    <row r="2148" spans="1:12" x14ac:dyDescent="0.35">
      <c r="A2148" t="s">
        <v>51</v>
      </c>
      <c r="B2148">
        <v>1185732</v>
      </c>
      <c r="C2148" s="1">
        <v>44272</v>
      </c>
      <c r="D2148" t="s">
        <v>43</v>
      </c>
      <c r="E2148" t="s">
        <v>127</v>
      </c>
      <c r="F2148" t="s">
        <v>128</v>
      </c>
      <c r="G2148" t="s">
        <v>26</v>
      </c>
      <c r="H2148" s="2">
        <v>49</v>
      </c>
      <c r="I2148">
        <v>165</v>
      </c>
      <c r="J2148">
        <v>809</v>
      </c>
      <c r="K2148" s="4">
        <v>404</v>
      </c>
      <c r="L2148" t="s">
        <v>17</v>
      </c>
    </row>
    <row r="2149" spans="1:12" x14ac:dyDescent="0.35">
      <c r="A2149" t="s">
        <v>18</v>
      </c>
      <c r="B2149">
        <v>1128299</v>
      </c>
      <c r="C2149" s="1">
        <v>44146</v>
      </c>
      <c r="D2149" t="s">
        <v>48</v>
      </c>
      <c r="E2149" t="s">
        <v>66</v>
      </c>
      <c r="F2149" t="s">
        <v>67</v>
      </c>
      <c r="G2149" t="s">
        <v>70</v>
      </c>
      <c r="H2149" s="2">
        <v>42</v>
      </c>
      <c r="I2149">
        <v>165</v>
      </c>
      <c r="J2149">
        <v>693</v>
      </c>
      <c r="K2149" s="4">
        <v>395</v>
      </c>
      <c r="L2149" t="s">
        <v>27</v>
      </c>
    </row>
    <row r="2150" spans="1:12" x14ac:dyDescent="0.35">
      <c r="A2150" t="s">
        <v>63</v>
      </c>
      <c r="B2150">
        <v>1189833</v>
      </c>
      <c r="C2150" s="1">
        <v>44309</v>
      </c>
      <c r="D2150" t="s">
        <v>48</v>
      </c>
      <c r="E2150" t="s">
        <v>66</v>
      </c>
      <c r="F2150" t="s">
        <v>76</v>
      </c>
      <c r="G2150" t="s">
        <v>70</v>
      </c>
      <c r="H2150" s="2">
        <v>39</v>
      </c>
      <c r="I2150">
        <v>165</v>
      </c>
      <c r="J2150">
        <v>644</v>
      </c>
      <c r="K2150" s="4">
        <v>386</v>
      </c>
      <c r="L2150" t="s">
        <v>27</v>
      </c>
    </row>
    <row r="2151" spans="1:12" x14ac:dyDescent="0.35">
      <c r="A2151" t="s">
        <v>23</v>
      </c>
      <c r="B2151">
        <v>1197831</v>
      </c>
      <c r="C2151" s="1">
        <v>44432</v>
      </c>
      <c r="D2151" t="s">
        <v>19</v>
      </c>
      <c r="E2151" t="s">
        <v>24</v>
      </c>
      <c r="F2151" t="s">
        <v>25</v>
      </c>
      <c r="G2151" t="s">
        <v>16</v>
      </c>
      <c r="H2151" s="2">
        <v>14</v>
      </c>
      <c r="I2151">
        <v>165</v>
      </c>
      <c r="J2151">
        <v>231</v>
      </c>
      <c r="K2151" s="4">
        <v>155</v>
      </c>
      <c r="L2151" t="s">
        <v>27</v>
      </c>
    </row>
    <row r="2152" spans="1:12" x14ac:dyDescent="0.35">
      <c r="A2152" t="s">
        <v>23</v>
      </c>
      <c r="B2152">
        <v>1197831</v>
      </c>
      <c r="C2152" s="1">
        <v>44436</v>
      </c>
      <c r="D2152" t="s">
        <v>19</v>
      </c>
      <c r="E2152" t="s">
        <v>24</v>
      </c>
      <c r="F2152" t="s">
        <v>25</v>
      </c>
      <c r="G2152" t="s">
        <v>56</v>
      </c>
      <c r="H2152" s="2">
        <v>26</v>
      </c>
      <c r="I2152">
        <v>165</v>
      </c>
      <c r="J2152">
        <v>429</v>
      </c>
      <c r="K2152" s="4">
        <v>262</v>
      </c>
      <c r="L2152" t="s">
        <v>27</v>
      </c>
    </row>
    <row r="2153" spans="1:12" x14ac:dyDescent="0.35">
      <c r="A2153" t="s">
        <v>23</v>
      </c>
      <c r="B2153">
        <v>1197831</v>
      </c>
      <c r="C2153" s="1">
        <v>44443</v>
      </c>
      <c r="D2153" t="s">
        <v>19</v>
      </c>
      <c r="E2153" t="s">
        <v>24</v>
      </c>
      <c r="F2153" t="s">
        <v>25</v>
      </c>
      <c r="G2153" t="s">
        <v>70</v>
      </c>
      <c r="H2153" s="2">
        <v>38</v>
      </c>
      <c r="I2153">
        <v>165</v>
      </c>
      <c r="J2153">
        <v>627</v>
      </c>
      <c r="K2153" s="4">
        <v>295</v>
      </c>
      <c r="L2153" t="s">
        <v>27</v>
      </c>
    </row>
    <row r="2154" spans="1:12" x14ac:dyDescent="0.35">
      <c r="A2154" t="s">
        <v>18</v>
      </c>
      <c r="B2154">
        <v>1185732</v>
      </c>
      <c r="C2154" s="1">
        <v>44237</v>
      </c>
      <c r="D2154" t="s">
        <v>13</v>
      </c>
      <c r="E2154" t="s">
        <v>14</v>
      </c>
      <c r="F2154" t="s">
        <v>15</v>
      </c>
      <c r="G2154" t="s">
        <v>39</v>
      </c>
      <c r="H2154" s="2">
        <v>31</v>
      </c>
      <c r="I2154">
        <v>165</v>
      </c>
      <c r="J2154">
        <v>512</v>
      </c>
      <c r="K2154" s="4">
        <v>210</v>
      </c>
      <c r="L2154" t="s">
        <v>27</v>
      </c>
    </row>
    <row r="2155" spans="1:12" x14ac:dyDescent="0.35">
      <c r="A2155" t="s">
        <v>23</v>
      </c>
      <c r="B2155">
        <v>1128299</v>
      </c>
      <c r="C2155" s="1">
        <v>44553</v>
      </c>
      <c r="D2155" t="s">
        <v>13</v>
      </c>
      <c r="E2155" t="s">
        <v>99</v>
      </c>
      <c r="F2155" t="s">
        <v>100</v>
      </c>
      <c r="G2155" t="s">
        <v>32</v>
      </c>
      <c r="H2155" s="2">
        <v>53</v>
      </c>
      <c r="I2155">
        <v>165</v>
      </c>
      <c r="J2155">
        <v>875</v>
      </c>
      <c r="K2155" s="4">
        <v>350</v>
      </c>
      <c r="L2155" t="s">
        <v>27</v>
      </c>
    </row>
    <row r="2156" spans="1:12" x14ac:dyDescent="0.35">
      <c r="A2156" t="s">
        <v>18</v>
      </c>
      <c r="B2156">
        <v>1185732</v>
      </c>
      <c r="C2156" s="1">
        <v>44511</v>
      </c>
      <c r="D2156" t="s">
        <v>48</v>
      </c>
      <c r="E2156" t="s">
        <v>49</v>
      </c>
      <c r="F2156" t="s">
        <v>50</v>
      </c>
      <c r="G2156" t="s">
        <v>26</v>
      </c>
      <c r="H2156" s="2">
        <v>22</v>
      </c>
      <c r="I2156">
        <v>165</v>
      </c>
      <c r="J2156">
        <v>363</v>
      </c>
      <c r="K2156" s="4">
        <v>156</v>
      </c>
      <c r="L2156" t="s">
        <v>27</v>
      </c>
    </row>
    <row r="2157" spans="1:12" x14ac:dyDescent="0.35">
      <c r="A2157" t="s">
        <v>18</v>
      </c>
      <c r="B2157">
        <v>1128299</v>
      </c>
      <c r="C2157" s="1">
        <v>44524</v>
      </c>
      <c r="D2157" t="s">
        <v>48</v>
      </c>
      <c r="E2157" t="s">
        <v>85</v>
      </c>
      <c r="F2157" t="s">
        <v>86</v>
      </c>
      <c r="G2157" t="s">
        <v>16</v>
      </c>
      <c r="H2157" s="2">
        <v>53</v>
      </c>
      <c r="I2157">
        <v>165</v>
      </c>
      <c r="J2157">
        <v>875</v>
      </c>
      <c r="K2157" s="4">
        <v>324</v>
      </c>
      <c r="L2157" t="s">
        <v>27</v>
      </c>
    </row>
    <row r="2158" spans="1:12" x14ac:dyDescent="0.35">
      <c r="A2158" t="s">
        <v>18</v>
      </c>
      <c r="B2158">
        <v>1128299</v>
      </c>
      <c r="C2158" s="1">
        <v>44553</v>
      </c>
      <c r="D2158" t="s">
        <v>48</v>
      </c>
      <c r="E2158" t="s">
        <v>85</v>
      </c>
      <c r="F2158" t="s">
        <v>86</v>
      </c>
      <c r="G2158" t="s">
        <v>56</v>
      </c>
      <c r="H2158" s="2">
        <v>53</v>
      </c>
      <c r="I2158">
        <v>165</v>
      </c>
      <c r="J2158">
        <v>875</v>
      </c>
      <c r="K2158" s="4">
        <v>341</v>
      </c>
      <c r="L2158" t="s">
        <v>27</v>
      </c>
    </row>
    <row r="2159" spans="1:12" x14ac:dyDescent="0.35">
      <c r="A2159" t="s">
        <v>63</v>
      </c>
      <c r="B2159">
        <v>1128299</v>
      </c>
      <c r="C2159" s="1">
        <v>44312</v>
      </c>
      <c r="D2159" t="s">
        <v>48</v>
      </c>
      <c r="E2159" t="s">
        <v>114</v>
      </c>
      <c r="F2159" t="s">
        <v>115</v>
      </c>
      <c r="G2159" t="s">
        <v>26</v>
      </c>
      <c r="H2159" s="2">
        <v>41</v>
      </c>
      <c r="I2159">
        <v>165</v>
      </c>
      <c r="J2159">
        <v>677</v>
      </c>
      <c r="K2159" s="4">
        <v>284</v>
      </c>
      <c r="L2159" t="s">
        <v>27</v>
      </c>
    </row>
    <row r="2160" spans="1:12" x14ac:dyDescent="0.35">
      <c r="A2160" t="s">
        <v>12</v>
      </c>
      <c r="B2160">
        <v>1185732</v>
      </c>
      <c r="C2160" s="1">
        <v>44487</v>
      </c>
      <c r="D2160" t="s">
        <v>19</v>
      </c>
      <c r="E2160" t="s">
        <v>37</v>
      </c>
      <c r="F2160" t="s">
        <v>38</v>
      </c>
      <c r="G2160" t="s">
        <v>39</v>
      </c>
      <c r="H2160" s="2">
        <v>17</v>
      </c>
      <c r="I2160">
        <v>165</v>
      </c>
      <c r="J2160">
        <v>281</v>
      </c>
      <c r="K2160" s="4">
        <v>104</v>
      </c>
      <c r="L2160" t="s">
        <v>27</v>
      </c>
    </row>
    <row r="2161" spans="1:12" x14ac:dyDescent="0.35">
      <c r="A2161" t="s">
        <v>12</v>
      </c>
      <c r="B2161">
        <v>1197831</v>
      </c>
      <c r="C2161" s="1">
        <v>44368</v>
      </c>
      <c r="D2161" t="s">
        <v>19</v>
      </c>
      <c r="E2161" t="s">
        <v>54</v>
      </c>
      <c r="F2161" t="s">
        <v>55</v>
      </c>
      <c r="G2161" t="s">
        <v>16</v>
      </c>
      <c r="H2161" s="2">
        <v>48</v>
      </c>
      <c r="I2161">
        <v>165</v>
      </c>
      <c r="J2161">
        <v>792</v>
      </c>
      <c r="K2161" s="4">
        <v>341</v>
      </c>
      <c r="L2161" t="s">
        <v>27</v>
      </c>
    </row>
    <row r="2162" spans="1:12" x14ac:dyDescent="0.35">
      <c r="A2162" t="s">
        <v>42</v>
      </c>
      <c r="B2162">
        <v>1185732</v>
      </c>
      <c r="C2162" s="1">
        <v>44220</v>
      </c>
      <c r="D2162" t="s">
        <v>43</v>
      </c>
      <c r="E2162" t="s">
        <v>127</v>
      </c>
      <c r="F2162" t="s">
        <v>128</v>
      </c>
      <c r="G2162" t="s">
        <v>26</v>
      </c>
      <c r="H2162" s="2">
        <v>36</v>
      </c>
      <c r="I2162">
        <v>165</v>
      </c>
      <c r="J2162">
        <v>594</v>
      </c>
      <c r="K2162" s="4">
        <v>220</v>
      </c>
      <c r="L2162" t="s">
        <v>27</v>
      </c>
    </row>
    <row r="2163" spans="1:12" x14ac:dyDescent="0.35">
      <c r="A2163" t="s">
        <v>18</v>
      </c>
      <c r="B2163">
        <v>1185732</v>
      </c>
      <c r="C2163" s="1">
        <v>44327</v>
      </c>
      <c r="D2163" t="s">
        <v>33</v>
      </c>
      <c r="E2163" t="s">
        <v>81</v>
      </c>
      <c r="F2163" t="s">
        <v>82</v>
      </c>
      <c r="G2163" t="s">
        <v>26</v>
      </c>
      <c r="H2163" s="2">
        <v>54</v>
      </c>
      <c r="I2163">
        <v>164</v>
      </c>
      <c r="J2163">
        <v>886</v>
      </c>
      <c r="K2163" s="4">
        <v>443</v>
      </c>
      <c r="L2163" t="s">
        <v>17</v>
      </c>
    </row>
    <row r="2164" spans="1:12" x14ac:dyDescent="0.35">
      <c r="A2164" t="s">
        <v>23</v>
      </c>
      <c r="B2164">
        <v>1197831</v>
      </c>
      <c r="C2164" s="1">
        <v>44052</v>
      </c>
      <c r="D2164" t="s">
        <v>19</v>
      </c>
      <c r="E2164" t="s">
        <v>59</v>
      </c>
      <c r="F2164" t="s">
        <v>60</v>
      </c>
      <c r="G2164" t="s">
        <v>56</v>
      </c>
      <c r="H2164" s="2">
        <v>36</v>
      </c>
      <c r="I2164">
        <v>163</v>
      </c>
      <c r="J2164">
        <v>587</v>
      </c>
      <c r="K2164" s="4">
        <v>346</v>
      </c>
      <c r="L2164" t="s">
        <v>17</v>
      </c>
    </row>
    <row r="2165" spans="1:12" x14ac:dyDescent="0.35">
      <c r="A2165" t="s">
        <v>18</v>
      </c>
      <c r="B2165">
        <v>1128299</v>
      </c>
      <c r="C2165" s="1">
        <v>44236</v>
      </c>
      <c r="D2165" t="s">
        <v>48</v>
      </c>
      <c r="E2165" t="s">
        <v>66</v>
      </c>
      <c r="F2165" t="s">
        <v>67</v>
      </c>
      <c r="G2165" t="s">
        <v>70</v>
      </c>
      <c r="H2165" s="2">
        <v>63</v>
      </c>
      <c r="I2165">
        <v>163</v>
      </c>
      <c r="J2165" s="3">
        <v>1027</v>
      </c>
      <c r="K2165" s="4">
        <v>585</v>
      </c>
      <c r="L2165" t="s">
        <v>17</v>
      </c>
    </row>
    <row r="2166" spans="1:12" x14ac:dyDescent="0.35">
      <c r="A2166" t="s">
        <v>63</v>
      </c>
      <c r="B2166">
        <v>1189833</v>
      </c>
      <c r="C2166" s="1">
        <v>44301</v>
      </c>
      <c r="D2166" t="s">
        <v>48</v>
      </c>
      <c r="E2166" t="s">
        <v>66</v>
      </c>
      <c r="F2166" t="s">
        <v>76</v>
      </c>
      <c r="G2166" t="s">
        <v>32</v>
      </c>
      <c r="H2166" s="2">
        <v>45</v>
      </c>
      <c r="I2166">
        <v>163</v>
      </c>
      <c r="J2166">
        <v>734</v>
      </c>
      <c r="K2166" s="4">
        <v>381</v>
      </c>
      <c r="L2166" t="s">
        <v>17</v>
      </c>
    </row>
    <row r="2167" spans="1:12" x14ac:dyDescent="0.35">
      <c r="A2167" t="s">
        <v>63</v>
      </c>
      <c r="B2167">
        <v>1189833</v>
      </c>
      <c r="C2167" s="1">
        <v>44327</v>
      </c>
      <c r="D2167" t="s">
        <v>48</v>
      </c>
      <c r="E2167" t="s">
        <v>66</v>
      </c>
      <c r="F2167" t="s">
        <v>76</v>
      </c>
      <c r="G2167" t="s">
        <v>70</v>
      </c>
      <c r="H2167" s="2">
        <v>58</v>
      </c>
      <c r="I2167">
        <v>163</v>
      </c>
      <c r="J2167">
        <v>945</v>
      </c>
      <c r="K2167" s="4">
        <v>633</v>
      </c>
      <c r="L2167" t="s">
        <v>17</v>
      </c>
    </row>
    <row r="2168" spans="1:12" x14ac:dyDescent="0.35">
      <c r="A2168" t="s">
        <v>23</v>
      </c>
      <c r="B2168">
        <v>1197831</v>
      </c>
      <c r="C2168" s="1">
        <v>44426</v>
      </c>
      <c r="D2168" t="s">
        <v>19</v>
      </c>
      <c r="E2168" t="s">
        <v>59</v>
      </c>
      <c r="F2168" t="s">
        <v>68</v>
      </c>
      <c r="G2168" t="s">
        <v>39</v>
      </c>
      <c r="H2168" s="2">
        <v>32</v>
      </c>
      <c r="I2168">
        <v>163</v>
      </c>
      <c r="J2168">
        <v>522</v>
      </c>
      <c r="K2168" s="4">
        <v>209</v>
      </c>
      <c r="L2168" t="s">
        <v>17</v>
      </c>
    </row>
    <row r="2169" spans="1:12" x14ac:dyDescent="0.35">
      <c r="A2169" t="s">
        <v>18</v>
      </c>
      <c r="B2169">
        <v>1128299</v>
      </c>
      <c r="C2169" s="1">
        <v>44009</v>
      </c>
      <c r="D2169" t="s">
        <v>48</v>
      </c>
      <c r="E2169" t="s">
        <v>97</v>
      </c>
      <c r="F2169" t="s">
        <v>98</v>
      </c>
      <c r="G2169" t="s">
        <v>32</v>
      </c>
      <c r="H2169" s="2">
        <v>72</v>
      </c>
      <c r="I2169">
        <v>163</v>
      </c>
      <c r="J2169" s="3">
        <v>1174</v>
      </c>
      <c r="K2169" s="4">
        <v>446</v>
      </c>
      <c r="L2169" t="s">
        <v>17</v>
      </c>
    </row>
    <row r="2170" spans="1:12" x14ac:dyDescent="0.35">
      <c r="A2170" t="s">
        <v>18</v>
      </c>
      <c r="B2170">
        <v>1128299</v>
      </c>
      <c r="C2170" s="1">
        <v>44021</v>
      </c>
      <c r="D2170" t="s">
        <v>48</v>
      </c>
      <c r="E2170" t="s">
        <v>97</v>
      </c>
      <c r="F2170" t="s">
        <v>98</v>
      </c>
      <c r="G2170" t="s">
        <v>32</v>
      </c>
      <c r="H2170" s="2">
        <v>73</v>
      </c>
      <c r="I2170">
        <v>163</v>
      </c>
      <c r="J2170" s="3">
        <v>1190</v>
      </c>
      <c r="K2170" s="4">
        <v>416</v>
      </c>
      <c r="L2170" t="s">
        <v>17</v>
      </c>
    </row>
    <row r="2171" spans="1:12" x14ac:dyDescent="0.35">
      <c r="A2171" t="s">
        <v>23</v>
      </c>
      <c r="B2171">
        <v>1197831</v>
      </c>
      <c r="C2171" s="1">
        <v>44278</v>
      </c>
      <c r="D2171" t="s">
        <v>19</v>
      </c>
      <c r="E2171" t="s">
        <v>74</v>
      </c>
      <c r="F2171" t="s">
        <v>75</v>
      </c>
      <c r="G2171" t="s">
        <v>39</v>
      </c>
      <c r="H2171" s="2">
        <v>37</v>
      </c>
      <c r="I2171">
        <v>163</v>
      </c>
      <c r="J2171">
        <v>603</v>
      </c>
      <c r="K2171" s="4">
        <v>314</v>
      </c>
      <c r="L2171" t="s">
        <v>17</v>
      </c>
    </row>
    <row r="2172" spans="1:12" x14ac:dyDescent="0.35">
      <c r="A2172" t="s">
        <v>23</v>
      </c>
      <c r="B2172">
        <v>1197831</v>
      </c>
      <c r="C2172" s="1">
        <v>44318</v>
      </c>
      <c r="D2172" t="s">
        <v>19</v>
      </c>
      <c r="E2172" t="s">
        <v>74</v>
      </c>
      <c r="F2172" t="s">
        <v>75</v>
      </c>
      <c r="G2172" t="s">
        <v>16</v>
      </c>
      <c r="H2172" s="2">
        <v>42</v>
      </c>
      <c r="I2172">
        <v>163</v>
      </c>
      <c r="J2172">
        <v>685</v>
      </c>
      <c r="K2172" s="4">
        <v>507</v>
      </c>
      <c r="L2172" t="s">
        <v>17</v>
      </c>
    </row>
    <row r="2173" spans="1:12" x14ac:dyDescent="0.35">
      <c r="A2173" t="s">
        <v>23</v>
      </c>
      <c r="B2173">
        <v>1197831</v>
      </c>
      <c r="C2173" s="1">
        <v>44421</v>
      </c>
      <c r="D2173" t="s">
        <v>19</v>
      </c>
      <c r="E2173" t="s">
        <v>24</v>
      </c>
      <c r="F2173" t="s">
        <v>25</v>
      </c>
      <c r="G2173" t="s">
        <v>26</v>
      </c>
      <c r="H2173" s="2">
        <v>28</v>
      </c>
      <c r="I2173">
        <v>163</v>
      </c>
      <c r="J2173">
        <v>456</v>
      </c>
      <c r="K2173" s="4">
        <v>251</v>
      </c>
      <c r="L2173" t="s">
        <v>17</v>
      </c>
    </row>
    <row r="2174" spans="1:12" x14ac:dyDescent="0.35">
      <c r="A2174" t="s">
        <v>51</v>
      </c>
      <c r="B2174">
        <v>1185732</v>
      </c>
      <c r="C2174" s="1">
        <v>44429</v>
      </c>
      <c r="D2174" t="s">
        <v>48</v>
      </c>
      <c r="E2174" t="s">
        <v>137</v>
      </c>
      <c r="F2174" t="s">
        <v>138</v>
      </c>
      <c r="G2174" t="s">
        <v>26</v>
      </c>
      <c r="H2174" s="2">
        <v>59</v>
      </c>
      <c r="I2174">
        <v>163</v>
      </c>
      <c r="J2174">
        <v>962</v>
      </c>
      <c r="K2174" s="4">
        <v>433</v>
      </c>
      <c r="L2174" t="s">
        <v>17</v>
      </c>
    </row>
    <row r="2175" spans="1:12" x14ac:dyDescent="0.35">
      <c r="A2175" t="s">
        <v>12</v>
      </c>
      <c r="B2175">
        <v>1128299</v>
      </c>
      <c r="C2175" s="1">
        <v>44393</v>
      </c>
      <c r="D2175" t="s">
        <v>13</v>
      </c>
      <c r="E2175" t="s">
        <v>14</v>
      </c>
      <c r="F2175" t="s">
        <v>15</v>
      </c>
      <c r="G2175" t="s">
        <v>16</v>
      </c>
      <c r="H2175" s="2">
        <v>101</v>
      </c>
      <c r="I2175">
        <v>163</v>
      </c>
      <c r="J2175" s="3">
        <v>1646</v>
      </c>
      <c r="K2175" s="4">
        <v>938</v>
      </c>
      <c r="L2175" t="s">
        <v>17</v>
      </c>
    </row>
    <row r="2176" spans="1:12" x14ac:dyDescent="0.35">
      <c r="A2176" t="s">
        <v>18</v>
      </c>
      <c r="B2176">
        <v>1185732</v>
      </c>
      <c r="C2176" s="1">
        <v>44447</v>
      </c>
      <c r="D2176" t="s">
        <v>43</v>
      </c>
      <c r="E2176" t="s">
        <v>44</v>
      </c>
      <c r="F2176" t="s">
        <v>101</v>
      </c>
      <c r="G2176" t="s">
        <v>39</v>
      </c>
      <c r="H2176" s="2">
        <v>48</v>
      </c>
      <c r="I2176">
        <v>163</v>
      </c>
      <c r="J2176">
        <v>782</v>
      </c>
      <c r="K2176" s="4">
        <v>352</v>
      </c>
      <c r="L2176" t="s">
        <v>17</v>
      </c>
    </row>
    <row r="2177" spans="1:12" x14ac:dyDescent="0.35">
      <c r="A2177" t="s">
        <v>63</v>
      </c>
      <c r="B2177">
        <v>1185732</v>
      </c>
      <c r="C2177" s="1">
        <v>44538</v>
      </c>
      <c r="D2177" t="s">
        <v>43</v>
      </c>
      <c r="E2177" t="s">
        <v>44</v>
      </c>
      <c r="F2177" t="s">
        <v>101</v>
      </c>
      <c r="G2177" t="s">
        <v>32</v>
      </c>
      <c r="H2177" s="2">
        <v>52</v>
      </c>
      <c r="I2177">
        <v>163</v>
      </c>
      <c r="J2177">
        <v>848</v>
      </c>
      <c r="K2177" s="4">
        <v>331</v>
      </c>
      <c r="L2177" t="s">
        <v>17</v>
      </c>
    </row>
    <row r="2178" spans="1:12" x14ac:dyDescent="0.35">
      <c r="A2178" t="s">
        <v>63</v>
      </c>
      <c r="B2178">
        <v>1185732</v>
      </c>
      <c r="C2178" s="1">
        <v>44359</v>
      </c>
      <c r="D2178" t="s">
        <v>48</v>
      </c>
      <c r="E2178" t="s">
        <v>102</v>
      </c>
      <c r="F2178" t="s">
        <v>103</v>
      </c>
      <c r="G2178" t="s">
        <v>16</v>
      </c>
      <c r="H2178" s="2">
        <v>50</v>
      </c>
      <c r="I2178">
        <v>163</v>
      </c>
      <c r="J2178">
        <v>815</v>
      </c>
      <c r="K2178" s="4">
        <v>302</v>
      </c>
      <c r="L2178" t="s">
        <v>17</v>
      </c>
    </row>
    <row r="2179" spans="1:12" x14ac:dyDescent="0.35">
      <c r="A2179" t="s">
        <v>63</v>
      </c>
      <c r="B2179">
        <v>1185732</v>
      </c>
      <c r="C2179" s="1">
        <v>44387</v>
      </c>
      <c r="D2179" t="s">
        <v>48</v>
      </c>
      <c r="E2179" t="s">
        <v>102</v>
      </c>
      <c r="F2179" t="s">
        <v>103</v>
      </c>
      <c r="G2179" t="s">
        <v>39</v>
      </c>
      <c r="H2179" s="2">
        <v>44</v>
      </c>
      <c r="I2179">
        <v>163</v>
      </c>
      <c r="J2179">
        <v>717</v>
      </c>
      <c r="K2179" s="4">
        <v>308</v>
      </c>
      <c r="L2179" t="s">
        <v>17</v>
      </c>
    </row>
    <row r="2180" spans="1:12" x14ac:dyDescent="0.35">
      <c r="A2180" t="s">
        <v>63</v>
      </c>
      <c r="B2180">
        <v>1185732</v>
      </c>
      <c r="C2180" s="1">
        <v>44419</v>
      </c>
      <c r="D2180" t="s">
        <v>48</v>
      </c>
      <c r="E2180" t="s">
        <v>102</v>
      </c>
      <c r="F2180" t="s">
        <v>103</v>
      </c>
      <c r="G2180" t="s">
        <v>39</v>
      </c>
      <c r="H2180" s="2">
        <v>43</v>
      </c>
      <c r="I2180">
        <v>163</v>
      </c>
      <c r="J2180">
        <v>701</v>
      </c>
      <c r="K2180" s="4">
        <v>287</v>
      </c>
      <c r="L2180" t="s">
        <v>17</v>
      </c>
    </row>
    <row r="2181" spans="1:12" x14ac:dyDescent="0.35">
      <c r="A2181" t="s">
        <v>42</v>
      </c>
      <c r="B2181">
        <v>1185732</v>
      </c>
      <c r="C2181" s="1">
        <v>44545</v>
      </c>
      <c r="D2181" t="s">
        <v>33</v>
      </c>
      <c r="E2181" t="s">
        <v>45</v>
      </c>
      <c r="F2181" t="s">
        <v>46</v>
      </c>
      <c r="G2181" t="s">
        <v>16</v>
      </c>
      <c r="H2181" s="2">
        <v>59</v>
      </c>
      <c r="I2181">
        <v>163</v>
      </c>
      <c r="J2181">
        <v>962</v>
      </c>
      <c r="K2181" s="4">
        <v>625</v>
      </c>
      <c r="L2181" t="s">
        <v>17</v>
      </c>
    </row>
    <row r="2182" spans="1:12" x14ac:dyDescent="0.35">
      <c r="A2182" t="s">
        <v>42</v>
      </c>
      <c r="B2182">
        <v>1185732</v>
      </c>
      <c r="C2182" s="1">
        <v>44547</v>
      </c>
      <c r="D2182" t="s">
        <v>33</v>
      </c>
      <c r="E2182" t="s">
        <v>34</v>
      </c>
      <c r="F2182" t="s">
        <v>35</v>
      </c>
      <c r="G2182" t="s">
        <v>26</v>
      </c>
      <c r="H2182" s="2">
        <v>41</v>
      </c>
      <c r="I2182">
        <v>163</v>
      </c>
      <c r="J2182">
        <v>668</v>
      </c>
      <c r="K2182" s="4">
        <v>348</v>
      </c>
      <c r="L2182" t="s">
        <v>17</v>
      </c>
    </row>
    <row r="2183" spans="1:12" x14ac:dyDescent="0.35">
      <c r="A2183" t="s">
        <v>18</v>
      </c>
      <c r="B2183">
        <v>1128299</v>
      </c>
      <c r="C2183" s="1">
        <v>44400</v>
      </c>
      <c r="D2183" t="s">
        <v>48</v>
      </c>
      <c r="E2183" t="s">
        <v>85</v>
      </c>
      <c r="F2183" t="s">
        <v>86</v>
      </c>
      <c r="G2183" t="s">
        <v>32</v>
      </c>
      <c r="H2183" s="2">
        <v>86</v>
      </c>
      <c r="I2183">
        <v>163</v>
      </c>
      <c r="J2183" s="3">
        <v>1402</v>
      </c>
      <c r="K2183" s="4">
        <v>659</v>
      </c>
      <c r="L2183" t="s">
        <v>17</v>
      </c>
    </row>
    <row r="2184" spans="1:12" x14ac:dyDescent="0.35">
      <c r="A2184" t="s">
        <v>42</v>
      </c>
      <c r="B2184">
        <v>1197831</v>
      </c>
      <c r="C2184" s="1">
        <v>44231</v>
      </c>
      <c r="D2184" t="s">
        <v>19</v>
      </c>
      <c r="E2184" t="s">
        <v>20</v>
      </c>
      <c r="F2184" t="s">
        <v>21</v>
      </c>
      <c r="G2184" t="s">
        <v>26</v>
      </c>
      <c r="H2184" s="2">
        <v>23</v>
      </c>
      <c r="I2184">
        <v>163</v>
      </c>
      <c r="J2184">
        <v>375</v>
      </c>
      <c r="K2184" s="4">
        <v>150</v>
      </c>
      <c r="L2184" t="s">
        <v>17</v>
      </c>
    </row>
    <row r="2185" spans="1:12" x14ac:dyDescent="0.35">
      <c r="A2185" t="s">
        <v>23</v>
      </c>
      <c r="B2185">
        <v>1197831</v>
      </c>
      <c r="C2185" s="1">
        <v>44505</v>
      </c>
      <c r="D2185" t="s">
        <v>48</v>
      </c>
      <c r="E2185" t="s">
        <v>79</v>
      </c>
      <c r="F2185" t="s">
        <v>80</v>
      </c>
      <c r="G2185" t="s">
        <v>16</v>
      </c>
      <c r="H2185" s="2">
        <v>63</v>
      </c>
      <c r="I2185">
        <v>163</v>
      </c>
      <c r="J2185" s="3">
        <v>1027</v>
      </c>
      <c r="K2185" s="4">
        <v>688</v>
      </c>
      <c r="L2185" t="s">
        <v>17</v>
      </c>
    </row>
    <row r="2186" spans="1:12" x14ac:dyDescent="0.35">
      <c r="A2186" t="s">
        <v>42</v>
      </c>
      <c r="B2186">
        <v>1128299</v>
      </c>
      <c r="C2186" s="1">
        <v>44431</v>
      </c>
      <c r="D2186" t="s">
        <v>48</v>
      </c>
      <c r="E2186" t="s">
        <v>123</v>
      </c>
      <c r="F2186" t="s">
        <v>124</v>
      </c>
      <c r="G2186" t="s">
        <v>26</v>
      </c>
      <c r="H2186" s="2">
        <v>50</v>
      </c>
      <c r="I2186">
        <v>163</v>
      </c>
      <c r="J2186">
        <v>815</v>
      </c>
      <c r="K2186" s="4">
        <v>408</v>
      </c>
      <c r="L2186" t="s">
        <v>17</v>
      </c>
    </row>
    <row r="2187" spans="1:12" x14ac:dyDescent="0.35">
      <c r="A2187" t="s">
        <v>63</v>
      </c>
      <c r="B2187">
        <v>1128299</v>
      </c>
      <c r="C2187" s="1">
        <v>44466</v>
      </c>
      <c r="D2187" t="s">
        <v>48</v>
      </c>
      <c r="E2187" t="s">
        <v>114</v>
      </c>
      <c r="F2187" t="s">
        <v>115</v>
      </c>
      <c r="G2187" t="s">
        <v>26</v>
      </c>
      <c r="H2187" s="2">
        <v>49</v>
      </c>
      <c r="I2187">
        <v>163</v>
      </c>
      <c r="J2187">
        <v>799</v>
      </c>
      <c r="K2187" s="4">
        <v>359</v>
      </c>
      <c r="L2187" t="s">
        <v>17</v>
      </c>
    </row>
    <row r="2188" spans="1:12" x14ac:dyDescent="0.35">
      <c r="A2188" t="s">
        <v>23</v>
      </c>
      <c r="B2188">
        <v>1185732</v>
      </c>
      <c r="C2188" s="1">
        <v>44351</v>
      </c>
      <c r="D2188" t="s">
        <v>13</v>
      </c>
      <c r="E2188" t="s">
        <v>77</v>
      </c>
      <c r="F2188" t="s">
        <v>78</v>
      </c>
      <c r="G2188" t="s">
        <v>70</v>
      </c>
      <c r="H2188" s="2">
        <v>61</v>
      </c>
      <c r="I2188">
        <v>163</v>
      </c>
      <c r="J2188">
        <v>994</v>
      </c>
      <c r="K2188" s="4">
        <v>487</v>
      </c>
      <c r="L2188" t="s">
        <v>17</v>
      </c>
    </row>
    <row r="2189" spans="1:12" x14ac:dyDescent="0.35">
      <c r="A2189" t="s">
        <v>23</v>
      </c>
      <c r="B2189">
        <v>1185732</v>
      </c>
      <c r="C2189" s="1">
        <v>44503</v>
      </c>
      <c r="D2189" t="s">
        <v>13</v>
      </c>
      <c r="E2189" t="s">
        <v>77</v>
      </c>
      <c r="F2189" t="s">
        <v>78</v>
      </c>
      <c r="G2189" t="s">
        <v>56</v>
      </c>
      <c r="H2189" s="2">
        <v>55</v>
      </c>
      <c r="I2189">
        <v>163</v>
      </c>
      <c r="J2189">
        <v>897</v>
      </c>
      <c r="K2189" s="4">
        <v>457</v>
      </c>
      <c r="L2189" t="s">
        <v>17</v>
      </c>
    </row>
    <row r="2190" spans="1:12" x14ac:dyDescent="0.35">
      <c r="A2190" t="s">
        <v>23</v>
      </c>
      <c r="B2190">
        <v>1185732</v>
      </c>
      <c r="C2190" s="1">
        <v>44503</v>
      </c>
      <c r="D2190" t="s">
        <v>13</v>
      </c>
      <c r="E2190" t="s">
        <v>77</v>
      </c>
      <c r="F2190" t="s">
        <v>78</v>
      </c>
      <c r="G2190" t="s">
        <v>70</v>
      </c>
      <c r="H2190" s="2">
        <v>72</v>
      </c>
      <c r="I2190">
        <v>163</v>
      </c>
      <c r="J2190" s="3">
        <v>1174</v>
      </c>
      <c r="K2190" s="4">
        <v>575</v>
      </c>
      <c r="L2190" t="s">
        <v>17</v>
      </c>
    </row>
    <row r="2191" spans="1:12" x14ac:dyDescent="0.35">
      <c r="A2191" t="s">
        <v>23</v>
      </c>
      <c r="B2191">
        <v>1185732</v>
      </c>
      <c r="C2191" s="1">
        <v>44517</v>
      </c>
      <c r="D2191" t="s">
        <v>19</v>
      </c>
      <c r="E2191" t="s">
        <v>37</v>
      </c>
      <c r="F2191" t="s">
        <v>38</v>
      </c>
      <c r="G2191" t="s">
        <v>26</v>
      </c>
      <c r="H2191" s="2">
        <v>28</v>
      </c>
      <c r="I2191">
        <v>163</v>
      </c>
      <c r="J2191">
        <v>456</v>
      </c>
      <c r="K2191" s="4">
        <v>246</v>
      </c>
      <c r="L2191" t="s">
        <v>17</v>
      </c>
    </row>
    <row r="2192" spans="1:12" x14ac:dyDescent="0.35">
      <c r="A2192" t="s">
        <v>42</v>
      </c>
      <c r="B2192">
        <v>1185732</v>
      </c>
      <c r="C2192" s="1">
        <v>44422</v>
      </c>
      <c r="D2192" t="s">
        <v>43</v>
      </c>
      <c r="E2192" t="s">
        <v>95</v>
      </c>
      <c r="F2192" t="s">
        <v>96</v>
      </c>
      <c r="G2192" t="s">
        <v>26</v>
      </c>
      <c r="H2192" s="2">
        <v>50</v>
      </c>
      <c r="I2192">
        <v>163</v>
      </c>
      <c r="J2192">
        <v>815</v>
      </c>
      <c r="K2192" s="4">
        <v>399</v>
      </c>
      <c r="L2192" t="s">
        <v>17</v>
      </c>
    </row>
    <row r="2193" spans="1:12" x14ac:dyDescent="0.35">
      <c r="A2193" t="s">
        <v>23</v>
      </c>
      <c r="B2193">
        <v>1185732</v>
      </c>
      <c r="C2193" s="1">
        <v>44412</v>
      </c>
      <c r="D2193" t="s">
        <v>43</v>
      </c>
      <c r="E2193" t="s">
        <v>108</v>
      </c>
      <c r="F2193" t="s">
        <v>109</v>
      </c>
      <c r="G2193" t="s">
        <v>26</v>
      </c>
      <c r="H2193" s="2">
        <v>51</v>
      </c>
      <c r="I2193">
        <v>163</v>
      </c>
      <c r="J2193">
        <v>831</v>
      </c>
      <c r="K2193" s="4">
        <v>457</v>
      </c>
      <c r="L2193" t="s">
        <v>17</v>
      </c>
    </row>
    <row r="2194" spans="1:12" x14ac:dyDescent="0.35">
      <c r="A2194" t="s">
        <v>51</v>
      </c>
      <c r="B2194">
        <v>1185732</v>
      </c>
      <c r="C2194" s="1">
        <v>44359</v>
      </c>
      <c r="D2194" t="s">
        <v>43</v>
      </c>
      <c r="E2194" t="s">
        <v>125</v>
      </c>
      <c r="F2194" t="s">
        <v>126</v>
      </c>
      <c r="G2194" t="s">
        <v>26</v>
      </c>
      <c r="H2194" s="2">
        <v>58</v>
      </c>
      <c r="I2194">
        <v>163</v>
      </c>
      <c r="J2194">
        <v>945</v>
      </c>
      <c r="K2194" s="4">
        <v>548</v>
      </c>
      <c r="L2194" t="s">
        <v>17</v>
      </c>
    </row>
    <row r="2195" spans="1:12" x14ac:dyDescent="0.35">
      <c r="A2195" t="s">
        <v>23</v>
      </c>
      <c r="B2195">
        <v>1197831</v>
      </c>
      <c r="C2195" s="1">
        <v>44424</v>
      </c>
      <c r="D2195" t="s">
        <v>19</v>
      </c>
      <c r="E2195" t="s">
        <v>59</v>
      </c>
      <c r="F2195" t="s">
        <v>68</v>
      </c>
      <c r="G2195" t="s">
        <v>16</v>
      </c>
      <c r="H2195" s="2">
        <v>24</v>
      </c>
      <c r="I2195">
        <v>163</v>
      </c>
      <c r="J2195">
        <v>391</v>
      </c>
      <c r="K2195" s="4">
        <v>188</v>
      </c>
      <c r="L2195" t="s">
        <v>27</v>
      </c>
    </row>
    <row r="2196" spans="1:12" x14ac:dyDescent="0.35">
      <c r="A2196" t="s">
        <v>23</v>
      </c>
      <c r="B2196">
        <v>1197831</v>
      </c>
      <c r="C2196" s="1">
        <v>44321</v>
      </c>
      <c r="D2196" t="s">
        <v>19</v>
      </c>
      <c r="E2196" t="s">
        <v>74</v>
      </c>
      <c r="F2196" t="s">
        <v>75</v>
      </c>
      <c r="G2196" t="s">
        <v>32</v>
      </c>
      <c r="H2196" s="2">
        <v>27</v>
      </c>
      <c r="I2196">
        <v>163</v>
      </c>
      <c r="J2196">
        <v>440</v>
      </c>
      <c r="K2196" s="4">
        <v>211</v>
      </c>
      <c r="L2196" t="s">
        <v>27</v>
      </c>
    </row>
    <row r="2197" spans="1:12" x14ac:dyDescent="0.35">
      <c r="A2197" t="s">
        <v>42</v>
      </c>
      <c r="B2197">
        <v>1128299</v>
      </c>
      <c r="C2197" s="1">
        <v>44399</v>
      </c>
      <c r="D2197" t="s">
        <v>48</v>
      </c>
      <c r="E2197" t="s">
        <v>123</v>
      </c>
      <c r="F2197" t="s">
        <v>124</v>
      </c>
      <c r="G2197" t="s">
        <v>39</v>
      </c>
      <c r="H2197" s="2">
        <v>40</v>
      </c>
      <c r="I2197">
        <v>163</v>
      </c>
      <c r="J2197">
        <v>652</v>
      </c>
      <c r="K2197" s="4">
        <v>300</v>
      </c>
      <c r="L2197" t="s">
        <v>27</v>
      </c>
    </row>
    <row r="2198" spans="1:12" x14ac:dyDescent="0.35">
      <c r="A2198" t="s">
        <v>42</v>
      </c>
      <c r="B2198">
        <v>1128299</v>
      </c>
      <c r="C2198" s="1">
        <v>44523</v>
      </c>
      <c r="D2198" t="s">
        <v>48</v>
      </c>
      <c r="E2198" t="s">
        <v>123</v>
      </c>
      <c r="F2198" t="s">
        <v>124</v>
      </c>
      <c r="G2198" t="s">
        <v>39</v>
      </c>
      <c r="H2198" s="2">
        <v>38</v>
      </c>
      <c r="I2198">
        <v>163</v>
      </c>
      <c r="J2198">
        <v>619</v>
      </c>
      <c r="K2198" s="4">
        <v>291</v>
      </c>
      <c r="L2198" t="s">
        <v>27</v>
      </c>
    </row>
    <row r="2199" spans="1:12" x14ac:dyDescent="0.35">
      <c r="A2199" t="s">
        <v>63</v>
      </c>
      <c r="B2199">
        <v>1128299</v>
      </c>
      <c r="C2199" s="1">
        <v>44434</v>
      </c>
      <c r="D2199" t="s">
        <v>48</v>
      </c>
      <c r="E2199" t="s">
        <v>114</v>
      </c>
      <c r="F2199" t="s">
        <v>115</v>
      </c>
      <c r="G2199" t="s">
        <v>32</v>
      </c>
      <c r="H2199" s="2">
        <v>46</v>
      </c>
      <c r="I2199">
        <v>163</v>
      </c>
      <c r="J2199">
        <v>750</v>
      </c>
      <c r="K2199" s="4">
        <v>300</v>
      </c>
      <c r="L2199" t="s">
        <v>27</v>
      </c>
    </row>
    <row r="2200" spans="1:12" x14ac:dyDescent="0.35">
      <c r="A2200" t="s">
        <v>23</v>
      </c>
      <c r="B2200">
        <v>1128299</v>
      </c>
      <c r="C2200" s="1">
        <v>44267</v>
      </c>
      <c r="D2200" t="s">
        <v>13</v>
      </c>
      <c r="E2200" t="s">
        <v>57</v>
      </c>
      <c r="F2200" t="s">
        <v>58</v>
      </c>
      <c r="G2200" t="s">
        <v>26</v>
      </c>
      <c r="H2200" s="2">
        <v>30</v>
      </c>
      <c r="I2200">
        <v>163</v>
      </c>
      <c r="J2200">
        <v>489</v>
      </c>
      <c r="K2200" s="4">
        <v>210</v>
      </c>
      <c r="L2200" t="s">
        <v>27</v>
      </c>
    </row>
    <row r="2201" spans="1:12" x14ac:dyDescent="0.35">
      <c r="A2201" t="s">
        <v>23</v>
      </c>
      <c r="B2201">
        <v>1128299</v>
      </c>
      <c r="C2201" s="1">
        <v>44360</v>
      </c>
      <c r="D2201" t="s">
        <v>13</v>
      </c>
      <c r="E2201" t="s">
        <v>57</v>
      </c>
      <c r="F2201" t="s">
        <v>58</v>
      </c>
      <c r="G2201" t="s">
        <v>39</v>
      </c>
      <c r="H2201" s="2">
        <v>41</v>
      </c>
      <c r="I2201">
        <v>163</v>
      </c>
      <c r="J2201">
        <v>668</v>
      </c>
      <c r="K2201" s="4">
        <v>294</v>
      </c>
      <c r="L2201" t="s">
        <v>27</v>
      </c>
    </row>
    <row r="2202" spans="1:12" x14ac:dyDescent="0.35">
      <c r="A2202" t="s">
        <v>12</v>
      </c>
      <c r="B2202">
        <v>1197831</v>
      </c>
      <c r="C2202" s="1">
        <v>44396</v>
      </c>
      <c r="D2202" t="s">
        <v>19</v>
      </c>
      <c r="E2202" t="s">
        <v>54</v>
      </c>
      <c r="F2202" t="s">
        <v>55</v>
      </c>
      <c r="G2202" t="s">
        <v>39</v>
      </c>
      <c r="H2202" s="2">
        <v>36</v>
      </c>
      <c r="I2202">
        <v>163</v>
      </c>
      <c r="J2202">
        <v>587</v>
      </c>
      <c r="K2202" s="4">
        <v>217</v>
      </c>
      <c r="L2202" t="s">
        <v>27</v>
      </c>
    </row>
    <row r="2203" spans="1:12" x14ac:dyDescent="0.35">
      <c r="A2203" t="s">
        <v>12</v>
      </c>
      <c r="B2203">
        <v>1197831</v>
      </c>
      <c r="C2203" s="1">
        <v>44428</v>
      </c>
      <c r="D2203" t="s">
        <v>19</v>
      </c>
      <c r="E2203" t="s">
        <v>54</v>
      </c>
      <c r="F2203" t="s">
        <v>55</v>
      </c>
      <c r="G2203" t="s">
        <v>39</v>
      </c>
      <c r="H2203" s="2">
        <v>42</v>
      </c>
      <c r="I2203">
        <v>163</v>
      </c>
      <c r="J2203">
        <v>685</v>
      </c>
      <c r="K2203" s="4">
        <v>267</v>
      </c>
      <c r="L2203" t="s">
        <v>27</v>
      </c>
    </row>
    <row r="2204" spans="1:12" x14ac:dyDescent="0.35">
      <c r="A2204" t="s">
        <v>18</v>
      </c>
      <c r="B2204">
        <v>1197831</v>
      </c>
      <c r="C2204" s="1">
        <v>44396</v>
      </c>
      <c r="D2204" t="s">
        <v>19</v>
      </c>
      <c r="E2204" t="s">
        <v>61</v>
      </c>
      <c r="F2204" t="s">
        <v>62</v>
      </c>
      <c r="G2204" t="s">
        <v>16</v>
      </c>
      <c r="H2204" s="2">
        <v>45</v>
      </c>
      <c r="I2204">
        <v>163</v>
      </c>
      <c r="J2204">
        <v>734</v>
      </c>
      <c r="K2204" s="4">
        <v>345</v>
      </c>
      <c r="L2204" t="s">
        <v>27</v>
      </c>
    </row>
    <row r="2205" spans="1:12" x14ac:dyDescent="0.35">
      <c r="A2205" t="s">
        <v>51</v>
      </c>
      <c r="B2205">
        <v>1185732</v>
      </c>
      <c r="C2205" s="1">
        <v>44394</v>
      </c>
      <c r="D2205" t="s">
        <v>43</v>
      </c>
      <c r="E2205" t="s">
        <v>127</v>
      </c>
      <c r="F2205" t="s">
        <v>128</v>
      </c>
      <c r="G2205" t="s">
        <v>16</v>
      </c>
      <c r="H2205" s="2">
        <v>47</v>
      </c>
      <c r="I2205">
        <v>163</v>
      </c>
      <c r="J2205">
        <v>766</v>
      </c>
      <c r="K2205" s="4">
        <v>306</v>
      </c>
      <c r="L2205" t="s">
        <v>27</v>
      </c>
    </row>
    <row r="2206" spans="1:12" x14ac:dyDescent="0.35">
      <c r="A2206" t="s">
        <v>18</v>
      </c>
      <c r="B2206">
        <v>1128299</v>
      </c>
      <c r="C2206" s="1">
        <v>43881</v>
      </c>
      <c r="D2206" t="s">
        <v>48</v>
      </c>
      <c r="E2206" t="s">
        <v>116</v>
      </c>
      <c r="F2206" t="s">
        <v>117</v>
      </c>
      <c r="G2206" t="s">
        <v>39</v>
      </c>
      <c r="H2206" s="2">
        <v>61</v>
      </c>
      <c r="I2206">
        <v>162</v>
      </c>
      <c r="J2206">
        <v>988</v>
      </c>
      <c r="K2206" s="4">
        <v>336</v>
      </c>
      <c r="L2206" t="s">
        <v>17</v>
      </c>
    </row>
    <row r="2207" spans="1:12" x14ac:dyDescent="0.35">
      <c r="A2207" t="s">
        <v>18</v>
      </c>
      <c r="B2207">
        <v>1128299</v>
      </c>
      <c r="C2207" s="1">
        <v>43953</v>
      </c>
      <c r="D2207" t="s">
        <v>48</v>
      </c>
      <c r="E2207" t="s">
        <v>133</v>
      </c>
      <c r="F2207" t="s">
        <v>134</v>
      </c>
      <c r="G2207" t="s">
        <v>26</v>
      </c>
      <c r="H2207" s="2">
        <v>59</v>
      </c>
      <c r="I2207">
        <v>162</v>
      </c>
      <c r="J2207">
        <v>956</v>
      </c>
      <c r="K2207" s="4">
        <v>507</v>
      </c>
      <c r="L2207" t="s">
        <v>17</v>
      </c>
    </row>
    <row r="2208" spans="1:12" x14ac:dyDescent="0.35">
      <c r="A2208" t="s">
        <v>18</v>
      </c>
      <c r="B2208">
        <v>1128299</v>
      </c>
      <c r="C2208" s="1">
        <v>44037</v>
      </c>
      <c r="D2208" t="s">
        <v>48</v>
      </c>
      <c r="E2208" t="s">
        <v>97</v>
      </c>
      <c r="F2208" t="s">
        <v>98</v>
      </c>
      <c r="G2208" t="s">
        <v>26</v>
      </c>
      <c r="H2208" s="2">
        <v>54</v>
      </c>
      <c r="I2208">
        <v>162</v>
      </c>
      <c r="J2208">
        <v>875</v>
      </c>
      <c r="K2208" s="4">
        <v>385</v>
      </c>
      <c r="L2208" t="s">
        <v>17</v>
      </c>
    </row>
    <row r="2209" spans="1:12" x14ac:dyDescent="0.35">
      <c r="A2209" t="s">
        <v>42</v>
      </c>
      <c r="B2209">
        <v>1128299</v>
      </c>
      <c r="C2209" s="1">
        <v>44418</v>
      </c>
      <c r="D2209" t="s">
        <v>48</v>
      </c>
      <c r="E2209" t="s">
        <v>129</v>
      </c>
      <c r="F2209" t="s">
        <v>130</v>
      </c>
      <c r="G2209" t="s">
        <v>32</v>
      </c>
      <c r="H2209" s="2">
        <v>64</v>
      </c>
      <c r="I2209">
        <v>162</v>
      </c>
      <c r="J2209" s="3">
        <v>1037</v>
      </c>
      <c r="K2209" s="4">
        <v>404</v>
      </c>
      <c r="L2209" t="s">
        <v>17</v>
      </c>
    </row>
    <row r="2210" spans="1:12" x14ac:dyDescent="0.35">
      <c r="A2210" t="s">
        <v>12</v>
      </c>
      <c r="B2210">
        <v>1128299</v>
      </c>
      <c r="C2210" s="1">
        <v>44517</v>
      </c>
      <c r="D2210" t="s">
        <v>13</v>
      </c>
      <c r="E2210" t="s">
        <v>14</v>
      </c>
      <c r="F2210" t="s">
        <v>15</v>
      </c>
      <c r="G2210" t="s">
        <v>16</v>
      </c>
      <c r="H2210" s="2">
        <v>86</v>
      </c>
      <c r="I2210">
        <v>162</v>
      </c>
      <c r="J2210" s="3">
        <v>1393</v>
      </c>
      <c r="K2210" s="4">
        <v>822</v>
      </c>
      <c r="L2210" t="s">
        <v>17</v>
      </c>
    </row>
    <row r="2211" spans="1:12" x14ac:dyDescent="0.35">
      <c r="A2211" t="s">
        <v>18</v>
      </c>
      <c r="B2211">
        <v>1185732</v>
      </c>
      <c r="C2211" s="1">
        <v>44509</v>
      </c>
      <c r="D2211" t="s">
        <v>43</v>
      </c>
      <c r="E2211" t="s">
        <v>44</v>
      </c>
      <c r="F2211" t="s">
        <v>101</v>
      </c>
      <c r="G2211" t="s">
        <v>39</v>
      </c>
      <c r="H2211" s="2">
        <v>49</v>
      </c>
      <c r="I2211">
        <v>162</v>
      </c>
      <c r="J2211">
        <v>794</v>
      </c>
      <c r="K2211" s="4">
        <v>389</v>
      </c>
      <c r="L2211" t="s">
        <v>17</v>
      </c>
    </row>
    <row r="2212" spans="1:12" x14ac:dyDescent="0.35">
      <c r="A2212" t="s">
        <v>42</v>
      </c>
      <c r="B2212">
        <v>1128299</v>
      </c>
      <c r="C2212" s="1">
        <v>44400</v>
      </c>
      <c r="D2212" t="s">
        <v>13</v>
      </c>
      <c r="E2212" t="s">
        <v>99</v>
      </c>
      <c r="F2212" t="s">
        <v>100</v>
      </c>
      <c r="G2212" t="s">
        <v>70</v>
      </c>
      <c r="H2212" s="2">
        <v>85</v>
      </c>
      <c r="I2212">
        <v>162</v>
      </c>
      <c r="J2212" s="3">
        <v>1377</v>
      </c>
      <c r="K2212" s="4">
        <v>757</v>
      </c>
      <c r="L2212" t="s">
        <v>17</v>
      </c>
    </row>
    <row r="2213" spans="1:12" x14ac:dyDescent="0.35">
      <c r="A2213" t="s">
        <v>42</v>
      </c>
      <c r="B2213">
        <v>1128299</v>
      </c>
      <c r="C2213" s="1">
        <v>44546</v>
      </c>
      <c r="D2213" t="s">
        <v>19</v>
      </c>
      <c r="E2213" t="s">
        <v>20</v>
      </c>
      <c r="F2213" t="s">
        <v>21</v>
      </c>
      <c r="G2213" t="s">
        <v>32</v>
      </c>
      <c r="H2213" s="2">
        <v>69</v>
      </c>
      <c r="I2213">
        <v>162</v>
      </c>
      <c r="J2213" s="3">
        <v>1118</v>
      </c>
      <c r="K2213" s="4">
        <v>581</v>
      </c>
      <c r="L2213" t="s">
        <v>17</v>
      </c>
    </row>
    <row r="2214" spans="1:12" x14ac:dyDescent="0.35">
      <c r="A2214" t="s">
        <v>63</v>
      </c>
      <c r="B2214">
        <v>1128299</v>
      </c>
      <c r="C2214" s="1">
        <v>44373</v>
      </c>
      <c r="D2214" t="s">
        <v>48</v>
      </c>
      <c r="E2214" t="s">
        <v>114</v>
      </c>
      <c r="F2214" t="s">
        <v>115</v>
      </c>
      <c r="G2214" t="s">
        <v>16</v>
      </c>
      <c r="H2214" s="2">
        <v>74</v>
      </c>
      <c r="I2214">
        <v>162</v>
      </c>
      <c r="J2214" s="3">
        <v>1199</v>
      </c>
      <c r="K2214" s="4">
        <v>432</v>
      </c>
      <c r="L2214" t="s">
        <v>17</v>
      </c>
    </row>
    <row r="2215" spans="1:12" x14ac:dyDescent="0.35">
      <c r="A2215" t="s">
        <v>63</v>
      </c>
      <c r="B2215">
        <v>1197831</v>
      </c>
      <c r="C2215" s="1">
        <v>44241</v>
      </c>
      <c r="D2215" t="s">
        <v>19</v>
      </c>
      <c r="E2215" t="s">
        <v>61</v>
      </c>
      <c r="F2215" t="s">
        <v>62</v>
      </c>
      <c r="G2215" t="s">
        <v>26</v>
      </c>
      <c r="H2215" s="2">
        <v>23</v>
      </c>
      <c r="I2215">
        <v>162</v>
      </c>
      <c r="J2215">
        <v>373</v>
      </c>
      <c r="K2215" s="4">
        <v>175</v>
      </c>
      <c r="L2215" t="s">
        <v>17</v>
      </c>
    </row>
    <row r="2216" spans="1:12" x14ac:dyDescent="0.35">
      <c r="A2216" t="s">
        <v>23</v>
      </c>
      <c r="B2216">
        <v>1197831</v>
      </c>
      <c r="C2216" s="1">
        <v>44483</v>
      </c>
      <c r="D2216" t="s">
        <v>19</v>
      </c>
      <c r="E2216" t="s">
        <v>59</v>
      </c>
      <c r="F2216" t="s">
        <v>68</v>
      </c>
      <c r="G2216" t="s">
        <v>70</v>
      </c>
      <c r="H2216" s="2">
        <v>46</v>
      </c>
      <c r="I2216">
        <v>162</v>
      </c>
      <c r="J2216">
        <v>745</v>
      </c>
      <c r="K2216" s="4">
        <v>291</v>
      </c>
      <c r="L2216" t="s">
        <v>27</v>
      </c>
    </row>
    <row r="2217" spans="1:12" x14ac:dyDescent="0.35">
      <c r="A2217" t="s">
        <v>42</v>
      </c>
      <c r="B2217">
        <v>1185732</v>
      </c>
      <c r="C2217" s="1">
        <v>44539</v>
      </c>
      <c r="D2217" t="s">
        <v>43</v>
      </c>
      <c r="E2217" t="s">
        <v>135</v>
      </c>
      <c r="F2217" t="s">
        <v>136</v>
      </c>
      <c r="G2217" t="s">
        <v>26</v>
      </c>
      <c r="H2217" s="2">
        <v>46</v>
      </c>
      <c r="I2217">
        <v>162</v>
      </c>
      <c r="J2217">
        <v>745</v>
      </c>
      <c r="K2217" s="4">
        <v>388</v>
      </c>
      <c r="L2217" t="s">
        <v>27</v>
      </c>
    </row>
    <row r="2218" spans="1:12" x14ac:dyDescent="0.35">
      <c r="A2218" t="s">
        <v>18</v>
      </c>
      <c r="B2218">
        <v>1128299</v>
      </c>
      <c r="C2218" s="1">
        <v>43898</v>
      </c>
      <c r="D2218" t="s">
        <v>48</v>
      </c>
      <c r="E2218" t="s">
        <v>116</v>
      </c>
      <c r="F2218" t="s">
        <v>117</v>
      </c>
      <c r="G2218" t="s">
        <v>16</v>
      </c>
      <c r="H2218" s="2">
        <v>51</v>
      </c>
      <c r="I2218">
        <v>162</v>
      </c>
      <c r="J2218">
        <v>826</v>
      </c>
      <c r="K2218" s="4">
        <v>174</v>
      </c>
      <c r="L2218" t="s">
        <v>27</v>
      </c>
    </row>
    <row r="2219" spans="1:12" x14ac:dyDescent="0.35">
      <c r="A2219" t="s">
        <v>23</v>
      </c>
      <c r="B2219">
        <v>1197831</v>
      </c>
      <c r="C2219" s="1">
        <v>44310</v>
      </c>
      <c r="D2219" t="s">
        <v>19</v>
      </c>
      <c r="E2219" t="s">
        <v>74</v>
      </c>
      <c r="F2219" t="s">
        <v>75</v>
      </c>
      <c r="G2219" t="s">
        <v>56</v>
      </c>
      <c r="H2219" s="2">
        <v>32</v>
      </c>
      <c r="I2219">
        <v>162</v>
      </c>
      <c r="J2219">
        <v>518</v>
      </c>
      <c r="K2219" s="4">
        <v>306</v>
      </c>
      <c r="L2219" t="s">
        <v>27</v>
      </c>
    </row>
    <row r="2220" spans="1:12" x14ac:dyDescent="0.35">
      <c r="A2220" t="s">
        <v>42</v>
      </c>
      <c r="B2220">
        <v>1128299</v>
      </c>
      <c r="C2220" s="1">
        <v>44278</v>
      </c>
      <c r="D2220" t="s">
        <v>13</v>
      </c>
      <c r="E2220" t="s">
        <v>99</v>
      </c>
      <c r="F2220" t="s">
        <v>100</v>
      </c>
      <c r="G2220" t="s">
        <v>26</v>
      </c>
      <c r="H2220" s="2">
        <v>30</v>
      </c>
      <c r="I2220">
        <v>162</v>
      </c>
      <c r="J2220">
        <v>486</v>
      </c>
      <c r="K2220" s="4">
        <v>185</v>
      </c>
      <c r="L2220" t="s">
        <v>27</v>
      </c>
    </row>
    <row r="2221" spans="1:12" x14ac:dyDescent="0.35">
      <c r="A2221" t="s">
        <v>42</v>
      </c>
      <c r="B2221">
        <v>1197831</v>
      </c>
      <c r="C2221" s="1">
        <v>44201</v>
      </c>
      <c r="D2221" t="s">
        <v>19</v>
      </c>
      <c r="E2221" t="s">
        <v>20</v>
      </c>
      <c r="F2221" t="s">
        <v>21</v>
      </c>
      <c r="G2221" t="s">
        <v>32</v>
      </c>
      <c r="H2221" s="2">
        <v>21</v>
      </c>
      <c r="I2221">
        <v>162</v>
      </c>
      <c r="J2221">
        <v>340</v>
      </c>
      <c r="K2221" s="4">
        <v>126</v>
      </c>
      <c r="L2221" t="s">
        <v>27</v>
      </c>
    </row>
    <row r="2222" spans="1:12" x14ac:dyDescent="0.35">
      <c r="A2222" t="s">
        <v>18</v>
      </c>
      <c r="B2222">
        <v>1197831</v>
      </c>
      <c r="C2222" s="1">
        <v>44291</v>
      </c>
      <c r="D2222" t="s">
        <v>48</v>
      </c>
      <c r="E2222" t="s">
        <v>79</v>
      </c>
      <c r="F2222" t="s">
        <v>80</v>
      </c>
      <c r="G2222" t="s">
        <v>32</v>
      </c>
      <c r="H2222" s="2">
        <v>19</v>
      </c>
      <c r="I2222">
        <v>162</v>
      </c>
      <c r="J2222">
        <v>308</v>
      </c>
      <c r="K2222" s="4">
        <v>114</v>
      </c>
      <c r="L2222" t="s">
        <v>27</v>
      </c>
    </row>
    <row r="2223" spans="1:12" x14ac:dyDescent="0.35">
      <c r="A2223" t="s">
        <v>42</v>
      </c>
      <c r="B2223">
        <v>1197831</v>
      </c>
      <c r="C2223" s="1">
        <v>44416</v>
      </c>
      <c r="D2223" t="s">
        <v>48</v>
      </c>
      <c r="E2223" t="s">
        <v>79</v>
      </c>
      <c r="F2223" t="s">
        <v>80</v>
      </c>
      <c r="G2223" t="s">
        <v>56</v>
      </c>
      <c r="H2223" s="2">
        <v>33</v>
      </c>
      <c r="I2223">
        <v>162</v>
      </c>
      <c r="J2223">
        <v>535</v>
      </c>
      <c r="K2223" s="4">
        <v>294</v>
      </c>
      <c r="L2223" t="s">
        <v>27</v>
      </c>
    </row>
    <row r="2224" spans="1:12" x14ac:dyDescent="0.35">
      <c r="A2224" t="s">
        <v>42</v>
      </c>
      <c r="B2224">
        <v>1128299</v>
      </c>
      <c r="C2224" s="1">
        <v>44250</v>
      </c>
      <c r="D2224" t="s">
        <v>48</v>
      </c>
      <c r="E2224" t="s">
        <v>79</v>
      </c>
      <c r="F2224" t="s">
        <v>80</v>
      </c>
      <c r="G2224" t="s">
        <v>26</v>
      </c>
      <c r="H2224" s="2">
        <v>21</v>
      </c>
      <c r="I2224">
        <v>162</v>
      </c>
      <c r="J2224">
        <v>340</v>
      </c>
      <c r="K2224" s="4">
        <v>126</v>
      </c>
      <c r="L2224" t="s">
        <v>27</v>
      </c>
    </row>
    <row r="2225" spans="1:12" x14ac:dyDescent="0.35">
      <c r="A2225" t="s">
        <v>63</v>
      </c>
      <c r="B2225">
        <v>1128299</v>
      </c>
      <c r="C2225" s="1">
        <v>44434</v>
      </c>
      <c r="D2225" t="s">
        <v>48</v>
      </c>
      <c r="E2225" t="s">
        <v>114</v>
      </c>
      <c r="F2225" t="s">
        <v>115</v>
      </c>
      <c r="G2225" t="s">
        <v>70</v>
      </c>
      <c r="H2225" s="2">
        <v>48</v>
      </c>
      <c r="I2225">
        <v>162</v>
      </c>
      <c r="J2225">
        <v>778</v>
      </c>
      <c r="K2225" s="4">
        <v>264</v>
      </c>
      <c r="L2225" t="s">
        <v>27</v>
      </c>
    </row>
    <row r="2226" spans="1:12" x14ac:dyDescent="0.35">
      <c r="A2226" t="s">
        <v>23</v>
      </c>
      <c r="B2226">
        <v>1128299</v>
      </c>
      <c r="C2226" s="1">
        <v>44389</v>
      </c>
      <c r="D2226" t="s">
        <v>13</v>
      </c>
      <c r="E2226" t="s">
        <v>57</v>
      </c>
      <c r="F2226" t="s">
        <v>58</v>
      </c>
      <c r="G2226" t="s">
        <v>70</v>
      </c>
      <c r="H2226" s="2">
        <v>39</v>
      </c>
      <c r="I2226">
        <v>162</v>
      </c>
      <c r="J2226">
        <v>632</v>
      </c>
      <c r="K2226" s="4">
        <v>240</v>
      </c>
      <c r="L2226" t="s">
        <v>27</v>
      </c>
    </row>
    <row r="2227" spans="1:12" x14ac:dyDescent="0.35">
      <c r="A2227" t="s">
        <v>23</v>
      </c>
      <c r="B2227">
        <v>1185732</v>
      </c>
      <c r="C2227" s="1">
        <v>44487</v>
      </c>
      <c r="D2227" t="s">
        <v>19</v>
      </c>
      <c r="E2227" t="s">
        <v>37</v>
      </c>
      <c r="F2227" t="s">
        <v>38</v>
      </c>
      <c r="G2227" t="s">
        <v>16</v>
      </c>
      <c r="H2227" s="2">
        <v>27</v>
      </c>
      <c r="I2227">
        <v>162</v>
      </c>
      <c r="J2227">
        <v>437</v>
      </c>
      <c r="K2227" s="4">
        <v>236</v>
      </c>
      <c r="L2227" t="s">
        <v>27</v>
      </c>
    </row>
    <row r="2228" spans="1:12" x14ac:dyDescent="0.35">
      <c r="A2228" t="s">
        <v>42</v>
      </c>
      <c r="B2228">
        <v>1185732</v>
      </c>
      <c r="C2228" s="1">
        <v>44235</v>
      </c>
      <c r="D2228" t="s">
        <v>43</v>
      </c>
      <c r="E2228" t="s">
        <v>108</v>
      </c>
      <c r="F2228" t="s">
        <v>109</v>
      </c>
      <c r="G2228" t="s">
        <v>26</v>
      </c>
      <c r="H2228" s="2">
        <v>24</v>
      </c>
      <c r="I2228">
        <v>162</v>
      </c>
      <c r="J2228">
        <v>389</v>
      </c>
      <c r="K2228" s="4">
        <v>156</v>
      </c>
      <c r="L2228" t="s">
        <v>27</v>
      </c>
    </row>
    <row r="2229" spans="1:12" x14ac:dyDescent="0.35">
      <c r="A2229" t="s">
        <v>51</v>
      </c>
      <c r="B2229">
        <v>1185732</v>
      </c>
      <c r="C2229" s="1">
        <v>44366</v>
      </c>
      <c r="D2229" t="s">
        <v>43</v>
      </c>
      <c r="E2229" t="s">
        <v>127</v>
      </c>
      <c r="F2229" t="s">
        <v>128</v>
      </c>
      <c r="G2229" t="s">
        <v>16</v>
      </c>
      <c r="H2229" s="2">
        <v>50</v>
      </c>
      <c r="I2229">
        <v>162</v>
      </c>
      <c r="J2229">
        <v>810</v>
      </c>
      <c r="K2229" s="4">
        <v>340</v>
      </c>
      <c r="L2229" t="s">
        <v>27</v>
      </c>
    </row>
    <row r="2230" spans="1:12" x14ac:dyDescent="0.35">
      <c r="A2230" t="s">
        <v>42</v>
      </c>
      <c r="B2230">
        <v>1185732</v>
      </c>
      <c r="C2230" s="1">
        <v>44488</v>
      </c>
      <c r="D2230" t="s">
        <v>43</v>
      </c>
      <c r="E2230" t="s">
        <v>127</v>
      </c>
      <c r="F2230" t="s">
        <v>128</v>
      </c>
      <c r="G2230" t="s">
        <v>26</v>
      </c>
      <c r="H2230" s="2">
        <v>52</v>
      </c>
      <c r="I2230">
        <v>162</v>
      </c>
      <c r="J2230">
        <v>842</v>
      </c>
      <c r="K2230" s="4">
        <v>354</v>
      </c>
      <c r="L2230" t="s">
        <v>27</v>
      </c>
    </row>
    <row r="2231" spans="1:12" x14ac:dyDescent="0.35">
      <c r="A2231" t="s">
        <v>18</v>
      </c>
      <c r="B2231">
        <v>1128299</v>
      </c>
      <c r="C2231" s="1">
        <v>44140</v>
      </c>
      <c r="D2231" t="s">
        <v>48</v>
      </c>
      <c r="E2231" t="s">
        <v>66</v>
      </c>
      <c r="F2231" t="s">
        <v>67</v>
      </c>
      <c r="G2231" t="s">
        <v>70</v>
      </c>
      <c r="H2231" s="2">
        <v>51</v>
      </c>
      <c r="I2231">
        <v>161</v>
      </c>
      <c r="J2231">
        <v>821</v>
      </c>
      <c r="K2231" s="4">
        <v>517</v>
      </c>
      <c r="L2231" t="s">
        <v>17</v>
      </c>
    </row>
    <row r="2232" spans="1:12" x14ac:dyDescent="0.35">
      <c r="A2232" t="s">
        <v>42</v>
      </c>
      <c r="B2232">
        <v>1185732</v>
      </c>
      <c r="C2232" s="1">
        <v>44383</v>
      </c>
      <c r="D2232" t="s">
        <v>33</v>
      </c>
      <c r="E2232" t="s">
        <v>118</v>
      </c>
      <c r="F2232" t="s">
        <v>119</v>
      </c>
      <c r="G2232" t="s">
        <v>26</v>
      </c>
      <c r="H2232" s="2">
        <v>47</v>
      </c>
      <c r="I2232">
        <v>161</v>
      </c>
      <c r="J2232">
        <v>757</v>
      </c>
      <c r="K2232" s="4">
        <v>393</v>
      </c>
      <c r="L2232" t="s">
        <v>17</v>
      </c>
    </row>
    <row r="2233" spans="1:12" x14ac:dyDescent="0.35">
      <c r="A2233" t="s">
        <v>23</v>
      </c>
      <c r="B2233">
        <v>1197831</v>
      </c>
      <c r="C2233" s="1">
        <v>44478</v>
      </c>
      <c r="D2233" t="s">
        <v>19</v>
      </c>
      <c r="E2233" t="s">
        <v>59</v>
      </c>
      <c r="F2233" t="s">
        <v>68</v>
      </c>
      <c r="G2233" t="s">
        <v>16</v>
      </c>
      <c r="H2233" s="2">
        <v>45</v>
      </c>
      <c r="I2233">
        <v>161</v>
      </c>
      <c r="J2233">
        <v>725</v>
      </c>
      <c r="K2233" s="4">
        <v>507</v>
      </c>
      <c r="L2233" t="s">
        <v>17</v>
      </c>
    </row>
    <row r="2234" spans="1:12" x14ac:dyDescent="0.35">
      <c r="A2234" t="s">
        <v>18</v>
      </c>
      <c r="B2234">
        <v>1128299</v>
      </c>
      <c r="C2234" s="1">
        <v>43943</v>
      </c>
      <c r="D2234" t="s">
        <v>48</v>
      </c>
      <c r="E2234" t="s">
        <v>133</v>
      </c>
      <c r="F2234" t="s">
        <v>134</v>
      </c>
      <c r="G2234" t="s">
        <v>32</v>
      </c>
      <c r="H2234" s="2">
        <v>67</v>
      </c>
      <c r="I2234">
        <v>161</v>
      </c>
      <c r="J2234" s="3">
        <v>1079</v>
      </c>
      <c r="K2234" s="4">
        <v>593</v>
      </c>
      <c r="L2234" t="s">
        <v>17</v>
      </c>
    </row>
    <row r="2235" spans="1:12" x14ac:dyDescent="0.35">
      <c r="A2235" t="s">
        <v>63</v>
      </c>
      <c r="B2235">
        <v>1189833</v>
      </c>
      <c r="C2235" s="1">
        <v>44211</v>
      </c>
      <c r="D2235" t="s">
        <v>33</v>
      </c>
      <c r="E2235" t="s">
        <v>131</v>
      </c>
      <c r="F2235" t="s">
        <v>132</v>
      </c>
      <c r="G2235" t="s">
        <v>26</v>
      </c>
      <c r="H2235" s="2">
        <v>44</v>
      </c>
      <c r="I2235">
        <v>161</v>
      </c>
      <c r="J2235">
        <v>708</v>
      </c>
      <c r="K2235" s="4">
        <v>418</v>
      </c>
      <c r="L2235" t="s">
        <v>17</v>
      </c>
    </row>
    <row r="2236" spans="1:12" x14ac:dyDescent="0.35">
      <c r="A2236" t="s">
        <v>23</v>
      </c>
      <c r="B2236">
        <v>1197831</v>
      </c>
      <c r="C2236" s="1">
        <v>44288</v>
      </c>
      <c r="D2236" t="s">
        <v>19</v>
      </c>
      <c r="E2236" t="s">
        <v>74</v>
      </c>
      <c r="F2236" t="s">
        <v>75</v>
      </c>
      <c r="G2236" t="s">
        <v>16</v>
      </c>
      <c r="H2236" s="2">
        <v>24</v>
      </c>
      <c r="I2236">
        <v>161</v>
      </c>
      <c r="J2236">
        <v>386</v>
      </c>
      <c r="K2236" s="4">
        <v>263</v>
      </c>
      <c r="L2236" t="s">
        <v>17</v>
      </c>
    </row>
    <row r="2237" spans="1:12" x14ac:dyDescent="0.35">
      <c r="A2237" t="s">
        <v>23</v>
      </c>
      <c r="B2237">
        <v>1197831</v>
      </c>
      <c r="C2237" s="1">
        <v>44304</v>
      </c>
      <c r="D2237" t="s">
        <v>19</v>
      </c>
      <c r="E2237" t="s">
        <v>74</v>
      </c>
      <c r="F2237" t="s">
        <v>75</v>
      </c>
      <c r="G2237" t="s">
        <v>56</v>
      </c>
      <c r="H2237" s="2">
        <v>37</v>
      </c>
      <c r="I2237">
        <v>161</v>
      </c>
      <c r="J2237">
        <v>596</v>
      </c>
      <c r="K2237" s="4">
        <v>387</v>
      </c>
      <c r="L2237" t="s">
        <v>17</v>
      </c>
    </row>
    <row r="2238" spans="1:12" x14ac:dyDescent="0.35">
      <c r="A2238" t="s">
        <v>18</v>
      </c>
      <c r="B2238">
        <v>1185732</v>
      </c>
      <c r="C2238" s="1">
        <v>44263</v>
      </c>
      <c r="D2238" t="s">
        <v>43</v>
      </c>
      <c r="E2238" t="s">
        <v>44</v>
      </c>
      <c r="F2238" t="s">
        <v>101</v>
      </c>
      <c r="G2238" t="s">
        <v>32</v>
      </c>
      <c r="H2238" s="2">
        <v>33</v>
      </c>
      <c r="I2238">
        <v>161</v>
      </c>
      <c r="J2238">
        <v>531</v>
      </c>
      <c r="K2238" s="4">
        <v>191</v>
      </c>
      <c r="L2238" t="s">
        <v>17</v>
      </c>
    </row>
    <row r="2239" spans="1:12" x14ac:dyDescent="0.35">
      <c r="A2239" t="s">
        <v>18</v>
      </c>
      <c r="B2239">
        <v>1185732</v>
      </c>
      <c r="C2239" s="1">
        <v>44263</v>
      </c>
      <c r="D2239" t="s">
        <v>43</v>
      </c>
      <c r="E2239" t="s">
        <v>44</v>
      </c>
      <c r="F2239" t="s">
        <v>101</v>
      </c>
      <c r="G2239" t="s">
        <v>16</v>
      </c>
      <c r="H2239" s="2">
        <v>43</v>
      </c>
      <c r="I2239">
        <v>161</v>
      </c>
      <c r="J2239">
        <v>692</v>
      </c>
      <c r="K2239" s="4">
        <v>415</v>
      </c>
      <c r="L2239" t="s">
        <v>17</v>
      </c>
    </row>
    <row r="2240" spans="1:12" x14ac:dyDescent="0.35">
      <c r="A2240" t="s">
        <v>18</v>
      </c>
      <c r="B2240">
        <v>1185732</v>
      </c>
      <c r="C2240" s="1">
        <v>44324</v>
      </c>
      <c r="D2240" t="s">
        <v>43</v>
      </c>
      <c r="E2240" t="s">
        <v>44</v>
      </c>
      <c r="F2240" t="s">
        <v>101</v>
      </c>
      <c r="G2240" t="s">
        <v>39</v>
      </c>
      <c r="H2240" s="2">
        <v>53</v>
      </c>
      <c r="I2240">
        <v>161</v>
      </c>
      <c r="J2240">
        <v>853</v>
      </c>
      <c r="K2240" s="4">
        <v>401</v>
      </c>
      <c r="L2240" t="s">
        <v>17</v>
      </c>
    </row>
    <row r="2241" spans="1:12" x14ac:dyDescent="0.35">
      <c r="A2241" t="s">
        <v>63</v>
      </c>
      <c r="B2241">
        <v>1185732</v>
      </c>
      <c r="C2241" s="1">
        <v>44511</v>
      </c>
      <c r="D2241" t="s">
        <v>48</v>
      </c>
      <c r="E2241" t="s">
        <v>102</v>
      </c>
      <c r="F2241" t="s">
        <v>103</v>
      </c>
      <c r="G2241" t="s">
        <v>16</v>
      </c>
      <c r="H2241" s="2">
        <v>55</v>
      </c>
      <c r="I2241">
        <v>161</v>
      </c>
      <c r="J2241">
        <v>886</v>
      </c>
      <c r="K2241" s="4">
        <v>345</v>
      </c>
      <c r="L2241" t="s">
        <v>17</v>
      </c>
    </row>
    <row r="2242" spans="1:12" x14ac:dyDescent="0.35">
      <c r="A2242" t="s">
        <v>18</v>
      </c>
      <c r="B2242">
        <v>1128299</v>
      </c>
      <c r="C2242" s="1">
        <v>44364</v>
      </c>
      <c r="D2242" t="s">
        <v>19</v>
      </c>
      <c r="E2242" t="s">
        <v>20</v>
      </c>
      <c r="F2242" t="s">
        <v>21</v>
      </c>
      <c r="G2242" t="s">
        <v>56</v>
      </c>
      <c r="H2242" s="2">
        <v>82</v>
      </c>
      <c r="I2242">
        <v>161</v>
      </c>
      <c r="J2242" s="3">
        <v>1320</v>
      </c>
      <c r="K2242" s="4">
        <v>726</v>
      </c>
      <c r="L2242" t="s">
        <v>17</v>
      </c>
    </row>
    <row r="2243" spans="1:12" x14ac:dyDescent="0.35">
      <c r="A2243" t="s">
        <v>42</v>
      </c>
      <c r="B2243">
        <v>1128299</v>
      </c>
      <c r="C2243" s="1">
        <v>44431</v>
      </c>
      <c r="D2243" t="s">
        <v>48</v>
      </c>
      <c r="E2243" t="s">
        <v>123</v>
      </c>
      <c r="F2243" t="s">
        <v>124</v>
      </c>
      <c r="G2243" t="s">
        <v>39</v>
      </c>
      <c r="H2243" s="2">
        <v>57</v>
      </c>
      <c r="I2243">
        <v>161</v>
      </c>
      <c r="J2243">
        <v>918</v>
      </c>
      <c r="K2243" s="4">
        <v>459</v>
      </c>
      <c r="L2243" t="s">
        <v>17</v>
      </c>
    </row>
    <row r="2244" spans="1:12" x14ac:dyDescent="0.35">
      <c r="A2244" t="s">
        <v>42</v>
      </c>
      <c r="B2244">
        <v>1128299</v>
      </c>
      <c r="C2244" s="1">
        <v>44463</v>
      </c>
      <c r="D2244" t="s">
        <v>48</v>
      </c>
      <c r="E2244" t="s">
        <v>123</v>
      </c>
      <c r="F2244" t="s">
        <v>124</v>
      </c>
      <c r="G2244" t="s">
        <v>39</v>
      </c>
      <c r="H2244" s="2">
        <v>45</v>
      </c>
      <c r="I2244">
        <v>161</v>
      </c>
      <c r="J2244">
        <v>725</v>
      </c>
      <c r="K2244" s="4">
        <v>384</v>
      </c>
      <c r="L2244" t="s">
        <v>17</v>
      </c>
    </row>
    <row r="2245" spans="1:12" x14ac:dyDescent="0.35">
      <c r="A2245" t="s">
        <v>18</v>
      </c>
      <c r="B2245">
        <v>1185732</v>
      </c>
      <c r="C2245" s="1">
        <v>44539</v>
      </c>
      <c r="D2245" t="s">
        <v>33</v>
      </c>
      <c r="E2245" t="s">
        <v>52</v>
      </c>
      <c r="F2245" t="s">
        <v>53</v>
      </c>
      <c r="G2245" t="s">
        <v>32</v>
      </c>
      <c r="H2245" s="2">
        <v>59</v>
      </c>
      <c r="I2245">
        <v>161</v>
      </c>
      <c r="J2245">
        <v>950</v>
      </c>
      <c r="K2245" s="4">
        <v>494</v>
      </c>
      <c r="L2245" t="s">
        <v>17</v>
      </c>
    </row>
    <row r="2246" spans="1:12" x14ac:dyDescent="0.35">
      <c r="A2246" t="s">
        <v>23</v>
      </c>
      <c r="B2246">
        <v>1185732</v>
      </c>
      <c r="C2246" s="1">
        <v>44422</v>
      </c>
      <c r="D2246" t="s">
        <v>43</v>
      </c>
      <c r="E2246" t="s">
        <v>112</v>
      </c>
      <c r="F2246" t="s">
        <v>113</v>
      </c>
      <c r="G2246" t="s">
        <v>26</v>
      </c>
      <c r="H2246" s="2">
        <v>50</v>
      </c>
      <c r="I2246">
        <v>161</v>
      </c>
      <c r="J2246">
        <v>805</v>
      </c>
      <c r="K2246" s="4">
        <v>354</v>
      </c>
      <c r="L2246" t="s">
        <v>17</v>
      </c>
    </row>
    <row r="2247" spans="1:12" x14ac:dyDescent="0.35">
      <c r="A2247" t="s">
        <v>63</v>
      </c>
      <c r="B2247">
        <v>1189833</v>
      </c>
      <c r="C2247" s="1">
        <v>44265</v>
      </c>
      <c r="D2247" t="s">
        <v>48</v>
      </c>
      <c r="E2247" t="s">
        <v>66</v>
      </c>
      <c r="F2247" t="s">
        <v>67</v>
      </c>
      <c r="G2247" t="s">
        <v>56</v>
      </c>
      <c r="H2247" s="2">
        <v>41</v>
      </c>
      <c r="I2247">
        <v>160</v>
      </c>
      <c r="J2247">
        <v>656</v>
      </c>
      <c r="K2247" s="4">
        <v>321</v>
      </c>
      <c r="L2247" t="s">
        <v>17</v>
      </c>
    </row>
    <row r="2248" spans="1:12" x14ac:dyDescent="0.35">
      <c r="A2248" t="s">
        <v>18</v>
      </c>
      <c r="B2248">
        <v>1128299</v>
      </c>
      <c r="C2248" s="1">
        <v>43844</v>
      </c>
      <c r="D2248" t="s">
        <v>48</v>
      </c>
      <c r="E2248" t="s">
        <v>116</v>
      </c>
      <c r="F2248" t="s">
        <v>117</v>
      </c>
      <c r="G2248" t="s">
        <v>26</v>
      </c>
      <c r="H2248" s="2">
        <v>43</v>
      </c>
      <c r="I2248">
        <v>160</v>
      </c>
      <c r="J2248">
        <v>688</v>
      </c>
      <c r="K2248" s="4">
        <v>378</v>
      </c>
      <c r="L2248" t="s">
        <v>17</v>
      </c>
    </row>
    <row r="2249" spans="1:12" x14ac:dyDescent="0.35">
      <c r="A2249" t="s">
        <v>18</v>
      </c>
      <c r="B2249">
        <v>1128299</v>
      </c>
      <c r="C2249" s="1">
        <v>43995</v>
      </c>
      <c r="D2249" t="s">
        <v>48</v>
      </c>
      <c r="E2249" t="s">
        <v>97</v>
      </c>
      <c r="F2249" t="s">
        <v>98</v>
      </c>
      <c r="G2249" t="s">
        <v>26</v>
      </c>
      <c r="H2249" s="2">
        <v>68</v>
      </c>
      <c r="I2249">
        <v>160</v>
      </c>
      <c r="J2249" s="3">
        <v>1088</v>
      </c>
      <c r="K2249" s="4">
        <v>479</v>
      </c>
      <c r="L2249" t="s">
        <v>17</v>
      </c>
    </row>
    <row r="2250" spans="1:12" x14ac:dyDescent="0.35">
      <c r="A2250" t="s">
        <v>42</v>
      </c>
      <c r="B2250">
        <v>1185732</v>
      </c>
      <c r="C2250" s="1">
        <v>44157</v>
      </c>
      <c r="D2250" t="s">
        <v>33</v>
      </c>
      <c r="E2250" t="s">
        <v>104</v>
      </c>
      <c r="F2250" t="s">
        <v>105</v>
      </c>
      <c r="G2250" t="s">
        <v>26</v>
      </c>
      <c r="H2250" s="2">
        <v>49</v>
      </c>
      <c r="I2250">
        <v>160</v>
      </c>
      <c r="J2250">
        <v>784</v>
      </c>
      <c r="K2250" s="4">
        <v>368</v>
      </c>
      <c r="L2250" t="s">
        <v>17</v>
      </c>
    </row>
    <row r="2251" spans="1:12" x14ac:dyDescent="0.35">
      <c r="A2251" t="s">
        <v>63</v>
      </c>
      <c r="B2251">
        <v>1189833</v>
      </c>
      <c r="C2251" s="1">
        <v>44247</v>
      </c>
      <c r="D2251" t="s">
        <v>33</v>
      </c>
      <c r="E2251" t="s">
        <v>131</v>
      </c>
      <c r="F2251" t="s">
        <v>132</v>
      </c>
      <c r="G2251" t="s">
        <v>26</v>
      </c>
      <c r="H2251" s="2">
        <v>44</v>
      </c>
      <c r="I2251">
        <v>160</v>
      </c>
      <c r="J2251">
        <v>704</v>
      </c>
      <c r="K2251" s="4">
        <v>394</v>
      </c>
      <c r="L2251" t="s">
        <v>17</v>
      </c>
    </row>
    <row r="2252" spans="1:12" x14ac:dyDescent="0.35">
      <c r="A2252" t="s">
        <v>63</v>
      </c>
      <c r="B2252">
        <v>1189833</v>
      </c>
      <c r="C2252" s="1">
        <v>44248</v>
      </c>
      <c r="D2252" t="s">
        <v>33</v>
      </c>
      <c r="E2252" t="s">
        <v>131</v>
      </c>
      <c r="F2252" t="s">
        <v>132</v>
      </c>
      <c r="G2252" t="s">
        <v>39</v>
      </c>
      <c r="H2252" s="2">
        <v>49</v>
      </c>
      <c r="I2252">
        <v>160</v>
      </c>
      <c r="J2252">
        <v>784</v>
      </c>
      <c r="K2252" s="4">
        <v>337</v>
      </c>
      <c r="L2252" t="s">
        <v>17</v>
      </c>
    </row>
    <row r="2253" spans="1:12" x14ac:dyDescent="0.35">
      <c r="A2253" t="s">
        <v>51</v>
      </c>
      <c r="B2253">
        <v>1185732</v>
      </c>
      <c r="C2253" s="1">
        <v>44336</v>
      </c>
      <c r="D2253" t="s">
        <v>48</v>
      </c>
      <c r="E2253" t="s">
        <v>137</v>
      </c>
      <c r="F2253" t="s">
        <v>138</v>
      </c>
      <c r="G2253" t="s">
        <v>26</v>
      </c>
      <c r="H2253" s="2">
        <v>59</v>
      </c>
      <c r="I2253">
        <v>160</v>
      </c>
      <c r="J2253">
        <v>944</v>
      </c>
      <c r="K2253" s="4">
        <v>472</v>
      </c>
      <c r="L2253" t="s">
        <v>17</v>
      </c>
    </row>
    <row r="2254" spans="1:12" x14ac:dyDescent="0.35">
      <c r="A2254" t="s">
        <v>23</v>
      </c>
      <c r="B2254">
        <v>1128299</v>
      </c>
      <c r="C2254" s="1">
        <v>44271</v>
      </c>
      <c r="D2254" t="s">
        <v>13</v>
      </c>
      <c r="E2254" t="s">
        <v>14</v>
      </c>
      <c r="F2254" t="s">
        <v>15</v>
      </c>
      <c r="G2254" t="s">
        <v>26</v>
      </c>
      <c r="H2254" s="2">
        <v>46</v>
      </c>
      <c r="I2254">
        <v>160</v>
      </c>
      <c r="J2254">
        <v>736</v>
      </c>
      <c r="K2254" s="4">
        <v>302</v>
      </c>
      <c r="L2254" t="s">
        <v>17</v>
      </c>
    </row>
    <row r="2255" spans="1:12" x14ac:dyDescent="0.35">
      <c r="A2255" t="s">
        <v>18</v>
      </c>
      <c r="B2255">
        <v>1185732</v>
      </c>
      <c r="C2255" s="1">
        <v>44324</v>
      </c>
      <c r="D2255" t="s">
        <v>43</v>
      </c>
      <c r="E2255" t="s">
        <v>44</v>
      </c>
      <c r="F2255" t="s">
        <v>101</v>
      </c>
      <c r="G2255" t="s">
        <v>32</v>
      </c>
      <c r="H2255" s="2">
        <v>49</v>
      </c>
      <c r="I2255">
        <v>160</v>
      </c>
      <c r="J2255">
        <v>784</v>
      </c>
      <c r="K2255" s="4">
        <v>282</v>
      </c>
      <c r="L2255" t="s">
        <v>17</v>
      </c>
    </row>
    <row r="2256" spans="1:12" x14ac:dyDescent="0.35">
      <c r="A2256" t="s">
        <v>23</v>
      </c>
      <c r="B2256">
        <v>1128299</v>
      </c>
      <c r="C2256" s="1">
        <v>44553</v>
      </c>
      <c r="D2256" t="s">
        <v>13</v>
      </c>
      <c r="E2256" t="s">
        <v>99</v>
      </c>
      <c r="F2256" t="s">
        <v>100</v>
      </c>
      <c r="G2256" t="s">
        <v>56</v>
      </c>
      <c r="H2256" s="2">
        <v>67</v>
      </c>
      <c r="I2256">
        <v>160</v>
      </c>
      <c r="J2256" s="3">
        <v>1072</v>
      </c>
      <c r="K2256" s="4">
        <v>536</v>
      </c>
      <c r="L2256" t="s">
        <v>17</v>
      </c>
    </row>
    <row r="2257" spans="1:12" x14ac:dyDescent="0.35">
      <c r="A2257" t="s">
        <v>42</v>
      </c>
      <c r="B2257">
        <v>1185732</v>
      </c>
      <c r="C2257" s="1">
        <v>44394</v>
      </c>
      <c r="D2257" t="s">
        <v>33</v>
      </c>
      <c r="E2257" t="s">
        <v>34</v>
      </c>
      <c r="F2257" t="s">
        <v>35</v>
      </c>
      <c r="G2257" t="s">
        <v>16</v>
      </c>
      <c r="H2257" s="2">
        <v>41</v>
      </c>
      <c r="I2257">
        <v>160</v>
      </c>
      <c r="J2257">
        <v>656</v>
      </c>
      <c r="K2257" s="4">
        <v>400</v>
      </c>
      <c r="L2257" t="s">
        <v>17</v>
      </c>
    </row>
    <row r="2258" spans="1:12" x14ac:dyDescent="0.35">
      <c r="A2258" t="s">
        <v>18</v>
      </c>
      <c r="B2258">
        <v>1185732</v>
      </c>
      <c r="C2258" s="1">
        <v>44387</v>
      </c>
      <c r="D2258" t="s">
        <v>48</v>
      </c>
      <c r="E2258" t="s">
        <v>49</v>
      </c>
      <c r="F2258" t="s">
        <v>50</v>
      </c>
      <c r="G2258" t="s">
        <v>39</v>
      </c>
      <c r="H2258" s="2">
        <v>29</v>
      </c>
      <c r="I2258">
        <v>160</v>
      </c>
      <c r="J2258">
        <v>464</v>
      </c>
      <c r="K2258" s="4">
        <v>223</v>
      </c>
      <c r="L2258" t="s">
        <v>17</v>
      </c>
    </row>
    <row r="2259" spans="1:12" x14ac:dyDescent="0.35">
      <c r="A2259" t="s">
        <v>18</v>
      </c>
      <c r="B2259">
        <v>1128299</v>
      </c>
      <c r="C2259" s="1">
        <v>44334</v>
      </c>
      <c r="D2259" t="s">
        <v>19</v>
      </c>
      <c r="E2259" t="s">
        <v>20</v>
      </c>
      <c r="F2259" t="s">
        <v>21</v>
      </c>
      <c r="G2259" t="s">
        <v>26</v>
      </c>
      <c r="H2259" s="2">
        <v>43</v>
      </c>
      <c r="I2259">
        <v>160</v>
      </c>
      <c r="J2259">
        <v>688</v>
      </c>
      <c r="K2259" s="4">
        <v>365</v>
      </c>
      <c r="L2259" t="s">
        <v>17</v>
      </c>
    </row>
    <row r="2260" spans="1:12" x14ac:dyDescent="0.35">
      <c r="A2260" t="s">
        <v>63</v>
      </c>
      <c r="B2260">
        <v>1128299</v>
      </c>
      <c r="C2260" s="1">
        <v>44402</v>
      </c>
      <c r="D2260" t="s">
        <v>48</v>
      </c>
      <c r="E2260" t="s">
        <v>114</v>
      </c>
      <c r="F2260" t="s">
        <v>115</v>
      </c>
      <c r="G2260" t="s">
        <v>32</v>
      </c>
      <c r="H2260" s="2">
        <v>58</v>
      </c>
      <c r="I2260">
        <v>160</v>
      </c>
      <c r="J2260">
        <v>928</v>
      </c>
      <c r="K2260" s="4">
        <v>445</v>
      </c>
      <c r="L2260" t="s">
        <v>17</v>
      </c>
    </row>
    <row r="2261" spans="1:12" x14ac:dyDescent="0.35">
      <c r="A2261" t="s">
        <v>63</v>
      </c>
      <c r="B2261">
        <v>1128299</v>
      </c>
      <c r="C2261" s="1">
        <v>44526</v>
      </c>
      <c r="D2261" t="s">
        <v>48</v>
      </c>
      <c r="E2261" t="s">
        <v>114</v>
      </c>
      <c r="F2261" t="s">
        <v>115</v>
      </c>
      <c r="G2261" t="s">
        <v>26</v>
      </c>
      <c r="H2261" s="2">
        <v>58</v>
      </c>
      <c r="I2261">
        <v>160</v>
      </c>
      <c r="J2261">
        <v>928</v>
      </c>
      <c r="K2261" s="4">
        <v>455</v>
      </c>
      <c r="L2261" t="s">
        <v>17</v>
      </c>
    </row>
    <row r="2262" spans="1:12" x14ac:dyDescent="0.35">
      <c r="A2262" t="s">
        <v>23</v>
      </c>
      <c r="B2262">
        <v>1128299</v>
      </c>
      <c r="C2262" s="1">
        <v>44330</v>
      </c>
      <c r="D2262" t="s">
        <v>13</v>
      </c>
      <c r="E2262" t="s">
        <v>57</v>
      </c>
      <c r="F2262" t="s">
        <v>58</v>
      </c>
      <c r="G2262" t="s">
        <v>26</v>
      </c>
      <c r="H2262" s="2">
        <v>47</v>
      </c>
      <c r="I2262">
        <v>160</v>
      </c>
      <c r="J2262">
        <v>752</v>
      </c>
      <c r="K2262" s="4">
        <v>406</v>
      </c>
      <c r="L2262" t="s">
        <v>17</v>
      </c>
    </row>
    <row r="2263" spans="1:12" x14ac:dyDescent="0.35">
      <c r="A2263" t="s">
        <v>23</v>
      </c>
      <c r="B2263">
        <v>1185732</v>
      </c>
      <c r="C2263" s="1">
        <v>44473</v>
      </c>
      <c r="D2263" t="s">
        <v>13</v>
      </c>
      <c r="E2263" t="s">
        <v>77</v>
      </c>
      <c r="F2263" t="s">
        <v>78</v>
      </c>
      <c r="G2263" t="s">
        <v>56</v>
      </c>
      <c r="H2263" s="2">
        <v>34</v>
      </c>
      <c r="I2263">
        <v>160</v>
      </c>
      <c r="J2263">
        <v>544</v>
      </c>
      <c r="K2263" s="4">
        <v>294</v>
      </c>
      <c r="L2263" t="s">
        <v>17</v>
      </c>
    </row>
    <row r="2264" spans="1:12" x14ac:dyDescent="0.35">
      <c r="A2264" t="s">
        <v>12</v>
      </c>
      <c r="B2264">
        <v>1197831</v>
      </c>
      <c r="C2264" s="1">
        <v>44368</v>
      </c>
      <c r="D2264" t="s">
        <v>19</v>
      </c>
      <c r="E2264" t="s">
        <v>54</v>
      </c>
      <c r="F2264" t="s">
        <v>55</v>
      </c>
      <c r="G2264" t="s">
        <v>16</v>
      </c>
      <c r="H2264" s="2">
        <v>54</v>
      </c>
      <c r="I2264">
        <v>160</v>
      </c>
      <c r="J2264">
        <v>864</v>
      </c>
      <c r="K2264" s="4">
        <v>467</v>
      </c>
      <c r="L2264" t="s">
        <v>17</v>
      </c>
    </row>
    <row r="2265" spans="1:12" x14ac:dyDescent="0.35">
      <c r="A2265" t="s">
        <v>23</v>
      </c>
      <c r="B2265">
        <v>1185732</v>
      </c>
      <c r="C2265" s="1">
        <v>44385</v>
      </c>
      <c r="D2265" t="s">
        <v>33</v>
      </c>
      <c r="E2265" t="s">
        <v>89</v>
      </c>
      <c r="F2265" t="s">
        <v>90</v>
      </c>
      <c r="G2265" t="s">
        <v>26</v>
      </c>
      <c r="H2265" s="2">
        <v>48</v>
      </c>
      <c r="I2265">
        <v>160</v>
      </c>
      <c r="J2265">
        <v>768</v>
      </c>
      <c r="K2265" s="4">
        <v>376</v>
      </c>
      <c r="L2265" t="s">
        <v>17</v>
      </c>
    </row>
    <row r="2266" spans="1:12" x14ac:dyDescent="0.35">
      <c r="A2266" t="s">
        <v>18</v>
      </c>
      <c r="B2266">
        <v>1185732</v>
      </c>
      <c r="C2266" s="1">
        <v>44350</v>
      </c>
      <c r="D2266" t="s">
        <v>33</v>
      </c>
      <c r="E2266" t="s">
        <v>40</v>
      </c>
      <c r="F2266" t="s">
        <v>41</v>
      </c>
      <c r="G2266" t="s">
        <v>26</v>
      </c>
      <c r="H2266" s="2">
        <v>32</v>
      </c>
      <c r="I2266">
        <v>160</v>
      </c>
      <c r="J2266">
        <v>512</v>
      </c>
      <c r="K2266" s="4">
        <v>225</v>
      </c>
      <c r="L2266" t="s">
        <v>17</v>
      </c>
    </row>
    <row r="2267" spans="1:12" x14ac:dyDescent="0.35">
      <c r="A2267" t="s">
        <v>18</v>
      </c>
      <c r="B2267">
        <v>1185732</v>
      </c>
      <c r="C2267" s="1">
        <v>44237</v>
      </c>
      <c r="D2267" t="s">
        <v>33</v>
      </c>
      <c r="E2267" t="s">
        <v>40</v>
      </c>
      <c r="F2267" t="s">
        <v>41</v>
      </c>
      <c r="G2267" t="s">
        <v>26</v>
      </c>
      <c r="H2267" s="2">
        <v>34</v>
      </c>
      <c r="I2267">
        <v>160</v>
      </c>
      <c r="J2267">
        <v>544</v>
      </c>
      <c r="K2267" s="4">
        <v>299</v>
      </c>
      <c r="L2267" t="s">
        <v>17</v>
      </c>
    </row>
    <row r="2268" spans="1:12" x14ac:dyDescent="0.35">
      <c r="A2268" t="s">
        <v>42</v>
      </c>
      <c r="B2268">
        <v>1185732</v>
      </c>
      <c r="C2268" s="1">
        <v>44329</v>
      </c>
      <c r="D2268" t="s">
        <v>43</v>
      </c>
      <c r="E2268" t="s">
        <v>95</v>
      </c>
      <c r="F2268" t="s">
        <v>96</v>
      </c>
      <c r="G2268" t="s">
        <v>26</v>
      </c>
      <c r="H2268" s="2">
        <v>51</v>
      </c>
      <c r="I2268">
        <v>160</v>
      </c>
      <c r="J2268">
        <v>816</v>
      </c>
      <c r="K2268" s="4">
        <v>392</v>
      </c>
      <c r="L2268" t="s">
        <v>17</v>
      </c>
    </row>
    <row r="2269" spans="1:12" x14ac:dyDescent="0.35">
      <c r="A2269" t="s">
        <v>23</v>
      </c>
      <c r="B2269">
        <v>1197831</v>
      </c>
      <c r="C2269" s="1">
        <v>44041</v>
      </c>
      <c r="D2269" t="s">
        <v>19</v>
      </c>
      <c r="E2269" t="s">
        <v>59</v>
      </c>
      <c r="F2269" t="s">
        <v>60</v>
      </c>
      <c r="G2269" t="s">
        <v>70</v>
      </c>
      <c r="H2269" s="2">
        <v>28</v>
      </c>
      <c r="I2269">
        <v>160</v>
      </c>
      <c r="J2269">
        <v>448</v>
      </c>
      <c r="K2269" s="4">
        <v>148</v>
      </c>
      <c r="L2269" t="s">
        <v>27</v>
      </c>
    </row>
    <row r="2270" spans="1:12" x14ac:dyDescent="0.35">
      <c r="A2270" t="s">
        <v>23</v>
      </c>
      <c r="B2270">
        <v>1197831</v>
      </c>
      <c r="C2270" s="1">
        <v>44482</v>
      </c>
      <c r="D2270" t="s">
        <v>19</v>
      </c>
      <c r="E2270" t="s">
        <v>59</v>
      </c>
      <c r="F2270" t="s">
        <v>68</v>
      </c>
      <c r="G2270" t="s">
        <v>56</v>
      </c>
      <c r="H2270" s="2">
        <v>50</v>
      </c>
      <c r="I2270">
        <v>160</v>
      </c>
      <c r="J2270">
        <v>800</v>
      </c>
      <c r="K2270" s="4">
        <v>416</v>
      </c>
      <c r="L2270" t="s">
        <v>27</v>
      </c>
    </row>
    <row r="2271" spans="1:12" x14ac:dyDescent="0.35">
      <c r="A2271" t="s">
        <v>23</v>
      </c>
      <c r="B2271">
        <v>1197831</v>
      </c>
      <c r="C2271" s="1">
        <v>44335</v>
      </c>
      <c r="D2271" t="s">
        <v>19</v>
      </c>
      <c r="E2271" t="s">
        <v>74</v>
      </c>
      <c r="F2271" t="s">
        <v>75</v>
      </c>
      <c r="G2271" t="s">
        <v>70</v>
      </c>
      <c r="H2271" s="2">
        <v>38</v>
      </c>
      <c r="I2271">
        <v>160</v>
      </c>
      <c r="J2271">
        <v>608</v>
      </c>
      <c r="K2271" s="4">
        <v>286</v>
      </c>
      <c r="L2271" t="s">
        <v>27</v>
      </c>
    </row>
    <row r="2272" spans="1:12" x14ac:dyDescent="0.35">
      <c r="A2272" t="s">
        <v>42</v>
      </c>
      <c r="B2272">
        <v>1128299</v>
      </c>
      <c r="C2272" s="1">
        <v>44277</v>
      </c>
      <c r="D2272" t="s">
        <v>48</v>
      </c>
      <c r="E2272" t="s">
        <v>123</v>
      </c>
      <c r="F2272" t="s">
        <v>124</v>
      </c>
      <c r="G2272" t="s">
        <v>26</v>
      </c>
      <c r="H2272" s="2">
        <v>29</v>
      </c>
      <c r="I2272">
        <v>160</v>
      </c>
      <c r="J2272">
        <v>464</v>
      </c>
      <c r="K2272" s="4">
        <v>186</v>
      </c>
      <c r="L2272" t="s">
        <v>27</v>
      </c>
    </row>
    <row r="2273" spans="1:12" x14ac:dyDescent="0.35">
      <c r="A2273" t="s">
        <v>63</v>
      </c>
      <c r="B2273">
        <v>1128299</v>
      </c>
      <c r="C2273" s="1">
        <v>44402</v>
      </c>
      <c r="D2273" t="s">
        <v>48</v>
      </c>
      <c r="E2273" t="s">
        <v>114</v>
      </c>
      <c r="F2273" t="s">
        <v>115</v>
      </c>
      <c r="G2273" t="s">
        <v>70</v>
      </c>
      <c r="H2273" s="2">
        <v>40</v>
      </c>
      <c r="I2273">
        <v>160</v>
      </c>
      <c r="J2273">
        <v>640</v>
      </c>
      <c r="K2273" s="4">
        <v>205</v>
      </c>
      <c r="L2273" t="s">
        <v>27</v>
      </c>
    </row>
    <row r="2274" spans="1:12" x14ac:dyDescent="0.35">
      <c r="A2274" t="s">
        <v>63</v>
      </c>
      <c r="B2274">
        <v>1128299</v>
      </c>
      <c r="C2274" s="1">
        <v>44402</v>
      </c>
      <c r="D2274" t="s">
        <v>48</v>
      </c>
      <c r="E2274" t="s">
        <v>114</v>
      </c>
      <c r="F2274" t="s">
        <v>115</v>
      </c>
      <c r="G2274" t="s">
        <v>16</v>
      </c>
      <c r="H2274" s="2">
        <v>49</v>
      </c>
      <c r="I2274">
        <v>160</v>
      </c>
      <c r="J2274">
        <v>784</v>
      </c>
      <c r="K2274" s="4">
        <v>251</v>
      </c>
      <c r="L2274" t="s">
        <v>27</v>
      </c>
    </row>
    <row r="2275" spans="1:12" x14ac:dyDescent="0.35">
      <c r="A2275" t="s">
        <v>23</v>
      </c>
      <c r="B2275">
        <v>1128299</v>
      </c>
      <c r="C2275" s="1">
        <v>44555</v>
      </c>
      <c r="D2275" t="s">
        <v>48</v>
      </c>
      <c r="E2275" t="s">
        <v>114</v>
      </c>
      <c r="F2275" t="s">
        <v>115</v>
      </c>
      <c r="G2275" t="s">
        <v>56</v>
      </c>
      <c r="H2275" s="2">
        <v>45</v>
      </c>
      <c r="I2275">
        <v>160</v>
      </c>
      <c r="J2275">
        <v>720</v>
      </c>
      <c r="K2275" s="4">
        <v>288</v>
      </c>
      <c r="L2275" t="s">
        <v>27</v>
      </c>
    </row>
    <row r="2276" spans="1:12" x14ac:dyDescent="0.35">
      <c r="A2276" t="s">
        <v>42</v>
      </c>
      <c r="B2276">
        <v>1128299</v>
      </c>
      <c r="C2276" s="1">
        <v>44542</v>
      </c>
      <c r="D2276" t="s">
        <v>13</v>
      </c>
      <c r="E2276" t="s">
        <v>57</v>
      </c>
      <c r="F2276" t="s">
        <v>58</v>
      </c>
      <c r="G2276" t="s">
        <v>16</v>
      </c>
      <c r="H2276" s="2">
        <v>47</v>
      </c>
      <c r="I2276">
        <v>160</v>
      </c>
      <c r="J2276">
        <v>752</v>
      </c>
      <c r="K2276" s="4">
        <v>226</v>
      </c>
      <c r="L2276" t="s">
        <v>27</v>
      </c>
    </row>
    <row r="2277" spans="1:12" x14ac:dyDescent="0.35">
      <c r="A2277" t="s">
        <v>42</v>
      </c>
      <c r="B2277">
        <v>1185732</v>
      </c>
      <c r="C2277" s="1">
        <v>44245</v>
      </c>
      <c r="D2277" t="s">
        <v>19</v>
      </c>
      <c r="E2277" t="s">
        <v>37</v>
      </c>
      <c r="F2277" t="s">
        <v>38</v>
      </c>
      <c r="G2277" t="s">
        <v>16</v>
      </c>
      <c r="H2277" s="2">
        <v>20</v>
      </c>
      <c r="I2277">
        <v>160</v>
      </c>
      <c r="J2277">
        <v>320</v>
      </c>
      <c r="K2277" s="4">
        <v>182</v>
      </c>
      <c r="L2277" t="s">
        <v>27</v>
      </c>
    </row>
    <row r="2278" spans="1:12" x14ac:dyDescent="0.35">
      <c r="A2278" t="s">
        <v>12</v>
      </c>
      <c r="B2278">
        <v>1185732</v>
      </c>
      <c r="C2278" s="1">
        <v>44455</v>
      </c>
      <c r="D2278" t="s">
        <v>19</v>
      </c>
      <c r="E2278" t="s">
        <v>37</v>
      </c>
      <c r="F2278" t="s">
        <v>38</v>
      </c>
      <c r="G2278" t="s">
        <v>16</v>
      </c>
      <c r="H2278" s="2">
        <v>26</v>
      </c>
      <c r="I2278">
        <v>160</v>
      </c>
      <c r="J2278">
        <v>416</v>
      </c>
      <c r="K2278" s="4">
        <v>233</v>
      </c>
      <c r="L2278" t="s">
        <v>27</v>
      </c>
    </row>
    <row r="2279" spans="1:12" x14ac:dyDescent="0.35">
      <c r="A2279" t="s">
        <v>23</v>
      </c>
      <c r="B2279">
        <v>1185732</v>
      </c>
      <c r="C2279" s="1">
        <v>44536</v>
      </c>
      <c r="D2279" t="s">
        <v>43</v>
      </c>
      <c r="E2279" t="s">
        <v>110</v>
      </c>
      <c r="F2279" t="s">
        <v>111</v>
      </c>
      <c r="G2279" t="s">
        <v>26</v>
      </c>
      <c r="H2279" s="2">
        <v>48</v>
      </c>
      <c r="I2279">
        <v>160</v>
      </c>
      <c r="J2279">
        <v>768</v>
      </c>
      <c r="K2279" s="4">
        <v>300</v>
      </c>
      <c r="L2279" t="s">
        <v>27</v>
      </c>
    </row>
    <row r="2280" spans="1:12" x14ac:dyDescent="0.35">
      <c r="A2280" t="s">
        <v>42</v>
      </c>
      <c r="B2280">
        <v>1185732</v>
      </c>
      <c r="C2280" s="1">
        <v>44353</v>
      </c>
      <c r="D2280" t="s">
        <v>33</v>
      </c>
      <c r="E2280" t="s">
        <v>118</v>
      </c>
      <c r="F2280" t="s">
        <v>119</v>
      </c>
      <c r="G2280" t="s">
        <v>26</v>
      </c>
      <c r="H2280" s="2">
        <v>44</v>
      </c>
      <c r="I2280">
        <v>158</v>
      </c>
      <c r="J2280">
        <v>695</v>
      </c>
      <c r="K2280" s="4">
        <v>355</v>
      </c>
      <c r="L2280" t="s">
        <v>17</v>
      </c>
    </row>
    <row r="2281" spans="1:12" x14ac:dyDescent="0.35">
      <c r="A2281" t="s">
        <v>23</v>
      </c>
      <c r="B2281">
        <v>1197831</v>
      </c>
      <c r="C2281" s="1">
        <v>44421</v>
      </c>
      <c r="D2281" t="s">
        <v>33</v>
      </c>
      <c r="E2281" t="s">
        <v>118</v>
      </c>
      <c r="F2281" t="s">
        <v>119</v>
      </c>
      <c r="G2281" t="s">
        <v>32</v>
      </c>
      <c r="H2281" s="2">
        <v>27</v>
      </c>
      <c r="I2281">
        <v>158</v>
      </c>
      <c r="J2281">
        <v>427</v>
      </c>
      <c r="K2281" s="4">
        <v>175</v>
      </c>
      <c r="L2281" t="s">
        <v>17</v>
      </c>
    </row>
    <row r="2282" spans="1:12" x14ac:dyDescent="0.35">
      <c r="A2282" t="s">
        <v>23</v>
      </c>
      <c r="B2282">
        <v>1197831</v>
      </c>
      <c r="C2282" s="1">
        <v>44489</v>
      </c>
      <c r="D2282" t="s">
        <v>19</v>
      </c>
      <c r="E2282" t="s">
        <v>59</v>
      </c>
      <c r="F2282" t="s">
        <v>68</v>
      </c>
      <c r="G2282" t="s">
        <v>70</v>
      </c>
      <c r="H2282" s="2">
        <v>58</v>
      </c>
      <c r="I2282">
        <v>158</v>
      </c>
      <c r="J2282">
        <v>916</v>
      </c>
      <c r="K2282" s="4">
        <v>458</v>
      </c>
      <c r="L2282" t="s">
        <v>17</v>
      </c>
    </row>
    <row r="2283" spans="1:12" x14ac:dyDescent="0.35">
      <c r="A2283" t="s">
        <v>42</v>
      </c>
      <c r="B2283">
        <v>1185732</v>
      </c>
      <c r="C2283" s="1">
        <v>44533</v>
      </c>
      <c r="D2283" t="s">
        <v>43</v>
      </c>
      <c r="E2283" t="s">
        <v>135</v>
      </c>
      <c r="F2283" t="s">
        <v>136</v>
      </c>
      <c r="G2283" t="s">
        <v>26</v>
      </c>
      <c r="H2283" s="2">
        <v>60</v>
      </c>
      <c r="I2283">
        <v>158</v>
      </c>
      <c r="J2283">
        <v>948</v>
      </c>
      <c r="K2283" s="4">
        <v>626</v>
      </c>
      <c r="L2283" t="s">
        <v>17</v>
      </c>
    </row>
    <row r="2284" spans="1:12" x14ac:dyDescent="0.35">
      <c r="A2284" t="s">
        <v>18</v>
      </c>
      <c r="B2284">
        <v>1128299</v>
      </c>
      <c r="C2284" s="1">
        <v>43838</v>
      </c>
      <c r="D2284" t="s">
        <v>48</v>
      </c>
      <c r="E2284" t="s">
        <v>116</v>
      </c>
      <c r="F2284" t="s">
        <v>117</v>
      </c>
      <c r="G2284" t="s">
        <v>26</v>
      </c>
      <c r="H2284" s="2">
        <v>34</v>
      </c>
      <c r="I2284">
        <v>158</v>
      </c>
      <c r="J2284">
        <v>537</v>
      </c>
      <c r="K2284" s="4">
        <v>269</v>
      </c>
      <c r="L2284" t="s">
        <v>17</v>
      </c>
    </row>
    <row r="2285" spans="1:12" x14ac:dyDescent="0.35">
      <c r="A2285" t="s">
        <v>63</v>
      </c>
      <c r="B2285">
        <v>1189833</v>
      </c>
      <c r="C2285" s="1">
        <v>44199</v>
      </c>
      <c r="D2285" t="s">
        <v>33</v>
      </c>
      <c r="E2285" t="s">
        <v>131</v>
      </c>
      <c r="F2285" t="s">
        <v>132</v>
      </c>
      <c r="G2285" t="s">
        <v>26</v>
      </c>
      <c r="H2285" s="2">
        <v>34</v>
      </c>
      <c r="I2285">
        <v>158</v>
      </c>
      <c r="J2285">
        <v>537</v>
      </c>
      <c r="K2285" s="4">
        <v>306</v>
      </c>
      <c r="L2285" t="s">
        <v>17</v>
      </c>
    </row>
    <row r="2286" spans="1:12" x14ac:dyDescent="0.35">
      <c r="A2286" t="s">
        <v>23</v>
      </c>
      <c r="B2286">
        <v>1197831</v>
      </c>
      <c r="C2286" s="1">
        <v>44464</v>
      </c>
      <c r="D2286" t="s">
        <v>19</v>
      </c>
      <c r="E2286" t="s">
        <v>24</v>
      </c>
      <c r="F2286" t="s">
        <v>25</v>
      </c>
      <c r="G2286" t="s">
        <v>39</v>
      </c>
      <c r="H2286" s="2">
        <v>29</v>
      </c>
      <c r="I2286">
        <v>158</v>
      </c>
      <c r="J2286">
        <v>458</v>
      </c>
      <c r="K2286" s="4">
        <v>289</v>
      </c>
      <c r="L2286" t="s">
        <v>17</v>
      </c>
    </row>
    <row r="2287" spans="1:12" x14ac:dyDescent="0.35">
      <c r="A2287" t="s">
        <v>51</v>
      </c>
      <c r="B2287">
        <v>1185732</v>
      </c>
      <c r="C2287" s="1">
        <v>44511</v>
      </c>
      <c r="D2287" t="s">
        <v>43</v>
      </c>
      <c r="E2287" t="s">
        <v>122</v>
      </c>
      <c r="F2287" t="s">
        <v>86</v>
      </c>
      <c r="G2287" t="s">
        <v>26</v>
      </c>
      <c r="H2287" s="2">
        <v>54</v>
      </c>
      <c r="I2287">
        <v>158</v>
      </c>
      <c r="J2287">
        <v>853</v>
      </c>
      <c r="K2287" s="4">
        <v>401</v>
      </c>
      <c r="L2287" t="s">
        <v>17</v>
      </c>
    </row>
    <row r="2288" spans="1:12" x14ac:dyDescent="0.35">
      <c r="A2288" t="s">
        <v>42</v>
      </c>
      <c r="B2288">
        <v>1128299</v>
      </c>
      <c r="C2288" s="1">
        <v>44327</v>
      </c>
      <c r="D2288" t="s">
        <v>48</v>
      </c>
      <c r="E2288" t="s">
        <v>129</v>
      </c>
      <c r="F2288" t="s">
        <v>130</v>
      </c>
      <c r="G2288" t="s">
        <v>26</v>
      </c>
      <c r="H2288" s="2">
        <v>51</v>
      </c>
      <c r="I2288">
        <v>158</v>
      </c>
      <c r="J2288">
        <v>806</v>
      </c>
      <c r="K2288" s="4">
        <v>298</v>
      </c>
      <c r="L2288" t="s">
        <v>17</v>
      </c>
    </row>
    <row r="2289" spans="1:12" x14ac:dyDescent="0.35">
      <c r="A2289" t="s">
        <v>12</v>
      </c>
      <c r="B2289">
        <v>1128299</v>
      </c>
      <c r="C2289" s="1">
        <v>44510</v>
      </c>
      <c r="D2289" t="s">
        <v>48</v>
      </c>
      <c r="E2289" t="s">
        <v>129</v>
      </c>
      <c r="F2289" t="s">
        <v>130</v>
      </c>
      <c r="G2289" t="s">
        <v>26</v>
      </c>
      <c r="H2289" s="2">
        <v>51</v>
      </c>
      <c r="I2289">
        <v>158</v>
      </c>
      <c r="J2289">
        <v>806</v>
      </c>
      <c r="K2289" s="4">
        <v>298</v>
      </c>
      <c r="L2289" t="s">
        <v>17</v>
      </c>
    </row>
    <row r="2290" spans="1:12" x14ac:dyDescent="0.35">
      <c r="A2290" t="s">
        <v>23</v>
      </c>
      <c r="B2290">
        <v>1185732</v>
      </c>
      <c r="C2290" s="1">
        <v>44364</v>
      </c>
      <c r="D2290" t="s">
        <v>33</v>
      </c>
      <c r="E2290" t="s">
        <v>45</v>
      </c>
      <c r="F2290" t="s">
        <v>46</v>
      </c>
      <c r="G2290" t="s">
        <v>56</v>
      </c>
      <c r="H2290" s="2">
        <v>43</v>
      </c>
      <c r="I2290">
        <v>158</v>
      </c>
      <c r="J2290">
        <v>679</v>
      </c>
      <c r="K2290" s="4">
        <v>326</v>
      </c>
      <c r="L2290" t="s">
        <v>17</v>
      </c>
    </row>
    <row r="2291" spans="1:12" x14ac:dyDescent="0.35">
      <c r="A2291" t="s">
        <v>23</v>
      </c>
      <c r="B2291">
        <v>1185732</v>
      </c>
      <c r="C2291" s="1">
        <v>44392</v>
      </c>
      <c r="D2291" t="s">
        <v>33</v>
      </c>
      <c r="E2291" t="s">
        <v>45</v>
      </c>
      <c r="F2291" t="s">
        <v>46</v>
      </c>
      <c r="G2291" t="s">
        <v>56</v>
      </c>
      <c r="H2291" s="2">
        <v>47</v>
      </c>
      <c r="I2291">
        <v>158</v>
      </c>
      <c r="J2291">
        <v>743</v>
      </c>
      <c r="K2291" s="4">
        <v>334</v>
      </c>
      <c r="L2291" t="s">
        <v>17</v>
      </c>
    </row>
    <row r="2292" spans="1:12" x14ac:dyDescent="0.35">
      <c r="A2292" t="s">
        <v>18</v>
      </c>
      <c r="B2292">
        <v>1128299</v>
      </c>
      <c r="C2292" s="1">
        <v>44341</v>
      </c>
      <c r="D2292" t="s">
        <v>48</v>
      </c>
      <c r="E2292" t="s">
        <v>85</v>
      </c>
      <c r="F2292" t="s">
        <v>86</v>
      </c>
      <c r="G2292" t="s">
        <v>16</v>
      </c>
      <c r="H2292" s="2">
        <v>54</v>
      </c>
      <c r="I2292">
        <v>158</v>
      </c>
      <c r="J2292">
        <v>853</v>
      </c>
      <c r="K2292" s="4">
        <v>384</v>
      </c>
      <c r="L2292" t="s">
        <v>17</v>
      </c>
    </row>
    <row r="2293" spans="1:12" x14ac:dyDescent="0.35">
      <c r="A2293" t="s">
        <v>18</v>
      </c>
      <c r="B2293">
        <v>1128299</v>
      </c>
      <c r="C2293" s="1">
        <v>44371</v>
      </c>
      <c r="D2293" t="s">
        <v>48</v>
      </c>
      <c r="E2293" t="s">
        <v>85</v>
      </c>
      <c r="F2293" t="s">
        <v>86</v>
      </c>
      <c r="G2293" t="s">
        <v>56</v>
      </c>
      <c r="H2293" s="2">
        <v>74</v>
      </c>
      <c r="I2293">
        <v>158</v>
      </c>
      <c r="J2293" s="3">
        <v>1169</v>
      </c>
      <c r="K2293" s="4">
        <v>585</v>
      </c>
      <c r="L2293" t="s">
        <v>17</v>
      </c>
    </row>
    <row r="2294" spans="1:12" x14ac:dyDescent="0.35">
      <c r="A2294" t="s">
        <v>23</v>
      </c>
      <c r="B2294">
        <v>1185732</v>
      </c>
      <c r="C2294" s="1">
        <v>44257</v>
      </c>
      <c r="D2294" t="s">
        <v>13</v>
      </c>
      <c r="E2294" t="s">
        <v>77</v>
      </c>
      <c r="F2294" t="s">
        <v>78</v>
      </c>
      <c r="G2294" t="s">
        <v>70</v>
      </c>
      <c r="H2294" s="2">
        <v>37</v>
      </c>
      <c r="I2294">
        <v>158</v>
      </c>
      <c r="J2294">
        <v>585</v>
      </c>
      <c r="K2294" s="4">
        <v>263</v>
      </c>
      <c r="L2294" t="s">
        <v>17</v>
      </c>
    </row>
    <row r="2295" spans="1:12" x14ac:dyDescent="0.35">
      <c r="A2295" t="s">
        <v>51</v>
      </c>
      <c r="B2295">
        <v>1185732</v>
      </c>
      <c r="C2295" s="1">
        <v>44238</v>
      </c>
      <c r="D2295" t="s">
        <v>13</v>
      </c>
      <c r="E2295" t="s">
        <v>77</v>
      </c>
      <c r="F2295" t="s">
        <v>78</v>
      </c>
      <c r="G2295" t="s">
        <v>32</v>
      </c>
      <c r="H2295" s="2">
        <v>23</v>
      </c>
      <c r="I2295">
        <v>158</v>
      </c>
      <c r="J2295">
        <v>363</v>
      </c>
      <c r="K2295" s="4">
        <v>182</v>
      </c>
      <c r="L2295" t="s">
        <v>17</v>
      </c>
    </row>
    <row r="2296" spans="1:12" x14ac:dyDescent="0.35">
      <c r="A2296" t="s">
        <v>51</v>
      </c>
      <c r="B2296">
        <v>1185732</v>
      </c>
      <c r="C2296" s="1">
        <v>44418</v>
      </c>
      <c r="D2296" t="s">
        <v>33</v>
      </c>
      <c r="E2296" t="s">
        <v>52</v>
      </c>
      <c r="F2296" t="s">
        <v>53</v>
      </c>
      <c r="G2296" t="s">
        <v>56</v>
      </c>
      <c r="H2296" s="2">
        <v>41</v>
      </c>
      <c r="I2296">
        <v>158</v>
      </c>
      <c r="J2296">
        <v>648</v>
      </c>
      <c r="K2296" s="4">
        <v>330</v>
      </c>
      <c r="L2296" t="s">
        <v>17</v>
      </c>
    </row>
    <row r="2297" spans="1:12" x14ac:dyDescent="0.35">
      <c r="A2297" t="s">
        <v>42</v>
      </c>
      <c r="B2297">
        <v>1185732</v>
      </c>
      <c r="C2297" s="1">
        <v>44551</v>
      </c>
      <c r="D2297" t="s">
        <v>13</v>
      </c>
      <c r="E2297" t="s">
        <v>106</v>
      </c>
      <c r="F2297" t="s">
        <v>107</v>
      </c>
      <c r="G2297" t="s">
        <v>26</v>
      </c>
      <c r="H2297" s="2">
        <v>59</v>
      </c>
      <c r="I2297">
        <v>158</v>
      </c>
      <c r="J2297">
        <v>932</v>
      </c>
      <c r="K2297" s="4">
        <v>513</v>
      </c>
      <c r="L2297" t="s">
        <v>17</v>
      </c>
    </row>
    <row r="2298" spans="1:12" x14ac:dyDescent="0.35">
      <c r="A2298" t="s">
        <v>42</v>
      </c>
      <c r="B2298">
        <v>1185732</v>
      </c>
      <c r="C2298" s="1">
        <v>44216</v>
      </c>
      <c r="D2298" t="s">
        <v>13</v>
      </c>
      <c r="E2298" t="s">
        <v>106</v>
      </c>
      <c r="F2298" t="s">
        <v>107</v>
      </c>
      <c r="G2298" t="s">
        <v>32</v>
      </c>
      <c r="H2298" s="2">
        <v>18</v>
      </c>
      <c r="I2298">
        <v>158</v>
      </c>
      <c r="J2298">
        <v>284</v>
      </c>
      <c r="K2298" s="4">
        <v>156</v>
      </c>
      <c r="L2298" t="s">
        <v>17</v>
      </c>
    </row>
    <row r="2299" spans="1:12" x14ac:dyDescent="0.35">
      <c r="A2299" t="s">
        <v>42</v>
      </c>
      <c r="B2299">
        <v>1185732</v>
      </c>
      <c r="C2299" s="1">
        <v>44216</v>
      </c>
      <c r="D2299" t="s">
        <v>13</v>
      </c>
      <c r="E2299" t="s">
        <v>106</v>
      </c>
      <c r="F2299" t="s">
        <v>107</v>
      </c>
      <c r="G2299" t="s">
        <v>16</v>
      </c>
      <c r="H2299" s="2">
        <v>29</v>
      </c>
      <c r="I2299">
        <v>158</v>
      </c>
      <c r="J2299">
        <v>458</v>
      </c>
      <c r="K2299" s="4">
        <v>284</v>
      </c>
      <c r="L2299" t="s">
        <v>17</v>
      </c>
    </row>
    <row r="2300" spans="1:12" x14ac:dyDescent="0.35">
      <c r="A2300" t="s">
        <v>23</v>
      </c>
      <c r="B2300">
        <v>1185732</v>
      </c>
      <c r="C2300" s="1">
        <v>44517</v>
      </c>
      <c r="D2300" t="s">
        <v>19</v>
      </c>
      <c r="E2300" t="s">
        <v>37</v>
      </c>
      <c r="F2300" t="s">
        <v>38</v>
      </c>
      <c r="G2300" t="s">
        <v>16</v>
      </c>
      <c r="H2300" s="2">
        <v>68</v>
      </c>
      <c r="I2300">
        <v>158</v>
      </c>
      <c r="J2300" s="3">
        <v>1074</v>
      </c>
      <c r="K2300" s="4">
        <v>655</v>
      </c>
      <c r="L2300" t="s">
        <v>17</v>
      </c>
    </row>
    <row r="2301" spans="1:12" x14ac:dyDescent="0.35">
      <c r="A2301" t="s">
        <v>42</v>
      </c>
      <c r="B2301">
        <v>1185732</v>
      </c>
      <c r="C2301" s="1">
        <v>44239</v>
      </c>
      <c r="D2301" t="s">
        <v>33</v>
      </c>
      <c r="E2301" t="s">
        <v>71</v>
      </c>
      <c r="F2301" t="s">
        <v>72</v>
      </c>
      <c r="G2301" t="s">
        <v>26</v>
      </c>
      <c r="H2301" s="2">
        <v>37</v>
      </c>
      <c r="I2301">
        <v>158</v>
      </c>
      <c r="J2301">
        <v>585</v>
      </c>
      <c r="K2301" s="4">
        <v>292</v>
      </c>
      <c r="L2301" t="s">
        <v>17</v>
      </c>
    </row>
    <row r="2302" spans="1:12" x14ac:dyDescent="0.35">
      <c r="A2302" t="s">
        <v>18</v>
      </c>
      <c r="B2302">
        <v>1185732</v>
      </c>
      <c r="C2302" s="1">
        <v>44411</v>
      </c>
      <c r="D2302" t="s">
        <v>33</v>
      </c>
      <c r="E2302" t="s">
        <v>40</v>
      </c>
      <c r="F2302" t="s">
        <v>41</v>
      </c>
      <c r="G2302" t="s">
        <v>26</v>
      </c>
      <c r="H2302" s="2">
        <v>46</v>
      </c>
      <c r="I2302">
        <v>158</v>
      </c>
      <c r="J2302">
        <v>727</v>
      </c>
      <c r="K2302" s="4">
        <v>305</v>
      </c>
      <c r="L2302" t="s">
        <v>17</v>
      </c>
    </row>
    <row r="2303" spans="1:12" x14ac:dyDescent="0.35">
      <c r="A2303" t="s">
        <v>42</v>
      </c>
      <c r="B2303">
        <v>1185732</v>
      </c>
      <c r="C2303" s="1">
        <v>44268</v>
      </c>
      <c r="D2303" t="s">
        <v>43</v>
      </c>
      <c r="E2303" t="s">
        <v>95</v>
      </c>
      <c r="F2303" t="s">
        <v>96</v>
      </c>
      <c r="G2303" t="s">
        <v>26</v>
      </c>
      <c r="H2303" s="2">
        <v>36</v>
      </c>
      <c r="I2303">
        <v>158</v>
      </c>
      <c r="J2303">
        <v>569</v>
      </c>
      <c r="K2303" s="4">
        <v>262</v>
      </c>
      <c r="L2303" t="s">
        <v>17</v>
      </c>
    </row>
    <row r="2304" spans="1:12" x14ac:dyDescent="0.35">
      <c r="A2304" t="s">
        <v>18</v>
      </c>
      <c r="B2304">
        <v>1128299</v>
      </c>
      <c r="C2304" s="1">
        <v>44194</v>
      </c>
      <c r="D2304" t="s">
        <v>48</v>
      </c>
      <c r="E2304" t="s">
        <v>66</v>
      </c>
      <c r="F2304" t="s">
        <v>67</v>
      </c>
      <c r="G2304" t="s">
        <v>70</v>
      </c>
      <c r="H2304" s="2">
        <v>47</v>
      </c>
      <c r="I2304">
        <v>158</v>
      </c>
      <c r="J2304">
        <v>743</v>
      </c>
      <c r="K2304" s="4">
        <v>416</v>
      </c>
      <c r="L2304" t="s">
        <v>27</v>
      </c>
    </row>
    <row r="2305" spans="1:12" x14ac:dyDescent="0.35">
      <c r="A2305" t="s">
        <v>23</v>
      </c>
      <c r="B2305">
        <v>1197831</v>
      </c>
      <c r="C2305" s="1">
        <v>44464</v>
      </c>
      <c r="D2305" t="s">
        <v>19</v>
      </c>
      <c r="E2305" t="s">
        <v>59</v>
      </c>
      <c r="F2305" t="s">
        <v>68</v>
      </c>
      <c r="G2305" t="s">
        <v>56</v>
      </c>
      <c r="H2305" s="2">
        <v>38</v>
      </c>
      <c r="I2305">
        <v>158</v>
      </c>
      <c r="J2305">
        <v>600</v>
      </c>
      <c r="K2305" s="4">
        <v>324</v>
      </c>
      <c r="L2305" t="s">
        <v>27</v>
      </c>
    </row>
    <row r="2306" spans="1:12" x14ac:dyDescent="0.35">
      <c r="A2306" t="s">
        <v>23</v>
      </c>
      <c r="B2306">
        <v>1197831</v>
      </c>
      <c r="C2306" s="1">
        <v>44465</v>
      </c>
      <c r="D2306" t="s">
        <v>19</v>
      </c>
      <c r="E2306" t="s">
        <v>59</v>
      </c>
      <c r="F2306" t="s">
        <v>68</v>
      </c>
      <c r="G2306" t="s">
        <v>70</v>
      </c>
      <c r="H2306" s="2">
        <v>43</v>
      </c>
      <c r="I2306">
        <v>158</v>
      </c>
      <c r="J2306">
        <v>679</v>
      </c>
      <c r="K2306" s="4">
        <v>279</v>
      </c>
      <c r="L2306" t="s">
        <v>27</v>
      </c>
    </row>
    <row r="2307" spans="1:12" x14ac:dyDescent="0.35">
      <c r="A2307" t="s">
        <v>18</v>
      </c>
      <c r="B2307">
        <v>1128299</v>
      </c>
      <c r="C2307" s="1">
        <v>43832</v>
      </c>
      <c r="D2307" t="s">
        <v>43</v>
      </c>
      <c r="E2307" t="s">
        <v>135</v>
      </c>
      <c r="F2307" t="s">
        <v>136</v>
      </c>
      <c r="G2307" t="s">
        <v>26</v>
      </c>
      <c r="H2307" s="2">
        <v>27</v>
      </c>
      <c r="I2307">
        <v>158</v>
      </c>
      <c r="J2307">
        <v>427</v>
      </c>
      <c r="K2307" s="4">
        <v>179</v>
      </c>
      <c r="L2307" t="s">
        <v>27</v>
      </c>
    </row>
    <row r="2308" spans="1:12" x14ac:dyDescent="0.35">
      <c r="A2308" t="s">
        <v>18</v>
      </c>
      <c r="B2308">
        <v>1185732</v>
      </c>
      <c r="C2308" s="1">
        <v>44419</v>
      </c>
      <c r="D2308" t="s">
        <v>48</v>
      </c>
      <c r="E2308" t="s">
        <v>49</v>
      </c>
      <c r="F2308" t="s">
        <v>50</v>
      </c>
      <c r="G2308" t="s">
        <v>32</v>
      </c>
      <c r="H2308" s="2">
        <v>23</v>
      </c>
      <c r="I2308">
        <v>158</v>
      </c>
      <c r="J2308">
        <v>363</v>
      </c>
      <c r="K2308" s="4">
        <v>149</v>
      </c>
      <c r="L2308" t="s">
        <v>27</v>
      </c>
    </row>
    <row r="2309" spans="1:12" x14ac:dyDescent="0.35">
      <c r="A2309" t="s">
        <v>18</v>
      </c>
      <c r="B2309">
        <v>1185732</v>
      </c>
      <c r="C2309" s="1">
        <v>44451</v>
      </c>
      <c r="D2309" t="s">
        <v>48</v>
      </c>
      <c r="E2309" t="s">
        <v>49</v>
      </c>
      <c r="F2309" t="s">
        <v>50</v>
      </c>
      <c r="G2309" t="s">
        <v>39</v>
      </c>
      <c r="H2309" s="2">
        <v>19</v>
      </c>
      <c r="I2309">
        <v>158</v>
      </c>
      <c r="J2309">
        <v>300</v>
      </c>
      <c r="K2309" s="4">
        <v>114</v>
      </c>
      <c r="L2309" t="s">
        <v>27</v>
      </c>
    </row>
    <row r="2310" spans="1:12" x14ac:dyDescent="0.35">
      <c r="A2310" t="s">
        <v>18</v>
      </c>
      <c r="B2310">
        <v>1185732</v>
      </c>
      <c r="C2310" s="1">
        <v>44511</v>
      </c>
      <c r="D2310" t="s">
        <v>48</v>
      </c>
      <c r="E2310" t="s">
        <v>49</v>
      </c>
      <c r="F2310" t="s">
        <v>50</v>
      </c>
      <c r="G2310" t="s">
        <v>16</v>
      </c>
      <c r="H2310" s="2">
        <v>35</v>
      </c>
      <c r="I2310">
        <v>158</v>
      </c>
      <c r="J2310">
        <v>553</v>
      </c>
      <c r="K2310" s="4">
        <v>304</v>
      </c>
      <c r="L2310" t="s">
        <v>27</v>
      </c>
    </row>
    <row r="2311" spans="1:12" x14ac:dyDescent="0.35">
      <c r="A2311" t="s">
        <v>18</v>
      </c>
      <c r="B2311">
        <v>1128299</v>
      </c>
      <c r="C2311" s="1">
        <v>44464</v>
      </c>
      <c r="D2311" t="s">
        <v>48</v>
      </c>
      <c r="E2311" t="s">
        <v>85</v>
      </c>
      <c r="F2311" t="s">
        <v>86</v>
      </c>
      <c r="G2311" t="s">
        <v>39</v>
      </c>
      <c r="H2311" s="2">
        <v>43</v>
      </c>
      <c r="I2311">
        <v>158</v>
      </c>
      <c r="J2311">
        <v>679</v>
      </c>
      <c r="K2311" s="4">
        <v>258</v>
      </c>
      <c r="L2311" t="s">
        <v>27</v>
      </c>
    </row>
    <row r="2312" spans="1:12" x14ac:dyDescent="0.35">
      <c r="A2312" t="s">
        <v>18</v>
      </c>
      <c r="B2312">
        <v>1128299</v>
      </c>
      <c r="C2312" s="1">
        <v>44517</v>
      </c>
      <c r="D2312" t="s">
        <v>19</v>
      </c>
      <c r="E2312" t="s">
        <v>20</v>
      </c>
      <c r="F2312" t="s">
        <v>21</v>
      </c>
      <c r="G2312" t="s">
        <v>32</v>
      </c>
      <c r="H2312" s="2">
        <v>30</v>
      </c>
      <c r="I2312">
        <v>158</v>
      </c>
      <c r="J2312">
        <v>474</v>
      </c>
      <c r="K2312" s="4">
        <v>218</v>
      </c>
      <c r="L2312" t="s">
        <v>27</v>
      </c>
    </row>
    <row r="2313" spans="1:12" x14ac:dyDescent="0.35">
      <c r="A2313" t="s">
        <v>18</v>
      </c>
      <c r="B2313">
        <v>1197831</v>
      </c>
      <c r="C2313" s="1">
        <v>44351</v>
      </c>
      <c r="D2313" t="s">
        <v>48</v>
      </c>
      <c r="E2313" t="s">
        <v>79</v>
      </c>
      <c r="F2313" t="s">
        <v>80</v>
      </c>
      <c r="G2313" t="s">
        <v>70</v>
      </c>
      <c r="H2313" s="2">
        <v>43</v>
      </c>
      <c r="I2313">
        <v>158</v>
      </c>
      <c r="J2313">
        <v>679</v>
      </c>
      <c r="K2313" s="4">
        <v>231</v>
      </c>
      <c r="L2313" t="s">
        <v>27</v>
      </c>
    </row>
    <row r="2314" spans="1:12" x14ac:dyDescent="0.35">
      <c r="A2314" t="s">
        <v>18</v>
      </c>
      <c r="B2314">
        <v>1197831</v>
      </c>
      <c r="C2314" s="1">
        <v>44383</v>
      </c>
      <c r="D2314" t="s">
        <v>48</v>
      </c>
      <c r="E2314" t="s">
        <v>79</v>
      </c>
      <c r="F2314" t="s">
        <v>80</v>
      </c>
      <c r="G2314" t="s">
        <v>56</v>
      </c>
      <c r="H2314" s="2">
        <v>38</v>
      </c>
      <c r="I2314">
        <v>158</v>
      </c>
      <c r="J2314">
        <v>600</v>
      </c>
      <c r="K2314" s="4">
        <v>318</v>
      </c>
      <c r="L2314" t="s">
        <v>27</v>
      </c>
    </row>
    <row r="2315" spans="1:12" x14ac:dyDescent="0.35">
      <c r="A2315" t="s">
        <v>23</v>
      </c>
      <c r="B2315">
        <v>1197831</v>
      </c>
      <c r="C2315" s="1">
        <v>44505</v>
      </c>
      <c r="D2315" t="s">
        <v>48</v>
      </c>
      <c r="E2315" t="s">
        <v>79</v>
      </c>
      <c r="F2315" t="s">
        <v>80</v>
      </c>
      <c r="G2315" t="s">
        <v>56</v>
      </c>
      <c r="H2315" s="2">
        <v>43</v>
      </c>
      <c r="I2315">
        <v>158</v>
      </c>
      <c r="J2315">
        <v>679</v>
      </c>
      <c r="K2315" s="4">
        <v>353</v>
      </c>
      <c r="L2315" t="s">
        <v>27</v>
      </c>
    </row>
    <row r="2316" spans="1:12" x14ac:dyDescent="0.35">
      <c r="A2316" t="s">
        <v>42</v>
      </c>
      <c r="B2316">
        <v>1128299</v>
      </c>
      <c r="C2316" s="1">
        <v>44370</v>
      </c>
      <c r="D2316" t="s">
        <v>48</v>
      </c>
      <c r="E2316" t="s">
        <v>123</v>
      </c>
      <c r="F2316" t="s">
        <v>124</v>
      </c>
      <c r="G2316" t="s">
        <v>16</v>
      </c>
      <c r="H2316" s="2">
        <v>46</v>
      </c>
      <c r="I2316">
        <v>158</v>
      </c>
      <c r="J2316">
        <v>727</v>
      </c>
      <c r="K2316" s="4">
        <v>225</v>
      </c>
      <c r="L2316" t="s">
        <v>27</v>
      </c>
    </row>
    <row r="2317" spans="1:12" x14ac:dyDescent="0.35">
      <c r="A2317" t="s">
        <v>23</v>
      </c>
      <c r="B2317">
        <v>1128299</v>
      </c>
      <c r="C2317" s="1">
        <v>44360</v>
      </c>
      <c r="D2317" t="s">
        <v>13</v>
      </c>
      <c r="E2317" t="s">
        <v>57</v>
      </c>
      <c r="F2317" t="s">
        <v>58</v>
      </c>
      <c r="G2317" t="s">
        <v>32</v>
      </c>
      <c r="H2317" s="2">
        <v>39</v>
      </c>
      <c r="I2317">
        <v>158</v>
      </c>
      <c r="J2317">
        <v>616</v>
      </c>
      <c r="K2317" s="4">
        <v>234</v>
      </c>
      <c r="L2317" t="s">
        <v>27</v>
      </c>
    </row>
    <row r="2318" spans="1:12" x14ac:dyDescent="0.35">
      <c r="A2318" t="s">
        <v>12</v>
      </c>
      <c r="B2318">
        <v>1185732</v>
      </c>
      <c r="C2318" s="1">
        <v>44425</v>
      </c>
      <c r="D2318" t="s">
        <v>19</v>
      </c>
      <c r="E2318" t="s">
        <v>37</v>
      </c>
      <c r="F2318" t="s">
        <v>38</v>
      </c>
      <c r="G2318" t="s">
        <v>70</v>
      </c>
      <c r="H2318" s="2">
        <v>35</v>
      </c>
      <c r="I2318">
        <v>158</v>
      </c>
      <c r="J2318">
        <v>553</v>
      </c>
      <c r="K2318" s="4">
        <v>232</v>
      </c>
      <c r="L2318" t="s">
        <v>27</v>
      </c>
    </row>
    <row r="2319" spans="1:12" x14ac:dyDescent="0.35">
      <c r="A2319" t="s">
        <v>12</v>
      </c>
      <c r="B2319">
        <v>1185732</v>
      </c>
      <c r="C2319" s="1">
        <v>44455</v>
      </c>
      <c r="D2319" t="s">
        <v>19</v>
      </c>
      <c r="E2319" t="s">
        <v>37</v>
      </c>
      <c r="F2319" t="s">
        <v>38</v>
      </c>
      <c r="G2319" t="s">
        <v>39</v>
      </c>
      <c r="H2319" s="2">
        <v>33</v>
      </c>
      <c r="I2319">
        <v>158</v>
      </c>
      <c r="J2319">
        <v>521</v>
      </c>
      <c r="K2319" s="4">
        <v>214</v>
      </c>
      <c r="L2319" t="s">
        <v>27</v>
      </c>
    </row>
    <row r="2320" spans="1:12" x14ac:dyDescent="0.35">
      <c r="A2320" t="s">
        <v>23</v>
      </c>
      <c r="B2320">
        <v>1185732</v>
      </c>
      <c r="C2320" s="1">
        <v>44546</v>
      </c>
      <c r="D2320" t="s">
        <v>19</v>
      </c>
      <c r="E2320" t="s">
        <v>37</v>
      </c>
      <c r="F2320" t="s">
        <v>38</v>
      </c>
      <c r="G2320" t="s">
        <v>32</v>
      </c>
      <c r="H2320" s="2">
        <v>43</v>
      </c>
      <c r="I2320">
        <v>158</v>
      </c>
      <c r="J2320">
        <v>679</v>
      </c>
      <c r="K2320" s="4">
        <v>306</v>
      </c>
      <c r="L2320" t="s">
        <v>27</v>
      </c>
    </row>
    <row r="2321" spans="1:12" x14ac:dyDescent="0.35">
      <c r="A2321" t="s">
        <v>23</v>
      </c>
      <c r="B2321">
        <v>1197831</v>
      </c>
      <c r="C2321" s="1">
        <v>44219</v>
      </c>
      <c r="D2321" t="s">
        <v>19</v>
      </c>
      <c r="E2321" t="s">
        <v>37</v>
      </c>
      <c r="F2321" t="s">
        <v>38</v>
      </c>
      <c r="G2321" t="s">
        <v>16</v>
      </c>
      <c r="H2321" s="2">
        <v>18</v>
      </c>
      <c r="I2321">
        <v>158</v>
      </c>
      <c r="J2321">
        <v>284</v>
      </c>
      <c r="K2321" s="4">
        <v>122</v>
      </c>
      <c r="L2321" t="s">
        <v>27</v>
      </c>
    </row>
    <row r="2322" spans="1:12" x14ac:dyDescent="0.35">
      <c r="A2322" t="s">
        <v>51</v>
      </c>
      <c r="B2322">
        <v>1185732</v>
      </c>
      <c r="C2322" s="1">
        <v>44359</v>
      </c>
      <c r="D2322" t="s">
        <v>43</v>
      </c>
      <c r="E2322" t="s">
        <v>125</v>
      </c>
      <c r="F2322" t="s">
        <v>126</v>
      </c>
      <c r="G2322" t="s">
        <v>16</v>
      </c>
      <c r="H2322" s="2">
        <v>49</v>
      </c>
      <c r="I2322">
        <v>158</v>
      </c>
      <c r="J2322">
        <v>774</v>
      </c>
      <c r="K2322" s="4">
        <v>348</v>
      </c>
      <c r="L2322" t="s">
        <v>27</v>
      </c>
    </row>
    <row r="2323" spans="1:12" x14ac:dyDescent="0.35">
      <c r="A2323" t="s">
        <v>23</v>
      </c>
      <c r="B2323">
        <v>1197831</v>
      </c>
      <c r="C2323" s="1">
        <v>44328</v>
      </c>
      <c r="D2323" t="s">
        <v>19</v>
      </c>
      <c r="E2323" t="s">
        <v>74</v>
      </c>
      <c r="F2323" t="s">
        <v>75</v>
      </c>
      <c r="G2323" t="s">
        <v>56</v>
      </c>
      <c r="H2323" s="2">
        <v>38</v>
      </c>
      <c r="I2323">
        <v>157</v>
      </c>
      <c r="J2323">
        <v>597</v>
      </c>
      <c r="K2323" s="4">
        <v>370</v>
      </c>
      <c r="L2323" t="s">
        <v>27</v>
      </c>
    </row>
    <row r="2324" spans="1:12" x14ac:dyDescent="0.35">
      <c r="A2324" t="s">
        <v>23</v>
      </c>
      <c r="B2324">
        <v>1128299</v>
      </c>
      <c r="C2324" s="1">
        <v>44553</v>
      </c>
      <c r="D2324" t="s">
        <v>13</v>
      </c>
      <c r="E2324" t="s">
        <v>99</v>
      </c>
      <c r="F2324" t="s">
        <v>100</v>
      </c>
      <c r="G2324" t="s">
        <v>70</v>
      </c>
      <c r="H2324" s="2">
        <v>59</v>
      </c>
      <c r="I2324">
        <v>157</v>
      </c>
      <c r="J2324">
        <v>926</v>
      </c>
      <c r="K2324" s="4">
        <v>389</v>
      </c>
      <c r="L2324" t="s">
        <v>27</v>
      </c>
    </row>
    <row r="2325" spans="1:12" x14ac:dyDescent="0.35">
      <c r="A2325" t="s">
        <v>18</v>
      </c>
      <c r="B2325">
        <v>1185732</v>
      </c>
      <c r="C2325" s="1">
        <v>44387</v>
      </c>
      <c r="D2325" t="s">
        <v>48</v>
      </c>
      <c r="E2325" t="s">
        <v>49</v>
      </c>
      <c r="F2325" t="s">
        <v>50</v>
      </c>
      <c r="G2325" t="s">
        <v>32</v>
      </c>
      <c r="H2325" s="2">
        <v>19</v>
      </c>
      <c r="I2325">
        <v>157</v>
      </c>
      <c r="J2325">
        <v>298</v>
      </c>
      <c r="K2325" s="4">
        <v>116</v>
      </c>
      <c r="L2325" t="s">
        <v>27</v>
      </c>
    </row>
    <row r="2326" spans="1:12" x14ac:dyDescent="0.35">
      <c r="A2326" t="s">
        <v>18</v>
      </c>
      <c r="B2326">
        <v>1128299</v>
      </c>
      <c r="C2326" s="1">
        <v>44553</v>
      </c>
      <c r="D2326" t="s">
        <v>48</v>
      </c>
      <c r="E2326" t="s">
        <v>85</v>
      </c>
      <c r="F2326" t="s">
        <v>86</v>
      </c>
      <c r="G2326" t="s">
        <v>70</v>
      </c>
      <c r="H2326" s="2">
        <v>54</v>
      </c>
      <c r="I2326">
        <v>157</v>
      </c>
      <c r="J2326">
        <v>848</v>
      </c>
      <c r="K2326" s="4">
        <v>398</v>
      </c>
      <c r="L2326" t="s">
        <v>27</v>
      </c>
    </row>
    <row r="2327" spans="1:12" x14ac:dyDescent="0.35">
      <c r="A2327" t="s">
        <v>42</v>
      </c>
      <c r="B2327">
        <v>1128299</v>
      </c>
      <c r="C2327" s="1">
        <v>44399</v>
      </c>
      <c r="D2327" t="s">
        <v>48</v>
      </c>
      <c r="E2327" t="s">
        <v>123</v>
      </c>
      <c r="F2327" t="s">
        <v>124</v>
      </c>
      <c r="G2327" t="s">
        <v>32</v>
      </c>
      <c r="H2327" s="2">
        <v>39</v>
      </c>
      <c r="I2327">
        <v>157</v>
      </c>
      <c r="J2327">
        <v>612</v>
      </c>
      <c r="K2327" s="4">
        <v>239</v>
      </c>
      <c r="L2327" t="s">
        <v>27</v>
      </c>
    </row>
    <row r="2328" spans="1:12" x14ac:dyDescent="0.35">
      <c r="A2328" t="s">
        <v>63</v>
      </c>
      <c r="B2328">
        <v>1128299</v>
      </c>
      <c r="C2328" s="1">
        <v>44222</v>
      </c>
      <c r="D2328" t="s">
        <v>48</v>
      </c>
      <c r="E2328" t="s">
        <v>123</v>
      </c>
      <c r="F2328" t="s">
        <v>124</v>
      </c>
      <c r="G2328" t="s">
        <v>32</v>
      </c>
      <c r="H2328" s="2">
        <v>32</v>
      </c>
      <c r="I2328">
        <v>157</v>
      </c>
      <c r="J2328">
        <v>502</v>
      </c>
      <c r="K2328" s="4">
        <v>196</v>
      </c>
      <c r="L2328" t="s">
        <v>27</v>
      </c>
    </row>
    <row r="2329" spans="1:12" x14ac:dyDescent="0.35">
      <c r="A2329" t="s">
        <v>63</v>
      </c>
      <c r="B2329">
        <v>1128299</v>
      </c>
      <c r="C2329" s="1">
        <v>44466</v>
      </c>
      <c r="D2329" t="s">
        <v>48</v>
      </c>
      <c r="E2329" t="s">
        <v>114</v>
      </c>
      <c r="F2329" t="s">
        <v>115</v>
      </c>
      <c r="G2329" t="s">
        <v>16</v>
      </c>
      <c r="H2329" s="2">
        <v>48</v>
      </c>
      <c r="I2329">
        <v>157</v>
      </c>
      <c r="J2329">
        <v>754</v>
      </c>
      <c r="K2329" s="4">
        <v>226</v>
      </c>
      <c r="L2329" t="s">
        <v>27</v>
      </c>
    </row>
    <row r="2330" spans="1:12" x14ac:dyDescent="0.35">
      <c r="A2330" t="s">
        <v>23</v>
      </c>
      <c r="B2330">
        <v>1128299</v>
      </c>
      <c r="C2330" s="1">
        <v>44389</v>
      </c>
      <c r="D2330" t="s">
        <v>13</v>
      </c>
      <c r="E2330" t="s">
        <v>57</v>
      </c>
      <c r="F2330" t="s">
        <v>58</v>
      </c>
      <c r="G2330" t="s">
        <v>16</v>
      </c>
      <c r="H2330" s="2">
        <v>51</v>
      </c>
      <c r="I2330">
        <v>157</v>
      </c>
      <c r="J2330">
        <v>801</v>
      </c>
      <c r="K2330" s="4">
        <v>232</v>
      </c>
      <c r="L2330" t="s">
        <v>27</v>
      </c>
    </row>
    <row r="2331" spans="1:12" x14ac:dyDescent="0.35">
      <c r="A2331" t="s">
        <v>23</v>
      </c>
      <c r="B2331">
        <v>1128299</v>
      </c>
      <c r="C2331" s="1">
        <v>44513</v>
      </c>
      <c r="D2331" t="s">
        <v>13</v>
      </c>
      <c r="E2331" t="s">
        <v>57</v>
      </c>
      <c r="F2331" t="s">
        <v>58</v>
      </c>
      <c r="G2331" t="s">
        <v>16</v>
      </c>
      <c r="H2331" s="2">
        <v>46</v>
      </c>
      <c r="I2331">
        <v>157</v>
      </c>
      <c r="J2331">
        <v>722</v>
      </c>
      <c r="K2331" s="4">
        <v>209</v>
      </c>
      <c r="L2331" t="s">
        <v>27</v>
      </c>
    </row>
    <row r="2332" spans="1:12" x14ac:dyDescent="0.35">
      <c r="A2332" t="s">
        <v>42</v>
      </c>
      <c r="B2332">
        <v>1185732</v>
      </c>
      <c r="C2332" s="1">
        <v>44365</v>
      </c>
      <c r="D2332" t="s">
        <v>19</v>
      </c>
      <c r="E2332" t="s">
        <v>37</v>
      </c>
      <c r="F2332" t="s">
        <v>38</v>
      </c>
      <c r="G2332" t="s">
        <v>32</v>
      </c>
      <c r="H2332" s="2">
        <v>33</v>
      </c>
      <c r="I2332">
        <v>157</v>
      </c>
      <c r="J2332">
        <v>518</v>
      </c>
      <c r="K2332" s="4">
        <v>238</v>
      </c>
      <c r="L2332" t="s">
        <v>27</v>
      </c>
    </row>
    <row r="2333" spans="1:12" x14ac:dyDescent="0.35">
      <c r="A2333" t="s">
        <v>23</v>
      </c>
      <c r="B2333">
        <v>1185732</v>
      </c>
      <c r="C2333" s="1">
        <v>44546</v>
      </c>
      <c r="D2333" t="s">
        <v>19</v>
      </c>
      <c r="E2333" t="s">
        <v>37</v>
      </c>
      <c r="F2333" t="s">
        <v>38</v>
      </c>
      <c r="G2333" t="s">
        <v>70</v>
      </c>
      <c r="H2333" s="2">
        <v>54</v>
      </c>
      <c r="I2333">
        <v>157</v>
      </c>
      <c r="J2333">
        <v>848</v>
      </c>
      <c r="K2333" s="4">
        <v>322</v>
      </c>
      <c r="L2333" t="s">
        <v>27</v>
      </c>
    </row>
    <row r="2334" spans="1:12" x14ac:dyDescent="0.35">
      <c r="A2334" t="s">
        <v>51</v>
      </c>
      <c r="B2334">
        <v>1185732</v>
      </c>
      <c r="C2334" s="1">
        <v>44481</v>
      </c>
      <c r="D2334" t="s">
        <v>43</v>
      </c>
      <c r="E2334" t="s">
        <v>125</v>
      </c>
      <c r="F2334" t="s">
        <v>126</v>
      </c>
      <c r="G2334" t="s">
        <v>26</v>
      </c>
      <c r="H2334" s="2">
        <v>44</v>
      </c>
      <c r="I2334">
        <v>157</v>
      </c>
      <c r="J2334">
        <v>691</v>
      </c>
      <c r="K2334" s="4">
        <v>325</v>
      </c>
      <c r="L2334" t="s">
        <v>27</v>
      </c>
    </row>
    <row r="2335" spans="1:12" x14ac:dyDescent="0.35">
      <c r="A2335" t="s">
        <v>63</v>
      </c>
      <c r="B2335">
        <v>1189833</v>
      </c>
      <c r="C2335" s="1">
        <v>44294</v>
      </c>
      <c r="D2335" t="s">
        <v>48</v>
      </c>
      <c r="E2335" t="s">
        <v>66</v>
      </c>
      <c r="F2335" t="s">
        <v>76</v>
      </c>
      <c r="G2335" t="s">
        <v>39</v>
      </c>
      <c r="H2335" s="2">
        <v>49</v>
      </c>
      <c r="I2335">
        <v>156</v>
      </c>
      <c r="J2335">
        <v>764</v>
      </c>
      <c r="K2335" s="4">
        <v>275</v>
      </c>
      <c r="L2335" t="s">
        <v>17</v>
      </c>
    </row>
    <row r="2336" spans="1:12" x14ac:dyDescent="0.35">
      <c r="A2336" t="s">
        <v>63</v>
      </c>
      <c r="B2336">
        <v>1189833</v>
      </c>
      <c r="C2336" s="1">
        <v>44345</v>
      </c>
      <c r="D2336" t="s">
        <v>48</v>
      </c>
      <c r="E2336" t="s">
        <v>66</v>
      </c>
      <c r="F2336" t="s">
        <v>76</v>
      </c>
      <c r="G2336" t="s">
        <v>70</v>
      </c>
      <c r="H2336" s="2">
        <v>55</v>
      </c>
      <c r="I2336">
        <v>156</v>
      </c>
      <c r="J2336">
        <v>858</v>
      </c>
      <c r="K2336" s="4">
        <v>558</v>
      </c>
      <c r="L2336" t="s">
        <v>17</v>
      </c>
    </row>
    <row r="2337" spans="1:12" x14ac:dyDescent="0.35">
      <c r="A2337" t="s">
        <v>23</v>
      </c>
      <c r="B2337">
        <v>1197831</v>
      </c>
      <c r="C2337" s="1">
        <v>44442</v>
      </c>
      <c r="D2337" t="s">
        <v>19</v>
      </c>
      <c r="E2337" t="s">
        <v>59</v>
      </c>
      <c r="F2337" t="s">
        <v>68</v>
      </c>
      <c r="G2337" t="s">
        <v>16</v>
      </c>
      <c r="H2337" s="2">
        <v>29</v>
      </c>
      <c r="I2337">
        <v>156</v>
      </c>
      <c r="J2337">
        <v>452</v>
      </c>
      <c r="K2337" s="4">
        <v>280</v>
      </c>
      <c r="L2337" t="s">
        <v>17</v>
      </c>
    </row>
    <row r="2338" spans="1:12" x14ac:dyDescent="0.35">
      <c r="A2338" t="s">
        <v>23</v>
      </c>
      <c r="B2338">
        <v>1197831</v>
      </c>
      <c r="C2338" s="1">
        <v>44473</v>
      </c>
      <c r="D2338" t="s">
        <v>19</v>
      </c>
      <c r="E2338" t="s">
        <v>59</v>
      </c>
      <c r="F2338" t="s">
        <v>68</v>
      </c>
      <c r="G2338" t="s">
        <v>26</v>
      </c>
      <c r="H2338" s="2">
        <v>39</v>
      </c>
      <c r="I2338">
        <v>156</v>
      </c>
      <c r="J2338">
        <v>608</v>
      </c>
      <c r="K2338" s="4">
        <v>304</v>
      </c>
      <c r="L2338" t="s">
        <v>17</v>
      </c>
    </row>
    <row r="2339" spans="1:12" x14ac:dyDescent="0.35">
      <c r="A2339" t="s">
        <v>18</v>
      </c>
      <c r="B2339">
        <v>1128299</v>
      </c>
      <c r="C2339" s="1">
        <v>44025</v>
      </c>
      <c r="D2339" t="s">
        <v>48</v>
      </c>
      <c r="E2339" t="s">
        <v>97</v>
      </c>
      <c r="F2339" t="s">
        <v>98</v>
      </c>
      <c r="G2339" t="s">
        <v>26</v>
      </c>
      <c r="H2339" s="2">
        <v>64</v>
      </c>
      <c r="I2339">
        <v>156</v>
      </c>
      <c r="J2339">
        <v>998</v>
      </c>
      <c r="K2339" s="4">
        <v>409</v>
      </c>
      <c r="L2339" t="s">
        <v>17</v>
      </c>
    </row>
    <row r="2340" spans="1:12" x14ac:dyDescent="0.35">
      <c r="A2340" t="s">
        <v>63</v>
      </c>
      <c r="B2340">
        <v>1189833</v>
      </c>
      <c r="C2340" s="1">
        <v>44230</v>
      </c>
      <c r="D2340" t="s">
        <v>33</v>
      </c>
      <c r="E2340" t="s">
        <v>131</v>
      </c>
      <c r="F2340" t="s">
        <v>132</v>
      </c>
      <c r="G2340" t="s">
        <v>39</v>
      </c>
      <c r="H2340" s="2">
        <v>41</v>
      </c>
      <c r="I2340">
        <v>156</v>
      </c>
      <c r="J2340">
        <v>640</v>
      </c>
      <c r="K2340" s="4">
        <v>275</v>
      </c>
      <c r="L2340" t="s">
        <v>17</v>
      </c>
    </row>
    <row r="2341" spans="1:12" x14ac:dyDescent="0.35">
      <c r="A2341" t="s">
        <v>63</v>
      </c>
      <c r="B2341">
        <v>1189833</v>
      </c>
      <c r="C2341" s="1">
        <v>44242</v>
      </c>
      <c r="D2341" t="s">
        <v>33</v>
      </c>
      <c r="E2341" t="s">
        <v>131</v>
      </c>
      <c r="F2341" t="s">
        <v>132</v>
      </c>
      <c r="G2341" t="s">
        <v>39</v>
      </c>
      <c r="H2341" s="2">
        <v>48</v>
      </c>
      <c r="I2341">
        <v>156</v>
      </c>
      <c r="J2341">
        <v>749</v>
      </c>
      <c r="K2341" s="4">
        <v>329</v>
      </c>
      <c r="L2341" t="s">
        <v>17</v>
      </c>
    </row>
    <row r="2342" spans="1:12" x14ac:dyDescent="0.35">
      <c r="A2342" t="s">
        <v>23</v>
      </c>
      <c r="B2342">
        <v>1197831</v>
      </c>
      <c r="C2342" s="1">
        <v>44415</v>
      </c>
      <c r="D2342" t="s">
        <v>19</v>
      </c>
      <c r="E2342" t="s">
        <v>24</v>
      </c>
      <c r="F2342" t="s">
        <v>25</v>
      </c>
      <c r="G2342" t="s">
        <v>26</v>
      </c>
      <c r="H2342" s="2">
        <v>24</v>
      </c>
      <c r="I2342">
        <v>156</v>
      </c>
      <c r="J2342">
        <v>374</v>
      </c>
      <c r="K2342" s="4">
        <v>202</v>
      </c>
      <c r="L2342" t="s">
        <v>17</v>
      </c>
    </row>
    <row r="2343" spans="1:12" x14ac:dyDescent="0.35">
      <c r="A2343" t="s">
        <v>42</v>
      </c>
      <c r="B2343">
        <v>1128299</v>
      </c>
      <c r="C2343" s="1">
        <v>44357</v>
      </c>
      <c r="D2343" t="s">
        <v>48</v>
      </c>
      <c r="E2343" t="s">
        <v>129</v>
      </c>
      <c r="F2343" t="s">
        <v>130</v>
      </c>
      <c r="G2343" t="s">
        <v>39</v>
      </c>
      <c r="H2343" s="2">
        <v>72</v>
      </c>
      <c r="I2343">
        <v>156</v>
      </c>
      <c r="J2343" s="3">
        <v>1123</v>
      </c>
      <c r="K2343" s="4">
        <v>348</v>
      </c>
      <c r="L2343" t="s">
        <v>17</v>
      </c>
    </row>
    <row r="2344" spans="1:12" x14ac:dyDescent="0.35">
      <c r="A2344" t="s">
        <v>18</v>
      </c>
      <c r="B2344">
        <v>1128299</v>
      </c>
      <c r="C2344" s="1">
        <v>44546</v>
      </c>
      <c r="D2344" t="s">
        <v>13</v>
      </c>
      <c r="E2344" t="s">
        <v>14</v>
      </c>
      <c r="F2344" t="s">
        <v>15</v>
      </c>
      <c r="G2344" t="s">
        <v>16</v>
      </c>
      <c r="H2344" s="2">
        <v>87</v>
      </c>
      <c r="I2344">
        <v>156</v>
      </c>
      <c r="J2344" s="3">
        <v>1357</v>
      </c>
      <c r="K2344" s="4">
        <v>746</v>
      </c>
      <c r="L2344" t="s">
        <v>17</v>
      </c>
    </row>
    <row r="2345" spans="1:12" x14ac:dyDescent="0.35">
      <c r="A2345" t="s">
        <v>18</v>
      </c>
      <c r="B2345">
        <v>1185732</v>
      </c>
      <c r="C2345" s="1">
        <v>44295</v>
      </c>
      <c r="D2345" t="s">
        <v>43</v>
      </c>
      <c r="E2345" t="s">
        <v>44</v>
      </c>
      <c r="F2345" t="s">
        <v>101</v>
      </c>
      <c r="G2345" t="s">
        <v>16</v>
      </c>
      <c r="H2345" s="2">
        <v>41</v>
      </c>
      <c r="I2345">
        <v>156</v>
      </c>
      <c r="J2345">
        <v>640</v>
      </c>
      <c r="K2345" s="4">
        <v>416</v>
      </c>
      <c r="L2345" t="s">
        <v>17</v>
      </c>
    </row>
    <row r="2346" spans="1:12" x14ac:dyDescent="0.35">
      <c r="A2346" t="s">
        <v>18</v>
      </c>
      <c r="B2346">
        <v>1185732</v>
      </c>
      <c r="C2346" s="1">
        <v>44447</v>
      </c>
      <c r="D2346" t="s">
        <v>43</v>
      </c>
      <c r="E2346" t="s">
        <v>44</v>
      </c>
      <c r="F2346" t="s">
        <v>101</v>
      </c>
      <c r="G2346" t="s">
        <v>16</v>
      </c>
      <c r="H2346" s="2">
        <v>59</v>
      </c>
      <c r="I2346">
        <v>156</v>
      </c>
      <c r="J2346">
        <v>920</v>
      </c>
      <c r="K2346" s="4">
        <v>552</v>
      </c>
      <c r="L2346" t="s">
        <v>17</v>
      </c>
    </row>
    <row r="2347" spans="1:12" x14ac:dyDescent="0.35">
      <c r="A2347" t="s">
        <v>18</v>
      </c>
      <c r="B2347">
        <v>1185732</v>
      </c>
      <c r="C2347" s="1">
        <v>44479</v>
      </c>
      <c r="D2347" t="s">
        <v>43</v>
      </c>
      <c r="E2347" t="s">
        <v>44</v>
      </c>
      <c r="F2347" t="s">
        <v>101</v>
      </c>
      <c r="G2347" t="s">
        <v>39</v>
      </c>
      <c r="H2347" s="2">
        <v>46</v>
      </c>
      <c r="I2347">
        <v>156</v>
      </c>
      <c r="J2347">
        <v>718</v>
      </c>
      <c r="K2347" s="4">
        <v>330</v>
      </c>
      <c r="L2347" t="s">
        <v>17</v>
      </c>
    </row>
    <row r="2348" spans="1:12" x14ac:dyDescent="0.35">
      <c r="A2348" t="s">
        <v>18</v>
      </c>
      <c r="B2348">
        <v>1185732</v>
      </c>
      <c r="C2348" s="1">
        <v>44479</v>
      </c>
      <c r="D2348" t="s">
        <v>43</v>
      </c>
      <c r="E2348" t="s">
        <v>44</v>
      </c>
      <c r="F2348" t="s">
        <v>101</v>
      </c>
      <c r="G2348" t="s">
        <v>16</v>
      </c>
      <c r="H2348" s="2">
        <v>64</v>
      </c>
      <c r="I2348">
        <v>156</v>
      </c>
      <c r="J2348">
        <v>998</v>
      </c>
      <c r="K2348" s="4">
        <v>619</v>
      </c>
      <c r="L2348" t="s">
        <v>17</v>
      </c>
    </row>
    <row r="2349" spans="1:12" x14ac:dyDescent="0.35">
      <c r="A2349" t="s">
        <v>63</v>
      </c>
      <c r="B2349">
        <v>1185732</v>
      </c>
      <c r="C2349" s="1">
        <v>44210</v>
      </c>
      <c r="D2349" t="s">
        <v>43</v>
      </c>
      <c r="E2349" t="s">
        <v>44</v>
      </c>
      <c r="F2349" t="s">
        <v>101</v>
      </c>
      <c r="G2349" t="s">
        <v>39</v>
      </c>
      <c r="H2349" s="2">
        <v>39</v>
      </c>
      <c r="I2349">
        <v>156</v>
      </c>
      <c r="J2349">
        <v>608</v>
      </c>
      <c r="K2349" s="4">
        <v>274</v>
      </c>
      <c r="L2349" t="s">
        <v>17</v>
      </c>
    </row>
    <row r="2350" spans="1:12" x14ac:dyDescent="0.35">
      <c r="A2350" t="s">
        <v>63</v>
      </c>
      <c r="B2350">
        <v>1185732</v>
      </c>
      <c r="C2350" s="1">
        <v>44210</v>
      </c>
      <c r="D2350" t="s">
        <v>43</v>
      </c>
      <c r="E2350" t="s">
        <v>44</v>
      </c>
      <c r="F2350" t="s">
        <v>101</v>
      </c>
      <c r="G2350" t="s">
        <v>16</v>
      </c>
      <c r="H2350" s="2">
        <v>38</v>
      </c>
      <c r="I2350">
        <v>156</v>
      </c>
      <c r="J2350">
        <v>593</v>
      </c>
      <c r="K2350" s="4">
        <v>237</v>
      </c>
      <c r="L2350" t="s">
        <v>17</v>
      </c>
    </row>
    <row r="2351" spans="1:12" x14ac:dyDescent="0.35">
      <c r="A2351" t="s">
        <v>63</v>
      </c>
      <c r="B2351">
        <v>1185732</v>
      </c>
      <c r="C2351" s="1">
        <v>44326</v>
      </c>
      <c r="D2351" t="s">
        <v>48</v>
      </c>
      <c r="E2351" t="s">
        <v>102</v>
      </c>
      <c r="F2351" t="s">
        <v>103</v>
      </c>
      <c r="G2351" t="s">
        <v>16</v>
      </c>
      <c r="H2351" s="2">
        <v>52</v>
      </c>
      <c r="I2351">
        <v>156</v>
      </c>
      <c r="J2351">
        <v>811</v>
      </c>
      <c r="K2351" s="4">
        <v>324</v>
      </c>
      <c r="L2351" t="s">
        <v>17</v>
      </c>
    </row>
    <row r="2352" spans="1:12" x14ac:dyDescent="0.35">
      <c r="A2352" t="s">
        <v>42</v>
      </c>
      <c r="B2352">
        <v>1185732</v>
      </c>
      <c r="C2352" s="1">
        <v>44214</v>
      </c>
      <c r="D2352" t="s">
        <v>33</v>
      </c>
      <c r="E2352" t="s">
        <v>45</v>
      </c>
      <c r="F2352" t="s">
        <v>46</v>
      </c>
      <c r="G2352" t="s">
        <v>26</v>
      </c>
      <c r="H2352" s="2">
        <v>27</v>
      </c>
      <c r="I2352">
        <v>156</v>
      </c>
      <c r="J2352">
        <v>421</v>
      </c>
      <c r="K2352" s="4">
        <v>211</v>
      </c>
      <c r="L2352" t="s">
        <v>17</v>
      </c>
    </row>
    <row r="2353" spans="1:12" x14ac:dyDescent="0.35">
      <c r="A2353" t="s">
        <v>18</v>
      </c>
      <c r="B2353">
        <v>1128299</v>
      </c>
      <c r="C2353" s="1">
        <v>44400</v>
      </c>
      <c r="D2353" t="s">
        <v>48</v>
      </c>
      <c r="E2353" t="s">
        <v>85</v>
      </c>
      <c r="F2353" t="s">
        <v>86</v>
      </c>
      <c r="G2353" t="s">
        <v>70</v>
      </c>
      <c r="H2353" s="2">
        <v>84</v>
      </c>
      <c r="I2353">
        <v>156</v>
      </c>
      <c r="J2353" s="3">
        <v>1310</v>
      </c>
      <c r="K2353" s="4">
        <v>655</v>
      </c>
      <c r="L2353" t="s">
        <v>17</v>
      </c>
    </row>
    <row r="2354" spans="1:12" x14ac:dyDescent="0.35">
      <c r="A2354" t="s">
        <v>42</v>
      </c>
      <c r="B2354">
        <v>1128299</v>
      </c>
      <c r="C2354" s="1">
        <v>44546</v>
      </c>
      <c r="D2354" t="s">
        <v>19</v>
      </c>
      <c r="E2354" t="s">
        <v>20</v>
      </c>
      <c r="F2354" t="s">
        <v>21</v>
      </c>
      <c r="G2354" t="s">
        <v>56</v>
      </c>
      <c r="H2354" s="2">
        <v>72</v>
      </c>
      <c r="I2354">
        <v>156</v>
      </c>
      <c r="J2354" s="3">
        <v>1123</v>
      </c>
      <c r="K2354" s="4">
        <v>607</v>
      </c>
      <c r="L2354" t="s">
        <v>17</v>
      </c>
    </row>
    <row r="2355" spans="1:12" x14ac:dyDescent="0.35">
      <c r="A2355" t="s">
        <v>42</v>
      </c>
      <c r="B2355">
        <v>1197831</v>
      </c>
      <c r="C2355" s="1">
        <v>44261</v>
      </c>
      <c r="D2355" t="s">
        <v>48</v>
      </c>
      <c r="E2355" t="s">
        <v>79</v>
      </c>
      <c r="F2355" t="s">
        <v>80</v>
      </c>
      <c r="G2355" t="s">
        <v>26</v>
      </c>
      <c r="H2355" s="2">
        <v>28</v>
      </c>
      <c r="I2355">
        <v>156</v>
      </c>
      <c r="J2355">
        <v>437</v>
      </c>
      <c r="K2355" s="4">
        <v>197</v>
      </c>
      <c r="L2355" t="s">
        <v>17</v>
      </c>
    </row>
    <row r="2356" spans="1:12" x14ac:dyDescent="0.35">
      <c r="A2356" t="s">
        <v>42</v>
      </c>
      <c r="B2356">
        <v>1128299</v>
      </c>
      <c r="C2356" s="1">
        <v>44370</v>
      </c>
      <c r="D2356" t="s">
        <v>48</v>
      </c>
      <c r="E2356" t="s">
        <v>123</v>
      </c>
      <c r="F2356" t="s">
        <v>124</v>
      </c>
      <c r="G2356" t="s">
        <v>26</v>
      </c>
      <c r="H2356" s="2">
        <v>48</v>
      </c>
      <c r="I2356">
        <v>156</v>
      </c>
      <c r="J2356">
        <v>749</v>
      </c>
      <c r="K2356" s="4">
        <v>367</v>
      </c>
      <c r="L2356" t="s">
        <v>17</v>
      </c>
    </row>
    <row r="2357" spans="1:12" x14ac:dyDescent="0.35">
      <c r="A2357" t="s">
        <v>63</v>
      </c>
      <c r="B2357">
        <v>1128299</v>
      </c>
      <c r="C2357" s="1">
        <v>44466</v>
      </c>
      <c r="D2357" t="s">
        <v>48</v>
      </c>
      <c r="E2357" t="s">
        <v>114</v>
      </c>
      <c r="F2357" t="s">
        <v>115</v>
      </c>
      <c r="G2357" t="s">
        <v>39</v>
      </c>
      <c r="H2357" s="2">
        <v>51</v>
      </c>
      <c r="I2357">
        <v>156</v>
      </c>
      <c r="J2357">
        <v>796</v>
      </c>
      <c r="K2357" s="4">
        <v>406</v>
      </c>
      <c r="L2357" t="s">
        <v>17</v>
      </c>
    </row>
    <row r="2358" spans="1:12" x14ac:dyDescent="0.35">
      <c r="A2358" t="s">
        <v>23</v>
      </c>
      <c r="B2358">
        <v>1128299</v>
      </c>
      <c r="C2358" s="1">
        <v>44453</v>
      </c>
      <c r="D2358" t="s">
        <v>13</v>
      </c>
      <c r="E2358" t="s">
        <v>57</v>
      </c>
      <c r="F2358" t="s">
        <v>58</v>
      </c>
      <c r="G2358" t="s">
        <v>39</v>
      </c>
      <c r="H2358" s="2">
        <v>47</v>
      </c>
      <c r="I2358">
        <v>156</v>
      </c>
      <c r="J2358">
        <v>733</v>
      </c>
      <c r="K2358" s="4">
        <v>403</v>
      </c>
      <c r="L2358" t="s">
        <v>17</v>
      </c>
    </row>
    <row r="2359" spans="1:12" x14ac:dyDescent="0.35">
      <c r="A2359" t="s">
        <v>23</v>
      </c>
      <c r="B2359">
        <v>1185732</v>
      </c>
      <c r="C2359" s="1">
        <v>44202</v>
      </c>
      <c r="D2359" t="s">
        <v>13</v>
      </c>
      <c r="E2359" t="s">
        <v>69</v>
      </c>
      <c r="F2359" t="s">
        <v>65</v>
      </c>
      <c r="G2359" t="s">
        <v>70</v>
      </c>
      <c r="H2359" s="2">
        <v>42</v>
      </c>
      <c r="I2359">
        <v>156</v>
      </c>
      <c r="J2359">
        <v>655</v>
      </c>
      <c r="K2359" s="4">
        <v>301</v>
      </c>
      <c r="L2359" t="s">
        <v>17</v>
      </c>
    </row>
    <row r="2360" spans="1:12" x14ac:dyDescent="0.35">
      <c r="A2360" t="s">
        <v>23</v>
      </c>
      <c r="B2360">
        <v>1185732</v>
      </c>
      <c r="C2360" s="1">
        <v>44441</v>
      </c>
      <c r="D2360" t="s">
        <v>13</v>
      </c>
      <c r="E2360" t="s">
        <v>77</v>
      </c>
      <c r="F2360" t="s">
        <v>78</v>
      </c>
      <c r="G2360" t="s">
        <v>70</v>
      </c>
      <c r="H2360" s="2">
        <v>38</v>
      </c>
      <c r="I2360">
        <v>156</v>
      </c>
      <c r="J2360">
        <v>593</v>
      </c>
      <c r="K2360" s="4">
        <v>273</v>
      </c>
      <c r="L2360" t="s">
        <v>17</v>
      </c>
    </row>
    <row r="2361" spans="1:12" x14ac:dyDescent="0.35">
      <c r="A2361" t="s">
        <v>18</v>
      </c>
      <c r="B2361">
        <v>1185732</v>
      </c>
      <c r="C2361" s="1">
        <v>44539</v>
      </c>
      <c r="D2361" t="s">
        <v>33</v>
      </c>
      <c r="E2361" t="s">
        <v>52</v>
      </c>
      <c r="F2361" t="s">
        <v>53</v>
      </c>
      <c r="G2361" t="s">
        <v>16</v>
      </c>
      <c r="H2361" s="2">
        <v>74</v>
      </c>
      <c r="I2361">
        <v>156</v>
      </c>
      <c r="J2361" s="3">
        <v>1154</v>
      </c>
      <c r="K2361" s="4">
        <v>693</v>
      </c>
      <c r="L2361" t="s">
        <v>17</v>
      </c>
    </row>
    <row r="2362" spans="1:12" x14ac:dyDescent="0.35">
      <c r="A2362" t="s">
        <v>51</v>
      </c>
      <c r="B2362">
        <v>1185732</v>
      </c>
      <c r="C2362" s="1">
        <v>44276</v>
      </c>
      <c r="D2362" t="s">
        <v>13</v>
      </c>
      <c r="E2362" t="s">
        <v>106</v>
      </c>
      <c r="F2362" t="s">
        <v>107</v>
      </c>
      <c r="G2362" t="s">
        <v>26</v>
      </c>
      <c r="H2362" s="2">
        <v>41</v>
      </c>
      <c r="I2362">
        <v>156</v>
      </c>
      <c r="J2362">
        <v>640</v>
      </c>
      <c r="K2362" s="4">
        <v>326</v>
      </c>
      <c r="L2362" t="s">
        <v>17</v>
      </c>
    </row>
    <row r="2363" spans="1:12" x14ac:dyDescent="0.35">
      <c r="A2363" t="s">
        <v>51</v>
      </c>
      <c r="B2363">
        <v>1185732</v>
      </c>
      <c r="C2363" s="1">
        <v>44339</v>
      </c>
      <c r="D2363" t="s">
        <v>13</v>
      </c>
      <c r="E2363" t="s">
        <v>106</v>
      </c>
      <c r="F2363" t="s">
        <v>107</v>
      </c>
      <c r="G2363" t="s">
        <v>26</v>
      </c>
      <c r="H2363" s="2">
        <v>49</v>
      </c>
      <c r="I2363">
        <v>156</v>
      </c>
      <c r="J2363">
        <v>764</v>
      </c>
      <c r="K2363" s="4">
        <v>390</v>
      </c>
      <c r="L2363" t="s">
        <v>17</v>
      </c>
    </row>
    <row r="2364" spans="1:12" x14ac:dyDescent="0.35">
      <c r="A2364" t="s">
        <v>12</v>
      </c>
      <c r="B2364">
        <v>1185732</v>
      </c>
      <c r="C2364" s="1">
        <v>44393</v>
      </c>
      <c r="D2364" t="s">
        <v>19</v>
      </c>
      <c r="E2364" t="s">
        <v>37</v>
      </c>
      <c r="F2364" t="s">
        <v>38</v>
      </c>
      <c r="G2364" t="s">
        <v>39</v>
      </c>
      <c r="H2364" s="2">
        <v>53</v>
      </c>
      <c r="I2364">
        <v>156</v>
      </c>
      <c r="J2364">
        <v>827</v>
      </c>
      <c r="K2364" s="4">
        <v>372</v>
      </c>
      <c r="L2364" t="s">
        <v>17</v>
      </c>
    </row>
    <row r="2365" spans="1:12" x14ac:dyDescent="0.35">
      <c r="A2365" t="s">
        <v>18</v>
      </c>
      <c r="B2365">
        <v>1197831</v>
      </c>
      <c r="C2365" s="1">
        <v>44368</v>
      </c>
      <c r="D2365" t="s">
        <v>19</v>
      </c>
      <c r="E2365" t="s">
        <v>61</v>
      </c>
      <c r="F2365" t="s">
        <v>62</v>
      </c>
      <c r="G2365" t="s">
        <v>26</v>
      </c>
      <c r="H2365" s="2">
        <v>38</v>
      </c>
      <c r="I2365">
        <v>156</v>
      </c>
      <c r="J2365">
        <v>593</v>
      </c>
      <c r="K2365" s="4">
        <v>302</v>
      </c>
      <c r="L2365" t="s">
        <v>17</v>
      </c>
    </row>
    <row r="2366" spans="1:12" x14ac:dyDescent="0.35">
      <c r="A2366" t="s">
        <v>63</v>
      </c>
      <c r="B2366">
        <v>1185732</v>
      </c>
      <c r="C2366" s="1">
        <v>44355</v>
      </c>
      <c r="D2366" t="s">
        <v>43</v>
      </c>
      <c r="E2366" t="s">
        <v>83</v>
      </c>
      <c r="F2366" t="s">
        <v>84</v>
      </c>
      <c r="G2366" t="s">
        <v>26</v>
      </c>
      <c r="H2366" s="2">
        <v>45</v>
      </c>
      <c r="I2366">
        <v>156</v>
      </c>
      <c r="J2366">
        <v>702</v>
      </c>
      <c r="K2366" s="4">
        <v>323</v>
      </c>
      <c r="L2366" t="s">
        <v>17</v>
      </c>
    </row>
    <row r="2367" spans="1:12" x14ac:dyDescent="0.35">
      <c r="A2367" t="s">
        <v>42</v>
      </c>
      <c r="B2367">
        <v>1185732</v>
      </c>
      <c r="C2367" s="1">
        <v>44503</v>
      </c>
      <c r="D2367" t="s">
        <v>43</v>
      </c>
      <c r="E2367" t="s">
        <v>135</v>
      </c>
      <c r="F2367" t="s">
        <v>136</v>
      </c>
      <c r="G2367" t="s">
        <v>26</v>
      </c>
      <c r="H2367" s="2">
        <v>39</v>
      </c>
      <c r="I2367">
        <v>156</v>
      </c>
      <c r="J2367">
        <v>608</v>
      </c>
      <c r="K2367" s="4">
        <v>353</v>
      </c>
      <c r="L2367" t="s">
        <v>27</v>
      </c>
    </row>
    <row r="2368" spans="1:12" x14ac:dyDescent="0.35">
      <c r="A2368" t="s">
        <v>42</v>
      </c>
      <c r="B2368">
        <v>1185732</v>
      </c>
      <c r="C2368" s="1">
        <v>44261</v>
      </c>
      <c r="D2368" t="s">
        <v>43</v>
      </c>
      <c r="E2368" t="s">
        <v>110</v>
      </c>
      <c r="F2368" t="s">
        <v>111</v>
      </c>
      <c r="G2368" t="s">
        <v>26</v>
      </c>
      <c r="H2368" s="2">
        <v>26</v>
      </c>
      <c r="I2368">
        <v>156</v>
      </c>
      <c r="J2368">
        <v>406</v>
      </c>
      <c r="K2368" s="4">
        <v>150</v>
      </c>
      <c r="L2368" t="s">
        <v>27</v>
      </c>
    </row>
    <row r="2369" spans="1:12" x14ac:dyDescent="0.35">
      <c r="A2369" t="s">
        <v>18</v>
      </c>
      <c r="B2369">
        <v>1128299</v>
      </c>
      <c r="C2369" s="1">
        <v>44206</v>
      </c>
      <c r="D2369" t="s">
        <v>48</v>
      </c>
      <c r="E2369" t="s">
        <v>66</v>
      </c>
      <c r="F2369" t="s">
        <v>67</v>
      </c>
      <c r="G2369" t="s">
        <v>70</v>
      </c>
      <c r="H2369" s="2">
        <v>62</v>
      </c>
      <c r="I2369">
        <v>155</v>
      </c>
      <c r="J2369">
        <v>961</v>
      </c>
      <c r="K2369" s="4">
        <v>634</v>
      </c>
      <c r="L2369" t="s">
        <v>17</v>
      </c>
    </row>
    <row r="2370" spans="1:12" x14ac:dyDescent="0.35">
      <c r="A2370" t="s">
        <v>18</v>
      </c>
      <c r="B2370">
        <v>1128299</v>
      </c>
      <c r="C2370" s="1">
        <v>43893</v>
      </c>
      <c r="D2370" t="s">
        <v>48</v>
      </c>
      <c r="E2370" t="s">
        <v>116</v>
      </c>
      <c r="F2370" t="s">
        <v>117</v>
      </c>
      <c r="G2370" t="s">
        <v>26</v>
      </c>
      <c r="H2370" s="2">
        <v>57</v>
      </c>
      <c r="I2370">
        <v>155</v>
      </c>
      <c r="J2370">
        <v>884</v>
      </c>
      <c r="K2370" s="4">
        <v>424</v>
      </c>
      <c r="L2370" t="s">
        <v>17</v>
      </c>
    </row>
    <row r="2371" spans="1:12" x14ac:dyDescent="0.35">
      <c r="A2371" t="s">
        <v>18</v>
      </c>
      <c r="B2371">
        <v>1128299</v>
      </c>
      <c r="C2371" s="1">
        <v>44018</v>
      </c>
      <c r="D2371" t="s">
        <v>48</v>
      </c>
      <c r="E2371" t="s">
        <v>97</v>
      </c>
      <c r="F2371" t="s">
        <v>98</v>
      </c>
      <c r="G2371" t="s">
        <v>16</v>
      </c>
      <c r="H2371" s="2">
        <v>95</v>
      </c>
      <c r="I2371">
        <v>155</v>
      </c>
      <c r="J2371" s="3">
        <v>1473</v>
      </c>
      <c r="K2371" s="4">
        <v>515</v>
      </c>
      <c r="L2371" t="s">
        <v>17</v>
      </c>
    </row>
    <row r="2372" spans="1:12" x14ac:dyDescent="0.35">
      <c r="A2372" t="s">
        <v>18</v>
      </c>
      <c r="B2372">
        <v>1128299</v>
      </c>
      <c r="C2372" s="1">
        <v>44022</v>
      </c>
      <c r="D2372" t="s">
        <v>48</v>
      </c>
      <c r="E2372" t="s">
        <v>97</v>
      </c>
      <c r="F2372" t="s">
        <v>98</v>
      </c>
      <c r="G2372" t="s">
        <v>56</v>
      </c>
      <c r="H2372" s="2">
        <v>74</v>
      </c>
      <c r="I2372">
        <v>155</v>
      </c>
      <c r="J2372" s="3">
        <v>1147</v>
      </c>
      <c r="K2372" s="4">
        <v>505</v>
      </c>
      <c r="L2372" t="s">
        <v>17</v>
      </c>
    </row>
    <row r="2373" spans="1:12" x14ac:dyDescent="0.35">
      <c r="A2373" t="s">
        <v>18</v>
      </c>
      <c r="B2373">
        <v>1128299</v>
      </c>
      <c r="C2373" s="1">
        <v>44023</v>
      </c>
      <c r="D2373" t="s">
        <v>48</v>
      </c>
      <c r="E2373" t="s">
        <v>97</v>
      </c>
      <c r="F2373" t="s">
        <v>98</v>
      </c>
      <c r="G2373" t="s">
        <v>70</v>
      </c>
      <c r="H2373" s="2">
        <v>71</v>
      </c>
      <c r="I2373">
        <v>155</v>
      </c>
      <c r="J2373" s="3">
        <v>1101</v>
      </c>
      <c r="K2373" s="4">
        <v>429</v>
      </c>
      <c r="L2373" t="s">
        <v>17</v>
      </c>
    </row>
    <row r="2374" spans="1:12" x14ac:dyDescent="0.35">
      <c r="A2374" t="s">
        <v>12</v>
      </c>
      <c r="B2374">
        <v>1128299</v>
      </c>
      <c r="C2374" s="1">
        <v>44334</v>
      </c>
      <c r="D2374" t="s">
        <v>13</v>
      </c>
      <c r="E2374" t="s">
        <v>14</v>
      </c>
      <c r="F2374" t="s">
        <v>15</v>
      </c>
      <c r="G2374" t="s">
        <v>26</v>
      </c>
      <c r="H2374" s="2">
        <v>58</v>
      </c>
      <c r="I2374">
        <v>155</v>
      </c>
      <c r="J2374">
        <v>899</v>
      </c>
      <c r="K2374" s="4">
        <v>387</v>
      </c>
      <c r="L2374" t="s">
        <v>17</v>
      </c>
    </row>
    <row r="2375" spans="1:12" x14ac:dyDescent="0.35">
      <c r="A2375" t="s">
        <v>12</v>
      </c>
      <c r="B2375">
        <v>1128299</v>
      </c>
      <c r="C2375" s="1">
        <v>44364</v>
      </c>
      <c r="D2375" t="s">
        <v>13</v>
      </c>
      <c r="E2375" t="s">
        <v>14</v>
      </c>
      <c r="F2375" t="s">
        <v>15</v>
      </c>
      <c r="G2375" t="s">
        <v>56</v>
      </c>
      <c r="H2375" s="2">
        <v>77</v>
      </c>
      <c r="I2375">
        <v>155</v>
      </c>
      <c r="J2375" s="3">
        <v>1194</v>
      </c>
      <c r="K2375" s="4">
        <v>501</v>
      </c>
      <c r="L2375" t="s">
        <v>17</v>
      </c>
    </row>
    <row r="2376" spans="1:12" x14ac:dyDescent="0.35">
      <c r="A2376" t="s">
        <v>63</v>
      </c>
      <c r="B2376">
        <v>1185732</v>
      </c>
      <c r="C2376" s="1">
        <v>44538</v>
      </c>
      <c r="D2376" t="s">
        <v>43</v>
      </c>
      <c r="E2376" t="s">
        <v>44</v>
      </c>
      <c r="F2376" t="s">
        <v>101</v>
      </c>
      <c r="G2376" t="s">
        <v>56</v>
      </c>
      <c r="H2376" s="2">
        <v>54</v>
      </c>
      <c r="I2376">
        <v>155</v>
      </c>
      <c r="J2376">
        <v>837</v>
      </c>
      <c r="K2376" s="4">
        <v>343</v>
      </c>
      <c r="L2376" t="s">
        <v>17</v>
      </c>
    </row>
    <row r="2377" spans="1:12" x14ac:dyDescent="0.35">
      <c r="A2377" t="s">
        <v>63</v>
      </c>
      <c r="B2377">
        <v>1185732</v>
      </c>
      <c r="C2377" s="1">
        <v>44538</v>
      </c>
      <c r="D2377" t="s">
        <v>43</v>
      </c>
      <c r="E2377" t="s">
        <v>44</v>
      </c>
      <c r="F2377" t="s">
        <v>101</v>
      </c>
      <c r="G2377" t="s">
        <v>70</v>
      </c>
      <c r="H2377" s="2">
        <v>60</v>
      </c>
      <c r="I2377">
        <v>155</v>
      </c>
      <c r="J2377">
        <v>930</v>
      </c>
      <c r="K2377" s="4">
        <v>428</v>
      </c>
      <c r="L2377" t="s">
        <v>17</v>
      </c>
    </row>
    <row r="2378" spans="1:12" x14ac:dyDescent="0.35">
      <c r="A2378" t="s">
        <v>42</v>
      </c>
      <c r="B2378">
        <v>1128299</v>
      </c>
      <c r="C2378" s="1">
        <v>44524</v>
      </c>
      <c r="D2378" t="s">
        <v>13</v>
      </c>
      <c r="E2378" t="s">
        <v>99</v>
      </c>
      <c r="F2378" t="s">
        <v>100</v>
      </c>
      <c r="G2378" t="s">
        <v>26</v>
      </c>
      <c r="H2378" s="2">
        <v>42</v>
      </c>
      <c r="I2378">
        <v>155</v>
      </c>
      <c r="J2378">
        <v>651</v>
      </c>
      <c r="K2378" s="4">
        <v>306</v>
      </c>
      <c r="L2378" t="s">
        <v>17</v>
      </c>
    </row>
    <row r="2379" spans="1:12" x14ac:dyDescent="0.35">
      <c r="A2379" t="s">
        <v>18</v>
      </c>
      <c r="B2379">
        <v>1128299</v>
      </c>
      <c r="C2379" s="1">
        <v>44486</v>
      </c>
      <c r="D2379" t="s">
        <v>19</v>
      </c>
      <c r="E2379" t="s">
        <v>20</v>
      </c>
      <c r="F2379" t="s">
        <v>21</v>
      </c>
      <c r="G2379" t="s">
        <v>39</v>
      </c>
      <c r="H2379" s="2">
        <v>45</v>
      </c>
      <c r="I2379">
        <v>155</v>
      </c>
      <c r="J2379">
        <v>698</v>
      </c>
      <c r="K2379" s="4">
        <v>384</v>
      </c>
      <c r="L2379" t="s">
        <v>17</v>
      </c>
    </row>
    <row r="2380" spans="1:12" x14ac:dyDescent="0.35">
      <c r="A2380" t="s">
        <v>23</v>
      </c>
      <c r="B2380">
        <v>1185732</v>
      </c>
      <c r="C2380" s="1">
        <v>44289</v>
      </c>
      <c r="D2380" t="s">
        <v>13</v>
      </c>
      <c r="E2380" t="s">
        <v>77</v>
      </c>
      <c r="F2380" t="s">
        <v>78</v>
      </c>
      <c r="G2380" t="s">
        <v>39</v>
      </c>
      <c r="H2380" s="2">
        <v>28</v>
      </c>
      <c r="I2380">
        <v>155</v>
      </c>
      <c r="J2380">
        <v>434</v>
      </c>
      <c r="K2380" s="4">
        <v>204</v>
      </c>
      <c r="L2380" t="s">
        <v>17</v>
      </c>
    </row>
    <row r="2381" spans="1:12" x14ac:dyDescent="0.35">
      <c r="A2381" t="s">
        <v>23</v>
      </c>
      <c r="B2381">
        <v>1185732</v>
      </c>
      <c r="C2381" s="1">
        <v>44546</v>
      </c>
      <c r="D2381" t="s">
        <v>19</v>
      </c>
      <c r="E2381" t="s">
        <v>37</v>
      </c>
      <c r="F2381" t="s">
        <v>38</v>
      </c>
      <c r="G2381" t="s">
        <v>39</v>
      </c>
      <c r="H2381" s="2">
        <v>58</v>
      </c>
      <c r="I2381">
        <v>155</v>
      </c>
      <c r="J2381">
        <v>899</v>
      </c>
      <c r="K2381" s="4">
        <v>441</v>
      </c>
      <c r="L2381" t="s">
        <v>17</v>
      </c>
    </row>
    <row r="2382" spans="1:12" x14ac:dyDescent="0.35">
      <c r="A2382" t="s">
        <v>18</v>
      </c>
      <c r="B2382">
        <v>1185732</v>
      </c>
      <c r="C2382" s="1">
        <v>44357</v>
      </c>
      <c r="D2382" t="s">
        <v>33</v>
      </c>
      <c r="E2382" t="s">
        <v>81</v>
      </c>
      <c r="F2382" t="s">
        <v>82</v>
      </c>
      <c r="G2382" t="s">
        <v>26</v>
      </c>
      <c r="H2382" s="2">
        <v>36</v>
      </c>
      <c r="I2382">
        <v>155</v>
      </c>
      <c r="J2382">
        <v>558</v>
      </c>
      <c r="K2382" s="4">
        <v>307</v>
      </c>
      <c r="L2382" t="s">
        <v>17</v>
      </c>
    </row>
    <row r="2383" spans="1:12" x14ac:dyDescent="0.35">
      <c r="A2383" t="s">
        <v>23</v>
      </c>
      <c r="B2383">
        <v>1185732</v>
      </c>
      <c r="C2383" s="1">
        <v>44362</v>
      </c>
      <c r="D2383" t="s">
        <v>43</v>
      </c>
      <c r="E2383" t="s">
        <v>112</v>
      </c>
      <c r="F2383" t="s">
        <v>113</v>
      </c>
      <c r="G2383" t="s">
        <v>26</v>
      </c>
      <c r="H2383" s="2">
        <v>51</v>
      </c>
      <c r="I2383">
        <v>155</v>
      </c>
      <c r="J2383">
        <v>791</v>
      </c>
      <c r="K2383" s="4">
        <v>332</v>
      </c>
      <c r="L2383" t="s">
        <v>17</v>
      </c>
    </row>
    <row r="2384" spans="1:12" x14ac:dyDescent="0.35">
      <c r="A2384" t="s">
        <v>23</v>
      </c>
      <c r="B2384">
        <v>1197831</v>
      </c>
      <c r="C2384" s="1">
        <v>44047</v>
      </c>
      <c r="D2384" t="s">
        <v>19</v>
      </c>
      <c r="E2384" t="s">
        <v>59</v>
      </c>
      <c r="F2384" t="s">
        <v>60</v>
      </c>
      <c r="G2384" t="s">
        <v>70</v>
      </c>
      <c r="H2384" s="2">
        <v>35</v>
      </c>
      <c r="I2384">
        <v>155</v>
      </c>
      <c r="J2384">
        <v>543</v>
      </c>
      <c r="K2384" s="4">
        <v>174</v>
      </c>
      <c r="L2384" t="s">
        <v>27</v>
      </c>
    </row>
    <row r="2385" spans="1:12" x14ac:dyDescent="0.35">
      <c r="A2385" t="s">
        <v>63</v>
      </c>
      <c r="B2385">
        <v>1189833</v>
      </c>
      <c r="C2385" s="1">
        <v>44266</v>
      </c>
      <c r="D2385" t="s">
        <v>48</v>
      </c>
      <c r="E2385" t="s">
        <v>66</v>
      </c>
      <c r="F2385" t="s">
        <v>76</v>
      </c>
      <c r="G2385" t="s">
        <v>70</v>
      </c>
      <c r="H2385" s="2">
        <v>36</v>
      </c>
      <c r="I2385">
        <v>155</v>
      </c>
      <c r="J2385">
        <v>558</v>
      </c>
      <c r="K2385" s="4">
        <v>329</v>
      </c>
      <c r="L2385" t="s">
        <v>27</v>
      </c>
    </row>
    <row r="2386" spans="1:12" x14ac:dyDescent="0.35">
      <c r="A2386" t="s">
        <v>23</v>
      </c>
      <c r="B2386">
        <v>1197831</v>
      </c>
      <c r="C2386" s="1">
        <v>44430</v>
      </c>
      <c r="D2386" t="s">
        <v>19</v>
      </c>
      <c r="E2386" t="s">
        <v>59</v>
      </c>
      <c r="F2386" t="s">
        <v>68</v>
      </c>
      <c r="G2386" t="s">
        <v>16</v>
      </c>
      <c r="H2386" s="2">
        <v>26</v>
      </c>
      <c r="I2386">
        <v>155</v>
      </c>
      <c r="J2386">
        <v>403</v>
      </c>
      <c r="K2386" s="4">
        <v>206</v>
      </c>
      <c r="L2386" t="s">
        <v>27</v>
      </c>
    </row>
    <row r="2387" spans="1:12" x14ac:dyDescent="0.35">
      <c r="A2387" t="s">
        <v>23</v>
      </c>
      <c r="B2387">
        <v>1197831</v>
      </c>
      <c r="C2387" s="1">
        <v>44433</v>
      </c>
      <c r="D2387" t="s">
        <v>19</v>
      </c>
      <c r="E2387" t="s">
        <v>59</v>
      </c>
      <c r="F2387" t="s">
        <v>68</v>
      </c>
      <c r="G2387" t="s">
        <v>32</v>
      </c>
      <c r="H2387" s="2">
        <v>20</v>
      </c>
      <c r="I2387">
        <v>155</v>
      </c>
      <c r="J2387">
        <v>310</v>
      </c>
      <c r="K2387" s="4">
        <v>118</v>
      </c>
      <c r="L2387" t="s">
        <v>27</v>
      </c>
    </row>
    <row r="2388" spans="1:12" x14ac:dyDescent="0.35">
      <c r="A2388" t="s">
        <v>23</v>
      </c>
      <c r="B2388">
        <v>1197831</v>
      </c>
      <c r="C2388" s="1">
        <v>44479</v>
      </c>
      <c r="D2388" t="s">
        <v>19</v>
      </c>
      <c r="E2388" t="s">
        <v>24</v>
      </c>
      <c r="F2388" t="s">
        <v>25</v>
      </c>
      <c r="G2388" t="s">
        <v>70</v>
      </c>
      <c r="H2388" s="2">
        <v>40</v>
      </c>
      <c r="I2388">
        <v>155</v>
      </c>
      <c r="J2388">
        <v>620</v>
      </c>
      <c r="K2388" s="4">
        <v>291</v>
      </c>
      <c r="L2388" t="s">
        <v>27</v>
      </c>
    </row>
    <row r="2389" spans="1:12" x14ac:dyDescent="0.35">
      <c r="A2389" t="s">
        <v>12</v>
      </c>
      <c r="B2389">
        <v>1128299</v>
      </c>
      <c r="C2389" s="1">
        <v>44457</v>
      </c>
      <c r="D2389" t="s">
        <v>13</v>
      </c>
      <c r="E2389" t="s">
        <v>14</v>
      </c>
      <c r="F2389" t="s">
        <v>15</v>
      </c>
      <c r="G2389" t="s">
        <v>26</v>
      </c>
      <c r="H2389" s="2">
        <v>44</v>
      </c>
      <c r="I2389">
        <v>155</v>
      </c>
      <c r="J2389">
        <v>682</v>
      </c>
      <c r="K2389" s="4">
        <v>252</v>
      </c>
      <c r="L2389" t="s">
        <v>27</v>
      </c>
    </row>
    <row r="2390" spans="1:12" x14ac:dyDescent="0.35">
      <c r="A2390" t="s">
        <v>18</v>
      </c>
      <c r="B2390">
        <v>1128299</v>
      </c>
      <c r="C2390" s="1">
        <v>44341</v>
      </c>
      <c r="D2390" t="s">
        <v>48</v>
      </c>
      <c r="E2390" t="s">
        <v>85</v>
      </c>
      <c r="F2390" t="s">
        <v>86</v>
      </c>
      <c r="G2390" t="s">
        <v>26</v>
      </c>
      <c r="H2390" s="2">
        <v>39</v>
      </c>
      <c r="I2390">
        <v>155</v>
      </c>
      <c r="J2390">
        <v>605</v>
      </c>
      <c r="K2390" s="4">
        <v>254</v>
      </c>
      <c r="L2390" t="s">
        <v>27</v>
      </c>
    </row>
    <row r="2391" spans="1:12" x14ac:dyDescent="0.35">
      <c r="A2391" t="s">
        <v>18</v>
      </c>
      <c r="B2391">
        <v>1128299</v>
      </c>
      <c r="C2391" s="1">
        <v>44517</v>
      </c>
      <c r="D2391" t="s">
        <v>19</v>
      </c>
      <c r="E2391" t="s">
        <v>20</v>
      </c>
      <c r="F2391" t="s">
        <v>21</v>
      </c>
      <c r="G2391" t="s">
        <v>56</v>
      </c>
      <c r="H2391" s="2">
        <v>40</v>
      </c>
      <c r="I2391">
        <v>155</v>
      </c>
      <c r="J2391">
        <v>620</v>
      </c>
      <c r="K2391" s="4">
        <v>285</v>
      </c>
      <c r="L2391" t="s">
        <v>27</v>
      </c>
    </row>
    <row r="2392" spans="1:12" x14ac:dyDescent="0.35">
      <c r="A2392" t="s">
        <v>18</v>
      </c>
      <c r="B2392">
        <v>1197831</v>
      </c>
      <c r="C2392" s="1">
        <v>44321</v>
      </c>
      <c r="D2392" t="s">
        <v>48</v>
      </c>
      <c r="E2392" t="s">
        <v>79</v>
      </c>
      <c r="F2392" t="s">
        <v>80</v>
      </c>
      <c r="G2392" t="s">
        <v>56</v>
      </c>
      <c r="H2392" s="2">
        <v>24</v>
      </c>
      <c r="I2392">
        <v>155</v>
      </c>
      <c r="J2392">
        <v>372</v>
      </c>
      <c r="K2392" s="4">
        <v>186</v>
      </c>
      <c r="L2392" t="s">
        <v>27</v>
      </c>
    </row>
    <row r="2393" spans="1:12" x14ac:dyDescent="0.35">
      <c r="A2393" t="s">
        <v>18</v>
      </c>
      <c r="B2393">
        <v>1197831</v>
      </c>
      <c r="C2393" s="1">
        <v>44549</v>
      </c>
      <c r="D2393" t="s">
        <v>19</v>
      </c>
      <c r="E2393" t="s">
        <v>54</v>
      </c>
      <c r="F2393" t="s">
        <v>55</v>
      </c>
      <c r="G2393" t="s">
        <v>39</v>
      </c>
      <c r="H2393" s="2">
        <v>46</v>
      </c>
      <c r="I2393">
        <v>155</v>
      </c>
      <c r="J2393">
        <v>713</v>
      </c>
      <c r="K2393" s="4">
        <v>285</v>
      </c>
      <c r="L2393" t="s">
        <v>27</v>
      </c>
    </row>
    <row r="2394" spans="1:12" x14ac:dyDescent="0.35">
      <c r="A2394" t="s">
        <v>23</v>
      </c>
      <c r="B2394">
        <v>1185732</v>
      </c>
      <c r="C2394" s="1">
        <v>44290</v>
      </c>
      <c r="D2394" t="s">
        <v>43</v>
      </c>
      <c r="E2394" t="s">
        <v>108</v>
      </c>
      <c r="F2394" t="s">
        <v>109</v>
      </c>
      <c r="G2394" t="s">
        <v>26</v>
      </c>
      <c r="H2394" s="2">
        <v>28</v>
      </c>
      <c r="I2394">
        <v>155</v>
      </c>
      <c r="J2394">
        <v>434</v>
      </c>
      <c r="K2394" s="4">
        <v>200</v>
      </c>
      <c r="L2394" t="s">
        <v>27</v>
      </c>
    </row>
    <row r="2395" spans="1:12" x14ac:dyDescent="0.35">
      <c r="A2395" t="s">
        <v>23</v>
      </c>
      <c r="B2395">
        <v>1185732</v>
      </c>
      <c r="C2395" s="1">
        <v>44242</v>
      </c>
      <c r="D2395" t="s">
        <v>43</v>
      </c>
      <c r="E2395" t="s">
        <v>110</v>
      </c>
      <c r="F2395" t="s">
        <v>111</v>
      </c>
      <c r="G2395" t="s">
        <v>26</v>
      </c>
      <c r="H2395" s="2">
        <v>26</v>
      </c>
      <c r="I2395">
        <v>155</v>
      </c>
      <c r="J2395">
        <v>403</v>
      </c>
      <c r="K2395" s="4">
        <v>149</v>
      </c>
      <c r="L2395" t="s">
        <v>27</v>
      </c>
    </row>
    <row r="2396" spans="1:12" x14ac:dyDescent="0.35">
      <c r="A2396" t="s">
        <v>23</v>
      </c>
      <c r="B2396">
        <v>1185732</v>
      </c>
      <c r="C2396" s="1">
        <v>44268</v>
      </c>
      <c r="D2396" t="s">
        <v>43</v>
      </c>
      <c r="E2396" t="s">
        <v>112</v>
      </c>
      <c r="F2396" t="s">
        <v>113</v>
      </c>
      <c r="G2396" t="s">
        <v>26</v>
      </c>
      <c r="H2396" s="2">
        <v>28</v>
      </c>
      <c r="I2396">
        <v>155</v>
      </c>
      <c r="J2396">
        <v>434</v>
      </c>
      <c r="K2396" s="4">
        <v>148</v>
      </c>
      <c r="L2396" t="s">
        <v>27</v>
      </c>
    </row>
    <row r="2397" spans="1:12" x14ac:dyDescent="0.35">
      <c r="A2397" t="s">
        <v>23</v>
      </c>
      <c r="B2397">
        <v>1197831</v>
      </c>
      <c r="C2397" s="1">
        <v>44035</v>
      </c>
      <c r="D2397" t="s">
        <v>19</v>
      </c>
      <c r="E2397" t="s">
        <v>59</v>
      </c>
      <c r="F2397" t="s">
        <v>60</v>
      </c>
      <c r="G2397" t="s">
        <v>70</v>
      </c>
      <c r="H2397" s="2">
        <v>36</v>
      </c>
      <c r="I2397">
        <v>154</v>
      </c>
      <c r="J2397">
        <v>554</v>
      </c>
      <c r="K2397" s="4">
        <v>238</v>
      </c>
      <c r="L2397" t="s">
        <v>17</v>
      </c>
    </row>
    <row r="2398" spans="1:12" x14ac:dyDescent="0.35">
      <c r="A2398" t="s">
        <v>18</v>
      </c>
      <c r="B2398">
        <v>1128299</v>
      </c>
      <c r="C2398" s="1">
        <v>44200</v>
      </c>
      <c r="D2398" t="s">
        <v>48</v>
      </c>
      <c r="E2398" t="s">
        <v>66</v>
      </c>
      <c r="F2398" t="s">
        <v>67</v>
      </c>
      <c r="G2398" t="s">
        <v>70</v>
      </c>
      <c r="H2398" s="2">
        <v>60</v>
      </c>
      <c r="I2398">
        <v>154</v>
      </c>
      <c r="J2398">
        <v>924</v>
      </c>
      <c r="K2398" s="4">
        <v>610</v>
      </c>
      <c r="L2398" t="s">
        <v>17</v>
      </c>
    </row>
    <row r="2399" spans="1:12" x14ac:dyDescent="0.35">
      <c r="A2399" t="s">
        <v>63</v>
      </c>
      <c r="B2399">
        <v>1189833</v>
      </c>
      <c r="C2399" s="1">
        <v>44277</v>
      </c>
      <c r="D2399" t="s">
        <v>48</v>
      </c>
      <c r="E2399" t="s">
        <v>66</v>
      </c>
      <c r="F2399" t="s">
        <v>76</v>
      </c>
      <c r="G2399" t="s">
        <v>56</v>
      </c>
      <c r="H2399" s="2">
        <v>41</v>
      </c>
      <c r="I2399">
        <v>154</v>
      </c>
      <c r="J2399">
        <v>631</v>
      </c>
      <c r="K2399" s="4">
        <v>284</v>
      </c>
      <c r="L2399" t="s">
        <v>17</v>
      </c>
    </row>
    <row r="2400" spans="1:12" x14ac:dyDescent="0.35">
      <c r="A2400" t="s">
        <v>63</v>
      </c>
      <c r="B2400">
        <v>1189833</v>
      </c>
      <c r="C2400" s="1">
        <v>44302</v>
      </c>
      <c r="D2400" t="s">
        <v>48</v>
      </c>
      <c r="E2400" t="s">
        <v>66</v>
      </c>
      <c r="F2400" t="s">
        <v>76</v>
      </c>
      <c r="G2400" t="s">
        <v>56</v>
      </c>
      <c r="H2400" s="2">
        <v>41</v>
      </c>
      <c r="I2400">
        <v>154</v>
      </c>
      <c r="J2400">
        <v>631</v>
      </c>
      <c r="K2400" s="4">
        <v>303</v>
      </c>
      <c r="L2400" t="s">
        <v>17</v>
      </c>
    </row>
    <row r="2401" spans="1:12" x14ac:dyDescent="0.35">
      <c r="A2401" t="s">
        <v>23</v>
      </c>
      <c r="B2401">
        <v>1197831</v>
      </c>
      <c r="C2401" s="1">
        <v>44446</v>
      </c>
      <c r="D2401" t="s">
        <v>19</v>
      </c>
      <c r="E2401" t="s">
        <v>59</v>
      </c>
      <c r="F2401" t="s">
        <v>68</v>
      </c>
      <c r="G2401" t="s">
        <v>56</v>
      </c>
      <c r="H2401" s="2">
        <v>34</v>
      </c>
      <c r="I2401">
        <v>154</v>
      </c>
      <c r="J2401">
        <v>524</v>
      </c>
      <c r="K2401" s="4">
        <v>314</v>
      </c>
      <c r="L2401" t="s">
        <v>17</v>
      </c>
    </row>
    <row r="2402" spans="1:12" x14ac:dyDescent="0.35">
      <c r="A2402" t="s">
        <v>42</v>
      </c>
      <c r="B2402">
        <v>1128299</v>
      </c>
      <c r="C2402" s="1">
        <v>44386</v>
      </c>
      <c r="D2402" t="s">
        <v>48</v>
      </c>
      <c r="E2402" t="s">
        <v>129</v>
      </c>
      <c r="F2402" t="s">
        <v>130</v>
      </c>
      <c r="G2402" t="s">
        <v>16</v>
      </c>
      <c r="H2402" s="2">
        <v>96</v>
      </c>
      <c r="I2402">
        <v>154</v>
      </c>
      <c r="J2402" s="3">
        <v>1478</v>
      </c>
      <c r="K2402" s="4">
        <v>769</v>
      </c>
      <c r="L2402" t="s">
        <v>17</v>
      </c>
    </row>
    <row r="2403" spans="1:12" x14ac:dyDescent="0.35">
      <c r="A2403" t="s">
        <v>18</v>
      </c>
      <c r="B2403">
        <v>1185732</v>
      </c>
      <c r="C2403" s="1">
        <v>44237</v>
      </c>
      <c r="D2403" t="s">
        <v>43</v>
      </c>
      <c r="E2403" t="s">
        <v>44</v>
      </c>
      <c r="F2403" t="s">
        <v>101</v>
      </c>
      <c r="G2403" t="s">
        <v>70</v>
      </c>
      <c r="H2403" s="2">
        <v>50</v>
      </c>
      <c r="I2403">
        <v>154</v>
      </c>
      <c r="J2403">
        <v>770</v>
      </c>
      <c r="K2403" s="4">
        <v>354</v>
      </c>
      <c r="L2403" t="s">
        <v>17</v>
      </c>
    </row>
    <row r="2404" spans="1:12" x14ac:dyDescent="0.35">
      <c r="A2404" t="s">
        <v>18</v>
      </c>
      <c r="B2404">
        <v>1185732</v>
      </c>
      <c r="C2404" s="1">
        <v>44509</v>
      </c>
      <c r="D2404" t="s">
        <v>43</v>
      </c>
      <c r="E2404" t="s">
        <v>44</v>
      </c>
      <c r="F2404" t="s">
        <v>101</v>
      </c>
      <c r="G2404" t="s">
        <v>70</v>
      </c>
      <c r="H2404" s="2">
        <v>62</v>
      </c>
      <c r="I2404">
        <v>154</v>
      </c>
      <c r="J2404">
        <v>955</v>
      </c>
      <c r="K2404" s="4">
        <v>430</v>
      </c>
      <c r="L2404" t="s">
        <v>17</v>
      </c>
    </row>
    <row r="2405" spans="1:12" x14ac:dyDescent="0.35">
      <c r="A2405" t="s">
        <v>23</v>
      </c>
      <c r="B2405">
        <v>1128299</v>
      </c>
      <c r="C2405" s="1">
        <v>44553</v>
      </c>
      <c r="D2405" t="s">
        <v>13</v>
      </c>
      <c r="E2405" t="s">
        <v>99</v>
      </c>
      <c r="F2405" t="s">
        <v>100</v>
      </c>
      <c r="G2405" t="s">
        <v>32</v>
      </c>
      <c r="H2405" s="2">
        <v>64</v>
      </c>
      <c r="I2405">
        <v>154</v>
      </c>
      <c r="J2405">
        <v>986</v>
      </c>
      <c r="K2405" s="4">
        <v>473</v>
      </c>
      <c r="L2405" t="s">
        <v>17</v>
      </c>
    </row>
    <row r="2406" spans="1:12" x14ac:dyDescent="0.35">
      <c r="A2406" t="s">
        <v>23</v>
      </c>
      <c r="B2406">
        <v>1185732</v>
      </c>
      <c r="C2406" s="1">
        <v>44215</v>
      </c>
      <c r="D2406" t="s">
        <v>13</v>
      </c>
      <c r="E2406" t="s">
        <v>99</v>
      </c>
      <c r="F2406" t="s">
        <v>100</v>
      </c>
      <c r="G2406" t="s">
        <v>39</v>
      </c>
      <c r="H2406" s="2">
        <v>34</v>
      </c>
      <c r="I2406">
        <v>154</v>
      </c>
      <c r="J2406">
        <v>524</v>
      </c>
      <c r="K2406" s="4">
        <v>267</v>
      </c>
      <c r="L2406" t="s">
        <v>17</v>
      </c>
    </row>
    <row r="2407" spans="1:12" x14ac:dyDescent="0.35">
      <c r="A2407" t="s">
        <v>63</v>
      </c>
      <c r="B2407">
        <v>1128299</v>
      </c>
      <c r="C2407" s="1">
        <v>44312</v>
      </c>
      <c r="D2407" t="s">
        <v>48</v>
      </c>
      <c r="E2407" t="s">
        <v>114</v>
      </c>
      <c r="F2407" t="s">
        <v>115</v>
      </c>
      <c r="G2407" t="s">
        <v>26</v>
      </c>
      <c r="H2407" s="2">
        <v>51</v>
      </c>
      <c r="I2407">
        <v>154</v>
      </c>
      <c r="J2407">
        <v>785</v>
      </c>
      <c r="K2407" s="4">
        <v>353</v>
      </c>
      <c r="L2407" t="s">
        <v>17</v>
      </c>
    </row>
    <row r="2408" spans="1:12" x14ac:dyDescent="0.35">
      <c r="A2408" t="s">
        <v>63</v>
      </c>
      <c r="B2408">
        <v>1128299</v>
      </c>
      <c r="C2408" s="1">
        <v>44373</v>
      </c>
      <c r="D2408" t="s">
        <v>48</v>
      </c>
      <c r="E2408" t="s">
        <v>114</v>
      </c>
      <c r="F2408" t="s">
        <v>115</v>
      </c>
      <c r="G2408" t="s">
        <v>39</v>
      </c>
      <c r="H2408" s="2">
        <v>54</v>
      </c>
      <c r="I2408">
        <v>154</v>
      </c>
      <c r="J2408">
        <v>832</v>
      </c>
      <c r="K2408" s="4">
        <v>432</v>
      </c>
      <c r="L2408" t="s">
        <v>17</v>
      </c>
    </row>
    <row r="2409" spans="1:12" x14ac:dyDescent="0.35">
      <c r="A2409" t="s">
        <v>51</v>
      </c>
      <c r="B2409">
        <v>1185732</v>
      </c>
      <c r="C2409" s="1">
        <v>44386</v>
      </c>
      <c r="D2409" t="s">
        <v>33</v>
      </c>
      <c r="E2409" t="s">
        <v>52</v>
      </c>
      <c r="F2409" t="s">
        <v>53</v>
      </c>
      <c r="G2409" t="s">
        <v>70</v>
      </c>
      <c r="H2409" s="2">
        <v>59</v>
      </c>
      <c r="I2409">
        <v>154</v>
      </c>
      <c r="J2409">
        <v>909</v>
      </c>
      <c r="K2409" s="4">
        <v>418</v>
      </c>
      <c r="L2409" t="s">
        <v>17</v>
      </c>
    </row>
    <row r="2410" spans="1:12" x14ac:dyDescent="0.35">
      <c r="A2410" t="s">
        <v>18</v>
      </c>
      <c r="B2410">
        <v>1197831</v>
      </c>
      <c r="C2410" s="1">
        <v>44274</v>
      </c>
      <c r="D2410" t="s">
        <v>19</v>
      </c>
      <c r="E2410" t="s">
        <v>61</v>
      </c>
      <c r="F2410" t="s">
        <v>62</v>
      </c>
      <c r="G2410" t="s">
        <v>26</v>
      </c>
      <c r="H2410" s="2">
        <v>19</v>
      </c>
      <c r="I2410">
        <v>154</v>
      </c>
      <c r="J2410">
        <v>293</v>
      </c>
      <c r="K2410" s="4">
        <v>146</v>
      </c>
      <c r="L2410" t="s">
        <v>17</v>
      </c>
    </row>
    <row r="2411" spans="1:12" x14ac:dyDescent="0.35">
      <c r="A2411" t="s">
        <v>42</v>
      </c>
      <c r="B2411">
        <v>1185732</v>
      </c>
      <c r="C2411" s="1">
        <v>44388</v>
      </c>
      <c r="D2411" t="s">
        <v>33</v>
      </c>
      <c r="E2411" t="s">
        <v>87</v>
      </c>
      <c r="F2411" t="s">
        <v>88</v>
      </c>
      <c r="G2411" t="s">
        <v>26</v>
      </c>
      <c r="H2411" s="2">
        <v>47</v>
      </c>
      <c r="I2411">
        <v>154</v>
      </c>
      <c r="J2411">
        <v>724</v>
      </c>
      <c r="K2411" s="4">
        <v>333</v>
      </c>
      <c r="L2411" t="s">
        <v>17</v>
      </c>
    </row>
    <row r="2412" spans="1:12" x14ac:dyDescent="0.35">
      <c r="A2412" t="s">
        <v>18</v>
      </c>
      <c r="B2412">
        <v>1185732</v>
      </c>
      <c r="C2412" s="1">
        <v>44457</v>
      </c>
      <c r="D2412" t="s">
        <v>43</v>
      </c>
      <c r="E2412" t="s">
        <v>64</v>
      </c>
      <c r="F2412" t="s">
        <v>65</v>
      </c>
      <c r="G2412" t="s">
        <v>26</v>
      </c>
      <c r="H2412" s="2">
        <v>34</v>
      </c>
      <c r="I2412">
        <v>154</v>
      </c>
      <c r="J2412">
        <v>524</v>
      </c>
      <c r="K2412" s="4">
        <v>267</v>
      </c>
      <c r="L2412" t="s">
        <v>17</v>
      </c>
    </row>
    <row r="2413" spans="1:12" x14ac:dyDescent="0.35">
      <c r="A2413" t="s">
        <v>51</v>
      </c>
      <c r="B2413">
        <v>1185732</v>
      </c>
      <c r="C2413" s="1">
        <v>44326</v>
      </c>
      <c r="D2413" t="s">
        <v>43</v>
      </c>
      <c r="E2413" t="s">
        <v>125</v>
      </c>
      <c r="F2413" t="s">
        <v>126</v>
      </c>
      <c r="G2413" t="s">
        <v>26</v>
      </c>
      <c r="H2413" s="2">
        <v>55</v>
      </c>
      <c r="I2413">
        <v>154</v>
      </c>
      <c r="J2413">
        <v>847</v>
      </c>
      <c r="K2413" s="4">
        <v>483</v>
      </c>
      <c r="L2413" t="s">
        <v>17</v>
      </c>
    </row>
    <row r="2414" spans="1:12" x14ac:dyDescent="0.35">
      <c r="A2414" t="s">
        <v>51</v>
      </c>
      <c r="B2414">
        <v>1185732</v>
      </c>
      <c r="C2414" s="1">
        <v>44304</v>
      </c>
      <c r="D2414" t="s">
        <v>43</v>
      </c>
      <c r="E2414" t="s">
        <v>127</v>
      </c>
      <c r="F2414" t="s">
        <v>128</v>
      </c>
      <c r="G2414" t="s">
        <v>26</v>
      </c>
      <c r="H2414" s="2">
        <v>48</v>
      </c>
      <c r="I2414">
        <v>154</v>
      </c>
      <c r="J2414">
        <v>739</v>
      </c>
      <c r="K2414" s="4">
        <v>392</v>
      </c>
      <c r="L2414" t="s">
        <v>17</v>
      </c>
    </row>
    <row r="2415" spans="1:12" x14ac:dyDescent="0.35">
      <c r="A2415" t="s">
        <v>51</v>
      </c>
      <c r="B2415">
        <v>1185732</v>
      </c>
      <c r="C2415" s="1">
        <v>44456</v>
      </c>
      <c r="D2415" t="s">
        <v>43</v>
      </c>
      <c r="E2415" t="s">
        <v>127</v>
      </c>
      <c r="F2415" t="s">
        <v>128</v>
      </c>
      <c r="G2415" t="s">
        <v>26</v>
      </c>
      <c r="H2415" s="2">
        <v>59</v>
      </c>
      <c r="I2415">
        <v>154</v>
      </c>
      <c r="J2415">
        <v>909</v>
      </c>
      <c r="K2415" s="4">
        <v>472</v>
      </c>
      <c r="L2415" t="s">
        <v>17</v>
      </c>
    </row>
    <row r="2416" spans="1:12" x14ac:dyDescent="0.35">
      <c r="A2416" t="s">
        <v>51</v>
      </c>
      <c r="B2416">
        <v>1185732</v>
      </c>
      <c r="C2416" s="1">
        <v>44275</v>
      </c>
      <c r="D2416" t="s">
        <v>48</v>
      </c>
      <c r="E2416" t="s">
        <v>137</v>
      </c>
      <c r="F2416" t="s">
        <v>138</v>
      </c>
      <c r="G2416" t="s">
        <v>26</v>
      </c>
      <c r="H2416" s="2">
        <v>53</v>
      </c>
      <c r="I2416">
        <v>153</v>
      </c>
      <c r="J2416">
        <v>811</v>
      </c>
      <c r="K2416" s="4">
        <v>397</v>
      </c>
      <c r="L2416" t="s">
        <v>17</v>
      </c>
    </row>
    <row r="2417" spans="1:12" x14ac:dyDescent="0.35">
      <c r="A2417" t="s">
        <v>63</v>
      </c>
      <c r="B2417">
        <v>1197831</v>
      </c>
      <c r="C2417" s="1">
        <v>44267</v>
      </c>
      <c r="D2417" t="s">
        <v>33</v>
      </c>
      <c r="E2417" t="s">
        <v>71</v>
      </c>
      <c r="F2417" t="s">
        <v>72</v>
      </c>
      <c r="G2417" t="s">
        <v>26</v>
      </c>
      <c r="H2417" s="2">
        <v>20</v>
      </c>
      <c r="I2417">
        <v>153</v>
      </c>
      <c r="J2417">
        <v>306</v>
      </c>
      <c r="K2417" s="4">
        <v>150</v>
      </c>
      <c r="L2417" t="s">
        <v>17</v>
      </c>
    </row>
    <row r="2418" spans="1:12" x14ac:dyDescent="0.35">
      <c r="A2418" t="s">
        <v>23</v>
      </c>
      <c r="B2418">
        <v>1197831</v>
      </c>
      <c r="C2418" s="1">
        <v>44436</v>
      </c>
      <c r="D2418" t="s">
        <v>19</v>
      </c>
      <c r="E2418" t="s">
        <v>59</v>
      </c>
      <c r="F2418" t="s">
        <v>68</v>
      </c>
      <c r="G2418" t="s">
        <v>16</v>
      </c>
      <c r="H2418" s="2">
        <v>27</v>
      </c>
      <c r="I2418">
        <v>153</v>
      </c>
      <c r="J2418">
        <v>413</v>
      </c>
      <c r="K2418" s="4">
        <v>223</v>
      </c>
      <c r="L2418" t="s">
        <v>27</v>
      </c>
    </row>
    <row r="2419" spans="1:12" x14ac:dyDescent="0.35">
      <c r="A2419" t="s">
        <v>23</v>
      </c>
      <c r="B2419">
        <v>1197831</v>
      </c>
      <c r="C2419" s="1">
        <v>44447</v>
      </c>
      <c r="D2419" t="s">
        <v>19</v>
      </c>
      <c r="E2419" t="s">
        <v>59</v>
      </c>
      <c r="F2419" t="s">
        <v>68</v>
      </c>
      <c r="G2419" t="s">
        <v>70</v>
      </c>
      <c r="H2419" s="2">
        <v>38</v>
      </c>
      <c r="I2419">
        <v>153</v>
      </c>
      <c r="J2419">
        <v>581</v>
      </c>
      <c r="K2419" s="4">
        <v>209</v>
      </c>
      <c r="L2419" t="s">
        <v>27</v>
      </c>
    </row>
    <row r="2420" spans="1:12" x14ac:dyDescent="0.35">
      <c r="A2420" t="s">
        <v>12</v>
      </c>
      <c r="B2420">
        <v>1128299</v>
      </c>
      <c r="C2420" s="1">
        <v>44364</v>
      </c>
      <c r="D2420" t="s">
        <v>13</v>
      </c>
      <c r="E2420" t="s">
        <v>14</v>
      </c>
      <c r="F2420" t="s">
        <v>15</v>
      </c>
      <c r="G2420" t="s">
        <v>70</v>
      </c>
      <c r="H2420" s="2">
        <v>71</v>
      </c>
      <c r="I2420">
        <v>153</v>
      </c>
      <c r="J2420" s="3">
        <v>1086</v>
      </c>
      <c r="K2420" s="4">
        <v>239</v>
      </c>
      <c r="L2420" t="s">
        <v>27</v>
      </c>
    </row>
    <row r="2421" spans="1:12" x14ac:dyDescent="0.35">
      <c r="A2421" t="s">
        <v>42</v>
      </c>
      <c r="B2421">
        <v>1128299</v>
      </c>
      <c r="C2421" s="1">
        <v>44464</v>
      </c>
      <c r="D2421" t="s">
        <v>13</v>
      </c>
      <c r="E2421" t="s">
        <v>99</v>
      </c>
      <c r="F2421" t="s">
        <v>100</v>
      </c>
      <c r="G2421" t="s">
        <v>39</v>
      </c>
      <c r="H2421" s="2">
        <v>43</v>
      </c>
      <c r="I2421">
        <v>153</v>
      </c>
      <c r="J2421">
        <v>658</v>
      </c>
      <c r="K2421" s="4">
        <v>257</v>
      </c>
      <c r="L2421" t="s">
        <v>27</v>
      </c>
    </row>
    <row r="2422" spans="1:12" x14ac:dyDescent="0.35">
      <c r="A2422" t="s">
        <v>23</v>
      </c>
      <c r="B2422">
        <v>1185732</v>
      </c>
      <c r="C2422" s="1">
        <v>44244</v>
      </c>
      <c r="D2422" t="s">
        <v>13</v>
      </c>
      <c r="E2422" t="s">
        <v>99</v>
      </c>
      <c r="F2422" t="s">
        <v>100</v>
      </c>
      <c r="G2422" t="s">
        <v>39</v>
      </c>
      <c r="H2422" s="2">
        <v>27</v>
      </c>
      <c r="I2422">
        <v>153</v>
      </c>
      <c r="J2422">
        <v>413</v>
      </c>
      <c r="K2422" s="4">
        <v>186</v>
      </c>
      <c r="L2422" t="s">
        <v>27</v>
      </c>
    </row>
    <row r="2423" spans="1:12" x14ac:dyDescent="0.35">
      <c r="A2423" t="s">
        <v>18</v>
      </c>
      <c r="B2423">
        <v>1185732</v>
      </c>
      <c r="C2423" s="1">
        <v>44540</v>
      </c>
      <c r="D2423" t="s">
        <v>48</v>
      </c>
      <c r="E2423" t="s">
        <v>49</v>
      </c>
      <c r="F2423" t="s">
        <v>50</v>
      </c>
      <c r="G2423" t="s">
        <v>32</v>
      </c>
      <c r="H2423" s="2">
        <v>20</v>
      </c>
      <c r="I2423">
        <v>153</v>
      </c>
      <c r="J2423">
        <v>306</v>
      </c>
      <c r="K2423" s="4">
        <v>113</v>
      </c>
      <c r="L2423" t="s">
        <v>27</v>
      </c>
    </row>
    <row r="2424" spans="1:12" x14ac:dyDescent="0.35">
      <c r="A2424" t="s">
        <v>18</v>
      </c>
      <c r="B2424">
        <v>1128299</v>
      </c>
      <c r="C2424" s="1">
        <v>44251</v>
      </c>
      <c r="D2424" t="s">
        <v>48</v>
      </c>
      <c r="E2424" t="s">
        <v>49</v>
      </c>
      <c r="F2424" t="s">
        <v>50</v>
      </c>
      <c r="G2424" t="s">
        <v>26</v>
      </c>
      <c r="H2424" s="2">
        <v>22</v>
      </c>
      <c r="I2424">
        <v>153</v>
      </c>
      <c r="J2424">
        <v>337</v>
      </c>
      <c r="K2424" s="4">
        <v>138</v>
      </c>
      <c r="L2424" t="s">
        <v>27</v>
      </c>
    </row>
    <row r="2425" spans="1:12" x14ac:dyDescent="0.35">
      <c r="A2425" t="s">
        <v>18</v>
      </c>
      <c r="B2425">
        <v>1128299</v>
      </c>
      <c r="C2425" s="1">
        <v>44364</v>
      </c>
      <c r="D2425" t="s">
        <v>19</v>
      </c>
      <c r="E2425" t="s">
        <v>20</v>
      </c>
      <c r="F2425" t="s">
        <v>21</v>
      </c>
      <c r="G2425" t="s">
        <v>70</v>
      </c>
      <c r="H2425" s="2">
        <v>70</v>
      </c>
      <c r="I2425">
        <v>153</v>
      </c>
      <c r="J2425" s="3">
        <v>1071</v>
      </c>
      <c r="K2425" s="4">
        <v>503</v>
      </c>
      <c r="L2425" t="s">
        <v>27</v>
      </c>
    </row>
    <row r="2426" spans="1:12" x14ac:dyDescent="0.35">
      <c r="A2426" t="s">
        <v>42</v>
      </c>
      <c r="B2426">
        <v>1128299</v>
      </c>
      <c r="C2426" s="1">
        <v>44431</v>
      </c>
      <c r="D2426" t="s">
        <v>48</v>
      </c>
      <c r="E2426" t="s">
        <v>123</v>
      </c>
      <c r="F2426" t="s">
        <v>124</v>
      </c>
      <c r="G2426" t="s">
        <v>32</v>
      </c>
      <c r="H2426" s="2">
        <v>37</v>
      </c>
      <c r="I2426">
        <v>153</v>
      </c>
      <c r="J2426">
        <v>566</v>
      </c>
      <c r="K2426" s="4">
        <v>232</v>
      </c>
      <c r="L2426" t="s">
        <v>27</v>
      </c>
    </row>
    <row r="2427" spans="1:12" x14ac:dyDescent="0.35">
      <c r="A2427" t="s">
        <v>63</v>
      </c>
      <c r="B2427">
        <v>1128299</v>
      </c>
      <c r="C2427" s="1">
        <v>44434</v>
      </c>
      <c r="D2427" t="s">
        <v>48</v>
      </c>
      <c r="E2427" t="s">
        <v>114</v>
      </c>
      <c r="F2427" t="s">
        <v>115</v>
      </c>
      <c r="G2427" t="s">
        <v>16</v>
      </c>
      <c r="H2427" s="2">
        <v>50</v>
      </c>
      <c r="I2427">
        <v>153</v>
      </c>
      <c r="J2427">
        <v>765</v>
      </c>
      <c r="K2427" s="4">
        <v>245</v>
      </c>
      <c r="L2427" t="s">
        <v>27</v>
      </c>
    </row>
    <row r="2428" spans="1:12" x14ac:dyDescent="0.35">
      <c r="A2428" t="s">
        <v>23</v>
      </c>
      <c r="B2428">
        <v>1185732</v>
      </c>
      <c r="C2428" s="1">
        <v>44517</v>
      </c>
      <c r="D2428" t="s">
        <v>19</v>
      </c>
      <c r="E2428" t="s">
        <v>37</v>
      </c>
      <c r="F2428" t="s">
        <v>38</v>
      </c>
      <c r="G2428" t="s">
        <v>39</v>
      </c>
      <c r="H2428" s="2">
        <v>15</v>
      </c>
      <c r="I2428">
        <v>153</v>
      </c>
      <c r="J2428">
        <v>230</v>
      </c>
      <c r="K2428" s="4">
        <v>87</v>
      </c>
      <c r="L2428" t="s">
        <v>27</v>
      </c>
    </row>
    <row r="2429" spans="1:12" x14ac:dyDescent="0.35">
      <c r="A2429" t="s">
        <v>23</v>
      </c>
      <c r="B2429">
        <v>1185732</v>
      </c>
      <c r="C2429" s="1">
        <v>44517</v>
      </c>
      <c r="D2429" t="s">
        <v>19</v>
      </c>
      <c r="E2429" t="s">
        <v>37</v>
      </c>
      <c r="F2429" t="s">
        <v>38</v>
      </c>
      <c r="G2429" t="s">
        <v>56</v>
      </c>
      <c r="H2429" s="2">
        <v>43</v>
      </c>
      <c r="I2429">
        <v>153</v>
      </c>
      <c r="J2429">
        <v>658</v>
      </c>
      <c r="K2429" s="4">
        <v>289</v>
      </c>
      <c r="L2429" t="s">
        <v>27</v>
      </c>
    </row>
    <row r="2430" spans="1:12" x14ac:dyDescent="0.35">
      <c r="A2430" t="s">
        <v>23</v>
      </c>
      <c r="B2430">
        <v>1185732</v>
      </c>
      <c r="C2430" s="1">
        <v>44474</v>
      </c>
      <c r="D2430" t="s">
        <v>43</v>
      </c>
      <c r="E2430" t="s">
        <v>108</v>
      </c>
      <c r="F2430" t="s">
        <v>109</v>
      </c>
      <c r="G2430" t="s">
        <v>26</v>
      </c>
      <c r="H2430" s="2">
        <v>46</v>
      </c>
      <c r="I2430">
        <v>153</v>
      </c>
      <c r="J2430">
        <v>704</v>
      </c>
      <c r="K2430" s="4">
        <v>296</v>
      </c>
      <c r="L2430" t="s">
        <v>27</v>
      </c>
    </row>
    <row r="2431" spans="1:12" x14ac:dyDescent="0.35">
      <c r="A2431" t="s">
        <v>23</v>
      </c>
      <c r="B2431">
        <v>1185732</v>
      </c>
      <c r="C2431" s="1">
        <v>44452</v>
      </c>
      <c r="D2431" t="s">
        <v>43</v>
      </c>
      <c r="E2431" t="s">
        <v>112</v>
      </c>
      <c r="F2431" t="s">
        <v>113</v>
      </c>
      <c r="G2431" t="s">
        <v>26</v>
      </c>
      <c r="H2431" s="2">
        <v>36</v>
      </c>
      <c r="I2431">
        <v>153</v>
      </c>
      <c r="J2431">
        <v>551</v>
      </c>
      <c r="K2431" s="4">
        <v>187</v>
      </c>
      <c r="L2431" t="s">
        <v>27</v>
      </c>
    </row>
    <row r="2432" spans="1:12" x14ac:dyDescent="0.35">
      <c r="A2432" t="s">
        <v>18</v>
      </c>
      <c r="B2432">
        <v>1128299</v>
      </c>
      <c r="C2432" s="1">
        <v>44194</v>
      </c>
      <c r="D2432" t="s">
        <v>48</v>
      </c>
      <c r="E2432" t="s">
        <v>66</v>
      </c>
      <c r="F2432" t="s">
        <v>67</v>
      </c>
      <c r="G2432" t="s">
        <v>70</v>
      </c>
      <c r="H2432" s="2">
        <v>59</v>
      </c>
      <c r="I2432">
        <v>152</v>
      </c>
      <c r="J2432">
        <v>897</v>
      </c>
      <c r="K2432" s="4">
        <v>583</v>
      </c>
      <c r="L2432" t="s">
        <v>17</v>
      </c>
    </row>
    <row r="2433" spans="1:12" x14ac:dyDescent="0.35">
      <c r="A2433" t="s">
        <v>63</v>
      </c>
      <c r="B2433">
        <v>1189833</v>
      </c>
      <c r="C2433" s="1">
        <v>44271</v>
      </c>
      <c r="D2433" t="s">
        <v>48</v>
      </c>
      <c r="E2433" t="s">
        <v>66</v>
      </c>
      <c r="F2433" t="s">
        <v>76</v>
      </c>
      <c r="G2433" t="s">
        <v>56</v>
      </c>
      <c r="H2433" s="2">
        <v>41</v>
      </c>
      <c r="I2433">
        <v>152</v>
      </c>
      <c r="J2433">
        <v>623</v>
      </c>
      <c r="K2433" s="4">
        <v>305</v>
      </c>
      <c r="L2433" t="s">
        <v>17</v>
      </c>
    </row>
    <row r="2434" spans="1:12" x14ac:dyDescent="0.35">
      <c r="A2434" t="s">
        <v>63</v>
      </c>
      <c r="B2434">
        <v>1189833</v>
      </c>
      <c r="C2434" s="1">
        <v>44296</v>
      </c>
      <c r="D2434" t="s">
        <v>48</v>
      </c>
      <c r="E2434" t="s">
        <v>66</v>
      </c>
      <c r="F2434" t="s">
        <v>76</v>
      </c>
      <c r="G2434" t="s">
        <v>56</v>
      </c>
      <c r="H2434" s="2">
        <v>43</v>
      </c>
      <c r="I2434">
        <v>152</v>
      </c>
      <c r="J2434">
        <v>654</v>
      </c>
      <c r="K2434" s="4">
        <v>320</v>
      </c>
      <c r="L2434" t="s">
        <v>17</v>
      </c>
    </row>
    <row r="2435" spans="1:12" x14ac:dyDescent="0.35">
      <c r="A2435" t="s">
        <v>23</v>
      </c>
      <c r="B2435">
        <v>1197831</v>
      </c>
      <c r="C2435" s="1">
        <v>44422</v>
      </c>
      <c r="D2435" t="s">
        <v>33</v>
      </c>
      <c r="E2435" t="s">
        <v>118</v>
      </c>
      <c r="F2435" t="s">
        <v>119</v>
      </c>
      <c r="G2435" t="s">
        <v>56</v>
      </c>
      <c r="H2435" s="2">
        <v>34</v>
      </c>
      <c r="I2435">
        <v>152</v>
      </c>
      <c r="J2435">
        <v>517</v>
      </c>
      <c r="K2435" s="4">
        <v>264</v>
      </c>
      <c r="L2435" t="s">
        <v>17</v>
      </c>
    </row>
    <row r="2436" spans="1:12" x14ac:dyDescent="0.35">
      <c r="A2436" t="s">
        <v>23</v>
      </c>
      <c r="B2436">
        <v>1197831</v>
      </c>
      <c r="C2436" s="1">
        <v>44439</v>
      </c>
      <c r="D2436" t="s">
        <v>19</v>
      </c>
      <c r="E2436" t="s">
        <v>59</v>
      </c>
      <c r="F2436" t="s">
        <v>68</v>
      </c>
      <c r="G2436" t="s">
        <v>32</v>
      </c>
      <c r="H2436" s="2">
        <v>25</v>
      </c>
      <c r="I2436">
        <v>152</v>
      </c>
      <c r="J2436">
        <v>380</v>
      </c>
      <c r="K2436" s="4">
        <v>186</v>
      </c>
      <c r="L2436" t="s">
        <v>17</v>
      </c>
    </row>
    <row r="2437" spans="1:12" x14ac:dyDescent="0.35">
      <c r="A2437" t="s">
        <v>18</v>
      </c>
      <c r="B2437">
        <v>1128299</v>
      </c>
      <c r="C2437" s="1">
        <v>43876</v>
      </c>
      <c r="D2437" t="s">
        <v>48</v>
      </c>
      <c r="E2437" t="s">
        <v>116</v>
      </c>
      <c r="F2437" t="s">
        <v>117</v>
      </c>
      <c r="G2437" t="s">
        <v>32</v>
      </c>
      <c r="H2437" s="2">
        <v>60</v>
      </c>
      <c r="I2437">
        <v>152</v>
      </c>
      <c r="J2437">
        <v>912</v>
      </c>
      <c r="K2437" s="4">
        <v>474</v>
      </c>
      <c r="L2437" t="s">
        <v>17</v>
      </c>
    </row>
    <row r="2438" spans="1:12" x14ac:dyDescent="0.35">
      <c r="A2438" t="s">
        <v>18</v>
      </c>
      <c r="B2438">
        <v>1128299</v>
      </c>
      <c r="C2438" s="1">
        <v>43960</v>
      </c>
      <c r="D2438" t="s">
        <v>48</v>
      </c>
      <c r="E2438" t="s">
        <v>133</v>
      </c>
      <c r="F2438" t="s">
        <v>134</v>
      </c>
      <c r="G2438" t="s">
        <v>39</v>
      </c>
      <c r="H2438" s="2">
        <v>54</v>
      </c>
      <c r="I2438">
        <v>152</v>
      </c>
      <c r="J2438">
        <v>821</v>
      </c>
      <c r="K2438" s="4">
        <v>287</v>
      </c>
      <c r="L2438" t="s">
        <v>17</v>
      </c>
    </row>
    <row r="2439" spans="1:12" x14ac:dyDescent="0.35">
      <c r="A2439" t="s">
        <v>18</v>
      </c>
      <c r="B2439">
        <v>1185732</v>
      </c>
      <c r="C2439" s="1">
        <v>44295</v>
      </c>
      <c r="D2439" t="s">
        <v>43</v>
      </c>
      <c r="E2439" t="s">
        <v>44</v>
      </c>
      <c r="F2439" t="s">
        <v>101</v>
      </c>
      <c r="G2439" t="s">
        <v>32</v>
      </c>
      <c r="H2439" s="2">
        <v>34</v>
      </c>
      <c r="I2439">
        <v>152</v>
      </c>
      <c r="J2439">
        <v>517</v>
      </c>
      <c r="K2439" s="4">
        <v>186</v>
      </c>
      <c r="L2439" t="s">
        <v>17</v>
      </c>
    </row>
    <row r="2440" spans="1:12" x14ac:dyDescent="0.35">
      <c r="A2440" t="s">
        <v>63</v>
      </c>
      <c r="B2440">
        <v>1185732</v>
      </c>
      <c r="C2440" s="1">
        <v>44326</v>
      </c>
      <c r="D2440" t="s">
        <v>48</v>
      </c>
      <c r="E2440" t="s">
        <v>102</v>
      </c>
      <c r="F2440" t="s">
        <v>103</v>
      </c>
      <c r="G2440" t="s">
        <v>39</v>
      </c>
      <c r="H2440" s="2">
        <v>41</v>
      </c>
      <c r="I2440">
        <v>152</v>
      </c>
      <c r="J2440">
        <v>623</v>
      </c>
      <c r="K2440" s="4">
        <v>249</v>
      </c>
      <c r="L2440" t="s">
        <v>17</v>
      </c>
    </row>
    <row r="2441" spans="1:12" x14ac:dyDescent="0.35">
      <c r="A2441" t="s">
        <v>42</v>
      </c>
      <c r="B2441">
        <v>1128299</v>
      </c>
      <c r="C2441" s="1">
        <v>44341</v>
      </c>
      <c r="D2441" t="s">
        <v>13</v>
      </c>
      <c r="E2441" t="s">
        <v>99</v>
      </c>
      <c r="F2441" t="s">
        <v>100</v>
      </c>
      <c r="G2441" t="s">
        <v>16</v>
      </c>
      <c r="H2441" s="2">
        <v>56</v>
      </c>
      <c r="I2441">
        <v>152</v>
      </c>
      <c r="J2441">
        <v>851</v>
      </c>
      <c r="K2441" s="4">
        <v>366</v>
      </c>
      <c r="L2441" t="s">
        <v>17</v>
      </c>
    </row>
    <row r="2442" spans="1:12" x14ac:dyDescent="0.35">
      <c r="A2442" t="s">
        <v>23</v>
      </c>
      <c r="B2442">
        <v>1185732</v>
      </c>
      <c r="C2442" s="1">
        <v>44302</v>
      </c>
      <c r="D2442" t="s">
        <v>33</v>
      </c>
      <c r="E2442" t="s">
        <v>45</v>
      </c>
      <c r="F2442" t="s">
        <v>46</v>
      </c>
      <c r="G2442" t="s">
        <v>16</v>
      </c>
      <c r="H2442" s="2">
        <v>37</v>
      </c>
      <c r="I2442">
        <v>152</v>
      </c>
      <c r="J2442">
        <v>562</v>
      </c>
      <c r="K2442" s="4">
        <v>388</v>
      </c>
      <c r="L2442" t="s">
        <v>17</v>
      </c>
    </row>
    <row r="2443" spans="1:12" x14ac:dyDescent="0.35">
      <c r="A2443" t="s">
        <v>23</v>
      </c>
      <c r="B2443">
        <v>1185732</v>
      </c>
      <c r="C2443" s="1">
        <v>44364</v>
      </c>
      <c r="D2443" t="s">
        <v>33</v>
      </c>
      <c r="E2443" t="s">
        <v>45</v>
      </c>
      <c r="F2443" t="s">
        <v>46</v>
      </c>
      <c r="G2443" t="s">
        <v>70</v>
      </c>
      <c r="H2443" s="2">
        <v>57</v>
      </c>
      <c r="I2443">
        <v>152</v>
      </c>
      <c r="J2443">
        <v>866</v>
      </c>
      <c r="K2443" s="4">
        <v>477</v>
      </c>
      <c r="L2443" t="s">
        <v>17</v>
      </c>
    </row>
    <row r="2444" spans="1:12" x14ac:dyDescent="0.35">
      <c r="A2444" t="s">
        <v>18</v>
      </c>
      <c r="B2444">
        <v>1185732</v>
      </c>
      <c r="C2444" s="1">
        <v>44419</v>
      </c>
      <c r="D2444" t="s">
        <v>48</v>
      </c>
      <c r="E2444" t="s">
        <v>49</v>
      </c>
      <c r="F2444" t="s">
        <v>50</v>
      </c>
      <c r="G2444" t="s">
        <v>16</v>
      </c>
      <c r="H2444" s="2">
        <v>32</v>
      </c>
      <c r="I2444">
        <v>152</v>
      </c>
      <c r="J2444">
        <v>486</v>
      </c>
      <c r="K2444" s="4">
        <v>292</v>
      </c>
      <c r="L2444" t="s">
        <v>17</v>
      </c>
    </row>
    <row r="2445" spans="1:12" x14ac:dyDescent="0.35">
      <c r="A2445" t="s">
        <v>51</v>
      </c>
      <c r="B2445">
        <v>1185732</v>
      </c>
      <c r="C2445" s="1">
        <v>44386</v>
      </c>
      <c r="D2445" t="s">
        <v>33</v>
      </c>
      <c r="E2445" t="s">
        <v>52</v>
      </c>
      <c r="F2445" t="s">
        <v>53</v>
      </c>
      <c r="G2445" t="s">
        <v>56</v>
      </c>
      <c r="H2445" s="2">
        <v>53</v>
      </c>
      <c r="I2445">
        <v>152</v>
      </c>
      <c r="J2445">
        <v>806</v>
      </c>
      <c r="K2445" s="4">
        <v>435</v>
      </c>
      <c r="L2445" t="s">
        <v>17</v>
      </c>
    </row>
    <row r="2446" spans="1:12" x14ac:dyDescent="0.35">
      <c r="A2446" t="s">
        <v>12</v>
      </c>
      <c r="B2446">
        <v>1197831</v>
      </c>
      <c r="C2446" s="1">
        <v>44428</v>
      </c>
      <c r="D2446" t="s">
        <v>19</v>
      </c>
      <c r="E2446" t="s">
        <v>54</v>
      </c>
      <c r="F2446" t="s">
        <v>55</v>
      </c>
      <c r="G2446" t="s">
        <v>39</v>
      </c>
      <c r="H2446" s="2">
        <v>50</v>
      </c>
      <c r="I2446">
        <v>152</v>
      </c>
      <c r="J2446">
        <v>760</v>
      </c>
      <c r="K2446" s="4">
        <v>365</v>
      </c>
      <c r="L2446" t="s">
        <v>17</v>
      </c>
    </row>
    <row r="2447" spans="1:12" x14ac:dyDescent="0.35">
      <c r="A2447" t="s">
        <v>18</v>
      </c>
      <c r="B2447">
        <v>1197831</v>
      </c>
      <c r="C2447" s="1">
        <v>44306</v>
      </c>
      <c r="D2447" t="s">
        <v>19</v>
      </c>
      <c r="E2447" t="s">
        <v>61</v>
      </c>
      <c r="F2447" t="s">
        <v>62</v>
      </c>
      <c r="G2447" t="s">
        <v>26</v>
      </c>
      <c r="H2447" s="2">
        <v>24</v>
      </c>
      <c r="I2447">
        <v>152</v>
      </c>
      <c r="J2447">
        <v>365</v>
      </c>
      <c r="K2447" s="4">
        <v>193</v>
      </c>
      <c r="L2447" t="s">
        <v>17</v>
      </c>
    </row>
    <row r="2448" spans="1:12" x14ac:dyDescent="0.35">
      <c r="A2448" t="s">
        <v>23</v>
      </c>
      <c r="B2448">
        <v>1185732</v>
      </c>
      <c r="C2448" s="1">
        <v>44236</v>
      </c>
      <c r="D2448" t="s">
        <v>33</v>
      </c>
      <c r="E2448" t="s">
        <v>87</v>
      </c>
      <c r="F2448" t="s">
        <v>88</v>
      </c>
      <c r="G2448" t="s">
        <v>26</v>
      </c>
      <c r="H2448" s="2">
        <v>34</v>
      </c>
      <c r="I2448">
        <v>152</v>
      </c>
      <c r="J2448">
        <v>517</v>
      </c>
      <c r="K2448" s="4">
        <v>233</v>
      </c>
      <c r="L2448" t="s">
        <v>17</v>
      </c>
    </row>
    <row r="2449" spans="1:12" x14ac:dyDescent="0.35">
      <c r="A2449" t="s">
        <v>18</v>
      </c>
      <c r="B2449">
        <v>1185732</v>
      </c>
      <c r="C2449" s="1">
        <v>44418</v>
      </c>
      <c r="D2449" t="s">
        <v>33</v>
      </c>
      <c r="E2449" t="s">
        <v>81</v>
      </c>
      <c r="F2449" t="s">
        <v>82</v>
      </c>
      <c r="G2449" t="s">
        <v>26</v>
      </c>
      <c r="H2449" s="2">
        <v>47</v>
      </c>
      <c r="I2449">
        <v>152</v>
      </c>
      <c r="J2449">
        <v>714</v>
      </c>
      <c r="K2449" s="4">
        <v>393</v>
      </c>
      <c r="L2449" t="s">
        <v>17</v>
      </c>
    </row>
    <row r="2450" spans="1:12" x14ac:dyDescent="0.35">
      <c r="A2450" t="s">
        <v>51</v>
      </c>
      <c r="B2450">
        <v>1185732</v>
      </c>
      <c r="C2450" s="1">
        <v>44210</v>
      </c>
      <c r="D2450" t="s">
        <v>43</v>
      </c>
      <c r="E2450" t="s">
        <v>112</v>
      </c>
      <c r="F2450" t="s">
        <v>113</v>
      </c>
      <c r="G2450" t="s">
        <v>26</v>
      </c>
      <c r="H2450" s="2">
        <v>44</v>
      </c>
      <c r="I2450">
        <v>152</v>
      </c>
      <c r="J2450">
        <v>669</v>
      </c>
      <c r="K2450" s="4">
        <v>368</v>
      </c>
      <c r="L2450" t="s">
        <v>17</v>
      </c>
    </row>
    <row r="2451" spans="1:12" x14ac:dyDescent="0.35">
      <c r="A2451" t="s">
        <v>18</v>
      </c>
      <c r="B2451">
        <v>1128299</v>
      </c>
      <c r="C2451" s="1">
        <v>43877</v>
      </c>
      <c r="D2451" t="s">
        <v>48</v>
      </c>
      <c r="E2451" t="s">
        <v>116</v>
      </c>
      <c r="F2451" t="s">
        <v>117</v>
      </c>
      <c r="G2451" t="s">
        <v>56</v>
      </c>
      <c r="H2451" s="2">
        <v>42</v>
      </c>
      <c r="I2451">
        <v>152</v>
      </c>
      <c r="J2451">
        <v>638</v>
      </c>
      <c r="K2451" s="4">
        <v>268</v>
      </c>
      <c r="L2451" t="s">
        <v>27</v>
      </c>
    </row>
    <row r="2452" spans="1:12" x14ac:dyDescent="0.35">
      <c r="A2452" t="s">
        <v>18</v>
      </c>
      <c r="B2452">
        <v>1128299</v>
      </c>
      <c r="C2452" s="1">
        <v>43878</v>
      </c>
      <c r="D2452" t="s">
        <v>48</v>
      </c>
      <c r="E2452" t="s">
        <v>116</v>
      </c>
      <c r="F2452" t="s">
        <v>117</v>
      </c>
      <c r="G2452" t="s">
        <v>70</v>
      </c>
      <c r="H2452" s="2">
        <v>50</v>
      </c>
      <c r="I2452">
        <v>152</v>
      </c>
      <c r="J2452">
        <v>760</v>
      </c>
      <c r="K2452" s="4">
        <v>448</v>
      </c>
      <c r="L2452" t="s">
        <v>27</v>
      </c>
    </row>
    <row r="2453" spans="1:12" x14ac:dyDescent="0.35">
      <c r="A2453" t="s">
        <v>23</v>
      </c>
      <c r="B2453">
        <v>1197831</v>
      </c>
      <c r="C2453" s="1">
        <v>44414</v>
      </c>
      <c r="D2453" t="s">
        <v>19</v>
      </c>
      <c r="E2453" t="s">
        <v>24</v>
      </c>
      <c r="F2453" t="s">
        <v>25</v>
      </c>
      <c r="G2453" t="s">
        <v>16</v>
      </c>
      <c r="H2453" s="2">
        <v>24</v>
      </c>
      <c r="I2453">
        <v>152</v>
      </c>
      <c r="J2453">
        <v>365</v>
      </c>
      <c r="K2453" s="4">
        <v>215</v>
      </c>
      <c r="L2453" t="s">
        <v>27</v>
      </c>
    </row>
    <row r="2454" spans="1:12" x14ac:dyDescent="0.35">
      <c r="A2454" t="s">
        <v>23</v>
      </c>
      <c r="B2454">
        <v>1197831</v>
      </c>
      <c r="C2454" s="1">
        <v>44429</v>
      </c>
      <c r="D2454" t="s">
        <v>19</v>
      </c>
      <c r="E2454" t="s">
        <v>24</v>
      </c>
      <c r="F2454" t="s">
        <v>25</v>
      </c>
      <c r="G2454" t="s">
        <v>32</v>
      </c>
      <c r="H2454" s="2">
        <v>11</v>
      </c>
      <c r="I2454">
        <v>152</v>
      </c>
      <c r="J2454">
        <v>167</v>
      </c>
      <c r="K2454" s="4">
        <v>79</v>
      </c>
      <c r="L2454" t="s">
        <v>27</v>
      </c>
    </row>
    <row r="2455" spans="1:12" x14ac:dyDescent="0.35">
      <c r="A2455" t="s">
        <v>18</v>
      </c>
      <c r="B2455">
        <v>1128299</v>
      </c>
      <c r="C2455" s="1">
        <v>44524</v>
      </c>
      <c r="D2455" t="s">
        <v>48</v>
      </c>
      <c r="E2455" t="s">
        <v>85</v>
      </c>
      <c r="F2455" t="s">
        <v>86</v>
      </c>
      <c r="G2455" t="s">
        <v>32</v>
      </c>
      <c r="H2455" s="2">
        <v>32</v>
      </c>
      <c r="I2455">
        <v>152</v>
      </c>
      <c r="J2455">
        <v>486</v>
      </c>
      <c r="K2455" s="4">
        <v>204</v>
      </c>
      <c r="L2455" t="s">
        <v>27</v>
      </c>
    </row>
    <row r="2456" spans="1:12" x14ac:dyDescent="0.35">
      <c r="A2456" t="s">
        <v>18</v>
      </c>
      <c r="B2456">
        <v>1128299</v>
      </c>
      <c r="C2456" s="1">
        <v>44425</v>
      </c>
      <c r="D2456" t="s">
        <v>19</v>
      </c>
      <c r="E2456" t="s">
        <v>20</v>
      </c>
      <c r="F2456" t="s">
        <v>21</v>
      </c>
      <c r="G2456" t="s">
        <v>70</v>
      </c>
      <c r="H2456" s="2">
        <v>47</v>
      </c>
      <c r="I2456">
        <v>152</v>
      </c>
      <c r="J2456">
        <v>714</v>
      </c>
      <c r="K2456" s="4">
        <v>350</v>
      </c>
      <c r="L2456" t="s">
        <v>27</v>
      </c>
    </row>
    <row r="2457" spans="1:12" x14ac:dyDescent="0.35">
      <c r="A2457" t="s">
        <v>63</v>
      </c>
      <c r="B2457">
        <v>1128299</v>
      </c>
      <c r="C2457" s="1">
        <v>44222</v>
      </c>
      <c r="D2457" t="s">
        <v>48</v>
      </c>
      <c r="E2457" t="s">
        <v>123</v>
      </c>
      <c r="F2457" t="s">
        <v>124</v>
      </c>
      <c r="G2457" t="s">
        <v>26</v>
      </c>
      <c r="H2457" s="2">
        <v>27</v>
      </c>
      <c r="I2457">
        <v>152</v>
      </c>
      <c r="J2457">
        <v>410</v>
      </c>
      <c r="K2457" s="4">
        <v>168</v>
      </c>
      <c r="L2457" t="s">
        <v>27</v>
      </c>
    </row>
    <row r="2458" spans="1:12" x14ac:dyDescent="0.35">
      <c r="A2458" t="s">
        <v>63</v>
      </c>
      <c r="B2458">
        <v>1128299</v>
      </c>
      <c r="C2458" s="1">
        <v>44434</v>
      </c>
      <c r="D2458" t="s">
        <v>48</v>
      </c>
      <c r="E2458" t="s">
        <v>114</v>
      </c>
      <c r="F2458" t="s">
        <v>115</v>
      </c>
      <c r="G2458" t="s">
        <v>56</v>
      </c>
      <c r="H2458" s="2">
        <v>46</v>
      </c>
      <c r="I2458">
        <v>152</v>
      </c>
      <c r="J2458">
        <v>699</v>
      </c>
      <c r="K2458" s="4">
        <v>259</v>
      </c>
      <c r="L2458" t="s">
        <v>27</v>
      </c>
    </row>
    <row r="2459" spans="1:12" x14ac:dyDescent="0.35">
      <c r="A2459" t="s">
        <v>23</v>
      </c>
      <c r="B2459">
        <v>1185732</v>
      </c>
      <c r="C2459" s="1">
        <v>44380</v>
      </c>
      <c r="D2459" t="s">
        <v>43</v>
      </c>
      <c r="E2459" t="s">
        <v>108</v>
      </c>
      <c r="F2459" t="s">
        <v>109</v>
      </c>
      <c r="G2459" t="s">
        <v>16</v>
      </c>
      <c r="H2459" s="2">
        <v>40</v>
      </c>
      <c r="I2459">
        <v>152</v>
      </c>
      <c r="J2459">
        <v>608</v>
      </c>
      <c r="K2459" s="4">
        <v>231</v>
      </c>
      <c r="L2459" t="s">
        <v>27</v>
      </c>
    </row>
    <row r="2460" spans="1:12" x14ac:dyDescent="0.35">
      <c r="A2460" t="s">
        <v>18</v>
      </c>
      <c r="B2460">
        <v>1185732</v>
      </c>
      <c r="C2460" s="1">
        <v>44264</v>
      </c>
      <c r="D2460" t="s">
        <v>33</v>
      </c>
      <c r="E2460" t="s">
        <v>81</v>
      </c>
      <c r="F2460" t="s">
        <v>82</v>
      </c>
      <c r="G2460" t="s">
        <v>26</v>
      </c>
      <c r="H2460" s="2">
        <v>23</v>
      </c>
      <c r="I2460">
        <v>151</v>
      </c>
      <c r="J2460">
        <v>347</v>
      </c>
      <c r="K2460" s="4">
        <v>177</v>
      </c>
      <c r="L2460" t="s">
        <v>17</v>
      </c>
    </row>
    <row r="2461" spans="1:12" x14ac:dyDescent="0.35">
      <c r="A2461" t="s">
        <v>42</v>
      </c>
      <c r="B2461">
        <v>1185732</v>
      </c>
      <c r="C2461" s="1">
        <v>44366</v>
      </c>
      <c r="D2461" t="s">
        <v>33</v>
      </c>
      <c r="E2461" t="s">
        <v>118</v>
      </c>
      <c r="F2461" t="s">
        <v>119</v>
      </c>
      <c r="G2461" t="s">
        <v>39</v>
      </c>
      <c r="H2461" s="2">
        <v>50</v>
      </c>
      <c r="I2461">
        <v>150</v>
      </c>
      <c r="J2461" s="3">
        <v>7500</v>
      </c>
      <c r="K2461" s="4">
        <v>2625</v>
      </c>
      <c r="L2461" t="s">
        <v>27</v>
      </c>
    </row>
    <row r="2462" spans="1:12" x14ac:dyDescent="0.35">
      <c r="A2462" t="s">
        <v>42</v>
      </c>
      <c r="B2462">
        <v>1185732</v>
      </c>
      <c r="C2462" s="1">
        <v>44403</v>
      </c>
      <c r="D2462" t="s">
        <v>33</v>
      </c>
      <c r="E2462" t="s">
        <v>118</v>
      </c>
      <c r="F2462" t="s">
        <v>119</v>
      </c>
      <c r="G2462" t="s">
        <v>32</v>
      </c>
      <c r="H2462" s="2">
        <v>50</v>
      </c>
      <c r="I2462">
        <v>150</v>
      </c>
      <c r="J2462" s="3">
        <v>7500</v>
      </c>
      <c r="K2462" s="4">
        <v>2625</v>
      </c>
      <c r="L2462" t="s">
        <v>27</v>
      </c>
    </row>
    <row r="2463" spans="1:12" x14ac:dyDescent="0.35">
      <c r="A2463" t="s">
        <v>42</v>
      </c>
      <c r="B2463">
        <v>1185732</v>
      </c>
      <c r="C2463" s="1">
        <v>44411</v>
      </c>
      <c r="D2463" t="s">
        <v>33</v>
      </c>
      <c r="E2463" t="s">
        <v>118</v>
      </c>
      <c r="F2463" t="s">
        <v>119</v>
      </c>
      <c r="G2463" t="s">
        <v>70</v>
      </c>
      <c r="H2463" s="2">
        <v>60</v>
      </c>
      <c r="I2463">
        <v>150</v>
      </c>
      <c r="J2463" s="3">
        <v>9000</v>
      </c>
      <c r="K2463" s="4">
        <v>3150</v>
      </c>
      <c r="L2463" t="s">
        <v>27</v>
      </c>
    </row>
    <row r="2464" spans="1:12" x14ac:dyDescent="0.35">
      <c r="A2464" t="s">
        <v>42</v>
      </c>
      <c r="B2464">
        <v>1185732</v>
      </c>
      <c r="C2464" s="1">
        <v>44504</v>
      </c>
      <c r="D2464" t="s">
        <v>43</v>
      </c>
      <c r="E2464" t="s">
        <v>135</v>
      </c>
      <c r="F2464" t="s">
        <v>136</v>
      </c>
      <c r="G2464" t="s">
        <v>39</v>
      </c>
      <c r="H2464" s="2">
        <v>50</v>
      </c>
      <c r="I2464">
        <v>150</v>
      </c>
      <c r="J2464" s="3">
        <v>7500</v>
      </c>
      <c r="K2464" s="4">
        <v>2625</v>
      </c>
      <c r="L2464" t="s">
        <v>27</v>
      </c>
    </row>
    <row r="2465" spans="1:12" x14ac:dyDescent="0.35">
      <c r="A2465" t="s">
        <v>42</v>
      </c>
      <c r="B2465">
        <v>1185732</v>
      </c>
      <c r="C2465" s="1">
        <v>44510</v>
      </c>
      <c r="D2465" t="s">
        <v>43</v>
      </c>
      <c r="E2465" t="s">
        <v>135</v>
      </c>
      <c r="F2465" t="s">
        <v>136</v>
      </c>
      <c r="G2465" t="s">
        <v>39</v>
      </c>
      <c r="H2465" s="2">
        <v>50</v>
      </c>
      <c r="I2465">
        <v>150</v>
      </c>
      <c r="J2465" s="3">
        <v>7500</v>
      </c>
      <c r="K2465" s="4">
        <v>2250</v>
      </c>
      <c r="L2465" t="s">
        <v>27</v>
      </c>
    </row>
    <row r="2466" spans="1:12" x14ac:dyDescent="0.35">
      <c r="A2466" t="s">
        <v>42</v>
      </c>
      <c r="B2466">
        <v>1185732</v>
      </c>
      <c r="C2466" s="1">
        <v>44511</v>
      </c>
      <c r="D2466" t="s">
        <v>43</v>
      </c>
      <c r="E2466" t="s">
        <v>135</v>
      </c>
      <c r="F2466" t="s">
        <v>136</v>
      </c>
      <c r="G2466" t="s">
        <v>32</v>
      </c>
      <c r="H2466" s="2">
        <v>40</v>
      </c>
      <c r="I2466">
        <v>150</v>
      </c>
      <c r="J2466" s="3">
        <v>6000</v>
      </c>
      <c r="K2466" s="4">
        <v>2100</v>
      </c>
      <c r="L2466" t="s">
        <v>27</v>
      </c>
    </row>
    <row r="2467" spans="1:12" x14ac:dyDescent="0.35">
      <c r="A2467" t="s">
        <v>42</v>
      </c>
      <c r="B2467">
        <v>1185732</v>
      </c>
      <c r="C2467" s="1">
        <v>44517</v>
      </c>
      <c r="D2467" t="s">
        <v>43</v>
      </c>
      <c r="E2467" t="s">
        <v>135</v>
      </c>
      <c r="F2467" t="s">
        <v>136</v>
      </c>
      <c r="G2467" t="s">
        <v>32</v>
      </c>
      <c r="H2467" s="2">
        <v>55</v>
      </c>
      <c r="I2467">
        <v>150</v>
      </c>
      <c r="J2467" s="3">
        <v>8250</v>
      </c>
      <c r="K2467" s="4">
        <v>2888</v>
      </c>
      <c r="L2467" t="s">
        <v>27</v>
      </c>
    </row>
    <row r="2468" spans="1:12" x14ac:dyDescent="0.35">
      <c r="A2468" t="s">
        <v>42</v>
      </c>
      <c r="B2468">
        <v>1185732</v>
      </c>
      <c r="C2468" s="1">
        <v>44524</v>
      </c>
      <c r="D2468" t="s">
        <v>43</v>
      </c>
      <c r="E2468" t="s">
        <v>135</v>
      </c>
      <c r="F2468" t="s">
        <v>136</v>
      </c>
      <c r="G2468" t="s">
        <v>56</v>
      </c>
      <c r="H2468" s="2">
        <v>55</v>
      </c>
      <c r="I2468">
        <v>150</v>
      </c>
      <c r="J2468" s="3">
        <v>8250</v>
      </c>
      <c r="K2468" s="4">
        <v>3300</v>
      </c>
      <c r="L2468" t="s">
        <v>27</v>
      </c>
    </row>
    <row r="2469" spans="1:12" x14ac:dyDescent="0.35">
      <c r="A2469" t="s">
        <v>18</v>
      </c>
      <c r="B2469">
        <v>1128299</v>
      </c>
      <c r="C2469" s="1">
        <v>43921</v>
      </c>
      <c r="D2469" t="s">
        <v>48</v>
      </c>
      <c r="E2469" t="s">
        <v>133</v>
      </c>
      <c r="F2469" t="s">
        <v>134</v>
      </c>
      <c r="G2469" t="s">
        <v>70</v>
      </c>
      <c r="H2469" s="2">
        <v>60</v>
      </c>
      <c r="I2469">
        <v>150</v>
      </c>
      <c r="J2469" s="3">
        <v>9000</v>
      </c>
      <c r="K2469" s="4">
        <v>4500</v>
      </c>
      <c r="L2469" t="s">
        <v>36</v>
      </c>
    </row>
    <row r="2470" spans="1:12" x14ac:dyDescent="0.35">
      <c r="A2470" t="s">
        <v>42</v>
      </c>
      <c r="B2470">
        <v>1185732</v>
      </c>
      <c r="C2470" s="1">
        <v>44125</v>
      </c>
      <c r="D2470" t="s">
        <v>33</v>
      </c>
      <c r="E2470" t="s">
        <v>104</v>
      </c>
      <c r="F2470" t="s">
        <v>105</v>
      </c>
      <c r="G2470" t="s">
        <v>70</v>
      </c>
      <c r="H2470" s="2">
        <v>45</v>
      </c>
      <c r="I2470">
        <v>150</v>
      </c>
      <c r="J2470" s="3">
        <v>6750</v>
      </c>
      <c r="K2470" s="4">
        <v>2025</v>
      </c>
      <c r="L2470" t="s">
        <v>36</v>
      </c>
    </row>
    <row r="2471" spans="1:12" x14ac:dyDescent="0.35">
      <c r="A2471" t="s">
        <v>42</v>
      </c>
      <c r="B2471">
        <v>1185732</v>
      </c>
      <c r="C2471" s="1">
        <v>44128</v>
      </c>
      <c r="D2471" t="s">
        <v>33</v>
      </c>
      <c r="E2471" t="s">
        <v>104</v>
      </c>
      <c r="F2471" t="s">
        <v>105</v>
      </c>
      <c r="G2471" t="s">
        <v>39</v>
      </c>
      <c r="H2471" s="2">
        <v>35</v>
      </c>
      <c r="I2471">
        <v>150</v>
      </c>
      <c r="J2471" s="3">
        <v>5250</v>
      </c>
      <c r="K2471" s="4">
        <v>1575</v>
      </c>
      <c r="L2471" t="s">
        <v>36</v>
      </c>
    </row>
    <row r="2472" spans="1:12" x14ac:dyDescent="0.35">
      <c r="A2472" t="s">
        <v>42</v>
      </c>
      <c r="B2472">
        <v>1185732</v>
      </c>
      <c r="C2472" s="1">
        <v>44131</v>
      </c>
      <c r="D2472" t="s">
        <v>33</v>
      </c>
      <c r="E2472" t="s">
        <v>104</v>
      </c>
      <c r="F2472" t="s">
        <v>105</v>
      </c>
      <c r="G2472" t="s">
        <v>70</v>
      </c>
      <c r="H2472" s="2">
        <v>45</v>
      </c>
      <c r="I2472">
        <v>150</v>
      </c>
      <c r="J2472" s="3">
        <v>6750</v>
      </c>
      <c r="K2472" s="4">
        <v>2025</v>
      </c>
      <c r="L2472" t="s">
        <v>36</v>
      </c>
    </row>
    <row r="2473" spans="1:12" x14ac:dyDescent="0.35">
      <c r="A2473" t="s">
        <v>42</v>
      </c>
      <c r="B2473">
        <v>1185732</v>
      </c>
      <c r="C2473" s="1">
        <v>44146</v>
      </c>
      <c r="D2473" t="s">
        <v>33</v>
      </c>
      <c r="E2473" t="s">
        <v>104</v>
      </c>
      <c r="F2473" t="s">
        <v>105</v>
      </c>
      <c r="G2473" t="s">
        <v>39</v>
      </c>
      <c r="H2473" s="2">
        <v>45</v>
      </c>
      <c r="I2473">
        <v>150</v>
      </c>
      <c r="J2473" s="3">
        <v>6750</v>
      </c>
      <c r="K2473" s="4">
        <v>2025</v>
      </c>
      <c r="L2473" t="s">
        <v>36</v>
      </c>
    </row>
    <row r="2474" spans="1:12" x14ac:dyDescent="0.35">
      <c r="A2474" t="s">
        <v>42</v>
      </c>
      <c r="B2474">
        <v>1185732</v>
      </c>
      <c r="C2474" s="1">
        <v>44154</v>
      </c>
      <c r="D2474" t="s">
        <v>33</v>
      </c>
      <c r="E2474" t="s">
        <v>104</v>
      </c>
      <c r="F2474" t="s">
        <v>105</v>
      </c>
      <c r="G2474" t="s">
        <v>56</v>
      </c>
      <c r="H2474" s="2">
        <v>35</v>
      </c>
      <c r="I2474">
        <v>150</v>
      </c>
      <c r="J2474" s="3">
        <v>5250</v>
      </c>
      <c r="K2474" s="4">
        <v>1838</v>
      </c>
      <c r="L2474" t="s">
        <v>27</v>
      </c>
    </row>
    <row r="2475" spans="1:12" x14ac:dyDescent="0.35">
      <c r="A2475" t="s">
        <v>42</v>
      </c>
      <c r="B2475">
        <v>1185732</v>
      </c>
      <c r="C2475" s="1">
        <v>44155</v>
      </c>
      <c r="D2475" t="s">
        <v>33</v>
      </c>
      <c r="E2475" t="s">
        <v>104</v>
      </c>
      <c r="F2475" t="s">
        <v>105</v>
      </c>
      <c r="G2475" t="s">
        <v>70</v>
      </c>
      <c r="H2475" s="2">
        <v>50</v>
      </c>
      <c r="I2475">
        <v>150</v>
      </c>
      <c r="J2475" s="3">
        <v>7500</v>
      </c>
      <c r="K2475" s="4">
        <v>2250</v>
      </c>
      <c r="L2475" t="s">
        <v>27</v>
      </c>
    </row>
    <row r="2476" spans="1:12" x14ac:dyDescent="0.35">
      <c r="A2476" t="s">
        <v>42</v>
      </c>
      <c r="B2476">
        <v>1185732</v>
      </c>
      <c r="C2476" s="1">
        <v>44167</v>
      </c>
      <c r="D2476" t="s">
        <v>33</v>
      </c>
      <c r="E2476" t="s">
        <v>104</v>
      </c>
      <c r="F2476" t="s">
        <v>105</v>
      </c>
      <c r="G2476" t="s">
        <v>70</v>
      </c>
      <c r="H2476" s="2">
        <v>45</v>
      </c>
      <c r="I2476">
        <v>150</v>
      </c>
      <c r="J2476" s="3">
        <v>6750</v>
      </c>
      <c r="K2476" s="4">
        <v>2025</v>
      </c>
      <c r="L2476" t="s">
        <v>27</v>
      </c>
    </row>
    <row r="2477" spans="1:12" x14ac:dyDescent="0.35">
      <c r="A2477" t="s">
        <v>42</v>
      </c>
      <c r="B2477">
        <v>1185732</v>
      </c>
      <c r="C2477" s="1">
        <v>44171</v>
      </c>
      <c r="D2477" t="s">
        <v>33</v>
      </c>
      <c r="E2477" t="s">
        <v>104</v>
      </c>
      <c r="F2477" t="s">
        <v>105</v>
      </c>
      <c r="G2477" t="s">
        <v>32</v>
      </c>
      <c r="H2477" s="2">
        <v>25</v>
      </c>
      <c r="I2477">
        <v>150</v>
      </c>
      <c r="J2477" s="3">
        <v>3750</v>
      </c>
      <c r="K2477" s="4">
        <v>1125</v>
      </c>
      <c r="L2477" t="s">
        <v>27</v>
      </c>
    </row>
    <row r="2478" spans="1:12" x14ac:dyDescent="0.35">
      <c r="A2478" t="s">
        <v>42</v>
      </c>
      <c r="B2478">
        <v>1185732</v>
      </c>
      <c r="C2478" s="1">
        <v>44184</v>
      </c>
      <c r="D2478" t="s">
        <v>33</v>
      </c>
      <c r="E2478" t="s">
        <v>104</v>
      </c>
      <c r="F2478" t="s">
        <v>105</v>
      </c>
      <c r="G2478" t="s">
        <v>56</v>
      </c>
      <c r="H2478" s="2">
        <v>40</v>
      </c>
      <c r="I2478">
        <v>150</v>
      </c>
      <c r="J2478" s="3">
        <v>6000</v>
      </c>
      <c r="K2478" s="4">
        <v>2100</v>
      </c>
      <c r="L2478" t="s">
        <v>27</v>
      </c>
    </row>
    <row r="2479" spans="1:12" x14ac:dyDescent="0.35">
      <c r="A2479" t="s">
        <v>42</v>
      </c>
      <c r="B2479">
        <v>1185732</v>
      </c>
      <c r="C2479" s="1">
        <v>44351</v>
      </c>
      <c r="D2479" t="s">
        <v>33</v>
      </c>
      <c r="E2479" t="s">
        <v>120</v>
      </c>
      <c r="F2479" t="s">
        <v>121</v>
      </c>
      <c r="G2479" t="s">
        <v>32</v>
      </c>
      <c r="H2479" s="2">
        <v>30</v>
      </c>
      <c r="I2479">
        <v>150</v>
      </c>
      <c r="J2479" s="3">
        <v>4500</v>
      </c>
      <c r="K2479" s="4">
        <v>1575</v>
      </c>
      <c r="L2479" t="s">
        <v>27</v>
      </c>
    </row>
    <row r="2480" spans="1:12" x14ac:dyDescent="0.35">
      <c r="A2480" t="s">
        <v>42</v>
      </c>
      <c r="B2480">
        <v>1185732</v>
      </c>
      <c r="C2480" s="1">
        <v>44354</v>
      </c>
      <c r="D2480" t="s">
        <v>33</v>
      </c>
      <c r="E2480" t="s">
        <v>120</v>
      </c>
      <c r="F2480" t="s">
        <v>121</v>
      </c>
      <c r="G2480" t="s">
        <v>16</v>
      </c>
      <c r="H2480" s="2">
        <v>40</v>
      </c>
      <c r="I2480">
        <v>150</v>
      </c>
      <c r="J2480" s="3">
        <v>6000</v>
      </c>
      <c r="K2480" s="4">
        <v>3000</v>
      </c>
      <c r="L2480" t="s">
        <v>27</v>
      </c>
    </row>
    <row r="2481" spans="1:12" x14ac:dyDescent="0.35">
      <c r="A2481" t="s">
        <v>42</v>
      </c>
      <c r="B2481">
        <v>1185732</v>
      </c>
      <c r="C2481" s="1">
        <v>44360</v>
      </c>
      <c r="D2481" t="s">
        <v>33</v>
      </c>
      <c r="E2481" t="s">
        <v>120</v>
      </c>
      <c r="F2481" t="s">
        <v>121</v>
      </c>
      <c r="G2481" t="s">
        <v>16</v>
      </c>
      <c r="H2481" s="2">
        <v>35</v>
      </c>
      <c r="I2481">
        <v>150</v>
      </c>
      <c r="J2481" s="3">
        <v>5250</v>
      </c>
      <c r="K2481" s="4">
        <v>2625</v>
      </c>
      <c r="L2481" t="s">
        <v>27</v>
      </c>
    </row>
    <row r="2482" spans="1:12" x14ac:dyDescent="0.35">
      <c r="A2482" t="s">
        <v>42</v>
      </c>
      <c r="B2482">
        <v>1185732</v>
      </c>
      <c r="C2482" s="1">
        <v>44366</v>
      </c>
      <c r="D2482" t="s">
        <v>33</v>
      </c>
      <c r="E2482" t="s">
        <v>120</v>
      </c>
      <c r="F2482" t="s">
        <v>121</v>
      </c>
      <c r="G2482" t="s">
        <v>16</v>
      </c>
      <c r="H2482" s="2">
        <v>55</v>
      </c>
      <c r="I2482">
        <v>150</v>
      </c>
      <c r="J2482" s="3">
        <v>8250</v>
      </c>
      <c r="K2482" s="4">
        <v>4125</v>
      </c>
      <c r="L2482" t="s">
        <v>27</v>
      </c>
    </row>
    <row r="2483" spans="1:12" x14ac:dyDescent="0.35">
      <c r="A2483" t="s">
        <v>42</v>
      </c>
      <c r="B2483">
        <v>1185732</v>
      </c>
      <c r="C2483" s="1">
        <v>44368</v>
      </c>
      <c r="D2483" t="s">
        <v>33</v>
      </c>
      <c r="E2483" t="s">
        <v>120</v>
      </c>
      <c r="F2483" t="s">
        <v>121</v>
      </c>
      <c r="G2483" t="s">
        <v>39</v>
      </c>
      <c r="H2483" s="2">
        <v>35</v>
      </c>
      <c r="I2483">
        <v>150</v>
      </c>
      <c r="J2483" s="3">
        <v>5250</v>
      </c>
      <c r="K2483" s="4">
        <v>1838</v>
      </c>
      <c r="L2483" t="s">
        <v>27</v>
      </c>
    </row>
    <row r="2484" spans="1:12" x14ac:dyDescent="0.35">
      <c r="A2484" t="s">
        <v>42</v>
      </c>
      <c r="B2484">
        <v>1185732</v>
      </c>
      <c r="C2484" s="1">
        <v>44370</v>
      </c>
      <c r="D2484" t="s">
        <v>33</v>
      </c>
      <c r="E2484" t="s">
        <v>120</v>
      </c>
      <c r="F2484" t="s">
        <v>121</v>
      </c>
      <c r="G2484" t="s">
        <v>56</v>
      </c>
      <c r="H2484" s="2">
        <v>30</v>
      </c>
      <c r="I2484">
        <v>150</v>
      </c>
      <c r="J2484" s="3">
        <v>4500</v>
      </c>
      <c r="K2484" s="4">
        <v>1800</v>
      </c>
      <c r="L2484" t="s">
        <v>27</v>
      </c>
    </row>
    <row r="2485" spans="1:12" x14ac:dyDescent="0.35">
      <c r="A2485" t="s">
        <v>42</v>
      </c>
      <c r="B2485">
        <v>1185732</v>
      </c>
      <c r="C2485" s="1">
        <v>44371</v>
      </c>
      <c r="D2485" t="s">
        <v>33</v>
      </c>
      <c r="E2485" t="s">
        <v>120</v>
      </c>
      <c r="F2485" t="s">
        <v>121</v>
      </c>
      <c r="G2485" t="s">
        <v>70</v>
      </c>
      <c r="H2485" s="2">
        <v>45</v>
      </c>
      <c r="I2485">
        <v>150</v>
      </c>
      <c r="J2485" s="3">
        <v>6750</v>
      </c>
      <c r="K2485" s="4">
        <v>2363</v>
      </c>
      <c r="L2485" t="s">
        <v>27</v>
      </c>
    </row>
    <row r="2486" spans="1:12" x14ac:dyDescent="0.35">
      <c r="A2486" t="s">
        <v>42</v>
      </c>
      <c r="B2486">
        <v>1185732</v>
      </c>
      <c r="C2486" s="1">
        <v>44390</v>
      </c>
      <c r="D2486" t="s">
        <v>33</v>
      </c>
      <c r="E2486" t="s">
        <v>120</v>
      </c>
      <c r="F2486" t="s">
        <v>121</v>
      </c>
      <c r="G2486" t="s">
        <v>16</v>
      </c>
      <c r="H2486" s="2">
        <v>35</v>
      </c>
      <c r="I2486">
        <v>150</v>
      </c>
      <c r="J2486" s="3">
        <v>5250</v>
      </c>
      <c r="K2486" s="4">
        <v>2625</v>
      </c>
      <c r="L2486" t="s">
        <v>27</v>
      </c>
    </row>
    <row r="2487" spans="1:12" x14ac:dyDescent="0.35">
      <c r="A2487" t="s">
        <v>42</v>
      </c>
      <c r="B2487">
        <v>1185732</v>
      </c>
      <c r="C2487" s="1">
        <v>44392</v>
      </c>
      <c r="D2487" t="s">
        <v>33</v>
      </c>
      <c r="E2487" t="s">
        <v>120</v>
      </c>
      <c r="F2487" t="s">
        <v>121</v>
      </c>
      <c r="G2487" t="s">
        <v>39</v>
      </c>
      <c r="H2487" s="2">
        <v>30</v>
      </c>
      <c r="I2487">
        <v>150</v>
      </c>
      <c r="J2487" s="3">
        <v>4500</v>
      </c>
      <c r="K2487" s="4">
        <v>1575</v>
      </c>
      <c r="L2487" t="s">
        <v>27</v>
      </c>
    </row>
    <row r="2488" spans="1:12" x14ac:dyDescent="0.35">
      <c r="A2488" t="s">
        <v>42</v>
      </c>
      <c r="B2488">
        <v>1185732</v>
      </c>
      <c r="C2488" s="1">
        <v>44396</v>
      </c>
      <c r="D2488" t="s">
        <v>33</v>
      </c>
      <c r="E2488" t="s">
        <v>120</v>
      </c>
      <c r="F2488" t="s">
        <v>121</v>
      </c>
      <c r="G2488" t="s">
        <v>16</v>
      </c>
      <c r="H2488" s="2">
        <v>45</v>
      </c>
      <c r="I2488">
        <v>150</v>
      </c>
      <c r="J2488" s="3">
        <v>6750</v>
      </c>
      <c r="K2488" s="4">
        <v>3375</v>
      </c>
      <c r="L2488" t="s">
        <v>27</v>
      </c>
    </row>
    <row r="2489" spans="1:12" x14ac:dyDescent="0.35">
      <c r="A2489" t="s">
        <v>42</v>
      </c>
      <c r="B2489">
        <v>1185732</v>
      </c>
      <c r="C2489" s="1">
        <v>44398</v>
      </c>
      <c r="D2489" t="s">
        <v>33</v>
      </c>
      <c r="E2489" t="s">
        <v>120</v>
      </c>
      <c r="F2489" t="s">
        <v>121</v>
      </c>
      <c r="G2489" t="s">
        <v>39</v>
      </c>
      <c r="H2489" s="2">
        <v>30</v>
      </c>
      <c r="I2489">
        <v>150</v>
      </c>
      <c r="J2489" s="3">
        <v>4500</v>
      </c>
      <c r="K2489" s="4">
        <v>1575</v>
      </c>
      <c r="L2489" t="s">
        <v>27</v>
      </c>
    </row>
    <row r="2490" spans="1:12" x14ac:dyDescent="0.35">
      <c r="A2490" t="s">
        <v>42</v>
      </c>
      <c r="B2490">
        <v>1185732</v>
      </c>
      <c r="C2490" s="1">
        <v>44406</v>
      </c>
      <c r="D2490" t="s">
        <v>33</v>
      </c>
      <c r="E2490" t="s">
        <v>120</v>
      </c>
      <c r="F2490" t="s">
        <v>121</v>
      </c>
      <c r="G2490" t="s">
        <v>56</v>
      </c>
      <c r="H2490" s="2">
        <v>40</v>
      </c>
      <c r="I2490">
        <v>150</v>
      </c>
      <c r="J2490" s="3">
        <v>6000</v>
      </c>
      <c r="K2490" s="4">
        <v>2400</v>
      </c>
      <c r="L2490" t="s">
        <v>27</v>
      </c>
    </row>
    <row r="2491" spans="1:12" x14ac:dyDescent="0.35">
      <c r="A2491" t="s">
        <v>42</v>
      </c>
      <c r="B2491">
        <v>1185732</v>
      </c>
      <c r="C2491" s="1">
        <v>44407</v>
      </c>
      <c r="D2491" t="s">
        <v>33</v>
      </c>
      <c r="E2491" t="s">
        <v>120</v>
      </c>
      <c r="F2491" t="s">
        <v>121</v>
      </c>
      <c r="G2491" t="s">
        <v>70</v>
      </c>
      <c r="H2491" s="2">
        <v>50</v>
      </c>
      <c r="I2491">
        <v>150</v>
      </c>
      <c r="J2491" s="3">
        <v>7500</v>
      </c>
      <c r="K2491" s="4">
        <v>2625</v>
      </c>
      <c r="L2491" t="s">
        <v>27</v>
      </c>
    </row>
    <row r="2492" spans="1:12" x14ac:dyDescent="0.35">
      <c r="A2492" t="s">
        <v>51</v>
      </c>
      <c r="B2492">
        <v>1185732</v>
      </c>
      <c r="C2492" s="1">
        <v>44485</v>
      </c>
      <c r="D2492" t="s">
        <v>43</v>
      </c>
      <c r="E2492" t="s">
        <v>122</v>
      </c>
      <c r="F2492" t="s">
        <v>86</v>
      </c>
      <c r="G2492" t="s">
        <v>70</v>
      </c>
      <c r="H2492" s="2">
        <v>50</v>
      </c>
      <c r="I2492">
        <v>150</v>
      </c>
      <c r="J2492" s="3">
        <v>7500</v>
      </c>
      <c r="K2492" s="4">
        <v>1875</v>
      </c>
      <c r="L2492" t="s">
        <v>27</v>
      </c>
    </row>
    <row r="2493" spans="1:12" x14ac:dyDescent="0.35">
      <c r="A2493" t="s">
        <v>51</v>
      </c>
      <c r="B2493">
        <v>1185732</v>
      </c>
      <c r="C2493" s="1">
        <v>44488</v>
      </c>
      <c r="D2493" t="s">
        <v>43</v>
      </c>
      <c r="E2493" t="s">
        <v>122</v>
      </c>
      <c r="F2493" t="s">
        <v>86</v>
      </c>
      <c r="G2493" t="s">
        <v>39</v>
      </c>
      <c r="H2493" s="2">
        <v>40</v>
      </c>
      <c r="I2493">
        <v>150</v>
      </c>
      <c r="J2493" s="3">
        <v>6000</v>
      </c>
      <c r="K2493" s="4">
        <v>2100</v>
      </c>
      <c r="L2493" t="s">
        <v>27</v>
      </c>
    </row>
    <row r="2494" spans="1:12" x14ac:dyDescent="0.35">
      <c r="A2494" t="s">
        <v>51</v>
      </c>
      <c r="B2494">
        <v>1185732</v>
      </c>
      <c r="C2494" s="1">
        <v>44491</v>
      </c>
      <c r="D2494" t="s">
        <v>43</v>
      </c>
      <c r="E2494" t="s">
        <v>122</v>
      </c>
      <c r="F2494" t="s">
        <v>86</v>
      </c>
      <c r="G2494" t="s">
        <v>70</v>
      </c>
      <c r="H2494" s="2">
        <v>50</v>
      </c>
      <c r="I2494">
        <v>150</v>
      </c>
      <c r="J2494" s="3">
        <v>7500</v>
      </c>
      <c r="K2494" s="4">
        <v>1875</v>
      </c>
      <c r="L2494" t="s">
        <v>27</v>
      </c>
    </row>
    <row r="2495" spans="1:12" x14ac:dyDescent="0.35">
      <c r="A2495" t="s">
        <v>51</v>
      </c>
      <c r="B2495">
        <v>1185732</v>
      </c>
      <c r="C2495" s="1">
        <v>44500</v>
      </c>
      <c r="D2495" t="s">
        <v>43</v>
      </c>
      <c r="E2495" t="s">
        <v>122</v>
      </c>
      <c r="F2495" t="s">
        <v>86</v>
      </c>
      <c r="G2495" t="s">
        <v>39</v>
      </c>
      <c r="H2495" s="2">
        <v>40</v>
      </c>
      <c r="I2495">
        <v>150</v>
      </c>
      <c r="J2495" s="3">
        <v>6000</v>
      </c>
      <c r="K2495" s="4">
        <v>2100</v>
      </c>
      <c r="L2495" t="s">
        <v>27</v>
      </c>
    </row>
    <row r="2496" spans="1:12" x14ac:dyDescent="0.35">
      <c r="A2496" t="s">
        <v>51</v>
      </c>
      <c r="B2496">
        <v>1185732</v>
      </c>
      <c r="C2496" s="1">
        <v>44501</v>
      </c>
      <c r="D2496" t="s">
        <v>43</v>
      </c>
      <c r="E2496" t="s">
        <v>122</v>
      </c>
      <c r="F2496" t="s">
        <v>86</v>
      </c>
      <c r="G2496" t="s">
        <v>32</v>
      </c>
      <c r="H2496" s="2">
        <v>30</v>
      </c>
      <c r="I2496">
        <v>150</v>
      </c>
      <c r="J2496" s="3">
        <v>4500</v>
      </c>
      <c r="K2496" s="4">
        <v>1800</v>
      </c>
      <c r="L2496" t="s">
        <v>27</v>
      </c>
    </row>
    <row r="2497" spans="1:12" x14ac:dyDescent="0.35">
      <c r="A2497" t="s">
        <v>51</v>
      </c>
      <c r="B2497">
        <v>1185732</v>
      </c>
      <c r="C2497" s="1">
        <v>44509</v>
      </c>
      <c r="D2497" t="s">
        <v>43</v>
      </c>
      <c r="E2497" t="s">
        <v>122</v>
      </c>
      <c r="F2497" t="s">
        <v>86</v>
      </c>
      <c r="G2497" t="s">
        <v>70</v>
      </c>
      <c r="H2497" s="2">
        <v>55</v>
      </c>
      <c r="I2497">
        <v>150</v>
      </c>
      <c r="J2497" s="3">
        <v>8250</v>
      </c>
      <c r="K2497" s="4">
        <v>2063</v>
      </c>
      <c r="L2497" t="s">
        <v>27</v>
      </c>
    </row>
    <row r="2498" spans="1:12" x14ac:dyDescent="0.35">
      <c r="A2498" t="s">
        <v>51</v>
      </c>
      <c r="B2498">
        <v>1185732</v>
      </c>
      <c r="C2498" s="1">
        <v>44555</v>
      </c>
      <c r="D2498" t="s">
        <v>43</v>
      </c>
      <c r="E2498" t="s">
        <v>122</v>
      </c>
      <c r="F2498" t="s">
        <v>86</v>
      </c>
      <c r="G2498" t="s">
        <v>70</v>
      </c>
      <c r="H2498" s="2">
        <v>55</v>
      </c>
      <c r="I2498">
        <v>150</v>
      </c>
      <c r="J2498" s="3">
        <v>8250</v>
      </c>
      <c r="K2498" s="4">
        <v>2063</v>
      </c>
      <c r="L2498" t="s">
        <v>27</v>
      </c>
    </row>
    <row r="2499" spans="1:12" x14ac:dyDescent="0.35">
      <c r="A2499" t="s">
        <v>51</v>
      </c>
      <c r="B2499">
        <v>1185732</v>
      </c>
      <c r="C2499" s="1">
        <v>44559</v>
      </c>
      <c r="D2499" t="s">
        <v>43</v>
      </c>
      <c r="E2499" t="s">
        <v>122</v>
      </c>
      <c r="F2499" t="s">
        <v>86</v>
      </c>
      <c r="G2499" t="s">
        <v>32</v>
      </c>
      <c r="H2499" s="2">
        <v>45</v>
      </c>
      <c r="I2499">
        <v>150</v>
      </c>
      <c r="J2499" s="3">
        <v>6750</v>
      </c>
      <c r="K2499" s="4">
        <v>2700</v>
      </c>
      <c r="L2499" t="s">
        <v>27</v>
      </c>
    </row>
    <row r="2500" spans="1:12" x14ac:dyDescent="0.35">
      <c r="A2500" t="s">
        <v>51</v>
      </c>
      <c r="B2500">
        <v>1185732</v>
      </c>
      <c r="C2500" s="1">
        <v>44307</v>
      </c>
      <c r="D2500" t="s">
        <v>48</v>
      </c>
      <c r="E2500" t="s">
        <v>137</v>
      </c>
      <c r="F2500" t="s">
        <v>138</v>
      </c>
      <c r="G2500" t="s">
        <v>56</v>
      </c>
      <c r="H2500" s="2">
        <v>50</v>
      </c>
      <c r="I2500">
        <v>150</v>
      </c>
      <c r="J2500" s="3">
        <v>7500</v>
      </c>
      <c r="K2500" s="4">
        <v>1875</v>
      </c>
      <c r="L2500" t="s">
        <v>27</v>
      </c>
    </row>
    <row r="2501" spans="1:12" x14ac:dyDescent="0.35">
      <c r="A2501" t="s">
        <v>51</v>
      </c>
      <c r="B2501">
        <v>1185732</v>
      </c>
      <c r="C2501" s="1">
        <v>44307</v>
      </c>
      <c r="D2501" t="s">
        <v>48</v>
      </c>
      <c r="E2501" t="s">
        <v>137</v>
      </c>
      <c r="F2501" t="s">
        <v>138</v>
      </c>
      <c r="G2501" t="s">
        <v>70</v>
      </c>
      <c r="H2501" s="2">
        <v>60</v>
      </c>
      <c r="I2501">
        <v>150</v>
      </c>
      <c r="J2501" s="3">
        <v>9000</v>
      </c>
      <c r="K2501" s="4">
        <v>2250</v>
      </c>
      <c r="L2501" t="s">
        <v>27</v>
      </c>
    </row>
    <row r="2502" spans="1:12" x14ac:dyDescent="0.35">
      <c r="A2502" t="s">
        <v>42</v>
      </c>
      <c r="B2502">
        <v>1128299</v>
      </c>
      <c r="C2502" s="1">
        <v>44237</v>
      </c>
      <c r="D2502" t="s">
        <v>48</v>
      </c>
      <c r="E2502" t="s">
        <v>129</v>
      </c>
      <c r="F2502" t="s">
        <v>130</v>
      </c>
      <c r="G2502" t="s">
        <v>70</v>
      </c>
      <c r="H2502" s="2">
        <v>50</v>
      </c>
      <c r="I2502">
        <v>150</v>
      </c>
      <c r="J2502" s="3">
        <v>7500</v>
      </c>
      <c r="K2502" s="4">
        <v>1125</v>
      </c>
      <c r="L2502" t="s">
        <v>27</v>
      </c>
    </row>
    <row r="2503" spans="1:12" x14ac:dyDescent="0.35">
      <c r="A2503" t="s">
        <v>42</v>
      </c>
      <c r="B2503">
        <v>1128299</v>
      </c>
      <c r="C2503" s="1">
        <v>44296</v>
      </c>
      <c r="D2503" t="s">
        <v>48</v>
      </c>
      <c r="E2503" t="s">
        <v>129</v>
      </c>
      <c r="F2503" t="s">
        <v>130</v>
      </c>
      <c r="G2503" t="s">
        <v>70</v>
      </c>
      <c r="H2503" s="2">
        <v>55</v>
      </c>
      <c r="I2503">
        <v>150</v>
      </c>
      <c r="J2503" s="3">
        <v>8250</v>
      </c>
      <c r="K2503" s="4">
        <v>1238</v>
      </c>
      <c r="L2503" t="s">
        <v>27</v>
      </c>
    </row>
    <row r="2504" spans="1:12" x14ac:dyDescent="0.35">
      <c r="A2504" t="s">
        <v>42</v>
      </c>
      <c r="B2504">
        <v>1128299</v>
      </c>
      <c r="C2504" s="1">
        <v>44220</v>
      </c>
      <c r="D2504" t="s">
        <v>48</v>
      </c>
      <c r="E2504" t="s">
        <v>102</v>
      </c>
      <c r="F2504" t="s">
        <v>103</v>
      </c>
      <c r="G2504" t="s">
        <v>70</v>
      </c>
      <c r="H2504" s="2">
        <v>45</v>
      </c>
      <c r="I2504">
        <v>150</v>
      </c>
      <c r="J2504" s="3">
        <v>6750</v>
      </c>
      <c r="K2504" s="4">
        <v>2700</v>
      </c>
      <c r="L2504" t="s">
        <v>36</v>
      </c>
    </row>
    <row r="2505" spans="1:12" x14ac:dyDescent="0.35">
      <c r="A2505" t="s">
        <v>18</v>
      </c>
      <c r="B2505">
        <v>1128299</v>
      </c>
      <c r="C2505" s="1">
        <v>44220</v>
      </c>
      <c r="D2505" t="s">
        <v>48</v>
      </c>
      <c r="E2505" t="s">
        <v>49</v>
      </c>
      <c r="F2505" t="s">
        <v>50</v>
      </c>
      <c r="G2505" t="s">
        <v>70</v>
      </c>
      <c r="H2505" s="2">
        <v>45</v>
      </c>
      <c r="I2505">
        <v>150</v>
      </c>
      <c r="J2505" s="3">
        <v>6750</v>
      </c>
      <c r="K2505" s="4">
        <v>2700</v>
      </c>
      <c r="L2505" t="s">
        <v>36</v>
      </c>
    </row>
    <row r="2506" spans="1:12" x14ac:dyDescent="0.35">
      <c r="A2506" t="s">
        <v>18</v>
      </c>
      <c r="B2506">
        <v>1128299</v>
      </c>
      <c r="C2506" s="1">
        <v>44271</v>
      </c>
      <c r="D2506" t="s">
        <v>19</v>
      </c>
      <c r="E2506" t="s">
        <v>20</v>
      </c>
      <c r="F2506" t="s">
        <v>21</v>
      </c>
      <c r="G2506" t="s">
        <v>70</v>
      </c>
      <c r="H2506" s="2">
        <v>60</v>
      </c>
      <c r="I2506">
        <v>150</v>
      </c>
      <c r="J2506" s="3">
        <v>9000</v>
      </c>
      <c r="K2506" s="4">
        <v>4050</v>
      </c>
      <c r="L2506" t="s">
        <v>36</v>
      </c>
    </row>
    <row r="2507" spans="1:12" x14ac:dyDescent="0.35">
      <c r="A2507" t="s">
        <v>42</v>
      </c>
      <c r="B2507">
        <v>1128299</v>
      </c>
      <c r="C2507" s="1">
        <v>44250</v>
      </c>
      <c r="D2507" t="s">
        <v>48</v>
      </c>
      <c r="E2507" t="s">
        <v>123</v>
      </c>
      <c r="F2507" t="s">
        <v>124</v>
      </c>
      <c r="G2507" t="s">
        <v>70</v>
      </c>
      <c r="H2507" s="2">
        <v>45</v>
      </c>
      <c r="I2507">
        <v>150</v>
      </c>
      <c r="J2507" s="3">
        <v>6750</v>
      </c>
      <c r="K2507" s="4">
        <v>2025</v>
      </c>
      <c r="L2507" t="s">
        <v>17</v>
      </c>
    </row>
    <row r="2508" spans="1:12" x14ac:dyDescent="0.35">
      <c r="A2508" t="s">
        <v>42</v>
      </c>
      <c r="B2508">
        <v>1128299</v>
      </c>
      <c r="C2508" s="1">
        <v>44309</v>
      </c>
      <c r="D2508" t="s">
        <v>48</v>
      </c>
      <c r="E2508" t="s">
        <v>123</v>
      </c>
      <c r="F2508" t="s">
        <v>124</v>
      </c>
      <c r="G2508" t="s">
        <v>70</v>
      </c>
      <c r="H2508" s="2">
        <v>55</v>
      </c>
      <c r="I2508">
        <v>150</v>
      </c>
      <c r="J2508" s="3">
        <v>8250</v>
      </c>
      <c r="K2508" s="4">
        <v>2475</v>
      </c>
      <c r="L2508" t="s">
        <v>17</v>
      </c>
    </row>
    <row r="2509" spans="1:12" x14ac:dyDescent="0.35">
      <c r="A2509" t="s">
        <v>23</v>
      </c>
      <c r="B2509">
        <v>1128299</v>
      </c>
      <c r="C2509" s="1">
        <v>44267</v>
      </c>
      <c r="D2509" t="s">
        <v>13</v>
      </c>
      <c r="E2509" t="s">
        <v>57</v>
      </c>
      <c r="F2509" t="s">
        <v>58</v>
      </c>
      <c r="G2509" t="s">
        <v>70</v>
      </c>
      <c r="H2509" s="2">
        <v>55</v>
      </c>
      <c r="I2509">
        <v>150</v>
      </c>
      <c r="J2509" s="3">
        <v>8250</v>
      </c>
      <c r="K2509" s="4">
        <v>2888</v>
      </c>
      <c r="L2509" t="s">
        <v>17</v>
      </c>
    </row>
    <row r="2510" spans="1:12" x14ac:dyDescent="0.35">
      <c r="A2510" t="s">
        <v>51</v>
      </c>
      <c r="B2510">
        <v>1185732</v>
      </c>
      <c r="C2510" s="1">
        <v>44218</v>
      </c>
      <c r="D2510" t="s">
        <v>33</v>
      </c>
      <c r="E2510" t="s">
        <v>52</v>
      </c>
      <c r="F2510" t="s">
        <v>53</v>
      </c>
      <c r="G2510" t="s">
        <v>56</v>
      </c>
      <c r="H2510" s="2">
        <v>35</v>
      </c>
      <c r="I2510">
        <v>150</v>
      </c>
      <c r="J2510" s="3">
        <v>5250</v>
      </c>
      <c r="K2510" s="4">
        <v>2100</v>
      </c>
      <c r="L2510" t="s">
        <v>17</v>
      </c>
    </row>
    <row r="2511" spans="1:12" x14ac:dyDescent="0.35">
      <c r="A2511" t="s">
        <v>51</v>
      </c>
      <c r="B2511">
        <v>1185732</v>
      </c>
      <c r="C2511" s="1">
        <v>44276</v>
      </c>
      <c r="D2511" t="s">
        <v>13</v>
      </c>
      <c r="E2511" t="s">
        <v>106</v>
      </c>
      <c r="F2511" t="s">
        <v>107</v>
      </c>
      <c r="G2511" t="s">
        <v>70</v>
      </c>
      <c r="H2511" s="2">
        <v>55</v>
      </c>
      <c r="I2511">
        <v>150</v>
      </c>
      <c r="J2511" s="3">
        <v>8250</v>
      </c>
      <c r="K2511" s="4">
        <v>2888</v>
      </c>
      <c r="L2511" t="s">
        <v>17</v>
      </c>
    </row>
    <row r="2512" spans="1:12" x14ac:dyDescent="0.35">
      <c r="A2512" t="s">
        <v>51</v>
      </c>
      <c r="B2512">
        <v>1185732</v>
      </c>
      <c r="C2512" s="1">
        <v>44339</v>
      </c>
      <c r="D2512" t="s">
        <v>13</v>
      </c>
      <c r="E2512" t="s">
        <v>106</v>
      </c>
      <c r="F2512" t="s">
        <v>107</v>
      </c>
      <c r="G2512" t="s">
        <v>70</v>
      </c>
      <c r="H2512" s="2">
        <v>50</v>
      </c>
      <c r="I2512">
        <v>150</v>
      </c>
      <c r="J2512" s="3">
        <v>7500</v>
      </c>
      <c r="K2512" s="4">
        <v>2625</v>
      </c>
      <c r="L2512" t="s">
        <v>17</v>
      </c>
    </row>
    <row r="2513" spans="1:12" x14ac:dyDescent="0.35">
      <c r="A2513" t="s">
        <v>51</v>
      </c>
      <c r="B2513">
        <v>1185732</v>
      </c>
      <c r="C2513" s="1">
        <v>44491</v>
      </c>
      <c r="D2513" t="s">
        <v>13</v>
      </c>
      <c r="E2513" t="s">
        <v>106</v>
      </c>
      <c r="F2513" t="s">
        <v>107</v>
      </c>
      <c r="G2513" t="s">
        <v>56</v>
      </c>
      <c r="H2513" s="2">
        <v>45</v>
      </c>
      <c r="I2513">
        <v>150</v>
      </c>
      <c r="J2513" s="3">
        <v>6750</v>
      </c>
      <c r="K2513" s="4">
        <v>2700</v>
      </c>
      <c r="L2513" t="s">
        <v>17</v>
      </c>
    </row>
    <row r="2514" spans="1:12" x14ac:dyDescent="0.35">
      <c r="A2514" t="s">
        <v>51</v>
      </c>
      <c r="B2514">
        <v>1185732</v>
      </c>
      <c r="C2514" s="1">
        <v>44491</v>
      </c>
      <c r="D2514" t="s">
        <v>13</v>
      </c>
      <c r="E2514" t="s">
        <v>106</v>
      </c>
      <c r="F2514" t="s">
        <v>107</v>
      </c>
      <c r="G2514" t="s">
        <v>70</v>
      </c>
      <c r="H2514" s="2">
        <v>55</v>
      </c>
      <c r="I2514">
        <v>150</v>
      </c>
      <c r="J2514" s="3">
        <v>8250</v>
      </c>
      <c r="K2514" s="4">
        <v>2888</v>
      </c>
      <c r="L2514" t="s">
        <v>17</v>
      </c>
    </row>
    <row r="2515" spans="1:12" x14ac:dyDescent="0.35">
      <c r="A2515" t="s">
        <v>18</v>
      </c>
      <c r="B2515">
        <v>1197831</v>
      </c>
      <c r="C2515" s="1">
        <v>44306</v>
      </c>
      <c r="D2515" t="s">
        <v>19</v>
      </c>
      <c r="E2515" t="s">
        <v>61</v>
      </c>
      <c r="F2515" t="s">
        <v>62</v>
      </c>
      <c r="G2515" t="s">
        <v>56</v>
      </c>
      <c r="H2515" s="2">
        <v>20</v>
      </c>
      <c r="I2515">
        <v>150</v>
      </c>
      <c r="J2515" s="3">
        <v>3000</v>
      </c>
      <c r="K2515" s="4">
        <v>1200</v>
      </c>
      <c r="L2515" t="s">
        <v>17</v>
      </c>
    </row>
    <row r="2516" spans="1:12" x14ac:dyDescent="0.35">
      <c r="A2516" t="s">
        <v>63</v>
      </c>
      <c r="B2516">
        <v>1197831</v>
      </c>
      <c r="C2516" s="1">
        <v>44241</v>
      </c>
      <c r="D2516" t="s">
        <v>33</v>
      </c>
      <c r="E2516" t="s">
        <v>71</v>
      </c>
      <c r="F2516" t="s">
        <v>72</v>
      </c>
      <c r="G2516" t="s">
        <v>56</v>
      </c>
      <c r="H2516" s="2">
        <v>20</v>
      </c>
      <c r="I2516">
        <v>150</v>
      </c>
      <c r="J2516" s="3">
        <v>3000</v>
      </c>
      <c r="K2516" s="4">
        <v>1050</v>
      </c>
      <c r="L2516" t="s">
        <v>17</v>
      </c>
    </row>
    <row r="2517" spans="1:12" x14ac:dyDescent="0.35">
      <c r="A2517" t="s">
        <v>63</v>
      </c>
      <c r="B2517">
        <v>1197831</v>
      </c>
      <c r="C2517" s="1">
        <v>44267</v>
      </c>
      <c r="D2517" t="s">
        <v>33</v>
      </c>
      <c r="E2517" t="s">
        <v>71</v>
      </c>
      <c r="F2517" t="s">
        <v>72</v>
      </c>
      <c r="G2517" t="s">
        <v>70</v>
      </c>
      <c r="H2517" s="2">
        <v>35</v>
      </c>
      <c r="I2517">
        <v>150</v>
      </c>
      <c r="J2517" s="3">
        <v>5250</v>
      </c>
      <c r="K2517" s="4">
        <v>1838</v>
      </c>
      <c r="L2517" t="s">
        <v>17</v>
      </c>
    </row>
    <row r="2518" spans="1:12" x14ac:dyDescent="0.35">
      <c r="A2518" t="s">
        <v>63</v>
      </c>
      <c r="B2518">
        <v>1197831</v>
      </c>
      <c r="C2518" s="1">
        <v>44299</v>
      </c>
      <c r="D2518" t="s">
        <v>33</v>
      </c>
      <c r="E2518" t="s">
        <v>71</v>
      </c>
      <c r="F2518" t="s">
        <v>72</v>
      </c>
      <c r="G2518" t="s">
        <v>70</v>
      </c>
      <c r="H2518" s="2">
        <v>40</v>
      </c>
      <c r="I2518">
        <v>150</v>
      </c>
      <c r="J2518" s="3">
        <v>6000</v>
      </c>
      <c r="K2518" s="4">
        <v>2100</v>
      </c>
      <c r="L2518" t="s">
        <v>17</v>
      </c>
    </row>
    <row r="2519" spans="1:12" x14ac:dyDescent="0.35">
      <c r="A2519" t="s">
        <v>42</v>
      </c>
      <c r="B2519">
        <v>1185732</v>
      </c>
      <c r="C2519" s="1">
        <v>44298</v>
      </c>
      <c r="D2519" t="s">
        <v>33</v>
      </c>
      <c r="E2519" t="s">
        <v>87</v>
      </c>
      <c r="F2519" t="s">
        <v>88</v>
      </c>
      <c r="G2519" t="s">
        <v>39</v>
      </c>
      <c r="H2519" s="2">
        <v>40</v>
      </c>
      <c r="I2519">
        <v>150</v>
      </c>
      <c r="J2519" s="3">
        <v>6000</v>
      </c>
      <c r="K2519" s="4">
        <v>1800</v>
      </c>
      <c r="L2519" t="s">
        <v>17</v>
      </c>
    </row>
    <row r="2520" spans="1:12" x14ac:dyDescent="0.35">
      <c r="A2520" t="s">
        <v>42</v>
      </c>
      <c r="B2520">
        <v>1185732</v>
      </c>
      <c r="C2520" s="1">
        <v>44298</v>
      </c>
      <c r="D2520" t="s">
        <v>33</v>
      </c>
      <c r="E2520" t="s">
        <v>87</v>
      </c>
      <c r="F2520" t="s">
        <v>88</v>
      </c>
      <c r="G2520" t="s">
        <v>32</v>
      </c>
      <c r="H2520" s="2">
        <v>30</v>
      </c>
      <c r="I2520">
        <v>150</v>
      </c>
      <c r="J2520" s="3">
        <v>4500</v>
      </c>
      <c r="K2520" s="4">
        <v>1350</v>
      </c>
      <c r="L2520" t="s">
        <v>17</v>
      </c>
    </row>
    <row r="2521" spans="1:12" x14ac:dyDescent="0.35">
      <c r="A2521" t="s">
        <v>42</v>
      </c>
      <c r="B2521">
        <v>1185732</v>
      </c>
      <c r="C2521" s="1">
        <v>44452</v>
      </c>
      <c r="D2521" t="s">
        <v>33</v>
      </c>
      <c r="E2521" t="s">
        <v>87</v>
      </c>
      <c r="F2521" t="s">
        <v>88</v>
      </c>
      <c r="G2521" t="s">
        <v>56</v>
      </c>
      <c r="H2521" s="2">
        <v>35</v>
      </c>
      <c r="I2521">
        <v>150</v>
      </c>
      <c r="J2521" s="3">
        <v>5250</v>
      </c>
      <c r="K2521" s="4">
        <v>1575</v>
      </c>
      <c r="L2521" t="s">
        <v>17</v>
      </c>
    </row>
    <row r="2522" spans="1:12" x14ac:dyDescent="0.35">
      <c r="A2522" t="s">
        <v>42</v>
      </c>
      <c r="B2522">
        <v>1185732</v>
      </c>
      <c r="C2522" s="1">
        <v>44452</v>
      </c>
      <c r="D2522" t="s">
        <v>33</v>
      </c>
      <c r="E2522" t="s">
        <v>87</v>
      </c>
      <c r="F2522" t="s">
        <v>88</v>
      </c>
      <c r="G2522" t="s">
        <v>70</v>
      </c>
      <c r="H2522" s="2">
        <v>45</v>
      </c>
      <c r="I2522">
        <v>150</v>
      </c>
      <c r="J2522" s="3">
        <v>6750</v>
      </c>
      <c r="K2522" s="4">
        <v>2363</v>
      </c>
      <c r="L2522" t="s">
        <v>17</v>
      </c>
    </row>
    <row r="2523" spans="1:12" x14ac:dyDescent="0.35">
      <c r="A2523" t="s">
        <v>42</v>
      </c>
      <c r="B2523">
        <v>1185732</v>
      </c>
      <c r="C2523" s="1">
        <v>44481</v>
      </c>
      <c r="D2523" t="s">
        <v>33</v>
      </c>
      <c r="E2523" t="s">
        <v>87</v>
      </c>
      <c r="F2523" t="s">
        <v>88</v>
      </c>
      <c r="G2523" t="s">
        <v>32</v>
      </c>
      <c r="H2523" s="2">
        <v>45</v>
      </c>
      <c r="I2523">
        <v>150</v>
      </c>
      <c r="J2523" s="3">
        <v>6750</v>
      </c>
      <c r="K2523" s="4">
        <v>2025</v>
      </c>
      <c r="L2523" t="s">
        <v>17</v>
      </c>
    </row>
    <row r="2524" spans="1:12" x14ac:dyDescent="0.35">
      <c r="A2524" t="s">
        <v>23</v>
      </c>
      <c r="B2524">
        <v>1185732</v>
      </c>
      <c r="C2524" s="1">
        <v>44512</v>
      </c>
      <c r="D2524" t="s">
        <v>33</v>
      </c>
      <c r="E2524" t="s">
        <v>87</v>
      </c>
      <c r="F2524" t="s">
        <v>88</v>
      </c>
      <c r="G2524" t="s">
        <v>70</v>
      </c>
      <c r="H2524" s="2">
        <v>60</v>
      </c>
      <c r="I2524">
        <v>150</v>
      </c>
      <c r="J2524" s="3">
        <v>9000</v>
      </c>
      <c r="K2524" s="4">
        <v>3150</v>
      </c>
      <c r="L2524" t="s">
        <v>17</v>
      </c>
    </row>
    <row r="2525" spans="1:12" x14ac:dyDescent="0.35">
      <c r="A2525" t="s">
        <v>23</v>
      </c>
      <c r="B2525">
        <v>1185732</v>
      </c>
      <c r="C2525" s="1">
        <v>44295</v>
      </c>
      <c r="D2525" t="s">
        <v>33</v>
      </c>
      <c r="E2525" t="s">
        <v>89</v>
      </c>
      <c r="F2525" t="s">
        <v>90</v>
      </c>
      <c r="G2525" t="s">
        <v>39</v>
      </c>
      <c r="H2525" s="2">
        <v>30</v>
      </c>
      <c r="I2525">
        <v>150</v>
      </c>
      <c r="J2525" s="3">
        <v>4500</v>
      </c>
      <c r="K2525" s="4">
        <v>1350</v>
      </c>
      <c r="L2525" t="s">
        <v>17</v>
      </c>
    </row>
    <row r="2526" spans="1:12" x14ac:dyDescent="0.35">
      <c r="A2526" t="s">
        <v>23</v>
      </c>
      <c r="B2526">
        <v>1185732</v>
      </c>
      <c r="C2526" s="1">
        <v>44295</v>
      </c>
      <c r="D2526" t="s">
        <v>33</v>
      </c>
      <c r="E2526" t="s">
        <v>89</v>
      </c>
      <c r="F2526" t="s">
        <v>90</v>
      </c>
      <c r="G2526" t="s">
        <v>32</v>
      </c>
      <c r="H2526" s="2">
        <v>20</v>
      </c>
      <c r="I2526">
        <v>150</v>
      </c>
      <c r="J2526" s="3">
        <v>3000</v>
      </c>
      <c r="K2526" s="4">
        <v>900</v>
      </c>
      <c r="L2526" t="s">
        <v>17</v>
      </c>
    </row>
    <row r="2527" spans="1:12" x14ac:dyDescent="0.35">
      <c r="A2527" t="s">
        <v>23</v>
      </c>
      <c r="B2527">
        <v>1185732</v>
      </c>
      <c r="C2527" s="1">
        <v>44449</v>
      </c>
      <c r="D2527" t="s">
        <v>33</v>
      </c>
      <c r="E2527" t="s">
        <v>89</v>
      </c>
      <c r="F2527" t="s">
        <v>90</v>
      </c>
      <c r="G2527" t="s">
        <v>56</v>
      </c>
      <c r="H2527" s="2">
        <v>30</v>
      </c>
      <c r="I2527">
        <v>150</v>
      </c>
      <c r="J2527" s="3">
        <v>4500</v>
      </c>
      <c r="K2527" s="4">
        <v>1350</v>
      </c>
      <c r="L2527" t="s">
        <v>36</v>
      </c>
    </row>
    <row r="2528" spans="1:12" x14ac:dyDescent="0.35">
      <c r="A2528" t="s">
        <v>23</v>
      </c>
      <c r="B2528">
        <v>1185732</v>
      </c>
      <c r="C2528" s="1">
        <v>44449</v>
      </c>
      <c r="D2528" t="s">
        <v>33</v>
      </c>
      <c r="E2528" t="s">
        <v>89</v>
      </c>
      <c r="F2528" t="s">
        <v>90</v>
      </c>
      <c r="G2528" t="s">
        <v>70</v>
      </c>
      <c r="H2528" s="2">
        <v>40</v>
      </c>
      <c r="I2528">
        <v>150</v>
      </c>
      <c r="J2528" s="3">
        <v>6000</v>
      </c>
      <c r="K2528" s="4">
        <v>2100</v>
      </c>
      <c r="L2528" t="s">
        <v>36</v>
      </c>
    </row>
    <row r="2529" spans="1:12" x14ac:dyDescent="0.35">
      <c r="A2529" t="s">
        <v>23</v>
      </c>
      <c r="B2529">
        <v>1185732</v>
      </c>
      <c r="C2529" s="1">
        <v>44478</v>
      </c>
      <c r="D2529" t="s">
        <v>33</v>
      </c>
      <c r="E2529" t="s">
        <v>89</v>
      </c>
      <c r="F2529" t="s">
        <v>90</v>
      </c>
      <c r="G2529" t="s">
        <v>32</v>
      </c>
      <c r="H2529" s="2">
        <v>40</v>
      </c>
      <c r="I2529">
        <v>150</v>
      </c>
      <c r="J2529" s="3">
        <v>6000</v>
      </c>
      <c r="K2529" s="4">
        <v>1800</v>
      </c>
      <c r="L2529" t="s">
        <v>36</v>
      </c>
    </row>
    <row r="2530" spans="1:12" x14ac:dyDescent="0.35">
      <c r="A2530" t="s">
        <v>42</v>
      </c>
      <c r="B2530">
        <v>1185732</v>
      </c>
      <c r="C2530" s="1">
        <v>44509</v>
      </c>
      <c r="D2530" t="s">
        <v>33</v>
      </c>
      <c r="E2530" t="s">
        <v>89</v>
      </c>
      <c r="F2530" t="s">
        <v>90</v>
      </c>
      <c r="G2530" t="s">
        <v>70</v>
      </c>
      <c r="H2530" s="2">
        <v>60</v>
      </c>
      <c r="I2530">
        <v>150</v>
      </c>
      <c r="J2530" s="3">
        <v>9000</v>
      </c>
      <c r="K2530" s="4">
        <v>3150</v>
      </c>
      <c r="L2530" t="s">
        <v>36</v>
      </c>
    </row>
    <row r="2531" spans="1:12" x14ac:dyDescent="0.35">
      <c r="A2531" t="s">
        <v>42</v>
      </c>
      <c r="B2531">
        <v>1185732</v>
      </c>
      <c r="C2531" s="1">
        <v>44202</v>
      </c>
      <c r="D2531" t="s">
        <v>33</v>
      </c>
      <c r="E2531" t="s">
        <v>89</v>
      </c>
      <c r="F2531" t="s">
        <v>90</v>
      </c>
      <c r="G2531" t="s">
        <v>70</v>
      </c>
      <c r="H2531" s="2">
        <v>40</v>
      </c>
      <c r="I2531">
        <v>150</v>
      </c>
      <c r="J2531" s="3">
        <v>6000</v>
      </c>
      <c r="K2531" s="4">
        <v>3000</v>
      </c>
      <c r="L2531" t="s">
        <v>36</v>
      </c>
    </row>
    <row r="2532" spans="1:12" x14ac:dyDescent="0.35">
      <c r="A2532" t="s">
        <v>42</v>
      </c>
      <c r="B2532">
        <v>1185732</v>
      </c>
      <c r="C2532" s="1">
        <v>44233</v>
      </c>
      <c r="D2532" t="s">
        <v>33</v>
      </c>
      <c r="E2532" t="s">
        <v>89</v>
      </c>
      <c r="F2532" t="s">
        <v>90</v>
      </c>
      <c r="G2532" t="s">
        <v>39</v>
      </c>
      <c r="H2532" s="2">
        <v>30</v>
      </c>
      <c r="I2532">
        <v>150</v>
      </c>
      <c r="J2532" s="3">
        <v>4500</v>
      </c>
      <c r="K2532" s="4">
        <v>1575</v>
      </c>
      <c r="L2532" t="s">
        <v>36</v>
      </c>
    </row>
    <row r="2533" spans="1:12" x14ac:dyDescent="0.35">
      <c r="A2533" t="s">
        <v>42</v>
      </c>
      <c r="B2533">
        <v>1185732</v>
      </c>
      <c r="C2533" s="1">
        <v>44233</v>
      </c>
      <c r="D2533" t="s">
        <v>33</v>
      </c>
      <c r="E2533" t="s">
        <v>91</v>
      </c>
      <c r="F2533" t="s">
        <v>92</v>
      </c>
      <c r="G2533" t="s">
        <v>70</v>
      </c>
      <c r="H2533" s="2">
        <v>40</v>
      </c>
      <c r="I2533">
        <v>150</v>
      </c>
      <c r="J2533" s="3">
        <v>6000</v>
      </c>
      <c r="K2533" s="4">
        <v>3000</v>
      </c>
      <c r="L2533" t="s">
        <v>36</v>
      </c>
    </row>
    <row r="2534" spans="1:12" x14ac:dyDescent="0.35">
      <c r="A2534" t="s">
        <v>42</v>
      </c>
      <c r="B2534">
        <v>1185732</v>
      </c>
      <c r="C2534" s="1">
        <v>44260</v>
      </c>
      <c r="D2534" t="s">
        <v>33</v>
      </c>
      <c r="E2534" t="s">
        <v>91</v>
      </c>
      <c r="F2534" t="s">
        <v>92</v>
      </c>
      <c r="G2534" t="s">
        <v>70</v>
      </c>
      <c r="H2534" s="2">
        <v>30</v>
      </c>
      <c r="I2534">
        <v>150</v>
      </c>
      <c r="J2534" s="3">
        <v>4500</v>
      </c>
      <c r="K2534" s="4">
        <v>2250</v>
      </c>
      <c r="L2534" t="s">
        <v>36</v>
      </c>
    </row>
    <row r="2535" spans="1:12" x14ac:dyDescent="0.35">
      <c r="A2535" t="s">
        <v>42</v>
      </c>
      <c r="B2535">
        <v>1185732</v>
      </c>
      <c r="C2535" s="1">
        <v>44323</v>
      </c>
      <c r="D2535" t="s">
        <v>33</v>
      </c>
      <c r="E2535" t="s">
        <v>91</v>
      </c>
      <c r="F2535" t="s">
        <v>92</v>
      </c>
      <c r="G2535" t="s">
        <v>70</v>
      </c>
      <c r="H2535" s="2">
        <v>45</v>
      </c>
      <c r="I2535">
        <v>150</v>
      </c>
      <c r="J2535" s="3">
        <v>6750</v>
      </c>
      <c r="K2535" s="4">
        <v>3375</v>
      </c>
      <c r="L2535" t="s">
        <v>36</v>
      </c>
    </row>
    <row r="2536" spans="1:12" x14ac:dyDescent="0.35">
      <c r="A2536" t="s">
        <v>42</v>
      </c>
      <c r="B2536">
        <v>1185732</v>
      </c>
      <c r="C2536" s="1">
        <v>44446</v>
      </c>
      <c r="D2536" t="s">
        <v>33</v>
      </c>
      <c r="E2536" t="s">
        <v>91</v>
      </c>
      <c r="F2536" t="s">
        <v>92</v>
      </c>
      <c r="G2536" t="s">
        <v>56</v>
      </c>
      <c r="H2536" s="2">
        <v>25</v>
      </c>
      <c r="I2536">
        <v>150</v>
      </c>
      <c r="J2536" s="3">
        <v>3750</v>
      </c>
      <c r="K2536" s="4">
        <v>1125</v>
      </c>
      <c r="L2536" t="s">
        <v>36</v>
      </c>
    </row>
    <row r="2537" spans="1:12" x14ac:dyDescent="0.35">
      <c r="A2537" t="s">
        <v>42</v>
      </c>
      <c r="B2537">
        <v>1185732</v>
      </c>
      <c r="C2537" s="1">
        <v>44446</v>
      </c>
      <c r="D2537" t="s">
        <v>33</v>
      </c>
      <c r="E2537" t="s">
        <v>91</v>
      </c>
      <c r="F2537" t="s">
        <v>92</v>
      </c>
      <c r="G2537" t="s">
        <v>70</v>
      </c>
      <c r="H2537" s="2">
        <v>35</v>
      </c>
      <c r="I2537">
        <v>150</v>
      </c>
      <c r="J2537" s="3">
        <v>5250</v>
      </c>
      <c r="K2537" s="4">
        <v>2625</v>
      </c>
      <c r="L2537" t="s">
        <v>36</v>
      </c>
    </row>
    <row r="2538" spans="1:12" x14ac:dyDescent="0.35">
      <c r="A2538" t="s">
        <v>42</v>
      </c>
      <c r="B2538">
        <v>1185732</v>
      </c>
      <c r="C2538" s="1">
        <v>44475</v>
      </c>
      <c r="D2538" t="s">
        <v>33</v>
      </c>
      <c r="E2538" t="s">
        <v>91</v>
      </c>
      <c r="F2538" t="s">
        <v>92</v>
      </c>
      <c r="G2538" t="s">
        <v>32</v>
      </c>
      <c r="H2538" s="2">
        <v>35</v>
      </c>
      <c r="I2538">
        <v>150</v>
      </c>
      <c r="J2538" s="3">
        <v>5250</v>
      </c>
      <c r="K2538" s="4">
        <v>1575</v>
      </c>
      <c r="L2538" t="s">
        <v>36</v>
      </c>
    </row>
    <row r="2539" spans="1:12" x14ac:dyDescent="0.35">
      <c r="A2539" t="s">
        <v>18</v>
      </c>
      <c r="B2539">
        <v>1185732</v>
      </c>
      <c r="C2539" s="1">
        <v>44199</v>
      </c>
      <c r="D2539" t="s">
        <v>33</v>
      </c>
      <c r="E2539" t="s">
        <v>91</v>
      </c>
      <c r="F2539" t="s">
        <v>92</v>
      </c>
      <c r="G2539" t="s">
        <v>70</v>
      </c>
      <c r="H2539" s="2">
        <v>40</v>
      </c>
      <c r="I2539">
        <v>150</v>
      </c>
      <c r="J2539" s="3">
        <v>6000</v>
      </c>
      <c r="K2539" s="4">
        <v>3000</v>
      </c>
      <c r="L2539" t="s">
        <v>36</v>
      </c>
    </row>
    <row r="2540" spans="1:12" x14ac:dyDescent="0.35">
      <c r="A2540" t="s">
        <v>18</v>
      </c>
      <c r="B2540">
        <v>1185732</v>
      </c>
      <c r="C2540" s="1">
        <v>44230</v>
      </c>
      <c r="D2540" t="s">
        <v>33</v>
      </c>
      <c r="E2540" t="s">
        <v>91</v>
      </c>
      <c r="F2540" t="s">
        <v>92</v>
      </c>
      <c r="G2540" t="s">
        <v>39</v>
      </c>
      <c r="H2540" s="2">
        <v>30</v>
      </c>
      <c r="I2540">
        <v>150</v>
      </c>
      <c r="J2540" s="3">
        <v>4500</v>
      </c>
      <c r="K2540" s="4">
        <v>1575</v>
      </c>
      <c r="L2540" t="s">
        <v>36</v>
      </c>
    </row>
    <row r="2541" spans="1:12" x14ac:dyDescent="0.35">
      <c r="A2541" t="s">
        <v>18</v>
      </c>
      <c r="B2541">
        <v>1185732</v>
      </c>
      <c r="C2541" s="1">
        <v>44230</v>
      </c>
      <c r="D2541" t="s">
        <v>33</v>
      </c>
      <c r="E2541" t="s">
        <v>40</v>
      </c>
      <c r="F2541" t="s">
        <v>41</v>
      </c>
      <c r="G2541" t="s">
        <v>70</v>
      </c>
      <c r="H2541" s="2">
        <v>40</v>
      </c>
      <c r="I2541">
        <v>150</v>
      </c>
      <c r="J2541" s="3">
        <v>6000</v>
      </c>
      <c r="K2541" s="4">
        <v>3000</v>
      </c>
      <c r="L2541" t="s">
        <v>36</v>
      </c>
    </row>
    <row r="2542" spans="1:12" x14ac:dyDescent="0.35">
      <c r="A2542" t="s">
        <v>18</v>
      </c>
      <c r="B2542">
        <v>1185732</v>
      </c>
      <c r="C2542" s="1">
        <v>44289</v>
      </c>
      <c r="D2542" t="s">
        <v>33</v>
      </c>
      <c r="E2542" t="s">
        <v>40</v>
      </c>
      <c r="F2542" t="s">
        <v>41</v>
      </c>
      <c r="G2542" t="s">
        <v>39</v>
      </c>
      <c r="H2542" s="2">
        <v>20</v>
      </c>
      <c r="I2542">
        <v>150</v>
      </c>
      <c r="J2542" s="3">
        <v>3000</v>
      </c>
      <c r="K2542" s="4">
        <v>1050</v>
      </c>
      <c r="L2542" t="s">
        <v>36</v>
      </c>
    </row>
    <row r="2543" spans="1:12" x14ac:dyDescent="0.35">
      <c r="A2543" t="s">
        <v>18</v>
      </c>
      <c r="B2543">
        <v>1185732</v>
      </c>
      <c r="C2543" s="1">
        <v>44289</v>
      </c>
      <c r="D2543" t="s">
        <v>33</v>
      </c>
      <c r="E2543" t="s">
        <v>40</v>
      </c>
      <c r="F2543" t="s">
        <v>41</v>
      </c>
      <c r="G2543" t="s">
        <v>32</v>
      </c>
      <c r="H2543" s="2">
        <v>10</v>
      </c>
      <c r="I2543">
        <v>150</v>
      </c>
      <c r="J2543" s="3">
        <v>1500</v>
      </c>
      <c r="K2543" s="4">
        <v>450</v>
      </c>
      <c r="L2543" t="s">
        <v>36</v>
      </c>
    </row>
    <row r="2544" spans="1:12" x14ac:dyDescent="0.35">
      <c r="A2544" t="s">
        <v>18</v>
      </c>
      <c r="B2544">
        <v>1185732</v>
      </c>
      <c r="C2544" s="1">
        <v>44320</v>
      </c>
      <c r="D2544" t="s">
        <v>33</v>
      </c>
      <c r="E2544" t="s">
        <v>40</v>
      </c>
      <c r="F2544" t="s">
        <v>41</v>
      </c>
      <c r="G2544" t="s">
        <v>56</v>
      </c>
      <c r="H2544" s="2">
        <v>35</v>
      </c>
      <c r="I2544">
        <v>150</v>
      </c>
      <c r="J2544" s="3">
        <v>5250</v>
      </c>
      <c r="K2544" s="4">
        <v>1575</v>
      </c>
      <c r="L2544" t="s">
        <v>36</v>
      </c>
    </row>
    <row r="2545" spans="1:12" x14ac:dyDescent="0.35">
      <c r="A2545" t="s">
        <v>18</v>
      </c>
      <c r="B2545">
        <v>1185732</v>
      </c>
      <c r="C2545" s="1">
        <v>44443</v>
      </c>
      <c r="D2545" t="s">
        <v>33</v>
      </c>
      <c r="E2545" t="s">
        <v>40</v>
      </c>
      <c r="F2545" t="s">
        <v>41</v>
      </c>
      <c r="G2545" t="s">
        <v>32</v>
      </c>
      <c r="H2545" s="2">
        <v>25</v>
      </c>
      <c r="I2545">
        <v>150</v>
      </c>
      <c r="J2545" s="3">
        <v>3750</v>
      </c>
      <c r="K2545" s="4">
        <v>1125</v>
      </c>
      <c r="L2545" t="s">
        <v>36</v>
      </c>
    </row>
    <row r="2546" spans="1:12" x14ac:dyDescent="0.35">
      <c r="A2546" t="s">
        <v>18</v>
      </c>
      <c r="B2546">
        <v>1185732</v>
      </c>
      <c r="C2546" s="1">
        <v>44206</v>
      </c>
      <c r="D2546" t="s">
        <v>33</v>
      </c>
      <c r="E2546" t="s">
        <v>40</v>
      </c>
      <c r="F2546" t="s">
        <v>41</v>
      </c>
      <c r="G2546" t="s">
        <v>56</v>
      </c>
      <c r="H2546" s="2">
        <v>30</v>
      </c>
      <c r="I2546">
        <v>150</v>
      </c>
      <c r="J2546" s="3">
        <v>4500</v>
      </c>
      <c r="K2546" s="4">
        <v>1575</v>
      </c>
      <c r="L2546" t="s">
        <v>36</v>
      </c>
    </row>
    <row r="2547" spans="1:12" x14ac:dyDescent="0.35">
      <c r="A2547" t="s">
        <v>18</v>
      </c>
      <c r="B2547">
        <v>1185732</v>
      </c>
      <c r="C2547" s="1">
        <v>44450</v>
      </c>
      <c r="D2547" t="s">
        <v>33</v>
      </c>
      <c r="E2547" t="s">
        <v>81</v>
      </c>
      <c r="F2547" t="s">
        <v>82</v>
      </c>
      <c r="G2547" t="s">
        <v>56</v>
      </c>
      <c r="H2547" s="2">
        <v>25</v>
      </c>
      <c r="I2547">
        <v>150</v>
      </c>
      <c r="J2547" s="3">
        <v>3750</v>
      </c>
      <c r="K2547" s="4">
        <v>1313</v>
      </c>
      <c r="L2547" t="s">
        <v>36</v>
      </c>
    </row>
    <row r="2548" spans="1:12" x14ac:dyDescent="0.35">
      <c r="A2548" t="s">
        <v>18</v>
      </c>
      <c r="B2548">
        <v>1185732</v>
      </c>
      <c r="C2548" s="1">
        <v>44450</v>
      </c>
      <c r="D2548" t="s">
        <v>33</v>
      </c>
      <c r="E2548" t="s">
        <v>81</v>
      </c>
      <c r="F2548" t="s">
        <v>82</v>
      </c>
      <c r="G2548" t="s">
        <v>70</v>
      </c>
      <c r="H2548" s="2">
        <v>35</v>
      </c>
      <c r="I2548">
        <v>150</v>
      </c>
      <c r="J2548" s="3">
        <v>5250</v>
      </c>
      <c r="K2548" s="4">
        <v>1575</v>
      </c>
      <c r="L2548" t="s">
        <v>36</v>
      </c>
    </row>
    <row r="2549" spans="1:12" x14ac:dyDescent="0.35">
      <c r="A2549" t="s">
        <v>18</v>
      </c>
      <c r="B2549">
        <v>1185732</v>
      </c>
      <c r="C2549" s="1">
        <v>44479</v>
      </c>
      <c r="D2549" t="s">
        <v>33</v>
      </c>
      <c r="E2549" t="s">
        <v>81</v>
      </c>
      <c r="F2549" t="s">
        <v>82</v>
      </c>
      <c r="G2549" t="s">
        <v>32</v>
      </c>
      <c r="H2549" s="2">
        <v>35</v>
      </c>
      <c r="I2549">
        <v>150</v>
      </c>
      <c r="J2549" s="3">
        <v>5250</v>
      </c>
      <c r="K2549" s="4">
        <v>1838</v>
      </c>
      <c r="L2549" t="s">
        <v>36</v>
      </c>
    </row>
    <row r="2550" spans="1:12" x14ac:dyDescent="0.35">
      <c r="A2550" t="s">
        <v>18</v>
      </c>
      <c r="B2550">
        <v>1185732</v>
      </c>
      <c r="C2550" s="1">
        <v>44479</v>
      </c>
      <c r="D2550" t="s">
        <v>33</v>
      </c>
      <c r="E2550" t="s">
        <v>81</v>
      </c>
      <c r="F2550" t="s">
        <v>82</v>
      </c>
      <c r="G2550" t="s">
        <v>56</v>
      </c>
      <c r="H2550" s="2">
        <v>35</v>
      </c>
      <c r="I2550">
        <v>150</v>
      </c>
      <c r="J2550" s="3">
        <v>5250</v>
      </c>
      <c r="K2550" s="4">
        <v>1838</v>
      </c>
      <c r="L2550" t="s">
        <v>36</v>
      </c>
    </row>
    <row r="2551" spans="1:12" x14ac:dyDescent="0.35">
      <c r="A2551" t="s">
        <v>18</v>
      </c>
      <c r="B2551">
        <v>1185732</v>
      </c>
      <c r="C2551" s="1">
        <v>44479</v>
      </c>
      <c r="D2551" t="s">
        <v>33</v>
      </c>
      <c r="E2551" t="s">
        <v>81</v>
      </c>
      <c r="F2551" t="s">
        <v>82</v>
      </c>
      <c r="G2551" t="s">
        <v>70</v>
      </c>
      <c r="H2551" s="2">
        <v>45</v>
      </c>
      <c r="I2551">
        <v>150</v>
      </c>
      <c r="J2551" s="3">
        <v>6750</v>
      </c>
      <c r="K2551" s="4">
        <v>2025</v>
      </c>
      <c r="L2551" t="s">
        <v>36</v>
      </c>
    </row>
    <row r="2552" spans="1:12" x14ac:dyDescent="0.35">
      <c r="A2552" t="s">
        <v>18</v>
      </c>
      <c r="B2552">
        <v>1185732</v>
      </c>
      <c r="C2552" s="1">
        <v>44213</v>
      </c>
      <c r="D2552" t="s">
        <v>33</v>
      </c>
      <c r="E2552" t="s">
        <v>81</v>
      </c>
      <c r="F2552" t="s">
        <v>82</v>
      </c>
      <c r="G2552" t="s">
        <v>56</v>
      </c>
      <c r="H2552" s="2">
        <v>30</v>
      </c>
      <c r="I2552">
        <v>150</v>
      </c>
      <c r="J2552" s="3">
        <v>4500</v>
      </c>
      <c r="K2552" s="4">
        <v>1800</v>
      </c>
      <c r="L2552" t="s">
        <v>36</v>
      </c>
    </row>
    <row r="2553" spans="1:12" x14ac:dyDescent="0.35">
      <c r="A2553" t="s">
        <v>18</v>
      </c>
      <c r="B2553">
        <v>1185732</v>
      </c>
      <c r="C2553" s="1">
        <v>44275</v>
      </c>
      <c r="D2553" t="s">
        <v>43</v>
      </c>
      <c r="E2553" t="s">
        <v>93</v>
      </c>
      <c r="F2553" t="s">
        <v>94</v>
      </c>
      <c r="G2553" t="s">
        <v>39</v>
      </c>
      <c r="H2553" s="2">
        <v>35</v>
      </c>
      <c r="I2553">
        <v>150</v>
      </c>
      <c r="J2553" s="3">
        <v>5250</v>
      </c>
      <c r="K2553" s="4">
        <v>1838</v>
      </c>
      <c r="L2553" t="s">
        <v>36</v>
      </c>
    </row>
    <row r="2554" spans="1:12" x14ac:dyDescent="0.35">
      <c r="A2554" t="s">
        <v>18</v>
      </c>
      <c r="B2554">
        <v>1185732</v>
      </c>
      <c r="C2554" s="1">
        <v>44336</v>
      </c>
      <c r="D2554" t="s">
        <v>43</v>
      </c>
      <c r="E2554" t="s">
        <v>93</v>
      </c>
      <c r="F2554" t="s">
        <v>94</v>
      </c>
      <c r="G2554" t="s">
        <v>32</v>
      </c>
      <c r="H2554" s="2">
        <v>40</v>
      </c>
      <c r="I2554">
        <v>150</v>
      </c>
      <c r="J2554" s="3">
        <v>6000</v>
      </c>
      <c r="K2554" s="4">
        <v>2100</v>
      </c>
      <c r="L2554" t="s">
        <v>36</v>
      </c>
    </row>
    <row r="2555" spans="1:12" x14ac:dyDescent="0.35">
      <c r="A2555" t="s">
        <v>42</v>
      </c>
      <c r="B2555">
        <v>1185732</v>
      </c>
      <c r="C2555" s="1">
        <v>44369</v>
      </c>
      <c r="D2555" t="s">
        <v>43</v>
      </c>
      <c r="E2555" t="s">
        <v>93</v>
      </c>
      <c r="F2555" t="s">
        <v>94</v>
      </c>
      <c r="G2555" t="s">
        <v>56</v>
      </c>
      <c r="H2555" s="2">
        <v>40</v>
      </c>
      <c r="I2555">
        <v>150</v>
      </c>
      <c r="J2555" s="3">
        <v>6000</v>
      </c>
      <c r="K2555" s="4">
        <v>2100</v>
      </c>
      <c r="L2555" t="s">
        <v>36</v>
      </c>
    </row>
    <row r="2556" spans="1:12" x14ac:dyDescent="0.35">
      <c r="A2556" t="s">
        <v>42</v>
      </c>
      <c r="B2556">
        <v>1185732</v>
      </c>
      <c r="C2556" s="1">
        <v>44369</v>
      </c>
      <c r="D2556" t="s">
        <v>43</v>
      </c>
      <c r="E2556" t="s">
        <v>93</v>
      </c>
      <c r="F2556" t="s">
        <v>94</v>
      </c>
      <c r="G2556" t="s">
        <v>70</v>
      </c>
      <c r="H2556" s="2">
        <v>50</v>
      </c>
      <c r="I2556">
        <v>150</v>
      </c>
      <c r="J2556" s="3">
        <v>7500</v>
      </c>
      <c r="K2556" s="4">
        <v>2250</v>
      </c>
      <c r="L2556" t="s">
        <v>36</v>
      </c>
    </row>
    <row r="2557" spans="1:12" x14ac:dyDescent="0.35">
      <c r="A2557" t="s">
        <v>23</v>
      </c>
      <c r="B2557">
        <v>1185732</v>
      </c>
      <c r="C2557" s="1">
        <v>44397</v>
      </c>
      <c r="D2557" t="s">
        <v>43</v>
      </c>
      <c r="E2557" t="s">
        <v>93</v>
      </c>
      <c r="F2557" t="s">
        <v>94</v>
      </c>
      <c r="G2557" t="s">
        <v>56</v>
      </c>
      <c r="H2557" s="2">
        <v>40</v>
      </c>
      <c r="I2557">
        <v>150</v>
      </c>
      <c r="J2557" s="3">
        <v>6000</v>
      </c>
      <c r="K2557" s="4">
        <v>2100</v>
      </c>
      <c r="L2557" t="s">
        <v>36</v>
      </c>
    </row>
    <row r="2558" spans="1:12" x14ac:dyDescent="0.35">
      <c r="A2558" t="s">
        <v>23</v>
      </c>
      <c r="B2558">
        <v>1185732</v>
      </c>
      <c r="C2558" s="1">
        <v>44429</v>
      </c>
      <c r="D2558" t="s">
        <v>43</v>
      </c>
      <c r="E2558" t="s">
        <v>93</v>
      </c>
      <c r="F2558" t="s">
        <v>94</v>
      </c>
      <c r="G2558" t="s">
        <v>56</v>
      </c>
      <c r="H2558" s="2">
        <v>40</v>
      </c>
      <c r="I2558">
        <v>150</v>
      </c>
      <c r="J2558" s="3">
        <v>6000</v>
      </c>
      <c r="K2558" s="4">
        <v>2100</v>
      </c>
      <c r="L2558" t="s">
        <v>36</v>
      </c>
    </row>
    <row r="2559" spans="1:12" x14ac:dyDescent="0.35">
      <c r="A2559" t="s">
        <v>42</v>
      </c>
      <c r="B2559">
        <v>1185732</v>
      </c>
      <c r="C2559" s="1">
        <v>44521</v>
      </c>
      <c r="D2559" t="s">
        <v>43</v>
      </c>
      <c r="E2559" t="s">
        <v>93</v>
      </c>
      <c r="F2559" t="s">
        <v>94</v>
      </c>
      <c r="G2559" t="s">
        <v>56</v>
      </c>
      <c r="H2559" s="2">
        <v>50</v>
      </c>
      <c r="I2559">
        <v>150</v>
      </c>
      <c r="J2559" s="3">
        <v>7500</v>
      </c>
      <c r="K2559" s="4">
        <v>2625</v>
      </c>
      <c r="L2559" t="s">
        <v>36</v>
      </c>
    </row>
    <row r="2560" spans="1:12" x14ac:dyDescent="0.35">
      <c r="A2560" t="s">
        <v>42</v>
      </c>
      <c r="B2560">
        <v>1185732</v>
      </c>
      <c r="C2560" s="1">
        <v>44242</v>
      </c>
      <c r="D2560" t="s">
        <v>43</v>
      </c>
      <c r="E2560" t="s">
        <v>95</v>
      </c>
      <c r="F2560" t="s">
        <v>96</v>
      </c>
      <c r="G2560" t="s">
        <v>56</v>
      </c>
      <c r="H2560" s="2">
        <v>35</v>
      </c>
      <c r="I2560">
        <v>150</v>
      </c>
      <c r="J2560" s="3">
        <v>5250</v>
      </c>
      <c r="K2560" s="4">
        <v>2100</v>
      </c>
      <c r="L2560" t="s">
        <v>36</v>
      </c>
    </row>
    <row r="2561" spans="1:12" x14ac:dyDescent="0.35">
      <c r="A2561" t="s">
        <v>42</v>
      </c>
      <c r="B2561">
        <v>1185732</v>
      </c>
      <c r="C2561" s="1">
        <v>44300</v>
      </c>
      <c r="D2561" t="s">
        <v>43</v>
      </c>
      <c r="E2561" t="s">
        <v>95</v>
      </c>
      <c r="F2561" t="s">
        <v>96</v>
      </c>
      <c r="G2561" t="s">
        <v>56</v>
      </c>
      <c r="H2561" s="2">
        <v>35</v>
      </c>
      <c r="I2561">
        <v>150</v>
      </c>
      <c r="J2561" s="3">
        <v>5250</v>
      </c>
      <c r="K2561" s="4">
        <v>2100</v>
      </c>
      <c r="L2561" t="s">
        <v>36</v>
      </c>
    </row>
    <row r="2562" spans="1:12" x14ac:dyDescent="0.35">
      <c r="A2562" t="s">
        <v>42</v>
      </c>
      <c r="B2562">
        <v>1185732</v>
      </c>
      <c r="C2562" s="1">
        <v>44300</v>
      </c>
      <c r="D2562" t="s">
        <v>43</v>
      </c>
      <c r="E2562" t="s">
        <v>95</v>
      </c>
      <c r="F2562" t="s">
        <v>96</v>
      </c>
      <c r="G2562" t="s">
        <v>70</v>
      </c>
      <c r="H2562" s="2">
        <v>50</v>
      </c>
      <c r="I2562">
        <v>150</v>
      </c>
      <c r="J2562" s="3">
        <v>7500</v>
      </c>
      <c r="K2562" s="4">
        <v>2250</v>
      </c>
      <c r="L2562" t="s">
        <v>36</v>
      </c>
    </row>
    <row r="2563" spans="1:12" x14ac:dyDescent="0.35">
      <c r="A2563" t="s">
        <v>63</v>
      </c>
      <c r="B2563">
        <v>1185732</v>
      </c>
      <c r="C2563" s="1">
        <v>44445</v>
      </c>
      <c r="D2563" t="s">
        <v>43</v>
      </c>
      <c r="E2563" t="s">
        <v>83</v>
      </c>
      <c r="F2563" t="s">
        <v>84</v>
      </c>
      <c r="G2563" t="s">
        <v>56</v>
      </c>
      <c r="H2563" s="2">
        <v>40</v>
      </c>
      <c r="I2563">
        <v>150</v>
      </c>
      <c r="J2563" s="3">
        <v>6000</v>
      </c>
      <c r="K2563" s="4">
        <v>2400</v>
      </c>
      <c r="L2563" t="s">
        <v>36</v>
      </c>
    </row>
    <row r="2564" spans="1:12" x14ac:dyDescent="0.35">
      <c r="A2564" t="s">
        <v>63</v>
      </c>
      <c r="B2564">
        <v>1185732</v>
      </c>
      <c r="C2564" s="1">
        <v>44445</v>
      </c>
      <c r="D2564" t="s">
        <v>43</v>
      </c>
      <c r="E2564" t="s">
        <v>83</v>
      </c>
      <c r="F2564" t="s">
        <v>84</v>
      </c>
      <c r="G2564" t="s">
        <v>70</v>
      </c>
      <c r="H2564" s="2">
        <v>50</v>
      </c>
      <c r="I2564">
        <v>150</v>
      </c>
      <c r="J2564" s="3">
        <v>7500</v>
      </c>
      <c r="K2564" s="4">
        <v>2250</v>
      </c>
      <c r="L2564" t="s">
        <v>36</v>
      </c>
    </row>
    <row r="2565" spans="1:12" x14ac:dyDescent="0.35">
      <c r="A2565" t="s">
        <v>63</v>
      </c>
      <c r="B2565">
        <v>1185732</v>
      </c>
      <c r="C2565" s="1">
        <v>44477</v>
      </c>
      <c r="D2565" t="s">
        <v>43</v>
      </c>
      <c r="E2565" t="s">
        <v>83</v>
      </c>
      <c r="F2565" t="s">
        <v>84</v>
      </c>
      <c r="G2565" t="s">
        <v>32</v>
      </c>
      <c r="H2565" s="2">
        <v>50</v>
      </c>
      <c r="I2565">
        <v>150</v>
      </c>
      <c r="J2565" s="3">
        <v>7500</v>
      </c>
      <c r="K2565" s="4">
        <v>3000</v>
      </c>
      <c r="L2565" t="s">
        <v>36</v>
      </c>
    </row>
    <row r="2566" spans="1:12" x14ac:dyDescent="0.35">
      <c r="A2566" t="s">
        <v>23</v>
      </c>
      <c r="B2566">
        <v>1185732</v>
      </c>
      <c r="C2566" s="1">
        <v>44203</v>
      </c>
      <c r="D2566" t="s">
        <v>43</v>
      </c>
      <c r="E2566" t="s">
        <v>83</v>
      </c>
      <c r="F2566" t="s">
        <v>84</v>
      </c>
      <c r="G2566" t="s">
        <v>56</v>
      </c>
      <c r="H2566" s="2">
        <v>35</v>
      </c>
      <c r="I2566">
        <v>150</v>
      </c>
      <c r="J2566" s="3">
        <v>5250</v>
      </c>
      <c r="K2566" s="4">
        <v>1575</v>
      </c>
      <c r="L2566" t="s">
        <v>36</v>
      </c>
    </row>
    <row r="2567" spans="1:12" x14ac:dyDescent="0.35">
      <c r="A2567" t="s">
        <v>23</v>
      </c>
      <c r="B2567">
        <v>1185732</v>
      </c>
      <c r="C2567" s="1">
        <v>44258</v>
      </c>
      <c r="D2567" t="s">
        <v>43</v>
      </c>
      <c r="E2567" t="s">
        <v>108</v>
      </c>
      <c r="F2567" t="s">
        <v>109</v>
      </c>
      <c r="G2567" t="s">
        <v>70</v>
      </c>
      <c r="H2567" s="2">
        <v>50</v>
      </c>
      <c r="I2567">
        <v>150</v>
      </c>
      <c r="J2567" s="3">
        <v>7500</v>
      </c>
      <c r="K2567" s="4">
        <v>2250</v>
      </c>
      <c r="L2567" t="s">
        <v>36</v>
      </c>
    </row>
    <row r="2568" spans="1:12" x14ac:dyDescent="0.35">
      <c r="A2568" t="s">
        <v>23</v>
      </c>
      <c r="B2568">
        <v>1185732</v>
      </c>
      <c r="C2568" s="1">
        <v>44474</v>
      </c>
      <c r="D2568" t="s">
        <v>43</v>
      </c>
      <c r="E2568" t="s">
        <v>108</v>
      </c>
      <c r="F2568" t="s">
        <v>109</v>
      </c>
      <c r="G2568" t="s">
        <v>56</v>
      </c>
      <c r="H2568" s="2">
        <v>55</v>
      </c>
      <c r="I2568">
        <v>150</v>
      </c>
      <c r="J2568" s="3">
        <v>8250</v>
      </c>
      <c r="K2568" s="4">
        <v>2475</v>
      </c>
      <c r="L2568" t="s">
        <v>36</v>
      </c>
    </row>
    <row r="2569" spans="1:12" x14ac:dyDescent="0.35">
      <c r="A2569" t="s">
        <v>42</v>
      </c>
      <c r="B2569">
        <v>1185732</v>
      </c>
      <c r="C2569" s="1">
        <v>44261</v>
      </c>
      <c r="D2569" t="s">
        <v>43</v>
      </c>
      <c r="E2569" t="s">
        <v>110</v>
      </c>
      <c r="F2569" t="s">
        <v>111</v>
      </c>
      <c r="G2569" t="s">
        <v>39</v>
      </c>
      <c r="H2569" s="2">
        <v>35</v>
      </c>
      <c r="I2569">
        <v>150</v>
      </c>
      <c r="J2569" s="3">
        <v>5250</v>
      </c>
      <c r="K2569" s="4">
        <v>1838</v>
      </c>
      <c r="L2569" t="s">
        <v>36</v>
      </c>
    </row>
    <row r="2570" spans="1:12" x14ac:dyDescent="0.35">
      <c r="A2570" t="s">
        <v>42</v>
      </c>
      <c r="B2570">
        <v>1185732</v>
      </c>
      <c r="C2570" s="1">
        <v>44322</v>
      </c>
      <c r="D2570" t="s">
        <v>43</v>
      </c>
      <c r="E2570" t="s">
        <v>110</v>
      </c>
      <c r="F2570" t="s">
        <v>111</v>
      </c>
      <c r="G2570" t="s">
        <v>56</v>
      </c>
      <c r="H2570" s="2">
        <v>40</v>
      </c>
      <c r="I2570">
        <v>150</v>
      </c>
      <c r="J2570" s="3">
        <v>6000</v>
      </c>
      <c r="K2570" s="4">
        <v>2400</v>
      </c>
      <c r="L2570" t="s">
        <v>36</v>
      </c>
    </row>
    <row r="2571" spans="1:12" x14ac:dyDescent="0.35">
      <c r="A2571" t="s">
        <v>42</v>
      </c>
      <c r="B2571">
        <v>1185732</v>
      </c>
      <c r="C2571" s="1">
        <v>44415</v>
      </c>
      <c r="D2571" t="s">
        <v>43</v>
      </c>
      <c r="E2571" t="s">
        <v>110</v>
      </c>
      <c r="F2571" t="s">
        <v>111</v>
      </c>
      <c r="G2571" t="s">
        <v>56</v>
      </c>
      <c r="H2571" s="2">
        <v>40</v>
      </c>
      <c r="I2571">
        <v>150</v>
      </c>
      <c r="J2571" s="3">
        <v>6000</v>
      </c>
      <c r="K2571" s="4">
        <v>2400</v>
      </c>
      <c r="L2571" t="s">
        <v>36</v>
      </c>
    </row>
    <row r="2572" spans="1:12" x14ac:dyDescent="0.35">
      <c r="A2572" t="s">
        <v>23</v>
      </c>
      <c r="B2572">
        <v>1185732</v>
      </c>
      <c r="C2572" s="1">
        <v>44213</v>
      </c>
      <c r="D2572" t="s">
        <v>43</v>
      </c>
      <c r="E2572" t="s">
        <v>110</v>
      </c>
      <c r="F2572" t="s">
        <v>111</v>
      </c>
      <c r="G2572" t="s">
        <v>70</v>
      </c>
      <c r="H2572" s="2">
        <v>50</v>
      </c>
      <c r="I2572">
        <v>150</v>
      </c>
      <c r="J2572" s="3">
        <v>7500</v>
      </c>
      <c r="K2572" s="4">
        <v>1875</v>
      </c>
      <c r="L2572" t="s">
        <v>36</v>
      </c>
    </row>
    <row r="2573" spans="1:12" x14ac:dyDescent="0.35">
      <c r="A2573" t="s">
        <v>23</v>
      </c>
      <c r="B2573">
        <v>1185732</v>
      </c>
      <c r="C2573" s="1">
        <v>44242</v>
      </c>
      <c r="D2573" t="s">
        <v>43</v>
      </c>
      <c r="E2573" t="s">
        <v>110</v>
      </c>
      <c r="F2573" t="s">
        <v>111</v>
      </c>
      <c r="G2573" t="s">
        <v>39</v>
      </c>
      <c r="H2573" s="2">
        <v>40</v>
      </c>
      <c r="I2573">
        <v>150</v>
      </c>
      <c r="J2573" s="3">
        <v>6000</v>
      </c>
      <c r="K2573" s="4">
        <v>1800</v>
      </c>
      <c r="L2573" t="s">
        <v>36</v>
      </c>
    </row>
    <row r="2574" spans="1:12" x14ac:dyDescent="0.35">
      <c r="A2574" t="s">
        <v>23</v>
      </c>
      <c r="B2574">
        <v>1185732</v>
      </c>
      <c r="C2574" s="1">
        <v>44242</v>
      </c>
      <c r="D2574" t="s">
        <v>43</v>
      </c>
      <c r="E2574" t="s">
        <v>112</v>
      </c>
      <c r="F2574" t="s">
        <v>113</v>
      </c>
      <c r="G2574" t="s">
        <v>70</v>
      </c>
      <c r="H2574" s="2">
        <v>50</v>
      </c>
      <c r="I2574">
        <v>150</v>
      </c>
      <c r="J2574" s="3">
        <v>7500</v>
      </c>
      <c r="K2574" s="4">
        <v>1875</v>
      </c>
      <c r="L2574" t="s">
        <v>36</v>
      </c>
    </row>
    <row r="2575" spans="1:12" x14ac:dyDescent="0.35">
      <c r="A2575" t="s">
        <v>23</v>
      </c>
      <c r="B2575">
        <v>1185732</v>
      </c>
      <c r="C2575" s="1">
        <v>44300</v>
      </c>
      <c r="D2575" t="s">
        <v>43</v>
      </c>
      <c r="E2575" t="s">
        <v>112</v>
      </c>
      <c r="F2575" t="s">
        <v>113</v>
      </c>
      <c r="G2575" t="s">
        <v>39</v>
      </c>
      <c r="H2575" s="2">
        <v>40</v>
      </c>
      <c r="I2575">
        <v>150</v>
      </c>
      <c r="J2575" s="3">
        <v>6000</v>
      </c>
      <c r="K2575" s="4">
        <v>1800</v>
      </c>
      <c r="L2575" t="s">
        <v>36</v>
      </c>
    </row>
    <row r="2576" spans="1:12" x14ac:dyDescent="0.35">
      <c r="A2576" t="s">
        <v>23</v>
      </c>
      <c r="B2576">
        <v>1185732</v>
      </c>
      <c r="C2576" s="1">
        <v>44300</v>
      </c>
      <c r="D2576" t="s">
        <v>43</v>
      </c>
      <c r="E2576" t="s">
        <v>112</v>
      </c>
      <c r="F2576" t="s">
        <v>113</v>
      </c>
      <c r="G2576" t="s">
        <v>32</v>
      </c>
      <c r="H2576" s="2">
        <v>30</v>
      </c>
      <c r="I2576">
        <v>150</v>
      </c>
      <c r="J2576" s="3">
        <v>4500</v>
      </c>
      <c r="K2576" s="4">
        <v>1125</v>
      </c>
      <c r="L2576" t="s">
        <v>36</v>
      </c>
    </row>
    <row r="2577" spans="1:12" x14ac:dyDescent="0.35">
      <c r="A2577" t="s">
        <v>23</v>
      </c>
      <c r="B2577">
        <v>1185732</v>
      </c>
      <c r="C2577" s="1">
        <v>44422</v>
      </c>
      <c r="D2577" t="s">
        <v>43</v>
      </c>
      <c r="E2577" t="s">
        <v>112</v>
      </c>
      <c r="F2577" t="s">
        <v>113</v>
      </c>
      <c r="G2577" t="s">
        <v>70</v>
      </c>
      <c r="H2577" s="2">
        <v>55</v>
      </c>
      <c r="I2577">
        <v>150</v>
      </c>
      <c r="J2577" s="3">
        <v>8250</v>
      </c>
      <c r="K2577" s="4">
        <v>2063</v>
      </c>
      <c r="L2577" t="s">
        <v>36</v>
      </c>
    </row>
    <row r="2578" spans="1:12" x14ac:dyDescent="0.35">
      <c r="A2578" t="s">
        <v>23</v>
      </c>
      <c r="B2578">
        <v>1185732</v>
      </c>
      <c r="C2578" s="1">
        <v>44452</v>
      </c>
      <c r="D2578" t="s">
        <v>43</v>
      </c>
      <c r="E2578" t="s">
        <v>112</v>
      </c>
      <c r="F2578" t="s">
        <v>113</v>
      </c>
      <c r="G2578" t="s">
        <v>32</v>
      </c>
      <c r="H2578" s="2">
        <v>45</v>
      </c>
      <c r="I2578">
        <v>150</v>
      </c>
      <c r="J2578" s="3">
        <v>6750</v>
      </c>
      <c r="K2578" s="4">
        <v>1688</v>
      </c>
      <c r="L2578" t="s">
        <v>36</v>
      </c>
    </row>
    <row r="2579" spans="1:12" x14ac:dyDescent="0.35">
      <c r="A2579" t="s">
        <v>51</v>
      </c>
      <c r="B2579">
        <v>1185732</v>
      </c>
      <c r="C2579" s="1">
        <v>44239</v>
      </c>
      <c r="D2579" t="s">
        <v>43</v>
      </c>
      <c r="E2579" t="s">
        <v>125</v>
      </c>
      <c r="F2579" t="s">
        <v>126</v>
      </c>
      <c r="G2579" t="s">
        <v>56</v>
      </c>
      <c r="H2579" s="2">
        <v>40</v>
      </c>
      <c r="I2579">
        <v>150</v>
      </c>
      <c r="J2579" s="3">
        <v>6000</v>
      </c>
      <c r="K2579" s="4">
        <v>2100</v>
      </c>
      <c r="L2579" t="s">
        <v>36</v>
      </c>
    </row>
    <row r="2580" spans="1:12" x14ac:dyDescent="0.35">
      <c r="A2580" t="s">
        <v>51</v>
      </c>
      <c r="B2580">
        <v>1185732</v>
      </c>
      <c r="C2580" s="1">
        <v>44297</v>
      </c>
      <c r="D2580" t="s">
        <v>43</v>
      </c>
      <c r="E2580" t="s">
        <v>125</v>
      </c>
      <c r="F2580" t="s">
        <v>126</v>
      </c>
      <c r="G2580" t="s">
        <v>56</v>
      </c>
      <c r="H2580" s="2">
        <v>40</v>
      </c>
      <c r="I2580">
        <v>150</v>
      </c>
      <c r="J2580" s="3">
        <v>6000</v>
      </c>
      <c r="K2580" s="4">
        <v>2100</v>
      </c>
      <c r="L2580" t="s">
        <v>36</v>
      </c>
    </row>
    <row r="2581" spans="1:12" x14ac:dyDescent="0.35">
      <c r="A2581" t="s">
        <v>51</v>
      </c>
      <c r="B2581">
        <v>1185732</v>
      </c>
      <c r="C2581" s="1">
        <v>44297</v>
      </c>
      <c r="D2581" t="s">
        <v>43</v>
      </c>
      <c r="E2581" t="s">
        <v>125</v>
      </c>
      <c r="F2581" t="s">
        <v>126</v>
      </c>
      <c r="G2581" t="s">
        <v>70</v>
      </c>
      <c r="H2581" s="2">
        <v>55</v>
      </c>
      <c r="I2581">
        <v>150</v>
      </c>
      <c r="J2581" s="3">
        <v>8250</v>
      </c>
      <c r="K2581" s="4">
        <v>2888</v>
      </c>
      <c r="L2581" t="s">
        <v>36</v>
      </c>
    </row>
    <row r="2582" spans="1:12" x14ac:dyDescent="0.35">
      <c r="A2582" t="s">
        <v>51</v>
      </c>
      <c r="B2582">
        <v>1185732</v>
      </c>
      <c r="C2582" s="1">
        <v>44272</v>
      </c>
      <c r="D2582" t="s">
        <v>43</v>
      </c>
      <c r="E2582" t="s">
        <v>127</v>
      </c>
      <c r="F2582" t="s">
        <v>128</v>
      </c>
      <c r="G2582" t="s">
        <v>56</v>
      </c>
      <c r="H2582" s="2">
        <v>45</v>
      </c>
      <c r="I2582">
        <v>150</v>
      </c>
      <c r="J2582" s="3">
        <v>6750</v>
      </c>
      <c r="K2582" s="4">
        <v>2025</v>
      </c>
      <c r="L2582" t="s">
        <v>36</v>
      </c>
    </row>
    <row r="2583" spans="1:12" x14ac:dyDescent="0.35">
      <c r="A2583" t="s">
        <v>42</v>
      </c>
      <c r="B2583">
        <v>1185732</v>
      </c>
      <c r="C2583" s="1">
        <v>44220</v>
      </c>
      <c r="D2583" t="s">
        <v>43</v>
      </c>
      <c r="E2583" t="s">
        <v>127</v>
      </c>
      <c r="F2583" t="s">
        <v>128</v>
      </c>
      <c r="G2583" t="s">
        <v>56</v>
      </c>
      <c r="H2583" s="2">
        <v>50</v>
      </c>
      <c r="I2583">
        <v>150</v>
      </c>
      <c r="J2583" s="3">
        <v>7500</v>
      </c>
      <c r="K2583" s="4">
        <v>1875</v>
      </c>
      <c r="L2583" t="s">
        <v>27</v>
      </c>
    </row>
    <row r="2584" spans="1:12" x14ac:dyDescent="0.35">
      <c r="A2584" t="s">
        <v>12</v>
      </c>
      <c r="B2584">
        <v>1197831</v>
      </c>
      <c r="C2584" s="1">
        <v>44089</v>
      </c>
      <c r="D2584" t="s">
        <v>19</v>
      </c>
      <c r="E2584" t="s">
        <v>59</v>
      </c>
      <c r="F2584" t="s">
        <v>60</v>
      </c>
      <c r="G2584" t="s">
        <v>70</v>
      </c>
      <c r="H2584" s="2">
        <v>42</v>
      </c>
      <c r="I2584">
        <v>150</v>
      </c>
      <c r="J2584">
        <v>630</v>
      </c>
      <c r="K2584" s="4">
        <v>258</v>
      </c>
      <c r="L2584" t="s">
        <v>17</v>
      </c>
    </row>
    <row r="2585" spans="1:12" x14ac:dyDescent="0.35">
      <c r="A2585" t="s">
        <v>18</v>
      </c>
      <c r="B2585">
        <v>1128299</v>
      </c>
      <c r="C2585" s="1">
        <v>44145</v>
      </c>
      <c r="D2585" t="s">
        <v>48</v>
      </c>
      <c r="E2585" t="s">
        <v>66</v>
      </c>
      <c r="F2585" t="s">
        <v>67</v>
      </c>
      <c r="G2585" t="s">
        <v>56</v>
      </c>
      <c r="H2585" s="2">
        <v>47</v>
      </c>
      <c r="I2585">
        <v>150</v>
      </c>
      <c r="J2585">
        <v>705</v>
      </c>
      <c r="K2585" s="4">
        <v>296</v>
      </c>
      <c r="L2585" t="s">
        <v>17</v>
      </c>
    </row>
    <row r="2586" spans="1:12" x14ac:dyDescent="0.35">
      <c r="A2586" t="s">
        <v>42</v>
      </c>
      <c r="B2586">
        <v>1185732</v>
      </c>
      <c r="C2586" s="1">
        <v>44413</v>
      </c>
      <c r="D2586" t="s">
        <v>33</v>
      </c>
      <c r="E2586" t="s">
        <v>118</v>
      </c>
      <c r="F2586" t="s">
        <v>119</v>
      </c>
      <c r="G2586" t="s">
        <v>26</v>
      </c>
      <c r="H2586" s="2">
        <v>57</v>
      </c>
      <c r="I2586">
        <v>150</v>
      </c>
      <c r="J2586">
        <v>855</v>
      </c>
      <c r="K2586" s="4">
        <v>470</v>
      </c>
      <c r="L2586" t="s">
        <v>17</v>
      </c>
    </row>
    <row r="2587" spans="1:12" x14ac:dyDescent="0.35">
      <c r="A2587" t="s">
        <v>23</v>
      </c>
      <c r="B2587">
        <v>1197831</v>
      </c>
      <c r="C2587" s="1">
        <v>44458</v>
      </c>
      <c r="D2587" t="s">
        <v>19</v>
      </c>
      <c r="E2587" t="s">
        <v>59</v>
      </c>
      <c r="F2587" t="s">
        <v>68</v>
      </c>
      <c r="G2587" t="s">
        <v>56</v>
      </c>
      <c r="H2587" s="2">
        <v>43</v>
      </c>
      <c r="I2587">
        <v>150</v>
      </c>
      <c r="J2587">
        <v>645</v>
      </c>
      <c r="K2587" s="4">
        <v>393</v>
      </c>
      <c r="L2587" t="s">
        <v>17</v>
      </c>
    </row>
    <row r="2588" spans="1:12" x14ac:dyDescent="0.35">
      <c r="A2588" t="s">
        <v>18</v>
      </c>
      <c r="B2588">
        <v>1128299</v>
      </c>
      <c r="C2588" s="1">
        <v>43894</v>
      </c>
      <c r="D2588" t="s">
        <v>48</v>
      </c>
      <c r="E2588" t="s">
        <v>116</v>
      </c>
      <c r="F2588" t="s">
        <v>117</v>
      </c>
      <c r="G2588" t="s">
        <v>39</v>
      </c>
      <c r="H2588" s="2">
        <v>64</v>
      </c>
      <c r="I2588">
        <v>150</v>
      </c>
      <c r="J2588">
        <v>960</v>
      </c>
      <c r="K2588" s="4">
        <v>326</v>
      </c>
      <c r="L2588" t="s">
        <v>17</v>
      </c>
    </row>
    <row r="2589" spans="1:12" x14ac:dyDescent="0.35">
      <c r="A2589" t="s">
        <v>18</v>
      </c>
      <c r="B2589">
        <v>1128299</v>
      </c>
      <c r="C2589" s="1">
        <v>43904</v>
      </c>
      <c r="D2589" t="s">
        <v>48</v>
      </c>
      <c r="E2589" t="s">
        <v>116</v>
      </c>
      <c r="F2589" t="s">
        <v>117</v>
      </c>
      <c r="G2589" t="s">
        <v>16</v>
      </c>
      <c r="H2589" s="2">
        <v>74</v>
      </c>
      <c r="I2589">
        <v>150</v>
      </c>
      <c r="J2589" s="3">
        <v>1110</v>
      </c>
      <c r="K2589" s="4">
        <v>300</v>
      </c>
      <c r="L2589" t="s">
        <v>17</v>
      </c>
    </row>
    <row r="2590" spans="1:12" x14ac:dyDescent="0.35">
      <c r="A2590" t="s">
        <v>18</v>
      </c>
      <c r="B2590">
        <v>1128299</v>
      </c>
      <c r="C2590" s="1">
        <v>43937</v>
      </c>
      <c r="D2590" t="s">
        <v>48</v>
      </c>
      <c r="E2590" t="s">
        <v>133</v>
      </c>
      <c r="F2590" t="s">
        <v>134</v>
      </c>
      <c r="G2590" t="s">
        <v>32</v>
      </c>
      <c r="H2590" s="2">
        <v>64</v>
      </c>
      <c r="I2590">
        <v>150</v>
      </c>
      <c r="J2590">
        <v>960</v>
      </c>
      <c r="K2590" s="4">
        <v>614</v>
      </c>
      <c r="L2590" t="s">
        <v>17</v>
      </c>
    </row>
    <row r="2591" spans="1:12" x14ac:dyDescent="0.35">
      <c r="A2591" t="s">
        <v>18</v>
      </c>
      <c r="B2591">
        <v>1128299</v>
      </c>
      <c r="C2591" s="1">
        <v>43965</v>
      </c>
      <c r="D2591" t="s">
        <v>48</v>
      </c>
      <c r="E2591" t="s">
        <v>133</v>
      </c>
      <c r="F2591" t="s">
        <v>134</v>
      </c>
      <c r="G2591" t="s">
        <v>26</v>
      </c>
      <c r="H2591" s="2">
        <v>52</v>
      </c>
      <c r="I2591">
        <v>150</v>
      </c>
      <c r="J2591">
        <v>780</v>
      </c>
      <c r="K2591" s="4">
        <v>429</v>
      </c>
      <c r="L2591" t="s">
        <v>17</v>
      </c>
    </row>
    <row r="2592" spans="1:12" x14ac:dyDescent="0.35">
      <c r="A2592" t="s">
        <v>18</v>
      </c>
      <c r="B2592">
        <v>1128299</v>
      </c>
      <c r="C2592" s="1">
        <v>43966</v>
      </c>
      <c r="D2592" t="s">
        <v>48</v>
      </c>
      <c r="E2592" t="s">
        <v>133</v>
      </c>
      <c r="F2592" t="s">
        <v>134</v>
      </c>
      <c r="G2592" t="s">
        <v>39</v>
      </c>
      <c r="H2592" s="2">
        <v>55</v>
      </c>
      <c r="I2592">
        <v>150</v>
      </c>
      <c r="J2592">
        <v>825</v>
      </c>
      <c r="K2592" s="4">
        <v>305</v>
      </c>
      <c r="L2592" t="s">
        <v>17</v>
      </c>
    </row>
    <row r="2593" spans="1:12" x14ac:dyDescent="0.35">
      <c r="A2593" t="s">
        <v>18</v>
      </c>
      <c r="B2593">
        <v>1128299</v>
      </c>
      <c r="C2593" s="1">
        <v>44048</v>
      </c>
      <c r="D2593" t="s">
        <v>48</v>
      </c>
      <c r="E2593" t="s">
        <v>97</v>
      </c>
      <c r="F2593" t="s">
        <v>98</v>
      </c>
      <c r="G2593" t="s">
        <v>16</v>
      </c>
      <c r="H2593" s="2">
        <v>86</v>
      </c>
      <c r="I2593">
        <v>150</v>
      </c>
      <c r="J2593" s="3">
        <v>1290</v>
      </c>
      <c r="K2593" s="4">
        <v>439</v>
      </c>
      <c r="L2593" t="s">
        <v>17</v>
      </c>
    </row>
    <row r="2594" spans="1:12" x14ac:dyDescent="0.35">
      <c r="A2594" t="s">
        <v>63</v>
      </c>
      <c r="B2594">
        <v>1189833</v>
      </c>
      <c r="C2594" s="1">
        <v>44217</v>
      </c>
      <c r="D2594" t="s">
        <v>33</v>
      </c>
      <c r="E2594" t="s">
        <v>131</v>
      </c>
      <c r="F2594" t="s">
        <v>132</v>
      </c>
      <c r="G2594" t="s">
        <v>26</v>
      </c>
      <c r="H2594" s="2">
        <v>39</v>
      </c>
      <c r="I2594">
        <v>150</v>
      </c>
      <c r="J2594">
        <v>585</v>
      </c>
      <c r="K2594" s="4">
        <v>333</v>
      </c>
      <c r="L2594" t="s">
        <v>17</v>
      </c>
    </row>
    <row r="2595" spans="1:12" x14ac:dyDescent="0.35">
      <c r="A2595" t="s">
        <v>63</v>
      </c>
      <c r="B2595">
        <v>1189833</v>
      </c>
      <c r="C2595" s="1">
        <v>44228</v>
      </c>
      <c r="D2595" t="s">
        <v>33</v>
      </c>
      <c r="E2595" t="s">
        <v>131</v>
      </c>
      <c r="F2595" t="s">
        <v>132</v>
      </c>
      <c r="G2595" t="s">
        <v>16</v>
      </c>
      <c r="H2595" s="2">
        <v>55</v>
      </c>
      <c r="I2595">
        <v>150</v>
      </c>
      <c r="J2595">
        <v>825</v>
      </c>
      <c r="K2595" s="4">
        <v>297</v>
      </c>
      <c r="L2595" t="s">
        <v>17</v>
      </c>
    </row>
    <row r="2596" spans="1:12" x14ac:dyDescent="0.35">
      <c r="A2596" t="s">
        <v>23</v>
      </c>
      <c r="B2596">
        <v>1197831</v>
      </c>
      <c r="C2596" s="1">
        <v>44320</v>
      </c>
      <c r="D2596" t="s">
        <v>19</v>
      </c>
      <c r="E2596" t="s">
        <v>74</v>
      </c>
      <c r="F2596" t="s">
        <v>75</v>
      </c>
      <c r="G2596" t="s">
        <v>39</v>
      </c>
      <c r="H2596" s="2">
        <v>32</v>
      </c>
      <c r="I2596">
        <v>150</v>
      </c>
      <c r="J2596">
        <v>480</v>
      </c>
      <c r="K2596" s="4">
        <v>288</v>
      </c>
      <c r="L2596" t="s">
        <v>17</v>
      </c>
    </row>
    <row r="2597" spans="1:12" x14ac:dyDescent="0.35">
      <c r="A2597" t="s">
        <v>23</v>
      </c>
      <c r="B2597">
        <v>1197831</v>
      </c>
      <c r="C2597" s="1">
        <v>44462</v>
      </c>
      <c r="D2597" t="s">
        <v>19</v>
      </c>
      <c r="E2597" t="s">
        <v>24</v>
      </c>
      <c r="F2597" t="s">
        <v>25</v>
      </c>
      <c r="G2597" t="s">
        <v>16</v>
      </c>
      <c r="H2597" s="2">
        <v>37</v>
      </c>
      <c r="I2597">
        <v>150</v>
      </c>
      <c r="J2597">
        <v>555</v>
      </c>
      <c r="K2597" s="4">
        <v>427</v>
      </c>
      <c r="L2597" t="s">
        <v>17</v>
      </c>
    </row>
    <row r="2598" spans="1:12" x14ac:dyDescent="0.35">
      <c r="A2598" t="s">
        <v>42</v>
      </c>
      <c r="B2598">
        <v>1128299</v>
      </c>
      <c r="C2598" s="1">
        <v>44386</v>
      </c>
      <c r="D2598" t="s">
        <v>48</v>
      </c>
      <c r="E2598" t="s">
        <v>129</v>
      </c>
      <c r="F2598" t="s">
        <v>130</v>
      </c>
      <c r="G2598" t="s">
        <v>32</v>
      </c>
      <c r="H2598" s="2">
        <v>79</v>
      </c>
      <c r="I2598">
        <v>150</v>
      </c>
      <c r="J2598" s="3">
        <v>1185</v>
      </c>
      <c r="K2598" s="4">
        <v>427</v>
      </c>
      <c r="L2598" t="s">
        <v>17</v>
      </c>
    </row>
    <row r="2599" spans="1:12" x14ac:dyDescent="0.35">
      <c r="A2599" t="s">
        <v>12</v>
      </c>
      <c r="B2599">
        <v>1128299</v>
      </c>
      <c r="C2599" s="1">
        <v>44517</v>
      </c>
      <c r="D2599" t="s">
        <v>13</v>
      </c>
      <c r="E2599" t="s">
        <v>14</v>
      </c>
      <c r="F2599" t="s">
        <v>15</v>
      </c>
      <c r="G2599" t="s">
        <v>56</v>
      </c>
      <c r="H2599" s="2">
        <v>64</v>
      </c>
      <c r="I2599">
        <v>150</v>
      </c>
      <c r="J2599">
        <v>960</v>
      </c>
      <c r="K2599" s="4">
        <v>413</v>
      </c>
      <c r="L2599" t="s">
        <v>17</v>
      </c>
    </row>
    <row r="2600" spans="1:12" x14ac:dyDescent="0.35">
      <c r="A2600" t="s">
        <v>18</v>
      </c>
      <c r="B2600">
        <v>1185732</v>
      </c>
      <c r="C2600" s="1">
        <v>44357</v>
      </c>
      <c r="D2600" t="s">
        <v>43</v>
      </c>
      <c r="E2600" t="s">
        <v>44</v>
      </c>
      <c r="F2600" t="s">
        <v>101</v>
      </c>
      <c r="G2600" t="s">
        <v>32</v>
      </c>
      <c r="H2600" s="2">
        <v>48</v>
      </c>
      <c r="I2600">
        <v>150</v>
      </c>
      <c r="J2600">
        <v>720</v>
      </c>
      <c r="K2600" s="4">
        <v>274</v>
      </c>
      <c r="L2600" t="s">
        <v>17</v>
      </c>
    </row>
    <row r="2601" spans="1:12" x14ac:dyDescent="0.35">
      <c r="A2601" t="s">
        <v>18</v>
      </c>
      <c r="B2601">
        <v>1185732</v>
      </c>
      <c r="C2601" s="1">
        <v>44357</v>
      </c>
      <c r="D2601" t="s">
        <v>43</v>
      </c>
      <c r="E2601" t="s">
        <v>44</v>
      </c>
      <c r="F2601" t="s">
        <v>101</v>
      </c>
      <c r="G2601" t="s">
        <v>70</v>
      </c>
      <c r="H2601" s="2">
        <v>62</v>
      </c>
      <c r="I2601">
        <v>150</v>
      </c>
      <c r="J2601">
        <v>930</v>
      </c>
      <c r="K2601" s="4">
        <v>456</v>
      </c>
      <c r="L2601" t="s">
        <v>17</v>
      </c>
    </row>
    <row r="2602" spans="1:12" x14ac:dyDescent="0.35">
      <c r="A2602" t="s">
        <v>18</v>
      </c>
      <c r="B2602">
        <v>1185732</v>
      </c>
      <c r="C2602" s="1">
        <v>44385</v>
      </c>
      <c r="D2602" t="s">
        <v>43</v>
      </c>
      <c r="E2602" t="s">
        <v>44</v>
      </c>
      <c r="F2602" t="s">
        <v>101</v>
      </c>
      <c r="G2602" t="s">
        <v>56</v>
      </c>
      <c r="H2602" s="2">
        <v>53</v>
      </c>
      <c r="I2602">
        <v>150</v>
      </c>
      <c r="J2602">
        <v>795</v>
      </c>
      <c r="K2602" s="4">
        <v>342</v>
      </c>
      <c r="L2602" t="s">
        <v>17</v>
      </c>
    </row>
    <row r="2603" spans="1:12" x14ac:dyDescent="0.35">
      <c r="A2603" t="s">
        <v>18</v>
      </c>
      <c r="B2603">
        <v>1185732</v>
      </c>
      <c r="C2603" s="1">
        <v>44417</v>
      </c>
      <c r="D2603" t="s">
        <v>43</v>
      </c>
      <c r="E2603" t="s">
        <v>44</v>
      </c>
      <c r="F2603" t="s">
        <v>101</v>
      </c>
      <c r="G2603" t="s">
        <v>56</v>
      </c>
      <c r="H2603" s="2">
        <v>41</v>
      </c>
      <c r="I2603">
        <v>150</v>
      </c>
      <c r="J2603">
        <v>615</v>
      </c>
      <c r="K2603" s="4">
        <v>246</v>
      </c>
      <c r="L2603" t="s">
        <v>17</v>
      </c>
    </row>
    <row r="2604" spans="1:12" x14ac:dyDescent="0.35">
      <c r="A2604" t="s">
        <v>18</v>
      </c>
      <c r="B2604">
        <v>1185732</v>
      </c>
      <c r="C2604" s="1">
        <v>44479</v>
      </c>
      <c r="D2604" t="s">
        <v>43</v>
      </c>
      <c r="E2604" t="s">
        <v>44</v>
      </c>
      <c r="F2604" t="s">
        <v>101</v>
      </c>
      <c r="G2604" t="s">
        <v>70</v>
      </c>
      <c r="H2604" s="2">
        <v>59</v>
      </c>
      <c r="I2604">
        <v>150</v>
      </c>
      <c r="J2604">
        <v>885</v>
      </c>
      <c r="K2604" s="4">
        <v>416</v>
      </c>
      <c r="L2604" t="s">
        <v>17</v>
      </c>
    </row>
    <row r="2605" spans="1:12" x14ac:dyDescent="0.35">
      <c r="A2605" t="s">
        <v>63</v>
      </c>
      <c r="B2605">
        <v>1185732</v>
      </c>
      <c r="C2605" s="1">
        <v>44387</v>
      </c>
      <c r="D2605" t="s">
        <v>48</v>
      </c>
      <c r="E2605" t="s">
        <v>102</v>
      </c>
      <c r="F2605" t="s">
        <v>103</v>
      </c>
      <c r="G2605" t="s">
        <v>56</v>
      </c>
      <c r="H2605" s="2">
        <v>39</v>
      </c>
      <c r="I2605">
        <v>150</v>
      </c>
      <c r="J2605">
        <v>585</v>
      </c>
      <c r="K2605" s="4">
        <v>275</v>
      </c>
      <c r="L2605" t="s">
        <v>17</v>
      </c>
    </row>
    <row r="2606" spans="1:12" x14ac:dyDescent="0.35">
      <c r="A2606" t="s">
        <v>63</v>
      </c>
      <c r="B2606">
        <v>1185732</v>
      </c>
      <c r="C2606" s="1">
        <v>44449</v>
      </c>
      <c r="D2606" t="s">
        <v>48</v>
      </c>
      <c r="E2606" t="s">
        <v>102</v>
      </c>
      <c r="F2606" t="s">
        <v>103</v>
      </c>
      <c r="G2606" t="s">
        <v>39</v>
      </c>
      <c r="H2606" s="2">
        <v>44</v>
      </c>
      <c r="I2606">
        <v>150</v>
      </c>
      <c r="J2606">
        <v>660</v>
      </c>
      <c r="K2606" s="4">
        <v>284</v>
      </c>
      <c r="L2606" t="s">
        <v>17</v>
      </c>
    </row>
    <row r="2607" spans="1:12" x14ac:dyDescent="0.35">
      <c r="A2607" t="s">
        <v>63</v>
      </c>
      <c r="B2607">
        <v>1185732</v>
      </c>
      <c r="C2607" s="1">
        <v>44481</v>
      </c>
      <c r="D2607" t="s">
        <v>48</v>
      </c>
      <c r="E2607" t="s">
        <v>102</v>
      </c>
      <c r="F2607" t="s">
        <v>103</v>
      </c>
      <c r="G2607" t="s">
        <v>16</v>
      </c>
      <c r="H2607" s="2">
        <v>55</v>
      </c>
      <c r="I2607">
        <v>150</v>
      </c>
      <c r="J2607">
        <v>825</v>
      </c>
      <c r="K2607" s="4">
        <v>305</v>
      </c>
      <c r="L2607" t="s">
        <v>17</v>
      </c>
    </row>
    <row r="2608" spans="1:12" x14ac:dyDescent="0.35">
      <c r="A2608" t="s">
        <v>23</v>
      </c>
      <c r="B2608">
        <v>1128299</v>
      </c>
      <c r="C2608" s="1">
        <v>44553</v>
      </c>
      <c r="D2608" t="s">
        <v>13</v>
      </c>
      <c r="E2608" t="s">
        <v>99</v>
      </c>
      <c r="F2608" t="s">
        <v>100</v>
      </c>
      <c r="G2608" t="s">
        <v>16</v>
      </c>
      <c r="H2608" s="2">
        <v>82</v>
      </c>
      <c r="I2608">
        <v>150</v>
      </c>
      <c r="J2608" s="3">
        <v>1230</v>
      </c>
      <c r="K2608" s="4">
        <v>529</v>
      </c>
      <c r="L2608" t="s">
        <v>17</v>
      </c>
    </row>
    <row r="2609" spans="1:12" x14ac:dyDescent="0.35">
      <c r="A2609" t="s">
        <v>23</v>
      </c>
      <c r="B2609">
        <v>1185732</v>
      </c>
      <c r="C2609" s="1">
        <v>44244</v>
      </c>
      <c r="D2609" t="s">
        <v>13</v>
      </c>
      <c r="E2609" t="s">
        <v>99</v>
      </c>
      <c r="F2609" t="s">
        <v>100</v>
      </c>
      <c r="G2609" t="s">
        <v>32</v>
      </c>
      <c r="H2609" s="2">
        <v>23</v>
      </c>
      <c r="I2609">
        <v>150</v>
      </c>
      <c r="J2609">
        <v>345</v>
      </c>
      <c r="K2609" s="4">
        <v>148</v>
      </c>
      <c r="L2609" t="s">
        <v>17</v>
      </c>
    </row>
    <row r="2610" spans="1:12" x14ac:dyDescent="0.35">
      <c r="A2610" t="s">
        <v>23</v>
      </c>
      <c r="B2610">
        <v>1185732</v>
      </c>
      <c r="C2610" s="1">
        <v>44331</v>
      </c>
      <c r="D2610" t="s">
        <v>33</v>
      </c>
      <c r="E2610" t="s">
        <v>45</v>
      </c>
      <c r="F2610" t="s">
        <v>46</v>
      </c>
      <c r="G2610" t="s">
        <v>39</v>
      </c>
      <c r="H2610" s="2">
        <v>47</v>
      </c>
      <c r="I2610">
        <v>150</v>
      </c>
      <c r="J2610">
        <v>705</v>
      </c>
      <c r="K2610" s="4">
        <v>388</v>
      </c>
      <c r="L2610" t="s">
        <v>17</v>
      </c>
    </row>
    <row r="2611" spans="1:12" x14ac:dyDescent="0.35">
      <c r="A2611" t="s">
        <v>23</v>
      </c>
      <c r="B2611">
        <v>1185732</v>
      </c>
      <c r="C2611" s="1">
        <v>44331</v>
      </c>
      <c r="D2611" t="s">
        <v>33</v>
      </c>
      <c r="E2611" t="s">
        <v>45</v>
      </c>
      <c r="F2611" t="s">
        <v>46</v>
      </c>
      <c r="G2611" t="s">
        <v>16</v>
      </c>
      <c r="H2611" s="2">
        <v>55</v>
      </c>
      <c r="I2611">
        <v>150</v>
      </c>
      <c r="J2611">
        <v>825</v>
      </c>
      <c r="K2611" s="4">
        <v>578</v>
      </c>
      <c r="L2611" t="s">
        <v>17</v>
      </c>
    </row>
    <row r="2612" spans="1:12" x14ac:dyDescent="0.35">
      <c r="A2612" t="s">
        <v>42</v>
      </c>
      <c r="B2612">
        <v>1185732</v>
      </c>
      <c r="C2612" s="1">
        <v>44518</v>
      </c>
      <c r="D2612" t="s">
        <v>33</v>
      </c>
      <c r="E2612" t="s">
        <v>34</v>
      </c>
      <c r="F2612" t="s">
        <v>35</v>
      </c>
      <c r="G2612" t="s">
        <v>26</v>
      </c>
      <c r="H2612" s="2">
        <v>34</v>
      </c>
      <c r="I2612">
        <v>150</v>
      </c>
      <c r="J2612">
        <v>510</v>
      </c>
      <c r="K2612" s="4">
        <v>260</v>
      </c>
      <c r="L2612" t="s">
        <v>17</v>
      </c>
    </row>
    <row r="2613" spans="1:12" x14ac:dyDescent="0.35">
      <c r="A2613" t="s">
        <v>18</v>
      </c>
      <c r="B2613">
        <v>1185732</v>
      </c>
      <c r="C2613" s="1">
        <v>44358</v>
      </c>
      <c r="D2613" t="s">
        <v>48</v>
      </c>
      <c r="E2613" t="s">
        <v>49</v>
      </c>
      <c r="F2613" t="s">
        <v>50</v>
      </c>
      <c r="G2613" t="s">
        <v>16</v>
      </c>
      <c r="H2613" s="2">
        <v>38</v>
      </c>
      <c r="I2613">
        <v>150</v>
      </c>
      <c r="J2613">
        <v>570</v>
      </c>
      <c r="K2613" s="4">
        <v>342</v>
      </c>
      <c r="L2613" t="s">
        <v>17</v>
      </c>
    </row>
    <row r="2614" spans="1:12" x14ac:dyDescent="0.35">
      <c r="A2614" t="s">
        <v>18</v>
      </c>
      <c r="B2614">
        <v>1185732</v>
      </c>
      <c r="C2614" s="1">
        <v>44387</v>
      </c>
      <c r="D2614" t="s">
        <v>48</v>
      </c>
      <c r="E2614" t="s">
        <v>49</v>
      </c>
      <c r="F2614" t="s">
        <v>50</v>
      </c>
      <c r="G2614" t="s">
        <v>16</v>
      </c>
      <c r="H2614" s="2">
        <v>38</v>
      </c>
      <c r="I2614">
        <v>150</v>
      </c>
      <c r="J2614">
        <v>570</v>
      </c>
      <c r="K2614" s="4">
        <v>371</v>
      </c>
      <c r="L2614" t="s">
        <v>17</v>
      </c>
    </row>
    <row r="2615" spans="1:12" x14ac:dyDescent="0.35">
      <c r="A2615" t="s">
        <v>18</v>
      </c>
      <c r="B2615">
        <v>1128299</v>
      </c>
      <c r="C2615" s="1">
        <v>44400</v>
      </c>
      <c r="D2615" t="s">
        <v>48</v>
      </c>
      <c r="E2615" t="s">
        <v>85</v>
      </c>
      <c r="F2615" t="s">
        <v>86</v>
      </c>
      <c r="G2615" t="s">
        <v>16</v>
      </c>
      <c r="H2615" s="2">
        <v>97</v>
      </c>
      <c r="I2615">
        <v>150</v>
      </c>
      <c r="J2615" s="3">
        <v>1455</v>
      </c>
      <c r="K2615" s="4">
        <v>611</v>
      </c>
      <c r="L2615" t="s">
        <v>17</v>
      </c>
    </row>
    <row r="2616" spans="1:12" x14ac:dyDescent="0.35">
      <c r="A2616" t="s">
        <v>23</v>
      </c>
      <c r="B2616">
        <v>1197831</v>
      </c>
      <c r="C2616" s="1">
        <v>44505</v>
      </c>
      <c r="D2616" t="s">
        <v>48</v>
      </c>
      <c r="E2616" t="s">
        <v>79</v>
      </c>
      <c r="F2616" t="s">
        <v>80</v>
      </c>
      <c r="G2616" t="s">
        <v>32</v>
      </c>
      <c r="H2616" s="2">
        <v>58</v>
      </c>
      <c r="I2616">
        <v>150</v>
      </c>
      <c r="J2616">
        <v>870</v>
      </c>
      <c r="K2616" s="4">
        <v>470</v>
      </c>
      <c r="L2616" t="s">
        <v>17</v>
      </c>
    </row>
    <row r="2617" spans="1:12" x14ac:dyDescent="0.35">
      <c r="A2617" t="s">
        <v>63</v>
      </c>
      <c r="B2617">
        <v>1128299</v>
      </c>
      <c r="C2617" s="1">
        <v>44343</v>
      </c>
      <c r="D2617" t="s">
        <v>48</v>
      </c>
      <c r="E2617" t="s">
        <v>114</v>
      </c>
      <c r="F2617" t="s">
        <v>115</v>
      </c>
      <c r="G2617" t="s">
        <v>26</v>
      </c>
      <c r="H2617" s="2">
        <v>51</v>
      </c>
      <c r="I2617">
        <v>150</v>
      </c>
      <c r="J2617">
        <v>765</v>
      </c>
      <c r="K2617" s="4">
        <v>344</v>
      </c>
      <c r="L2617" t="s">
        <v>17</v>
      </c>
    </row>
    <row r="2618" spans="1:12" x14ac:dyDescent="0.35">
      <c r="A2618" t="s">
        <v>63</v>
      </c>
      <c r="B2618">
        <v>1128299</v>
      </c>
      <c r="C2618" s="1">
        <v>44526</v>
      </c>
      <c r="D2618" t="s">
        <v>48</v>
      </c>
      <c r="E2618" t="s">
        <v>114</v>
      </c>
      <c r="F2618" t="s">
        <v>115</v>
      </c>
      <c r="G2618" t="s">
        <v>39</v>
      </c>
      <c r="H2618" s="2">
        <v>59</v>
      </c>
      <c r="I2618">
        <v>150</v>
      </c>
      <c r="J2618">
        <v>885</v>
      </c>
      <c r="K2618" s="4">
        <v>478</v>
      </c>
      <c r="L2618" t="s">
        <v>17</v>
      </c>
    </row>
    <row r="2619" spans="1:12" x14ac:dyDescent="0.35">
      <c r="A2619" t="s">
        <v>23</v>
      </c>
      <c r="B2619">
        <v>1128299</v>
      </c>
      <c r="C2619" s="1">
        <v>44360</v>
      </c>
      <c r="D2619" t="s">
        <v>13</v>
      </c>
      <c r="E2619" t="s">
        <v>57</v>
      </c>
      <c r="F2619" t="s">
        <v>58</v>
      </c>
      <c r="G2619" t="s">
        <v>16</v>
      </c>
      <c r="H2619" s="2">
        <v>67</v>
      </c>
      <c r="I2619">
        <v>150</v>
      </c>
      <c r="J2619" s="3">
        <v>1005</v>
      </c>
      <c r="K2619" s="4">
        <v>352</v>
      </c>
      <c r="L2619" t="s">
        <v>17</v>
      </c>
    </row>
    <row r="2620" spans="1:12" x14ac:dyDescent="0.35">
      <c r="A2620" t="s">
        <v>23</v>
      </c>
      <c r="B2620">
        <v>1128299</v>
      </c>
      <c r="C2620" s="1">
        <v>44421</v>
      </c>
      <c r="D2620" t="s">
        <v>13</v>
      </c>
      <c r="E2620" t="s">
        <v>57</v>
      </c>
      <c r="F2620" t="s">
        <v>58</v>
      </c>
      <c r="G2620" t="s">
        <v>32</v>
      </c>
      <c r="H2620" s="2">
        <v>54</v>
      </c>
      <c r="I2620">
        <v>150</v>
      </c>
      <c r="J2620">
        <v>810</v>
      </c>
      <c r="K2620" s="4">
        <v>373</v>
      </c>
      <c r="L2620" t="s">
        <v>17</v>
      </c>
    </row>
    <row r="2621" spans="1:12" x14ac:dyDescent="0.35">
      <c r="A2621" t="s">
        <v>23</v>
      </c>
      <c r="B2621">
        <v>1185732</v>
      </c>
      <c r="C2621" s="1">
        <v>44257</v>
      </c>
      <c r="D2621" t="s">
        <v>13</v>
      </c>
      <c r="E2621" t="s">
        <v>77</v>
      </c>
      <c r="F2621" t="s">
        <v>78</v>
      </c>
      <c r="G2621" t="s">
        <v>39</v>
      </c>
      <c r="H2621" s="2">
        <v>29</v>
      </c>
      <c r="I2621">
        <v>150</v>
      </c>
      <c r="J2621">
        <v>435</v>
      </c>
      <c r="K2621" s="4">
        <v>196</v>
      </c>
      <c r="L2621" t="s">
        <v>17</v>
      </c>
    </row>
    <row r="2622" spans="1:12" x14ac:dyDescent="0.35">
      <c r="A2622" t="s">
        <v>23</v>
      </c>
      <c r="B2622">
        <v>1185732</v>
      </c>
      <c r="C2622" s="1">
        <v>44318</v>
      </c>
      <c r="D2622" t="s">
        <v>13</v>
      </c>
      <c r="E2622" t="s">
        <v>77</v>
      </c>
      <c r="F2622" t="s">
        <v>78</v>
      </c>
      <c r="G2622" t="s">
        <v>56</v>
      </c>
      <c r="H2622" s="2">
        <v>38</v>
      </c>
      <c r="I2622">
        <v>150</v>
      </c>
      <c r="J2622">
        <v>570</v>
      </c>
      <c r="K2622" s="4">
        <v>308</v>
      </c>
      <c r="L2622" t="s">
        <v>17</v>
      </c>
    </row>
    <row r="2623" spans="1:12" x14ac:dyDescent="0.35">
      <c r="A2623" t="s">
        <v>23</v>
      </c>
      <c r="B2623">
        <v>1185732</v>
      </c>
      <c r="C2623" s="1">
        <v>44318</v>
      </c>
      <c r="D2623" t="s">
        <v>13</v>
      </c>
      <c r="E2623" t="s">
        <v>77</v>
      </c>
      <c r="F2623" t="s">
        <v>78</v>
      </c>
      <c r="G2623" t="s">
        <v>70</v>
      </c>
      <c r="H2623" s="2">
        <v>46</v>
      </c>
      <c r="I2623">
        <v>150</v>
      </c>
      <c r="J2623">
        <v>690</v>
      </c>
      <c r="K2623" s="4">
        <v>338</v>
      </c>
      <c r="L2623" t="s">
        <v>17</v>
      </c>
    </row>
    <row r="2624" spans="1:12" x14ac:dyDescent="0.35">
      <c r="A2624" t="s">
        <v>23</v>
      </c>
      <c r="B2624">
        <v>1185732</v>
      </c>
      <c r="C2624" s="1">
        <v>44441</v>
      </c>
      <c r="D2624" t="s">
        <v>13</v>
      </c>
      <c r="E2624" t="s">
        <v>77</v>
      </c>
      <c r="F2624" t="s">
        <v>78</v>
      </c>
      <c r="G2624" t="s">
        <v>56</v>
      </c>
      <c r="H2624" s="2">
        <v>28</v>
      </c>
      <c r="I2624">
        <v>150</v>
      </c>
      <c r="J2624">
        <v>420</v>
      </c>
      <c r="K2624" s="4">
        <v>210</v>
      </c>
      <c r="L2624" t="s">
        <v>17</v>
      </c>
    </row>
    <row r="2625" spans="1:12" x14ac:dyDescent="0.35">
      <c r="A2625" t="s">
        <v>23</v>
      </c>
      <c r="B2625">
        <v>1185732</v>
      </c>
      <c r="C2625" s="1">
        <v>44473</v>
      </c>
      <c r="D2625" t="s">
        <v>13</v>
      </c>
      <c r="E2625" t="s">
        <v>77</v>
      </c>
      <c r="F2625" t="s">
        <v>78</v>
      </c>
      <c r="G2625" t="s">
        <v>32</v>
      </c>
      <c r="H2625" s="2">
        <v>34</v>
      </c>
      <c r="I2625">
        <v>150</v>
      </c>
      <c r="J2625">
        <v>510</v>
      </c>
      <c r="K2625" s="4">
        <v>260</v>
      </c>
      <c r="L2625" t="s">
        <v>17</v>
      </c>
    </row>
    <row r="2626" spans="1:12" x14ac:dyDescent="0.35">
      <c r="A2626" t="s">
        <v>51</v>
      </c>
      <c r="B2626">
        <v>1185732</v>
      </c>
      <c r="C2626" s="1">
        <v>44209</v>
      </c>
      <c r="D2626" t="s">
        <v>13</v>
      </c>
      <c r="E2626" t="s">
        <v>77</v>
      </c>
      <c r="F2626" t="s">
        <v>78</v>
      </c>
      <c r="G2626" t="s">
        <v>39</v>
      </c>
      <c r="H2626" s="2">
        <v>33</v>
      </c>
      <c r="I2626">
        <v>150</v>
      </c>
      <c r="J2626">
        <v>495</v>
      </c>
      <c r="K2626" s="4">
        <v>248</v>
      </c>
      <c r="L2626" t="s">
        <v>17</v>
      </c>
    </row>
    <row r="2627" spans="1:12" x14ac:dyDescent="0.35">
      <c r="A2627" t="s">
        <v>51</v>
      </c>
      <c r="B2627">
        <v>1185732</v>
      </c>
      <c r="C2627" s="1">
        <v>44358</v>
      </c>
      <c r="D2627" t="s">
        <v>33</v>
      </c>
      <c r="E2627" t="s">
        <v>52</v>
      </c>
      <c r="F2627" t="s">
        <v>53</v>
      </c>
      <c r="G2627" t="s">
        <v>70</v>
      </c>
      <c r="H2627" s="2">
        <v>62</v>
      </c>
      <c r="I2627">
        <v>150</v>
      </c>
      <c r="J2627">
        <v>930</v>
      </c>
      <c r="K2627" s="4">
        <v>437</v>
      </c>
      <c r="L2627" t="s">
        <v>17</v>
      </c>
    </row>
    <row r="2628" spans="1:12" x14ac:dyDescent="0.35">
      <c r="A2628" t="s">
        <v>51</v>
      </c>
      <c r="B2628">
        <v>1185732</v>
      </c>
      <c r="C2628" s="1">
        <v>44418</v>
      </c>
      <c r="D2628" t="s">
        <v>33</v>
      </c>
      <c r="E2628" t="s">
        <v>52</v>
      </c>
      <c r="F2628" t="s">
        <v>53</v>
      </c>
      <c r="G2628" t="s">
        <v>32</v>
      </c>
      <c r="H2628" s="2">
        <v>53</v>
      </c>
      <c r="I2628">
        <v>150</v>
      </c>
      <c r="J2628">
        <v>795</v>
      </c>
      <c r="K2628" s="4">
        <v>405</v>
      </c>
      <c r="L2628" t="s">
        <v>17</v>
      </c>
    </row>
    <row r="2629" spans="1:12" x14ac:dyDescent="0.35">
      <c r="A2629" t="s">
        <v>12</v>
      </c>
      <c r="B2629">
        <v>1185732</v>
      </c>
      <c r="C2629" s="1">
        <v>44393</v>
      </c>
      <c r="D2629" t="s">
        <v>19</v>
      </c>
      <c r="E2629" t="s">
        <v>37</v>
      </c>
      <c r="F2629" t="s">
        <v>38</v>
      </c>
      <c r="G2629" t="s">
        <v>70</v>
      </c>
      <c r="H2629" s="2">
        <v>59</v>
      </c>
      <c r="I2629">
        <v>150</v>
      </c>
      <c r="J2629">
        <v>885</v>
      </c>
      <c r="K2629" s="4">
        <v>425</v>
      </c>
      <c r="L2629" t="s">
        <v>17</v>
      </c>
    </row>
    <row r="2630" spans="1:12" x14ac:dyDescent="0.35">
      <c r="A2630" t="s">
        <v>12</v>
      </c>
      <c r="B2630">
        <v>1197831</v>
      </c>
      <c r="C2630" s="1">
        <v>44396</v>
      </c>
      <c r="D2630" t="s">
        <v>19</v>
      </c>
      <c r="E2630" t="s">
        <v>54</v>
      </c>
      <c r="F2630" t="s">
        <v>55</v>
      </c>
      <c r="G2630" t="s">
        <v>16</v>
      </c>
      <c r="H2630" s="2">
        <v>63</v>
      </c>
      <c r="I2630">
        <v>150</v>
      </c>
      <c r="J2630">
        <v>945</v>
      </c>
      <c r="K2630" s="4">
        <v>510</v>
      </c>
      <c r="L2630" t="s">
        <v>17</v>
      </c>
    </row>
    <row r="2631" spans="1:12" x14ac:dyDescent="0.35">
      <c r="A2631" t="s">
        <v>12</v>
      </c>
      <c r="B2631">
        <v>1197831</v>
      </c>
      <c r="C2631" s="1">
        <v>44490</v>
      </c>
      <c r="D2631" t="s">
        <v>19</v>
      </c>
      <c r="E2631" t="s">
        <v>54</v>
      </c>
      <c r="F2631" t="s">
        <v>55</v>
      </c>
      <c r="G2631" t="s">
        <v>26</v>
      </c>
      <c r="H2631" s="2">
        <v>27</v>
      </c>
      <c r="I2631">
        <v>150</v>
      </c>
      <c r="J2631">
        <v>405</v>
      </c>
      <c r="K2631" s="4">
        <v>203</v>
      </c>
      <c r="L2631" t="s">
        <v>17</v>
      </c>
    </row>
    <row r="2632" spans="1:12" x14ac:dyDescent="0.35">
      <c r="A2632" t="s">
        <v>18</v>
      </c>
      <c r="B2632">
        <v>1197831</v>
      </c>
      <c r="C2632" s="1">
        <v>44549</v>
      </c>
      <c r="D2632" t="s">
        <v>19</v>
      </c>
      <c r="E2632" t="s">
        <v>54</v>
      </c>
      <c r="F2632" t="s">
        <v>55</v>
      </c>
      <c r="G2632" t="s">
        <v>16</v>
      </c>
      <c r="H2632" s="2">
        <v>70</v>
      </c>
      <c r="I2632">
        <v>150</v>
      </c>
      <c r="J2632" s="3">
        <v>1050</v>
      </c>
      <c r="K2632" s="4">
        <v>536</v>
      </c>
      <c r="L2632" t="s">
        <v>17</v>
      </c>
    </row>
    <row r="2633" spans="1:12" x14ac:dyDescent="0.35">
      <c r="A2633" t="s">
        <v>18</v>
      </c>
      <c r="B2633">
        <v>1197831</v>
      </c>
      <c r="C2633" s="1">
        <v>44458</v>
      </c>
      <c r="D2633" t="s">
        <v>19</v>
      </c>
      <c r="E2633" t="s">
        <v>61</v>
      </c>
      <c r="F2633" t="s">
        <v>62</v>
      </c>
      <c r="G2633" t="s">
        <v>26</v>
      </c>
      <c r="H2633" s="2">
        <v>49</v>
      </c>
      <c r="I2633">
        <v>150</v>
      </c>
      <c r="J2633">
        <v>735</v>
      </c>
      <c r="K2633" s="4">
        <v>397</v>
      </c>
      <c r="L2633" t="s">
        <v>17</v>
      </c>
    </row>
    <row r="2634" spans="1:12" x14ac:dyDescent="0.35">
      <c r="A2634" t="s">
        <v>63</v>
      </c>
      <c r="B2634">
        <v>1197831</v>
      </c>
      <c r="C2634" s="1">
        <v>44299</v>
      </c>
      <c r="D2634" t="s">
        <v>33</v>
      </c>
      <c r="E2634" t="s">
        <v>71</v>
      </c>
      <c r="F2634" t="s">
        <v>72</v>
      </c>
      <c r="G2634" t="s">
        <v>26</v>
      </c>
      <c r="H2634" s="2">
        <v>24</v>
      </c>
      <c r="I2634">
        <v>150</v>
      </c>
      <c r="J2634">
        <v>360</v>
      </c>
      <c r="K2634" s="4">
        <v>162</v>
      </c>
      <c r="L2634" t="s">
        <v>17</v>
      </c>
    </row>
    <row r="2635" spans="1:12" x14ac:dyDescent="0.35">
      <c r="A2635" t="s">
        <v>42</v>
      </c>
      <c r="B2635">
        <v>1197831</v>
      </c>
      <c r="C2635" s="1">
        <v>44542</v>
      </c>
      <c r="D2635" t="s">
        <v>33</v>
      </c>
      <c r="E2635" t="s">
        <v>71</v>
      </c>
      <c r="F2635" t="s">
        <v>72</v>
      </c>
      <c r="G2635" t="s">
        <v>26</v>
      </c>
      <c r="H2635" s="2">
        <v>66</v>
      </c>
      <c r="I2635">
        <v>150</v>
      </c>
      <c r="J2635">
        <v>990</v>
      </c>
      <c r="K2635" s="4">
        <v>495</v>
      </c>
      <c r="L2635" t="s">
        <v>17</v>
      </c>
    </row>
    <row r="2636" spans="1:12" x14ac:dyDescent="0.35">
      <c r="A2636" t="s">
        <v>42</v>
      </c>
      <c r="B2636">
        <v>1185732</v>
      </c>
      <c r="C2636" s="1">
        <v>44538</v>
      </c>
      <c r="D2636" t="s">
        <v>33</v>
      </c>
      <c r="E2636" t="s">
        <v>89</v>
      </c>
      <c r="F2636" t="s">
        <v>90</v>
      </c>
      <c r="G2636" t="s">
        <v>26</v>
      </c>
      <c r="H2636" s="2">
        <v>55</v>
      </c>
      <c r="I2636">
        <v>150</v>
      </c>
      <c r="J2636">
        <v>825</v>
      </c>
      <c r="K2636" s="4">
        <v>380</v>
      </c>
      <c r="L2636" t="s">
        <v>17</v>
      </c>
    </row>
    <row r="2637" spans="1:12" x14ac:dyDescent="0.35">
      <c r="A2637" t="s">
        <v>18</v>
      </c>
      <c r="B2637">
        <v>1185732</v>
      </c>
      <c r="C2637" s="1">
        <v>44539</v>
      </c>
      <c r="D2637" t="s">
        <v>33</v>
      </c>
      <c r="E2637" t="s">
        <v>81</v>
      </c>
      <c r="F2637" t="s">
        <v>82</v>
      </c>
      <c r="G2637" t="s">
        <v>26</v>
      </c>
      <c r="H2637" s="2">
        <v>58</v>
      </c>
      <c r="I2637">
        <v>150</v>
      </c>
      <c r="J2637">
        <v>870</v>
      </c>
      <c r="K2637" s="4">
        <v>444</v>
      </c>
      <c r="L2637" t="s">
        <v>17</v>
      </c>
    </row>
    <row r="2638" spans="1:12" x14ac:dyDescent="0.35">
      <c r="A2638" t="s">
        <v>18</v>
      </c>
      <c r="B2638">
        <v>1185732</v>
      </c>
      <c r="C2638" s="1">
        <v>44364</v>
      </c>
      <c r="D2638" t="s">
        <v>43</v>
      </c>
      <c r="E2638" t="s">
        <v>64</v>
      </c>
      <c r="F2638" t="s">
        <v>65</v>
      </c>
      <c r="G2638" t="s">
        <v>26</v>
      </c>
      <c r="H2638" s="2">
        <v>43</v>
      </c>
      <c r="I2638">
        <v>150</v>
      </c>
      <c r="J2638">
        <v>645</v>
      </c>
      <c r="K2638" s="4">
        <v>335</v>
      </c>
      <c r="L2638" t="s">
        <v>17</v>
      </c>
    </row>
    <row r="2639" spans="1:12" x14ac:dyDescent="0.35">
      <c r="A2639" t="s">
        <v>23</v>
      </c>
      <c r="B2639">
        <v>1185732</v>
      </c>
      <c r="C2639" s="1">
        <v>44290</v>
      </c>
      <c r="D2639" t="s">
        <v>43</v>
      </c>
      <c r="E2639" t="s">
        <v>108</v>
      </c>
      <c r="F2639" t="s">
        <v>109</v>
      </c>
      <c r="G2639" t="s">
        <v>26</v>
      </c>
      <c r="H2639" s="2">
        <v>36</v>
      </c>
      <c r="I2639">
        <v>150</v>
      </c>
      <c r="J2639">
        <v>540</v>
      </c>
      <c r="K2639" s="4">
        <v>270</v>
      </c>
      <c r="L2639" t="s">
        <v>17</v>
      </c>
    </row>
    <row r="2640" spans="1:12" x14ac:dyDescent="0.35">
      <c r="A2640" t="s">
        <v>42</v>
      </c>
      <c r="B2640">
        <v>1185732</v>
      </c>
      <c r="C2640" s="1">
        <v>44533</v>
      </c>
      <c r="D2640" t="s">
        <v>43</v>
      </c>
      <c r="E2640" t="s">
        <v>108</v>
      </c>
      <c r="F2640" t="s">
        <v>109</v>
      </c>
      <c r="G2640" t="s">
        <v>26</v>
      </c>
      <c r="H2640" s="2">
        <v>59</v>
      </c>
      <c r="I2640">
        <v>150</v>
      </c>
      <c r="J2640">
        <v>885</v>
      </c>
      <c r="K2640" s="4">
        <v>451</v>
      </c>
      <c r="L2640" t="s">
        <v>17</v>
      </c>
    </row>
    <row r="2641" spans="1:12" x14ac:dyDescent="0.35">
      <c r="A2641" t="s">
        <v>23</v>
      </c>
      <c r="B2641">
        <v>1185732</v>
      </c>
      <c r="C2641" s="1">
        <v>44390</v>
      </c>
      <c r="D2641" t="s">
        <v>43</v>
      </c>
      <c r="E2641" t="s">
        <v>112</v>
      </c>
      <c r="F2641" t="s">
        <v>113</v>
      </c>
      <c r="G2641" t="s">
        <v>26</v>
      </c>
      <c r="H2641" s="2">
        <v>52</v>
      </c>
      <c r="I2641">
        <v>150</v>
      </c>
      <c r="J2641">
        <v>780</v>
      </c>
      <c r="K2641" s="4">
        <v>328</v>
      </c>
      <c r="L2641" t="s">
        <v>17</v>
      </c>
    </row>
    <row r="2642" spans="1:12" x14ac:dyDescent="0.35">
      <c r="A2642" t="s">
        <v>51</v>
      </c>
      <c r="B2642">
        <v>1185732</v>
      </c>
      <c r="C2642" s="1">
        <v>44543</v>
      </c>
      <c r="D2642" t="s">
        <v>43</v>
      </c>
      <c r="E2642" t="s">
        <v>112</v>
      </c>
      <c r="F2642" t="s">
        <v>113</v>
      </c>
      <c r="G2642" t="s">
        <v>26</v>
      </c>
      <c r="H2642" s="2">
        <v>64</v>
      </c>
      <c r="I2642">
        <v>150</v>
      </c>
      <c r="J2642">
        <v>960</v>
      </c>
      <c r="K2642" s="4">
        <v>394</v>
      </c>
      <c r="L2642" t="s">
        <v>17</v>
      </c>
    </row>
    <row r="2643" spans="1:12" x14ac:dyDescent="0.35">
      <c r="A2643" t="s">
        <v>23</v>
      </c>
      <c r="B2643">
        <v>1197831</v>
      </c>
      <c r="C2643" s="1">
        <v>44453</v>
      </c>
      <c r="D2643" t="s">
        <v>19</v>
      </c>
      <c r="E2643" t="s">
        <v>59</v>
      </c>
      <c r="F2643" t="s">
        <v>68</v>
      </c>
      <c r="G2643" t="s">
        <v>70</v>
      </c>
      <c r="H2643" s="2">
        <v>40</v>
      </c>
      <c r="I2643">
        <v>150</v>
      </c>
      <c r="J2643">
        <v>600</v>
      </c>
      <c r="K2643" s="4">
        <v>222</v>
      </c>
      <c r="L2643" t="s">
        <v>27</v>
      </c>
    </row>
    <row r="2644" spans="1:12" x14ac:dyDescent="0.35">
      <c r="A2644" t="s">
        <v>42</v>
      </c>
      <c r="B2644">
        <v>1185732</v>
      </c>
      <c r="C2644" s="1">
        <v>44515</v>
      </c>
      <c r="D2644" t="s">
        <v>43</v>
      </c>
      <c r="E2644" t="s">
        <v>135</v>
      </c>
      <c r="F2644" t="s">
        <v>136</v>
      </c>
      <c r="G2644" t="s">
        <v>26</v>
      </c>
      <c r="H2644" s="2">
        <v>44</v>
      </c>
      <c r="I2644">
        <v>150</v>
      </c>
      <c r="J2644">
        <v>660</v>
      </c>
      <c r="K2644" s="4">
        <v>343</v>
      </c>
      <c r="L2644" t="s">
        <v>27</v>
      </c>
    </row>
    <row r="2645" spans="1:12" x14ac:dyDescent="0.35">
      <c r="A2645" t="s">
        <v>18</v>
      </c>
      <c r="B2645">
        <v>1128299</v>
      </c>
      <c r="C2645" s="1">
        <v>43872</v>
      </c>
      <c r="D2645" t="s">
        <v>48</v>
      </c>
      <c r="E2645" t="s">
        <v>116</v>
      </c>
      <c r="F2645" t="s">
        <v>117</v>
      </c>
      <c r="G2645" t="s">
        <v>70</v>
      </c>
      <c r="H2645" s="2">
        <v>47</v>
      </c>
      <c r="I2645">
        <v>150</v>
      </c>
      <c r="J2645">
        <v>705</v>
      </c>
      <c r="K2645" s="4">
        <v>416</v>
      </c>
      <c r="L2645" t="s">
        <v>27</v>
      </c>
    </row>
    <row r="2646" spans="1:12" x14ac:dyDescent="0.35">
      <c r="A2646" t="s">
        <v>23</v>
      </c>
      <c r="B2646">
        <v>1197831</v>
      </c>
      <c r="C2646" s="1">
        <v>44299</v>
      </c>
      <c r="D2646" t="s">
        <v>19</v>
      </c>
      <c r="E2646" t="s">
        <v>74</v>
      </c>
      <c r="F2646" t="s">
        <v>75</v>
      </c>
      <c r="G2646" t="s">
        <v>70</v>
      </c>
      <c r="H2646" s="2">
        <v>30</v>
      </c>
      <c r="I2646">
        <v>150</v>
      </c>
      <c r="J2646">
        <v>450</v>
      </c>
      <c r="K2646" s="4">
        <v>176</v>
      </c>
      <c r="L2646" t="s">
        <v>27</v>
      </c>
    </row>
    <row r="2647" spans="1:12" x14ac:dyDescent="0.35">
      <c r="A2647" t="s">
        <v>12</v>
      </c>
      <c r="B2647">
        <v>1128299</v>
      </c>
      <c r="C2647" s="1">
        <v>44457</v>
      </c>
      <c r="D2647" t="s">
        <v>13</v>
      </c>
      <c r="E2647" t="s">
        <v>14</v>
      </c>
      <c r="F2647" t="s">
        <v>15</v>
      </c>
      <c r="G2647" t="s">
        <v>39</v>
      </c>
      <c r="H2647" s="2">
        <v>45</v>
      </c>
      <c r="I2647">
        <v>150</v>
      </c>
      <c r="J2647">
        <v>675</v>
      </c>
      <c r="K2647" s="4">
        <v>209</v>
      </c>
      <c r="L2647" t="s">
        <v>27</v>
      </c>
    </row>
    <row r="2648" spans="1:12" x14ac:dyDescent="0.35">
      <c r="A2648" t="s">
        <v>42</v>
      </c>
      <c r="B2648">
        <v>1128299</v>
      </c>
      <c r="C2648" s="1">
        <v>44523</v>
      </c>
      <c r="D2648" t="s">
        <v>48</v>
      </c>
      <c r="E2648" t="s">
        <v>123</v>
      </c>
      <c r="F2648" t="s">
        <v>124</v>
      </c>
      <c r="G2648" t="s">
        <v>26</v>
      </c>
      <c r="H2648" s="2">
        <v>31</v>
      </c>
      <c r="I2648">
        <v>150</v>
      </c>
      <c r="J2648">
        <v>465</v>
      </c>
      <c r="K2648" s="4">
        <v>177</v>
      </c>
      <c r="L2648" t="s">
        <v>27</v>
      </c>
    </row>
    <row r="2649" spans="1:12" x14ac:dyDescent="0.35">
      <c r="A2649" t="s">
        <v>23</v>
      </c>
      <c r="B2649">
        <v>1128299</v>
      </c>
      <c r="C2649" s="1">
        <v>44555</v>
      </c>
      <c r="D2649" t="s">
        <v>48</v>
      </c>
      <c r="E2649" t="s">
        <v>114</v>
      </c>
      <c r="F2649" t="s">
        <v>115</v>
      </c>
      <c r="G2649" t="s">
        <v>32</v>
      </c>
      <c r="H2649" s="2">
        <v>44</v>
      </c>
      <c r="I2649">
        <v>150</v>
      </c>
      <c r="J2649">
        <v>660</v>
      </c>
      <c r="K2649" s="4">
        <v>271</v>
      </c>
      <c r="L2649" t="s">
        <v>27</v>
      </c>
    </row>
    <row r="2650" spans="1:12" x14ac:dyDescent="0.35">
      <c r="A2650" t="s">
        <v>23</v>
      </c>
      <c r="B2650">
        <v>1128299</v>
      </c>
      <c r="C2650" s="1">
        <v>44240</v>
      </c>
      <c r="D2650" t="s">
        <v>48</v>
      </c>
      <c r="E2650" t="s">
        <v>114</v>
      </c>
      <c r="F2650" t="s">
        <v>115</v>
      </c>
      <c r="G2650" t="s">
        <v>26</v>
      </c>
      <c r="H2650" s="2">
        <v>23</v>
      </c>
      <c r="I2650">
        <v>150</v>
      </c>
      <c r="J2650">
        <v>345</v>
      </c>
      <c r="K2650" s="4">
        <v>148</v>
      </c>
      <c r="L2650" t="s">
        <v>27</v>
      </c>
    </row>
    <row r="2651" spans="1:12" x14ac:dyDescent="0.35">
      <c r="A2651" t="s">
        <v>23</v>
      </c>
      <c r="B2651">
        <v>1128299</v>
      </c>
      <c r="C2651" s="1">
        <v>44421</v>
      </c>
      <c r="D2651" t="s">
        <v>13</v>
      </c>
      <c r="E2651" t="s">
        <v>57</v>
      </c>
      <c r="F2651" t="s">
        <v>58</v>
      </c>
      <c r="G2651" t="s">
        <v>32</v>
      </c>
      <c r="H2651" s="2">
        <v>42</v>
      </c>
      <c r="I2651">
        <v>150</v>
      </c>
      <c r="J2651">
        <v>630</v>
      </c>
      <c r="K2651" s="4">
        <v>265</v>
      </c>
      <c r="L2651" t="s">
        <v>27</v>
      </c>
    </row>
    <row r="2652" spans="1:12" x14ac:dyDescent="0.35">
      <c r="A2652" t="s">
        <v>42</v>
      </c>
      <c r="B2652">
        <v>1185732</v>
      </c>
      <c r="C2652" s="1">
        <v>44332</v>
      </c>
      <c r="D2652" t="s">
        <v>19</v>
      </c>
      <c r="E2652" t="s">
        <v>37</v>
      </c>
      <c r="F2652" t="s">
        <v>38</v>
      </c>
      <c r="G2652" t="s">
        <v>16</v>
      </c>
      <c r="H2652" s="2">
        <v>35</v>
      </c>
      <c r="I2652">
        <v>150</v>
      </c>
      <c r="J2652">
        <v>525</v>
      </c>
      <c r="K2652" s="4">
        <v>294</v>
      </c>
      <c r="L2652" t="s">
        <v>27</v>
      </c>
    </row>
    <row r="2653" spans="1:12" x14ac:dyDescent="0.35">
      <c r="A2653" t="s">
        <v>42</v>
      </c>
      <c r="B2653">
        <v>1185732</v>
      </c>
      <c r="C2653" s="1">
        <v>44365</v>
      </c>
      <c r="D2653" t="s">
        <v>19</v>
      </c>
      <c r="E2653" t="s">
        <v>37</v>
      </c>
      <c r="F2653" t="s">
        <v>38</v>
      </c>
      <c r="G2653" t="s">
        <v>39</v>
      </c>
      <c r="H2653" s="2">
        <v>29</v>
      </c>
      <c r="I2653">
        <v>150</v>
      </c>
      <c r="J2653">
        <v>435</v>
      </c>
      <c r="K2653" s="4">
        <v>170</v>
      </c>
      <c r="L2653" t="s">
        <v>27</v>
      </c>
    </row>
    <row r="2654" spans="1:12" x14ac:dyDescent="0.35">
      <c r="A2654" t="s">
        <v>12</v>
      </c>
      <c r="B2654">
        <v>1185732</v>
      </c>
      <c r="C2654" s="1">
        <v>44393</v>
      </c>
      <c r="D2654" t="s">
        <v>19</v>
      </c>
      <c r="E2654" t="s">
        <v>37</v>
      </c>
      <c r="F2654" t="s">
        <v>38</v>
      </c>
      <c r="G2654" t="s">
        <v>70</v>
      </c>
      <c r="H2654" s="2">
        <v>46</v>
      </c>
      <c r="I2654">
        <v>150</v>
      </c>
      <c r="J2654">
        <v>690</v>
      </c>
      <c r="K2654" s="4">
        <v>255</v>
      </c>
      <c r="L2654" t="s">
        <v>27</v>
      </c>
    </row>
    <row r="2655" spans="1:12" x14ac:dyDescent="0.35">
      <c r="A2655" t="s">
        <v>42</v>
      </c>
      <c r="B2655">
        <v>1185732</v>
      </c>
      <c r="C2655" s="1">
        <v>44322</v>
      </c>
      <c r="D2655" t="s">
        <v>43</v>
      </c>
      <c r="E2655" t="s">
        <v>110</v>
      </c>
      <c r="F2655" t="s">
        <v>111</v>
      </c>
      <c r="G2655" t="s">
        <v>26</v>
      </c>
      <c r="H2655" s="2">
        <v>39</v>
      </c>
      <c r="I2655">
        <v>150</v>
      </c>
      <c r="J2655">
        <v>585</v>
      </c>
      <c r="K2655" s="4">
        <v>240</v>
      </c>
      <c r="L2655" t="s">
        <v>27</v>
      </c>
    </row>
    <row r="2656" spans="1:12" x14ac:dyDescent="0.35">
      <c r="A2656" t="s">
        <v>42</v>
      </c>
      <c r="B2656">
        <v>1185732</v>
      </c>
      <c r="C2656" s="1">
        <v>44389</v>
      </c>
      <c r="D2656" t="s">
        <v>33</v>
      </c>
      <c r="E2656" t="s">
        <v>118</v>
      </c>
      <c r="F2656" t="s">
        <v>119</v>
      </c>
      <c r="G2656" t="s">
        <v>26</v>
      </c>
      <c r="H2656" s="2">
        <v>49</v>
      </c>
      <c r="I2656">
        <v>149</v>
      </c>
      <c r="J2656">
        <v>730</v>
      </c>
      <c r="K2656" s="4">
        <v>372</v>
      </c>
      <c r="L2656" t="s">
        <v>17</v>
      </c>
    </row>
    <row r="2657" spans="1:12" x14ac:dyDescent="0.35">
      <c r="A2657" t="s">
        <v>18</v>
      </c>
      <c r="B2657">
        <v>1128299</v>
      </c>
      <c r="C2657" s="1">
        <v>43856</v>
      </c>
      <c r="D2657" t="s">
        <v>48</v>
      </c>
      <c r="E2657" t="s">
        <v>116</v>
      </c>
      <c r="F2657" t="s">
        <v>117</v>
      </c>
      <c r="G2657" t="s">
        <v>26</v>
      </c>
      <c r="H2657" s="2">
        <v>58</v>
      </c>
      <c r="I2657">
        <v>149</v>
      </c>
      <c r="J2657">
        <v>864</v>
      </c>
      <c r="K2657" s="4">
        <v>501</v>
      </c>
      <c r="L2657" t="s">
        <v>17</v>
      </c>
    </row>
    <row r="2658" spans="1:12" x14ac:dyDescent="0.35">
      <c r="A2658" t="s">
        <v>18</v>
      </c>
      <c r="B2658">
        <v>1128299</v>
      </c>
      <c r="C2658" s="1">
        <v>44031</v>
      </c>
      <c r="D2658" t="s">
        <v>48</v>
      </c>
      <c r="E2658" t="s">
        <v>97</v>
      </c>
      <c r="F2658" t="s">
        <v>98</v>
      </c>
      <c r="G2658" t="s">
        <v>26</v>
      </c>
      <c r="H2658" s="2">
        <v>58</v>
      </c>
      <c r="I2658">
        <v>149</v>
      </c>
      <c r="J2658">
        <v>864</v>
      </c>
      <c r="K2658" s="4">
        <v>346</v>
      </c>
      <c r="L2658" t="s">
        <v>17</v>
      </c>
    </row>
    <row r="2659" spans="1:12" x14ac:dyDescent="0.35">
      <c r="A2659" t="s">
        <v>23</v>
      </c>
      <c r="B2659">
        <v>1197831</v>
      </c>
      <c r="C2659" s="1">
        <v>44334</v>
      </c>
      <c r="D2659" t="s">
        <v>19</v>
      </c>
      <c r="E2659" t="s">
        <v>74</v>
      </c>
      <c r="F2659" t="s">
        <v>75</v>
      </c>
      <c r="G2659" t="s">
        <v>56</v>
      </c>
      <c r="H2659" s="2">
        <v>54</v>
      </c>
      <c r="I2659">
        <v>149</v>
      </c>
      <c r="J2659">
        <v>805</v>
      </c>
      <c r="K2659" s="4">
        <v>555</v>
      </c>
      <c r="L2659" t="s">
        <v>17</v>
      </c>
    </row>
    <row r="2660" spans="1:12" x14ac:dyDescent="0.35">
      <c r="A2660" t="s">
        <v>23</v>
      </c>
      <c r="B2660">
        <v>1197831</v>
      </c>
      <c r="C2660" s="1">
        <v>44432</v>
      </c>
      <c r="D2660" t="s">
        <v>19</v>
      </c>
      <c r="E2660" t="s">
        <v>24</v>
      </c>
      <c r="F2660" t="s">
        <v>25</v>
      </c>
      <c r="G2660" t="s">
        <v>16</v>
      </c>
      <c r="H2660" s="2">
        <v>20</v>
      </c>
      <c r="I2660">
        <v>149</v>
      </c>
      <c r="J2660">
        <v>298</v>
      </c>
      <c r="K2660" s="4">
        <v>224</v>
      </c>
      <c r="L2660" t="s">
        <v>17</v>
      </c>
    </row>
    <row r="2661" spans="1:12" x14ac:dyDescent="0.35">
      <c r="A2661" t="s">
        <v>42</v>
      </c>
      <c r="B2661">
        <v>1128299</v>
      </c>
      <c r="C2661" s="1">
        <v>44386</v>
      </c>
      <c r="D2661" t="s">
        <v>48</v>
      </c>
      <c r="E2661" t="s">
        <v>129</v>
      </c>
      <c r="F2661" t="s">
        <v>130</v>
      </c>
      <c r="G2661" t="s">
        <v>70</v>
      </c>
      <c r="H2661" s="2">
        <v>80</v>
      </c>
      <c r="I2661">
        <v>149</v>
      </c>
      <c r="J2661" s="3">
        <v>1192</v>
      </c>
      <c r="K2661" s="4">
        <v>358</v>
      </c>
      <c r="L2661" t="s">
        <v>17</v>
      </c>
    </row>
    <row r="2662" spans="1:12" x14ac:dyDescent="0.35">
      <c r="A2662" t="s">
        <v>12</v>
      </c>
      <c r="B2662">
        <v>1128299</v>
      </c>
      <c r="C2662" s="1">
        <v>44450</v>
      </c>
      <c r="D2662" t="s">
        <v>48</v>
      </c>
      <c r="E2662" t="s">
        <v>129</v>
      </c>
      <c r="F2662" t="s">
        <v>130</v>
      </c>
      <c r="G2662" t="s">
        <v>26</v>
      </c>
      <c r="H2662" s="2">
        <v>62</v>
      </c>
      <c r="I2662">
        <v>149</v>
      </c>
      <c r="J2662">
        <v>924</v>
      </c>
      <c r="K2662" s="4">
        <v>333</v>
      </c>
      <c r="L2662" t="s">
        <v>17</v>
      </c>
    </row>
    <row r="2663" spans="1:12" x14ac:dyDescent="0.35">
      <c r="A2663" t="s">
        <v>12</v>
      </c>
      <c r="B2663">
        <v>1128299</v>
      </c>
      <c r="C2663" s="1">
        <v>44450</v>
      </c>
      <c r="D2663" t="s">
        <v>48</v>
      </c>
      <c r="E2663" t="s">
        <v>129</v>
      </c>
      <c r="F2663" t="s">
        <v>130</v>
      </c>
      <c r="G2663" t="s">
        <v>39</v>
      </c>
      <c r="H2663" s="2">
        <v>69</v>
      </c>
      <c r="I2663">
        <v>149</v>
      </c>
      <c r="J2663" s="3">
        <v>1028</v>
      </c>
      <c r="K2663" s="4">
        <v>339</v>
      </c>
      <c r="L2663" t="s">
        <v>17</v>
      </c>
    </row>
    <row r="2664" spans="1:12" x14ac:dyDescent="0.35">
      <c r="A2664" t="s">
        <v>18</v>
      </c>
      <c r="B2664">
        <v>1185732</v>
      </c>
      <c r="C2664" s="1">
        <v>44417</v>
      </c>
      <c r="D2664" t="s">
        <v>43</v>
      </c>
      <c r="E2664" t="s">
        <v>44</v>
      </c>
      <c r="F2664" t="s">
        <v>101</v>
      </c>
      <c r="G2664" t="s">
        <v>70</v>
      </c>
      <c r="H2664" s="2">
        <v>52</v>
      </c>
      <c r="I2664">
        <v>149</v>
      </c>
      <c r="J2664">
        <v>775</v>
      </c>
      <c r="K2664" s="4">
        <v>372</v>
      </c>
      <c r="L2664" t="s">
        <v>17</v>
      </c>
    </row>
    <row r="2665" spans="1:12" x14ac:dyDescent="0.35">
      <c r="A2665" t="s">
        <v>63</v>
      </c>
      <c r="B2665">
        <v>1185732</v>
      </c>
      <c r="C2665" s="1">
        <v>44265</v>
      </c>
      <c r="D2665" t="s">
        <v>48</v>
      </c>
      <c r="E2665" t="s">
        <v>102</v>
      </c>
      <c r="F2665" t="s">
        <v>103</v>
      </c>
      <c r="G2665" t="s">
        <v>32</v>
      </c>
      <c r="H2665" s="2">
        <v>27</v>
      </c>
      <c r="I2665">
        <v>149</v>
      </c>
      <c r="J2665">
        <v>402</v>
      </c>
      <c r="K2665" s="4">
        <v>181</v>
      </c>
      <c r="L2665" t="s">
        <v>17</v>
      </c>
    </row>
    <row r="2666" spans="1:12" x14ac:dyDescent="0.35">
      <c r="A2666" t="s">
        <v>63</v>
      </c>
      <c r="B2666">
        <v>1185732</v>
      </c>
      <c r="C2666" s="1">
        <v>44297</v>
      </c>
      <c r="D2666" t="s">
        <v>48</v>
      </c>
      <c r="E2666" t="s">
        <v>102</v>
      </c>
      <c r="F2666" t="s">
        <v>103</v>
      </c>
      <c r="G2666" t="s">
        <v>16</v>
      </c>
      <c r="H2666" s="2">
        <v>36</v>
      </c>
      <c r="I2666">
        <v>149</v>
      </c>
      <c r="J2666">
        <v>536</v>
      </c>
      <c r="K2666" s="4">
        <v>188</v>
      </c>
      <c r="L2666" t="s">
        <v>17</v>
      </c>
    </row>
    <row r="2667" spans="1:12" x14ac:dyDescent="0.35">
      <c r="A2667" t="s">
        <v>63</v>
      </c>
      <c r="B2667">
        <v>1185732</v>
      </c>
      <c r="C2667" s="1">
        <v>44387</v>
      </c>
      <c r="D2667" t="s">
        <v>48</v>
      </c>
      <c r="E2667" t="s">
        <v>102</v>
      </c>
      <c r="F2667" t="s">
        <v>103</v>
      </c>
      <c r="G2667" t="s">
        <v>32</v>
      </c>
      <c r="H2667" s="2">
        <v>38</v>
      </c>
      <c r="I2667">
        <v>149</v>
      </c>
      <c r="J2667">
        <v>566</v>
      </c>
      <c r="K2667" s="4">
        <v>272</v>
      </c>
      <c r="L2667" t="s">
        <v>17</v>
      </c>
    </row>
    <row r="2668" spans="1:12" x14ac:dyDescent="0.35">
      <c r="A2668" t="s">
        <v>42</v>
      </c>
      <c r="B2668">
        <v>1128299</v>
      </c>
      <c r="C2668" s="1">
        <v>44400</v>
      </c>
      <c r="D2668" t="s">
        <v>13</v>
      </c>
      <c r="E2668" t="s">
        <v>99</v>
      </c>
      <c r="F2668" t="s">
        <v>100</v>
      </c>
      <c r="G2668" t="s">
        <v>56</v>
      </c>
      <c r="H2668" s="2">
        <v>82</v>
      </c>
      <c r="I2668">
        <v>149</v>
      </c>
      <c r="J2668" s="3">
        <v>1222</v>
      </c>
      <c r="K2668" s="4">
        <v>562</v>
      </c>
      <c r="L2668" t="s">
        <v>17</v>
      </c>
    </row>
    <row r="2669" spans="1:12" x14ac:dyDescent="0.35">
      <c r="A2669" t="s">
        <v>42</v>
      </c>
      <c r="B2669">
        <v>1128299</v>
      </c>
      <c r="C2669" s="1">
        <v>44524</v>
      </c>
      <c r="D2669" t="s">
        <v>13</v>
      </c>
      <c r="E2669" t="s">
        <v>99</v>
      </c>
      <c r="F2669" t="s">
        <v>100</v>
      </c>
      <c r="G2669" t="s">
        <v>16</v>
      </c>
      <c r="H2669" s="2">
        <v>74</v>
      </c>
      <c r="I2669">
        <v>149</v>
      </c>
      <c r="J2669" s="3">
        <v>1103</v>
      </c>
      <c r="K2669" s="4">
        <v>441</v>
      </c>
      <c r="L2669" t="s">
        <v>17</v>
      </c>
    </row>
    <row r="2670" spans="1:12" x14ac:dyDescent="0.35">
      <c r="A2670" t="s">
        <v>23</v>
      </c>
      <c r="B2670">
        <v>1185732</v>
      </c>
      <c r="C2670" s="1">
        <v>44215</v>
      </c>
      <c r="D2670" t="s">
        <v>13</v>
      </c>
      <c r="E2670" t="s">
        <v>99</v>
      </c>
      <c r="F2670" t="s">
        <v>100</v>
      </c>
      <c r="G2670" t="s">
        <v>32</v>
      </c>
      <c r="H2670" s="2">
        <v>23</v>
      </c>
      <c r="I2670">
        <v>149</v>
      </c>
      <c r="J2670">
        <v>343</v>
      </c>
      <c r="K2670" s="4">
        <v>137</v>
      </c>
      <c r="L2670" t="s">
        <v>17</v>
      </c>
    </row>
    <row r="2671" spans="1:12" x14ac:dyDescent="0.35">
      <c r="A2671" t="s">
        <v>18</v>
      </c>
      <c r="B2671">
        <v>1185732</v>
      </c>
      <c r="C2671" s="1">
        <v>44511</v>
      </c>
      <c r="D2671" t="s">
        <v>48</v>
      </c>
      <c r="E2671" t="s">
        <v>49</v>
      </c>
      <c r="F2671" t="s">
        <v>50</v>
      </c>
      <c r="G2671" t="s">
        <v>26</v>
      </c>
      <c r="H2671" s="2">
        <v>29</v>
      </c>
      <c r="I2671">
        <v>149</v>
      </c>
      <c r="J2671">
        <v>432</v>
      </c>
      <c r="K2671" s="4">
        <v>216</v>
      </c>
      <c r="L2671" t="s">
        <v>17</v>
      </c>
    </row>
    <row r="2672" spans="1:12" x14ac:dyDescent="0.35">
      <c r="A2672" t="s">
        <v>18</v>
      </c>
      <c r="B2672">
        <v>1128299</v>
      </c>
      <c r="C2672" s="1">
        <v>44524</v>
      </c>
      <c r="D2672" t="s">
        <v>48</v>
      </c>
      <c r="E2672" t="s">
        <v>85</v>
      </c>
      <c r="F2672" t="s">
        <v>86</v>
      </c>
      <c r="G2672" t="s">
        <v>16</v>
      </c>
      <c r="H2672" s="2">
        <v>76</v>
      </c>
      <c r="I2672">
        <v>149</v>
      </c>
      <c r="J2672" s="3">
        <v>1132</v>
      </c>
      <c r="K2672" s="4">
        <v>476</v>
      </c>
      <c r="L2672" t="s">
        <v>17</v>
      </c>
    </row>
    <row r="2673" spans="1:12" x14ac:dyDescent="0.35">
      <c r="A2673" t="s">
        <v>63</v>
      </c>
      <c r="B2673">
        <v>1128299</v>
      </c>
      <c r="C2673" s="1">
        <v>44373</v>
      </c>
      <c r="D2673" t="s">
        <v>48</v>
      </c>
      <c r="E2673" t="s">
        <v>114</v>
      </c>
      <c r="F2673" t="s">
        <v>115</v>
      </c>
      <c r="G2673" t="s">
        <v>32</v>
      </c>
      <c r="H2673" s="2">
        <v>54</v>
      </c>
      <c r="I2673">
        <v>149</v>
      </c>
      <c r="J2673">
        <v>805</v>
      </c>
      <c r="K2673" s="4">
        <v>402</v>
      </c>
      <c r="L2673" t="s">
        <v>17</v>
      </c>
    </row>
    <row r="2674" spans="1:12" x14ac:dyDescent="0.35">
      <c r="A2674" t="s">
        <v>63</v>
      </c>
      <c r="B2674">
        <v>1128299</v>
      </c>
      <c r="C2674" s="1">
        <v>44495</v>
      </c>
      <c r="D2674" t="s">
        <v>48</v>
      </c>
      <c r="E2674" t="s">
        <v>114</v>
      </c>
      <c r="F2674" t="s">
        <v>115</v>
      </c>
      <c r="G2674" t="s">
        <v>39</v>
      </c>
      <c r="H2674" s="2">
        <v>50</v>
      </c>
      <c r="I2674">
        <v>149</v>
      </c>
      <c r="J2674">
        <v>745</v>
      </c>
      <c r="K2674" s="4">
        <v>395</v>
      </c>
      <c r="L2674" t="s">
        <v>17</v>
      </c>
    </row>
    <row r="2675" spans="1:12" x14ac:dyDescent="0.35">
      <c r="A2675" t="s">
        <v>23</v>
      </c>
      <c r="B2675">
        <v>1185732</v>
      </c>
      <c r="C2675" s="1">
        <v>44473</v>
      </c>
      <c r="D2675" t="s">
        <v>13</v>
      </c>
      <c r="E2675" t="s">
        <v>77</v>
      </c>
      <c r="F2675" t="s">
        <v>78</v>
      </c>
      <c r="G2675" t="s">
        <v>70</v>
      </c>
      <c r="H2675" s="2">
        <v>42</v>
      </c>
      <c r="I2675">
        <v>149</v>
      </c>
      <c r="J2675">
        <v>626</v>
      </c>
      <c r="K2675" s="4">
        <v>294</v>
      </c>
      <c r="L2675" t="s">
        <v>17</v>
      </c>
    </row>
    <row r="2676" spans="1:12" x14ac:dyDescent="0.35">
      <c r="A2676" t="s">
        <v>63</v>
      </c>
      <c r="B2676">
        <v>1197831</v>
      </c>
      <c r="C2676" s="1">
        <v>44212</v>
      </c>
      <c r="D2676" t="s">
        <v>19</v>
      </c>
      <c r="E2676" t="s">
        <v>61</v>
      </c>
      <c r="F2676" t="s">
        <v>62</v>
      </c>
      <c r="G2676" t="s">
        <v>26</v>
      </c>
      <c r="H2676" s="2">
        <v>23</v>
      </c>
      <c r="I2676">
        <v>149</v>
      </c>
      <c r="J2676">
        <v>343</v>
      </c>
      <c r="K2676" s="4">
        <v>168</v>
      </c>
      <c r="L2676" t="s">
        <v>17</v>
      </c>
    </row>
    <row r="2677" spans="1:12" x14ac:dyDescent="0.35">
      <c r="A2677" t="s">
        <v>18</v>
      </c>
      <c r="B2677">
        <v>1185732</v>
      </c>
      <c r="C2677" s="1">
        <v>44379</v>
      </c>
      <c r="D2677" t="s">
        <v>33</v>
      </c>
      <c r="E2677" t="s">
        <v>40</v>
      </c>
      <c r="F2677" t="s">
        <v>41</v>
      </c>
      <c r="G2677" t="s">
        <v>26</v>
      </c>
      <c r="H2677" s="2">
        <v>45</v>
      </c>
      <c r="I2677">
        <v>149</v>
      </c>
      <c r="J2677">
        <v>671</v>
      </c>
      <c r="K2677" s="4">
        <v>282</v>
      </c>
      <c r="L2677" t="s">
        <v>17</v>
      </c>
    </row>
    <row r="2678" spans="1:12" x14ac:dyDescent="0.35">
      <c r="A2678" t="s">
        <v>18</v>
      </c>
      <c r="B2678">
        <v>1185732</v>
      </c>
      <c r="C2678" s="1">
        <v>44386</v>
      </c>
      <c r="D2678" t="s">
        <v>33</v>
      </c>
      <c r="E2678" t="s">
        <v>81</v>
      </c>
      <c r="F2678" t="s">
        <v>82</v>
      </c>
      <c r="G2678" t="s">
        <v>26</v>
      </c>
      <c r="H2678" s="2">
        <v>51</v>
      </c>
      <c r="I2678">
        <v>149</v>
      </c>
      <c r="J2678">
        <v>760</v>
      </c>
      <c r="K2678" s="4">
        <v>403</v>
      </c>
      <c r="L2678" t="s">
        <v>17</v>
      </c>
    </row>
    <row r="2679" spans="1:12" x14ac:dyDescent="0.35">
      <c r="A2679" t="s">
        <v>18</v>
      </c>
      <c r="B2679">
        <v>1185732</v>
      </c>
      <c r="C2679" s="1">
        <v>44244</v>
      </c>
      <c r="D2679" t="s">
        <v>33</v>
      </c>
      <c r="E2679" t="s">
        <v>81</v>
      </c>
      <c r="F2679" t="s">
        <v>82</v>
      </c>
      <c r="G2679" t="s">
        <v>26</v>
      </c>
      <c r="H2679" s="2">
        <v>33</v>
      </c>
      <c r="I2679">
        <v>149</v>
      </c>
      <c r="J2679">
        <v>492</v>
      </c>
      <c r="K2679" s="4">
        <v>266</v>
      </c>
      <c r="L2679" t="s">
        <v>17</v>
      </c>
    </row>
    <row r="2680" spans="1:12" x14ac:dyDescent="0.35">
      <c r="A2680" t="s">
        <v>23</v>
      </c>
      <c r="B2680">
        <v>1185732</v>
      </c>
      <c r="C2680" s="1">
        <v>44536</v>
      </c>
      <c r="D2680" t="s">
        <v>43</v>
      </c>
      <c r="E2680" t="s">
        <v>83</v>
      </c>
      <c r="F2680" t="s">
        <v>84</v>
      </c>
      <c r="G2680" t="s">
        <v>26</v>
      </c>
      <c r="H2680" s="2">
        <v>55</v>
      </c>
      <c r="I2680">
        <v>149</v>
      </c>
      <c r="J2680">
        <v>820</v>
      </c>
      <c r="K2680" s="4">
        <v>393</v>
      </c>
      <c r="L2680" t="s">
        <v>17</v>
      </c>
    </row>
    <row r="2681" spans="1:12" x14ac:dyDescent="0.35">
      <c r="A2681" t="s">
        <v>23</v>
      </c>
      <c r="B2681">
        <v>1185732</v>
      </c>
      <c r="C2681" s="1">
        <v>44232</v>
      </c>
      <c r="D2681" t="s">
        <v>43</v>
      </c>
      <c r="E2681" t="s">
        <v>83</v>
      </c>
      <c r="F2681" t="s">
        <v>84</v>
      </c>
      <c r="G2681" t="s">
        <v>26</v>
      </c>
      <c r="H2681" s="2">
        <v>39</v>
      </c>
      <c r="I2681">
        <v>149</v>
      </c>
      <c r="J2681">
        <v>581</v>
      </c>
      <c r="K2681" s="4">
        <v>291</v>
      </c>
      <c r="L2681" t="s">
        <v>17</v>
      </c>
    </row>
    <row r="2682" spans="1:12" x14ac:dyDescent="0.35">
      <c r="A2682" t="s">
        <v>63</v>
      </c>
      <c r="B2682">
        <v>1189833</v>
      </c>
      <c r="C2682" s="1">
        <v>44297</v>
      </c>
      <c r="D2682" t="s">
        <v>48</v>
      </c>
      <c r="E2682" t="s">
        <v>66</v>
      </c>
      <c r="F2682" t="s">
        <v>76</v>
      </c>
      <c r="G2682" t="s">
        <v>70</v>
      </c>
      <c r="H2682" s="2">
        <v>38</v>
      </c>
      <c r="I2682">
        <v>149</v>
      </c>
      <c r="J2682">
        <v>566</v>
      </c>
      <c r="K2682" s="4">
        <v>345</v>
      </c>
      <c r="L2682" t="s">
        <v>27</v>
      </c>
    </row>
    <row r="2683" spans="1:12" x14ac:dyDescent="0.35">
      <c r="A2683" t="s">
        <v>23</v>
      </c>
      <c r="B2683">
        <v>1197831</v>
      </c>
      <c r="C2683" s="1">
        <v>44440</v>
      </c>
      <c r="D2683" t="s">
        <v>19</v>
      </c>
      <c r="E2683" t="s">
        <v>59</v>
      </c>
      <c r="F2683" t="s">
        <v>68</v>
      </c>
      <c r="G2683" t="s">
        <v>56</v>
      </c>
      <c r="H2683" s="2">
        <v>20</v>
      </c>
      <c r="I2683">
        <v>149</v>
      </c>
      <c r="J2683">
        <v>298</v>
      </c>
      <c r="K2683" s="4">
        <v>146</v>
      </c>
      <c r="L2683" t="s">
        <v>27</v>
      </c>
    </row>
    <row r="2684" spans="1:12" x14ac:dyDescent="0.35">
      <c r="A2684" t="s">
        <v>23</v>
      </c>
      <c r="B2684">
        <v>1197831</v>
      </c>
      <c r="C2684" s="1">
        <v>44471</v>
      </c>
      <c r="D2684" t="s">
        <v>19</v>
      </c>
      <c r="E2684" t="s">
        <v>59</v>
      </c>
      <c r="F2684" t="s">
        <v>68</v>
      </c>
      <c r="G2684" t="s">
        <v>70</v>
      </c>
      <c r="H2684" s="2">
        <v>37</v>
      </c>
      <c r="I2684">
        <v>149</v>
      </c>
      <c r="J2684">
        <v>551</v>
      </c>
      <c r="K2684" s="4">
        <v>221</v>
      </c>
      <c r="L2684" t="s">
        <v>27</v>
      </c>
    </row>
    <row r="2685" spans="1:12" x14ac:dyDescent="0.35">
      <c r="A2685" t="s">
        <v>18</v>
      </c>
      <c r="B2685">
        <v>1128299</v>
      </c>
      <c r="C2685" s="1">
        <v>43905</v>
      </c>
      <c r="D2685" t="s">
        <v>48</v>
      </c>
      <c r="E2685" t="s">
        <v>116</v>
      </c>
      <c r="F2685" t="s">
        <v>117</v>
      </c>
      <c r="G2685" t="s">
        <v>26</v>
      </c>
      <c r="H2685" s="2">
        <v>20</v>
      </c>
      <c r="I2685">
        <v>149</v>
      </c>
      <c r="J2685">
        <v>298</v>
      </c>
      <c r="K2685" s="4">
        <v>119</v>
      </c>
      <c r="L2685" t="s">
        <v>27</v>
      </c>
    </row>
    <row r="2686" spans="1:12" x14ac:dyDescent="0.35">
      <c r="A2686" t="s">
        <v>23</v>
      </c>
      <c r="B2686">
        <v>1197831</v>
      </c>
      <c r="C2686" s="1">
        <v>44473</v>
      </c>
      <c r="D2686" t="s">
        <v>19</v>
      </c>
      <c r="E2686" t="s">
        <v>24</v>
      </c>
      <c r="F2686" t="s">
        <v>25</v>
      </c>
      <c r="G2686" t="s">
        <v>70</v>
      </c>
      <c r="H2686" s="2">
        <v>37</v>
      </c>
      <c r="I2686">
        <v>149</v>
      </c>
      <c r="J2686">
        <v>551</v>
      </c>
      <c r="K2686" s="4">
        <v>265</v>
      </c>
      <c r="L2686" t="s">
        <v>27</v>
      </c>
    </row>
    <row r="2687" spans="1:12" x14ac:dyDescent="0.35">
      <c r="A2687" t="s">
        <v>23</v>
      </c>
      <c r="B2687">
        <v>1128299</v>
      </c>
      <c r="C2687" s="1">
        <v>44271</v>
      </c>
      <c r="D2687" t="s">
        <v>13</v>
      </c>
      <c r="E2687" t="s">
        <v>14</v>
      </c>
      <c r="F2687" t="s">
        <v>15</v>
      </c>
      <c r="G2687" t="s">
        <v>32</v>
      </c>
      <c r="H2687" s="2">
        <v>47</v>
      </c>
      <c r="I2687">
        <v>149</v>
      </c>
      <c r="J2687">
        <v>700</v>
      </c>
      <c r="K2687" s="4">
        <v>224</v>
      </c>
      <c r="L2687" t="s">
        <v>27</v>
      </c>
    </row>
    <row r="2688" spans="1:12" x14ac:dyDescent="0.35">
      <c r="A2688" t="s">
        <v>42</v>
      </c>
      <c r="B2688">
        <v>1128299</v>
      </c>
      <c r="C2688" s="1">
        <v>44464</v>
      </c>
      <c r="D2688" t="s">
        <v>13</v>
      </c>
      <c r="E2688" t="s">
        <v>99</v>
      </c>
      <c r="F2688" t="s">
        <v>100</v>
      </c>
      <c r="G2688" t="s">
        <v>26</v>
      </c>
      <c r="H2688" s="2">
        <v>35</v>
      </c>
      <c r="I2688">
        <v>149</v>
      </c>
      <c r="J2688">
        <v>522</v>
      </c>
      <c r="K2688" s="4">
        <v>219</v>
      </c>
      <c r="L2688" t="s">
        <v>27</v>
      </c>
    </row>
    <row r="2689" spans="1:12" x14ac:dyDescent="0.35">
      <c r="A2689" t="s">
        <v>18</v>
      </c>
      <c r="B2689">
        <v>1185732</v>
      </c>
      <c r="C2689" s="1">
        <v>44238</v>
      </c>
      <c r="D2689" t="s">
        <v>48</v>
      </c>
      <c r="E2689" t="s">
        <v>49</v>
      </c>
      <c r="F2689" t="s">
        <v>50</v>
      </c>
      <c r="G2689" t="s">
        <v>16</v>
      </c>
      <c r="H2689" s="2">
        <v>18</v>
      </c>
      <c r="I2689">
        <v>149</v>
      </c>
      <c r="J2689">
        <v>268</v>
      </c>
      <c r="K2689" s="4">
        <v>148</v>
      </c>
      <c r="L2689" t="s">
        <v>27</v>
      </c>
    </row>
    <row r="2690" spans="1:12" x14ac:dyDescent="0.35">
      <c r="A2690" t="s">
        <v>18</v>
      </c>
      <c r="B2690">
        <v>1128299</v>
      </c>
      <c r="C2690" s="1">
        <v>44464</v>
      </c>
      <c r="D2690" t="s">
        <v>48</v>
      </c>
      <c r="E2690" t="s">
        <v>85</v>
      </c>
      <c r="F2690" t="s">
        <v>86</v>
      </c>
      <c r="G2690" t="s">
        <v>26</v>
      </c>
      <c r="H2690" s="2">
        <v>34</v>
      </c>
      <c r="I2690">
        <v>149</v>
      </c>
      <c r="J2690">
        <v>507</v>
      </c>
      <c r="K2690" s="4">
        <v>187</v>
      </c>
      <c r="L2690" t="s">
        <v>27</v>
      </c>
    </row>
    <row r="2691" spans="1:12" x14ac:dyDescent="0.35">
      <c r="A2691" t="s">
        <v>18</v>
      </c>
      <c r="B2691">
        <v>1128299</v>
      </c>
      <c r="C2691" s="1">
        <v>44524</v>
      </c>
      <c r="D2691" t="s">
        <v>48</v>
      </c>
      <c r="E2691" t="s">
        <v>85</v>
      </c>
      <c r="F2691" t="s">
        <v>86</v>
      </c>
      <c r="G2691" t="s">
        <v>56</v>
      </c>
      <c r="H2691" s="2">
        <v>39</v>
      </c>
      <c r="I2691">
        <v>149</v>
      </c>
      <c r="J2691">
        <v>581</v>
      </c>
      <c r="K2691" s="4">
        <v>238</v>
      </c>
      <c r="L2691" t="s">
        <v>27</v>
      </c>
    </row>
    <row r="2692" spans="1:12" x14ac:dyDescent="0.35">
      <c r="A2692" t="s">
        <v>23</v>
      </c>
      <c r="B2692">
        <v>1197831</v>
      </c>
      <c r="C2692" s="1">
        <v>44505</v>
      </c>
      <c r="D2692" t="s">
        <v>48</v>
      </c>
      <c r="E2692" t="s">
        <v>79</v>
      </c>
      <c r="F2692" t="s">
        <v>80</v>
      </c>
      <c r="G2692" t="s">
        <v>70</v>
      </c>
      <c r="H2692" s="2">
        <v>41</v>
      </c>
      <c r="I2692">
        <v>149</v>
      </c>
      <c r="J2692">
        <v>611</v>
      </c>
      <c r="K2692" s="4">
        <v>232</v>
      </c>
      <c r="L2692" t="s">
        <v>27</v>
      </c>
    </row>
    <row r="2693" spans="1:12" x14ac:dyDescent="0.35">
      <c r="A2693" t="s">
        <v>63</v>
      </c>
      <c r="B2693">
        <v>1128299</v>
      </c>
      <c r="C2693" s="1">
        <v>44402</v>
      </c>
      <c r="D2693" t="s">
        <v>48</v>
      </c>
      <c r="E2693" t="s">
        <v>114</v>
      </c>
      <c r="F2693" t="s">
        <v>115</v>
      </c>
      <c r="G2693" t="s">
        <v>56</v>
      </c>
      <c r="H2693" s="2">
        <v>39</v>
      </c>
      <c r="I2693">
        <v>149</v>
      </c>
      <c r="J2693">
        <v>581</v>
      </c>
      <c r="K2693" s="4">
        <v>244</v>
      </c>
      <c r="L2693" t="s">
        <v>27</v>
      </c>
    </row>
    <row r="2694" spans="1:12" x14ac:dyDescent="0.35">
      <c r="A2694" t="s">
        <v>63</v>
      </c>
      <c r="B2694">
        <v>1128299</v>
      </c>
      <c r="C2694" s="1">
        <v>44526</v>
      </c>
      <c r="D2694" t="s">
        <v>48</v>
      </c>
      <c r="E2694" t="s">
        <v>114</v>
      </c>
      <c r="F2694" t="s">
        <v>115</v>
      </c>
      <c r="G2694" t="s">
        <v>32</v>
      </c>
      <c r="H2694" s="2">
        <v>46</v>
      </c>
      <c r="I2694">
        <v>149</v>
      </c>
      <c r="J2694">
        <v>685</v>
      </c>
      <c r="K2694" s="4">
        <v>254</v>
      </c>
      <c r="L2694" t="s">
        <v>27</v>
      </c>
    </row>
    <row r="2695" spans="1:12" x14ac:dyDescent="0.35">
      <c r="A2695" t="s">
        <v>23</v>
      </c>
      <c r="B2695">
        <v>1128299</v>
      </c>
      <c r="C2695" s="1">
        <v>44209</v>
      </c>
      <c r="D2695" t="s">
        <v>48</v>
      </c>
      <c r="E2695" t="s">
        <v>114</v>
      </c>
      <c r="F2695" t="s">
        <v>115</v>
      </c>
      <c r="G2695" t="s">
        <v>26</v>
      </c>
      <c r="H2695" s="2">
        <v>24</v>
      </c>
      <c r="I2695">
        <v>149</v>
      </c>
      <c r="J2695">
        <v>358</v>
      </c>
      <c r="K2695" s="4">
        <v>164</v>
      </c>
      <c r="L2695" t="s">
        <v>27</v>
      </c>
    </row>
    <row r="2696" spans="1:12" x14ac:dyDescent="0.35">
      <c r="A2696" t="s">
        <v>23</v>
      </c>
      <c r="B2696">
        <v>1128299</v>
      </c>
      <c r="C2696" s="1">
        <v>44421</v>
      </c>
      <c r="D2696" t="s">
        <v>13</v>
      </c>
      <c r="E2696" t="s">
        <v>57</v>
      </c>
      <c r="F2696" t="s">
        <v>58</v>
      </c>
      <c r="G2696" t="s">
        <v>56</v>
      </c>
      <c r="H2696" s="2">
        <v>42</v>
      </c>
      <c r="I2696">
        <v>149</v>
      </c>
      <c r="J2696">
        <v>626</v>
      </c>
      <c r="K2696" s="4">
        <v>282</v>
      </c>
      <c r="L2696" t="s">
        <v>27</v>
      </c>
    </row>
    <row r="2697" spans="1:12" x14ac:dyDescent="0.35">
      <c r="A2697" t="s">
        <v>42</v>
      </c>
      <c r="B2697">
        <v>1185732</v>
      </c>
      <c r="C2697" s="1">
        <v>44365</v>
      </c>
      <c r="D2697" t="s">
        <v>19</v>
      </c>
      <c r="E2697" t="s">
        <v>37</v>
      </c>
      <c r="F2697" t="s">
        <v>38</v>
      </c>
      <c r="G2697" t="s">
        <v>56</v>
      </c>
      <c r="H2697" s="2">
        <v>34</v>
      </c>
      <c r="I2697">
        <v>149</v>
      </c>
      <c r="J2697">
        <v>507</v>
      </c>
      <c r="K2697" s="4">
        <v>218</v>
      </c>
      <c r="L2697" t="s">
        <v>27</v>
      </c>
    </row>
    <row r="2698" spans="1:12" x14ac:dyDescent="0.35">
      <c r="A2698" t="s">
        <v>12</v>
      </c>
      <c r="B2698">
        <v>1197831</v>
      </c>
      <c r="C2698" s="1">
        <v>44368</v>
      </c>
      <c r="D2698" t="s">
        <v>19</v>
      </c>
      <c r="E2698" t="s">
        <v>54</v>
      </c>
      <c r="F2698" t="s">
        <v>55</v>
      </c>
      <c r="G2698" t="s">
        <v>39</v>
      </c>
      <c r="H2698" s="2">
        <v>25</v>
      </c>
      <c r="I2698">
        <v>149</v>
      </c>
      <c r="J2698">
        <v>373</v>
      </c>
      <c r="K2698" s="4">
        <v>145</v>
      </c>
      <c r="L2698" t="s">
        <v>27</v>
      </c>
    </row>
    <row r="2699" spans="1:12" x14ac:dyDescent="0.35">
      <c r="A2699" t="s">
        <v>12</v>
      </c>
      <c r="B2699">
        <v>1197831</v>
      </c>
      <c r="C2699" s="1">
        <v>44396</v>
      </c>
      <c r="D2699" t="s">
        <v>19</v>
      </c>
      <c r="E2699" t="s">
        <v>54</v>
      </c>
      <c r="F2699" t="s">
        <v>55</v>
      </c>
      <c r="G2699" t="s">
        <v>70</v>
      </c>
      <c r="H2699" s="2">
        <v>40</v>
      </c>
      <c r="I2699">
        <v>149</v>
      </c>
      <c r="J2699">
        <v>596</v>
      </c>
      <c r="K2699" s="4">
        <v>238</v>
      </c>
      <c r="L2699" t="s">
        <v>27</v>
      </c>
    </row>
    <row r="2700" spans="1:12" x14ac:dyDescent="0.35">
      <c r="A2700" t="s">
        <v>18</v>
      </c>
      <c r="B2700">
        <v>1197831</v>
      </c>
      <c r="C2700" s="1">
        <v>44549</v>
      </c>
      <c r="D2700" t="s">
        <v>19</v>
      </c>
      <c r="E2700" t="s">
        <v>54</v>
      </c>
      <c r="F2700" t="s">
        <v>55</v>
      </c>
      <c r="G2700" t="s">
        <v>32</v>
      </c>
      <c r="H2700" s="2">
        <v>43</v>
      </c>
      <c r="I2700">
        <v>149</v>
      </c>
      <c r="J2700">
        <v>641</v>
      </c>
      <c r="K2700" s="4">
        <v>282</v>
      </c>
      <c r="L2700" t="s">
        <v>27</v>
      </c>
    </row>
    <row r="2701" spans="1:12" x14ac:dyDescent="0.35">
      <c r="A2701" t="s">
        <v>63</v>
      </c>
      <c r="B2701">
        <v>1197831</v>
      </c>
      <c r="C2701" s="1">
        <v>44549</v>
      </c>
      <c r="D2701" t="s">
        <v>19</v>
      </c>
      <c r="E2701" t="s">
        <v>61</v>
      </c>
      <c r="F2701" t="s">
        <v>62</v>
      </c>
      <c r="G2701" t="s">
        <v>39</v>
      </c>
      <c r="H2701" s="2">
        <v>47</v>
      </c>
      <c r="I2701">
        <v>149</v>
      </c>
      <c r="J2701">
        <v>700</v>
      </c>
      <c r="K2701" s="4">
        <v>266</v>
      </c>
      <c r="L2701" t="s">
        <v>27</v>
      </c>
    </row>
    <row r="2702" spans="1:12" x14ac:dyDescent="0.35">
      <c r="A2702" t="s">
        <v>42</v>
      </c>
      <c r="B2702">
        <v>1185732</v>
      </c>
      <c r="C2702" s="1">
        <v>44504</v>
      </c>
      <c r="D2702" t="s">
        <v>43</v>
      </c>
      <c r="E2702" t="s">
        <v>108</v>
      </c>
      <c r="F2702" t="s">
        <v>109</v>
      </c>
      <c r="G2702" t="s">
        <v>26</v>
      </c>
      <c r="H2702" s="2">
        <v>51</v>
      </c>
      <c r="I2702">
        <v>149</v>
      </c>
      <c r="J2702">
        <v>760</v>
      </c>
      <c r="K2702" s="4">
        <v>327</v>
      </c>
      <c r="L2702" t="s">
        <v>27</v>
      </c>
    </row>
    <row r="2703" spans="1:12" x14ac:dyDescent="0.35">
      <c r="A2703" t="s">
        <v>42</v>
      </c>
      <c r="B2703">
        <v>1185732</v>
      </c>
      <c r="C2703" s="1">
        <v>44206</v>
      </c>
      <c r="D2703" t="s">
        <v>43</v>
      </c>
      <c r="E2703" t="s">
        <v>108</v>
      </c>
      <c r="F2703" t="s">
        <v>109</v>
      </c>
      <c r="G2703" t="s">
        <v>26</v>
      </c>
      <c r="H2703" s="2">
        <v>23</v>
      </c>
      <c r="I2703">
        <v>149</v>
      </c>
      <c r="J2703">
        <v>343</v>
      </c>
      <c r="K2703" s="4">
        <v>144</v>
      </c>
      <c r="L2703" t="s">
        <v>27</v>
      </c>
    </row>
    <row r="2704" spans="1:12" x14ac:dyDescent="0.35">
      <c r="A2704" t="s">
        <v>23</v>
      </c>
      <c r="B2704">
        <v>1185732</v>
      </c>
      <c r="C2704" s="1">
        <v>44300</v>
      </c>
      <c r="D2704" t="s">
        <v>43</v>
      </c>
      <c r="E2704" t="s">
        <v>112</v>
      </c>
      <c r="F2704" t="s">
        <v>113</v>
      </c>
      <c r="G2704" t="s">
        <v>26</v>
      </c>
      <c r="H2704" s="2">
        <v>28</v>
      </c>
      <c r="I2704">
        <v>149</v>
      </c>
      <c r="J2704">
        <v>417</v>
      </c>
      <c r="K2704" s="4">
        <v>138</v>
      </c>
      <c r="L2704" t="s">
        <v>27</v>
      </c>
    </row>
    <row r="2705" spans="1:12" x14ac:dyDescent="0.35">
      <c r="A2705" t="s">
        <v>51</v>
      </c>
      <c r="B2705">
        <v>1185732</v>
      </c>
      <c r="C2705" s="1">
        <v>44419</v>
      </c>
      <c r="D2705" t="s">
        <v>43</v>
      </c>
      <c r="E2705" t="s">
        <v>125</v>
      </c>
      <c r="F2705" t="s">
        <v>126</v>
      </c>
      <c r="G2705" t="s">
        <v>39</v>
      </c>
      <c r="H2705" s="2">
        <v>43</v>
      </c>
      <c r="I2705">
        <v>149</v>
      </c>
      <c r="J2705">
        <v>641</v>
      </c>
      <c r="K2705" s="4">
        <v>333</v>
      </c>
      <c r="L2705" t="s">
        <v>27</v>
      </c>
    </row>
    <row r="2706" spans="1:12" x14ac:dyDescent="0.35">
      <c r="A2706" t="s">
        <v>51</v>
      </c>
      <c r="B2706">
        <v>1185732</v>
      </c>
      <c r="C2706" s="1">
        <v>44394</v>
      </c>
      <c r="D2706" t="s">
        <v>43</v>
      </c>
      <c r="E2706" t="s">
        <v>127</v>
      </c>
      <c r="F2706" t="s">
        <v>128</v>
      </c>
      <c r="G2706" t="s">
        <v>39</v>
      </c>
      <c r="H2706" s="2">
        <v>47</v>
      </c>
      <c r="I2706">
        <v>149</v>
      </c>
      <c r="J2706">
        <v>700</v>
      </c>
      <c r="K2706" s="4">
        <v>308</v>
      </c>
      <c r="L2706" t="s">
        <v>27</v>
      </c>
    </row>
    <row r="2707" spans="1:12" x14ac:dyDescent="0.35">
      <c r="A2707" t="s">
        <v>42</v>
      </c>
      <c r="B2707">
        <v>1185732</v>
      </c>
      <c r="C2707" s="1">
        <v>44518</v>
      </c>
      <c r="D2707" t="s">
        <v>43</v>
      </c>
      <c r="E2707" t="s">
        <v>127</v>
      </c>
      <c r="F2707" t="s">
        <v>128</v>
      </c>
      <c r="G2707" t="s">
        <v>26</v>
      </c>
      <c r="H2707" s="2">
        <v>59</v>
      </c>
      <c r="I2707">
        <v>149</v>
      </c>
      <c r="J2707">
        <v>879</v>
      </c>
      <c r="K2707" s="4">
        <v>378</v>
      </c>
      <c r="L2707" t="s">
        <v>27</v>
      </c>
    </row>
    <row r="2708" spans="1:12" x14ac:dyDescent="0.35">
      <c r="A2708" t="s">
        <v>12</v>
      </c>
      <c r="B2708">
        <v>1197831</v>
      </c>
      <c r="C2708" s="1">
        <v>44053</v>
      </c>
      <c r="D2708" t="s">
        <v>19</v>
      </c>
      <c r="E2708" t="s">
        <v>59</v>
      </c>
      <c r="F2708" t="s">
        <v>60</v>
      </c>
      <c r="G2708" t="s">
        <v>70</v>
      </c>
      <c r="H2708" s="2">
        <v>42</v>
      </c>
      <c r="I2708">
        <v>147</v>
      </c>
      <c r="J2708">
        <v>617</v>
      </c>
      <c r="K2708" s="4">
        <v>259</v>
      </c>
      <c r="L2708" t="s">
        <v>17</v>
      </c>
    </row>
    <row r="2709" spans="1:12" x14ac:dyDescent="0.35">
      <c r="A2709" t="s">
        <v>23</v>
      </c>
      <c r="B2709">
        <v>1197831</v>
      </c>
      <c r="C2709" s="1">
        <v>44424</v>
      </c>
      <c r="D2709" t="s">
        <v>19</v>
      </c>
      <c r="E2709" t="s">
        <v>59</v>
      </c>
      <c r="F2709" t="s">
        <v>68</v>
      </c>
      <c r="G2709" t="s">
        <v>16</v>
      </c>
      <c r="H2709" s="2">
        <v>33</v>
      </c>
      <c r="I2709">
        <v>147</v>
      </c>
      <c r="J2709">
        <v>485</v>
      </c>
      <c r="K2709" s="4">
        <v>267</v>
      </c>
      <c r="L2709" t="s">
        <v>17</v>
      </c>
    </row>
    <row r="2710" spans="1:12" x14ac:dyDescent="0.35">
      <c r="A2710" t="s">
        <v>23</v>
      </c>
      <c r="B2710">
        <v>1197831</v>
      </c>
      <c r="C2710" s="1">
        <v>44464</v>
      </c>
      <c r="D2710" t="s">
        <v>19</v>
      </c>
      <c r="E2710" t="s">
        <v>59</v>
      </c>
      <c r="F2710" t="s">
        <v>68</v>
      </c>
      <c r="G2710" t="s">
        <v>56</v>
      </c>
      <c r="H2710" s="2">
        <v>47</v>
      </c>
      <c r="I2710">
        <v>147</v>
      </c>
      <c r="J2710">
        <v>691</v>
      </c>
      <c r="K2710" s="4">
        <v>449</v>
      </c>
      <c r="L2710" t="s">
        <v>17</v>
      </c>
    </row>
    <row r="2711" spans="1:12" x14ac:dyDescent="0.35">
      <c r="A2711" t="s">
        <v>63</v>
      </c>
      <c r="B2711">
        <v>1189833</v>
      </c>
      <c r="C2711" s="1">
        <v>44224</v>
      </c>
      <c r="D2711" t="s">
        <v>33</v>
      </c>
      <c r="E2711" t="s">
        <v>131</v>
      </c>
      <c r="F2711" t="s">
        <v>132</v>
      </c>
      <c r="G2711" t="s">
        <v>39</v>
      </c>
      <c r="H2711" s="2">
        <v>42</v>
      </c>
      <c r="I2711">
        <v>147</v>
      </c>
      <c r="J2711">
        <v>617</v>
      </c>
      <c r="K2711" s="4">
        <v>253</v>
      </c>
      <c r="L2711" t="s">
        <v>17</v>
      </c>
    </row>
    <row r="2712" spans="1:12" x14ac:dyDescent="0.35">
      <c r="A2712" t="s">
        <v>23</v>
      </c>
      <c r="B2712">
        <v>1197831</v>
      </c>
      <c r="C2712" s="1">
        <v>44321</v>
      </c>
      <c r="D2712" t="s">
        <v>19</v>
      </c>
      <c r="E2712" t="s">
        <v>74</v>
      </c>
      <c r="F2712" t="s">
        <v>75</v>
      </c>
      <c r="G2712" t="s">
        <v>32</v>
      </c>
      <c r="H2712" s="2">
        <v>36</v>
      </c>
      <c r="I2712">
        <v>147</v>
      </c>
      <c r="J2712">
        <v>529</v>
      </c>
      <c r="K2712" s="4">
        <v>307</v>
      </c>
      <c r="L2712" t="s">
        <v>17</v>
      </c>
    </row>
    <row r="2713" spans="1:12" x14ac:dyDescent="0.35">
      <c r="A2713" t="s">
        <v>51</v>
      </c>
      <c r="B2713">
        <v>1185732</v>
      </c>
      <c r="C2713" s="1">
        <v>44551</v>
      </c>
      <c r="D2713" t="s">
        <v>43</v>
      </c>
      <c r="E2713" t="s">
        <v>122</v>
      </c>
      <c r="F2713" t="s">
        <v>86</v>
      </c>
      <c r="G2713" t="s">
        <v>26</v>
      </c>
      <c r="H2713" s="2">
        <v>50</v>
      </c>
      <c r="I2713">
        <v>147</v>
      </c>
      <c r="J2713">
        <v>735</v>
      </c>
      <c r="K2713" s="4">
        <v>338</v>
      </c>
      <c r="L2713" t="s">
        <v>17</v>
      </c>
    </row>
    <row r="2714" spans="1:12" x14ac:dyDescent="0.35">
      <c r="A2714" t="s">
        <v>12</v>
      </c>
      <c r="B2714">
        <v>1128299</v>
      </c>
      <c r="C2714" s="1">
        <v>44418</v>
      </c>
      <c r="D2714" t="s">
        <v>48</v>
      </c>
      <c r="E2714" t="s">
        <v>129</v>
      </c>
      <c r="F2714" t="s">
        <v>130</v>
      </c>
      <c r="G2714" t="s">
        <v>70</v>
      </c>
      <c r="H2714" s="2">
        <v>69</v>
      </c>
      <c r="I2714">
        <v>147</v>
      </c>
      <c r="J2714" s="3">
        <v>1014</v>
      </c>
      <c r="K2714" s="4">
        <v>274</v>
      </c>
      <c r="L2714" t="s">
        <v>17</v>
      </c>
    </row>
    <row r="2715" spans="1:12" x14ac:dyDescent="0.35">
      <c r="A2715" t="s">
        <v>12</v>
      </c>
      <c r="B2715">
        <v>1128299</v>
      </c>
      <c r="C2715" s="1">
        <v>44517</v>
      </c>
      <c r="D2715" t="s">
        <v>13</v>
      </c>
      <c r="E2715" t="s">
        <v>14</v>
      </c>
      <c r="F2715" t="s">
        <v>15</v>
      </c>
      <c r="G2715" t="s">
        <v>32</v>
      </c>
      <c r="H2715" s="2">
        <v>53</v>
      </c>
      <c r="I2715">
        <v>147</v>
      </c>
      <c r="J2715">
        <v>779</v>
      </c>
      <c r="K2715" s="4">
        <v>319</v>
      </c>
      <c r="L2715" t="s">
        <v>17</v>
      </c>
    </row>
    <row r="2716" spans="1:12" x14ac:dyDescent="0.35">
      <c r="A2716" t="s">
        <v>18</v>
      </c>
      <c r="B2716">
        <v>1128299</v>
      </c>
      <c r="C2716" s="1">
        <v>44546</v>
      </c>
      <c r="D2716" t="s">
        <v>13</v>
      </c>
      <c r="E2716" t="s">
        <v>14</v>
      </c>
      <c r="F2716" t="s">
        <v>15</v>
      </c>
      <c r="G2716" t="s">
        <v>70</v>
      </c>
      <c r="H2716" s="2">
        <v>86</v>
      </c>
      <c r="I2716">
        <v>147</v>
      </c>
      <c r="J2716" s="3">
        <v>1264</v>
      </c>
      <c r="K2716" s="4">
        <v>442</v>
      </c>
      <c r="L2716" t="s">
        <v>17</v>
      </c>
    </row>
    <row r="2717" spans="1:12" x14ac:dyDescent="0.35">
      <c r="A2717" t="s">
        <v>18</v>
      </c>
      <c r="B2717">
        <v>1185732</v>
      </c>
      <c r="C2717" s="1">
        <v>44295</v>
      </c>
      <c r="D2717" t="s">
        <v>43</v>
      </c>
      <c r="E2717" t="s">
        <v>44</v>
      </c>
      <c r="F2717" t="s">
        <v>101</v>
      </c>
      <c r="G2717" t="s">
        <v>39</v>
      </c>
      <c r="H2717" s="2">
        <v>43</v>
      </c>
      <c r="I2717">
        <v>147</v>
      </c>
      <c r="J2717">
        <v>632</v>
      </c>
      <c r="K2717" s="4">
        <v>284</v>
      </c>
      <c r="L2717" t="s">
        <v>17</v>
      </c>
    </row>
    <row r="2718" spans="1:12" x14ac:dyDescent="0.35">
      <c r="A2718" t="s">
        <v>18</v>
      </c>
      <c r="B2718">
        <v>1185732</v>
      </c>
      <c r="C2718" s="1">
        <v>44509</v>
      </c>
      <c r="D2718" t="s">
        <v>43</v>
      </c>
      <c r="E2718" t="s">
        <v>44</v>
      </c>
      <c r="F2718" t="s">
        <v>101</v>
      </c>
      <c r="G2718" t="s">
        <v>32</v>
      </c>
      <c r="H2718" s="2">
        <v>45</v>
      </c>
      <c r="I2718">
        <v>147</v>
      </c>
      <c r="J2718">
        <v>662</v>
      </c>
      <c r="K2718" s="4">
        <v>238</v>
      </c>
      <c r="L2718" t="s">
        <v>17</v>
      </c>
    </row>
    <row r="2719" spans="1:12" x14ac:dyDescent="0.35">
      <c r="A2719" t="s">
        <v>63</v>
      </c>
      <c r="B2719">
        <v>1185732</v>
      </c>
      <c r="C2719" s="1">
        <v>44419</v>
      </c>
      <c r="D2719" t="s">
        <v>48</v>
      </c>
      <c r="E2719" t="s">
        <v>102</v>
      </c>
      <c r="F2719" t="s">
        <v>103</v>
      </c>
      <c r="G2719" t="s">
        <v>56</v>
      </c>
      <c r="H2719" s="2">
        <v>38</v>
      </c>
      <c r="I2719">
        <v>147</v>
      </c>
      <c r="J2719">
        <v>559</v>
      </c>
      <c r="K2719" s="4">
        <v>274</v>
      </c>
      <c r="L2719" t="s">
        <v>17</v>
      </c>
    </row>
    <row r="2720" spans="1:12" x14ac:dyDescent="0.35">
      <c r="A2720" t="s">
        <v>18</v>
      </c>
      <c r="B2720">
        <v>1128299</v>
      </c>
      <c r="C2720" s="1">
        <v>44271</v>
      </c>
      <c r="D2720" t="s">
        <v>19</v>
      </c>
      <c r="E2720" t="s">
        <v>20</v>
      </c>
      <c r="F2720" t="s">
        <v>21</v>
      </c>
      <c r="G2720" t="s">
        <v>26</v>
      </c>
      <c r="H2720" s="2">
        <v>44</v>
      </c>
      <c r="I2720">
        <v>147</v>
      </c>
      <c r="J2720">
        <v>647</v>
      </c>
      <c r="K2720" s="4">
        <v>330</v>
      </c>
      <c r="L2720" t="s">
        <v>17</v>
      </c>
    </row>
    <row r="2721" spans="1:12" x14ac:dyDescent="0.35">
      <c r="A2721" t="s">
        <v>42</v>
      </c>
      <c r="B2721">
        <v>1128299</v>
      </c>
      <c r="C2721" s="1">
        <v>44340</v>
      </c>
      <c r="D2721" t="s">
        <v>48</v>
      </c>
      <c r="E2721" t="s">
        <v>123</v>
      </c>
      <c r="F2721" t="s">
        <v>124</v>
      </c>
      <c r="G2721" t="s">
        <v>26</v>
      </c>
      <c r="H2721" s="2">
        <v>47</v>
      </c>
      <c r="I2721">
        <v>147</v>
      </c>
      <c r="J2721">
        <v>691</v>
      </c>
      <c r="K2721" s="4">
        <v>325</v>
      </c>
      <c r="L2721" t="s">
        <v>17</v>
      </c>
    </row>
    <row r="2722" spans="1:12" x14ac:dyDescent="0.35">
      <c r="A2722" t="s">
        <v>42</v>
      </c>
      <c r="B2722">
        <v>1128299</v>
      </c>
      <c r="C2722" s="1">
        <v>44523</v>
      </c>
      <c r="D2722" t="s">
        <v>48</v>
      </c>
      <c r="E2722" t="s">
        <v>123</v>
      </c>
      <c r="F2722" t="s">
        <v>124</v>
      </c>
      <c r="G2722" t="s">
        <v>39</v>
      </c>
      <c r="H2722" s="2">
        <v>46</v>
      </c>
      <c r="I2722">
        <v>147</v>
      </c>
      <c r="J2722">
        <v>676</v>
      </c>
      <c r="K2722" s="4">
        <v>352</v>
      </c>
      <c r="L2722" t="s">
        <v>17</v>
      </c>
    </row>
    <row r="2723" spans="1:12" x14ac:dyDescent="0.35">
      <c r="A2723" t="s">
        <v>63</v>
      </c>
      <c r="B2723">
        <v>1128299</v>
      </c>
      <c r="C2723" s="1">
        <v>44253</v>
      </c>
      <c r="D2723" t="s">
        <v>48</v>
      </c>
      <c r="E2723" t="s">
        <v>123</v>
      </c>
      <c r="F2723" t="s">
        <v>124</v>
      </c>
      <c r="G2723" t="s">
        <v>26</v>
      </c>
      <c r="H2723" s="2">
        <v>33</v>
      </c>
      <c r="I2723">
        <v>147</v>
      </c>
      <c r="J2723">
        <v>485</v>
      </c>
      <c r="K2723" s="4">
        <v>238</v>
      </c>
      <c r="L2723" t="s">
        <v>17</v>
      </c>
    </row>
    <row r="2724" spans="1:12" x14ac:dyDescent="0.35">
      <c r="A2724" t="s">
        <v>23</v>
      </c>
      <c r="B2724">
        <v>1128299</v>
      </c>
      <c r="C2724" s="1">
        <v>44360</v>
      </c>
      <c r="D2724" t="s">
        <v>13</v>
      </c>
      <c r="E2724" t="s">
        <v>57</v>
      </c>
      <c r="F2724" t="s">
        <v>58</v>
      </c>
      <c r="G2724" t="s">
        <v>39</v>
      </c>
      <c r="H2724" s="2">
        <v>54</v>
      </c>
      <c r="I2724">
        <v>147</v>
      </c>
      <c r="J2724">
        <v>794</v>
      </c>
      <c r="K2724" s="4">
        <v>405</v>
      </c>
      <c r="L2724" t="s">
        <v>17</v>
      </c>
    </row>
    <row r="2725" spans="1:12" x14ac:dyDescent="0.35">
      <c r="A2725" t="s">
        <v>51</v>
      </c>
      <c r="B2725">
        <v>1185732</v>
      </c>
      <c r="C2725" s="1">
        <v>44480</v>
      </c>
      <c r="D2725" t="s">
        <v>33</v>
      </c>
      <c r="E2725" t="s">
        <v>52</v>
      </c>
      <c r="F2725" t="s">
        <v>53</v>
      </c>
      <c r="G2725" t="s">
        <v>16</v>
      </c>
      <c r="H2725" s="2">
        <v>38</v>
      </c>
      <c r="I2725">
        <v>147</v>
      </c>
      <c r="J2725">
        <v>559</v>
      </c>
      <c r="K2725" s="4">
        <v>352</v>
      </c>
      <c r="L2725" t="s">
        <v>17</v>
      </c>
    </row>
    <row r="2726" spans="1:12" x14ac:dyDescent="0.35">
      <c r="A2726" t="s">
        <v>18</v>
      </c>
      <c r="B2726">
        <v>1185732</v>
      </c>
      <c r="C2726" s="1">
        <v>44539</v>
      </c>
      <c r="D2726" t="s">
        <v>33</v>
      </c>
      <c r="E2726" t="s">
        <v>52</v>
      </c>
      <c r="F2726" t="s">
        <v>53</v>
      </c>
      <c r="G2726" t="s">
        <v>56</v>
      </c>
      <c r="H2726" s="2">
        <v>63</v>
      </c>
      <c r="I2726">
        <v>147</v>
      </c>
      <c r="J2726">
        <v>926</v>
      </c>
      <c r="K2726" s="4">
        <v>463</v>
      </c>
      <c r="L2726" t="s">
        <v>17</v>
      </c>
    </row>
    <row r="2727" spans="1:12" x14ac:dyDescent="0.35">
      <c r="A2727" t="s">
        <v>12</v>
      </c>
      <c r="B2727">
        <v>1185732</v>
      </c>
      <c r="C2727" s="1">
        <v>44425</v>
      </c>
      <c r="D2727" t="s">
        <v>19</v>
      </c>
      <c r="E2727" t="s">
        <v>37</v>
      </c>
      <c r="F2727" t="s">
        <v>38</v>
      </c>
      <c r="G2727" t="s">
        <v>32</v>
      </c>
      <c r="H2727" s="2">
        <v>48</v>
      </c>
      <c r="I2727">
        <v>147</v>
      </c>
      <c r="J2727">
        <v>706</v>
      </c>
      <c r="K2727" s="4">
        <v>367</v>
      </c>
      <c r="L2727" t="s">
        <v>17</v>
      </c>
    </row>
    <row r="2728" spans="1:12" x14ac:dyDescent="0.35">
      <c r="A2728" t="s">
        <v>12</v>
      </c>
      <c r="B2728">
        <v>1185732</v>
      </c>
      <c r="C2728" s="1">
        <v>44455</v>
      </c>
      <c r="D2728" t="s">
        <v>19</v>
      </c>
      <c r="E2728" t="s">
        <v>37</v>
      </c>
      <c r="F2728" t="s">
        <v>38</v>
      </c>
      <c r="G2728" t="s">
        <v>39</v>
      </c>
      <c r="H2728" s="2">
        <v>42</v>
      </c>
      <c r="I2728">
        <v>147</v>
      </c>
      <c r="J2728">
        <v>617</v>
      </c>
      <c r="K2728" s="4">
        <v>278</v>
      </c>
      <c r="L2728" t="s">
        <v>17</v>
      </c>
    </row>
    <row r="2729" spans="1:12" x14ac:dyDescent="0.35">
      <c r="A2729" t="s">
        <v>12</v>
      </c>
      <c r="B2729">
        <v>1197831</v>
      </c>
      <c r="C2729" s="1">
        <v>44396</v>
      </c>
      <c r="D2729" t="s">
        <v>19</v>
      </c>
      <c r="E2729" t="s">
        <v>54</v>
      </c>
      <c r="F2729" t="s">
        <v>55</v>
      </c>
      <c r="G2729" t="s">
        <v>39</v>
      </c>
      <c r="H2729" s="2">
        <v>47</v>
      </c>
      <c r="I2729">
        <v>147</v>
      </c>
      <c r="J2729">
        <v>691</v>
      </c>
      <c r="K2729" s="4">
        <v>311</v>
      </c>
      <c r="L2729" t="s">
        <v>17</v>
      </c>
    </row>
    <row r="2730" spans="1:12" x14ac:dyDescent="0.35">
      <c r="A2730" t="s">
        <v>23</v>
      </c>
      <c r="B2730">
        <v>1185732</v>
      </c>
      <c r="C2730" s="1">
        <v>44417</v>
      </c>
      <c r="D2730" t="s">
        <v>33</v>
      </c>
      <c r="E2730" t="s">
        <v>89</v>
      </c>
      <c r="F2730" t="s">
        <v>90</v>
      </c>
      <c r="G2730" t="s">
        <v>26</v>
      </c>
      <c r="H2730" s="2">
        <v>46</v>
      </c>
      <c r="I2730">
        <v>147</v>
      </c>
      <c r="J2730">
        <v>676</v>
      </c>
      <c r="K2730" s="4">
        <v>331</v>
      </c>
      <c r="L2730" t="s">
        <v>17</v>
      </c>
    </row>
    <row r="2731" spans="1:12" x14ac:dyDescent="0.35">
      <c r="A2731" t="s">
        <v>18</v>
      </c>
      <c r="B2731">
        <v>1185732</v>
      </c>
      <c r="C2731" s="1">
        <v>44535</v>
      </c>
      <c r="D2731" t="s">
        <v>33</v>
      </c>
      <c r="E2731" t="s">
        <v>91</v>
      </c>
      <c r="F2731" t="s">
        <v>92</v>
      </c>
      <c r="G2731" t="s">
        <v>26</v>
      </c>
      <c r="H2731" s="2">
        <v>54</v>
      </c>
      <c r="I2731">
        <v>147</v>
      </c>
      <c r="J2731">
        <v>794</v>
      </c>
      <c r="K2731" s="4">
        <v>333</v>
      </c>
      <c r="L2731" t="s">
        <v>17</v>
      </c>
    </row>
    <row r="2732" spans="1:12" x14ac:dyDescent="0.35">
      <c r="A2732" t="s">
        <v>63</v>
      </c>
      <c r="B2732">
        <v>1185732</v>
      </c>
      <c r="C2732" s="1">
        <v>44235</v>
      </c>
      <c r="D2732" t="s">
        <v>43</v>
      </c>
      <c r="E2732" t="s">
        <v>95</v>
      </c>
      <c r="F2732" t="s">
        <v>96</v>
      </c>
      <c r="G2732" t="s">
        <v>26</v>
      </c>
      <c r="H2732" s="2">
        <v>34</v>
      </c>
      <c r="I2732">
        <v>147</v>
      </c>
      <c r="J2732">
        <v>500</v>
      </c>
      <c r="K2732" s="4">
        <v>240</v>
      </c>
      <c r="L2732" t="s">
        <v>17</v>
      </c>
    </row>
    <row r="2733" spans="1:12" x14ac:dyDescent="0.35">
      <c r="A2733" t="s">
        <v>42</v>
      </c>
      <c r="B2733">
        <v>1185732</v>
      </c>
      <c r="C2733" s="1">
        <v>44347</v>
      </c>
      <c r="D2733" t="s">
        <v>48</v>
      </c>
      <c r="E2733" t="s">
        <v>66</v>
      </c>
      <c r="F2733" t="s">
        <v>76</v>
      </c>
      <c r="G2733" t="s">
        <v>26</v>
      </c>
      <c r="H2733" s="2">
        <v>36</v>
      </c>
      <c r="I2733">
        <v>147</v>
      </c>
      <c r="J2733">
        <v>529</v>
      </c>
      <c r="K2733" s="4">
        <v>238</v>
      </c>
      <c r="L2733" t="s">
        <v>27</v>
      </c>
    </row>
    <row r="2734" spans="1:12" x14ac:dyDescent="0.35">
      <c r="A2734" t="s">
        <v>23</v>
      </c>
      <c r="B2734">
        <v>1197831</v>
      </c>
      <c r="C2734" s="1">
        <v>44468</v>
      </c>
      <c r="D2734" t="s">
        <v>19</v>
      </c>
      <c r="E2734" t="s">
        <v>24</v>
      </c>
      <c r="F2734" t="s">
        <v>25</v>
      </c>
      <c r="G2734" t="s">
        <v>16</v>
      </c>
      <c r="H2734" s="2">
        <v>26</v>
      </c>
      <c r="I2734">
        <v>147</v>
      </c>
      <c r="J2734">
        <v>382</v>
      </c>
      <c r="K2734" s="4">
        <v>275</v>
      </c>
      <c r="L2734" t="s">
        <v>27</v>
      </c>
    </row>
    <row r="2735" spans="1:12" x14ac:dyDescent="0.35">
      <c r="A2735" t="s">
        <v>12</v>
      </c>
      <c r="B2735">
        <v>1128299</v>
      </c>
      <c r="C2735" s="1">
        <v>44425</v>
      </c>
      <c r="D2735" t="s">
        <v>13</v>
      </c>
      <c r="E2735" t="s">
        <v>14</v>
      </c>
      <c r="F2735" t="s">
        <v>15</v>
      </c>
      <c r="G2735" t="s">
        <v>56</v>
      </c>
      <c r="H2735" s="2">
        <v>64</v>
      </c>
      <c r="I2735">
        <v>147</v>
      </c>
      <c r="J2735">
        <v>941</v>
      </c>
      <c r="K2735" s="4">
        <v>310</v>
      </c>
      <c r="L2735" t="s">
        <v>27</v>
      </c>
    </row>
    <row r="2736" spans="1:12" x14ac:dyDescent="0.35">
      <c r="A2736" t="s">
        <v>12</v>
      </c>
      <c r="B2736">
        <v>1128299</v>
      </c>
      <c r="C2736" s="1">
        <v>44517</v>
      </c>
      <c r="D2736" t="s">
        <v>13</v>
      </c>
      <c r="E2736" t="s">
        <v>14</v>
      </c>
      <c r="F2736" t="s">
        <v>15</v>
      </c>
      <c r="G2736" t="s">
        <v>70</v>
      </c>
      <c r="H2736" s="2">
        <v>58</v>
      </c>
      <c r="I2736">
        <v>147</v>
      </c>
      <c r="J2736">
        <v>853</v>
      </c>
      <c r="K2736" s="4">
        <v>230</v>
      </c>
      <c r="L2736" t="s">
        <v>27</v>
      </c>
    </row>
    <row r="2737" spans="1:12" x14ac:dyDescent="0.35">
      <c r="A2737" t="s">
        <v>42</v>
      </c>
      <c r="B2737">
        <v>1128299</v>
      </c>
      <c r="C2737" s="1">
        <v>44310</v>
      </c>
      <c r="D2737" t="s">
        <v>13</v>
      </c>
      <c r="E2737" t="s">
        <v>99</v>
      </c>
      <c r="F2737" t="s">
        <v>100</v>
      </c>
      <c r="G2737" t="s">
        <v>26</v>
      </c>
      <c r="H2737" s="2">
        <v>38</v>
      </c>
      <c r="I2737">
        <v>147</v>
      </c>
      <c r="J2737">
        <v>559</v>
      </c>
      <c r="K2737" s="4">
        <v>207</v>
      </c>
      <c r="L2737" t="s">
        <v>27</v>
      </c>
    </row>
    <row r="2738" spans="1:12" x14ac:dyDescent="0.35">
      <c r="A2738" t="s">
        <v>18</v>
      </c>
      <c r="B2738">
        <v>1128299</v>
      </c>
      <c r="C2738" s="1">
        <v>44517</v>
      </c>
      <c r="D2738" t="s">
        <v>19</v>
      </c>
      <c r="E2738" t="s">
        <v>20</v>
      </c>
      <c r="F2738" t="s">
        <v>21</v>
      </c>
      <c r="G2738" t="s">
        <v>70</v>
      </c>
      <c r="H2738" s="2">
        <v>53</v>
      </c>
      <c r="I2738">
        <v>147</v>
      </c>
      <c r="J2738">
        <v>779</v>
      </c>
      <c r="K2738" s="4">
        <v>366</v>
      </c>
      <c r="L2738" t="s">
        <v>27</v>
      </c>
    </row>
    <row r="2739" spans="1:12" x14ac:dyDescent="0.35">
      <c r="A2739" t="s">
        <v>18</v>
      </c>
      <c r="B2739">
        <v>1197831</v>
      </c>
      <c r="C2739" s="1">
        <v>44201</v>
      </c>
      <c r="D2739" t="s">
        <v>19</v>
      </c>
      <c r="E2739" t="s">
        <v>20</v>
      </c>
      <c r="F2739" t="s">
        <v>21</v>
      </c>
      <c r="G2739" t="s">
        <v>16</v>
      </c>
      <c r="H2739" s="2">
        <v>23</v>
      </c>
      <c r="I2739">
        <v>147</v>
      </c>
      <c r="J2739">
        <v>338</v>
      </c>
      <c r="K2739" s="4">
        <v>169</v>
      </c>
      <c r="L2739" t="s">
        <v>27</v>
      </c>
    </row>
    <row r="2740" spans="1:12" x14ac:dyDescent="0.35">
      <c r="A2740" t="s">
        <v>42</v>
      </c>
      <c r="B2740">
        <v>1197831</v>
      </c>
      <c r="C2740" s="1">
        <v>44534</v>
      </c>
      <c r="D2740" t="s">
        <v>48</v>
      </c>
      <c r="E2740" t="s">
        <v>79</v>
      </c>
      <c r="F2740" t="s">
        <v>80</v>
      </c>
      <c r="G2740" t="s">
        <v>70</v>
      </c>
      <c r="H2740" s="2">
        <v>43</v>
      </c>
      <c r="I2740">
        <v>147</v>
      </c>
      <c r="J2740">
        <v>632</v>
      </c>
      <c r="K2740" s="4">
        <v>259</v>
      </c>
      <c r="L2740" t="s">
        <v>27</v>
      </c>
    </row>
    <row r="2741" spans="1:12" x14ac:dyDescent="0.35">
      <c r="A2741" t="s">
        <v>42</v>
      </c>
      <c r="B2741">
        <v>1128299</v>
      </c>
      <c r="C2741" s="1">
        <v>44370</v>
      </c>
      <c r="D2741" t="s">
        <v>48</v>
      </c>
      <c r="E2741" t="s">
        <v>123</v>
      </c>
      <c r="F2741" t="s">
        <v>124</v>
      </c>
      <c r="G2741" t="s">
        <v>32</v>
      </c>
      <c r="H2741" s="2">
        <v>41</v>
      </c>
      <c r="I2741">
        <v>147</v>
      </c>
      <c r="J2741">
        <v>603</v>
      </c>
      <c r="K2741" s="4">
        <v>229</v>
      </c>
      <c r="L2741" t="s">
        <v>27</v>
      </c>
    </row>
    <row r="2742" spans="1:12" x14ac:dyDescent="0.35">
      <c r="A2742" t="s">
        <v>63</v>
      </c>
      <c r="B2742">
        <v>1128299</v>
      </c>
      <c r="C2742" s="1">
        <v>44222</v>
      </c>
      <c r="D2742" t="s">
        <v>48</v>
      </c>
      <c r="E2742" t="s">
        <v>123</v>
      </c>
      <c r="F2742" t="s">
        <v>124</v>
      </c>
      <c r="G2742" t="s">
        <v>39</v>
      </c>
      <c r="H2742" s="2">
        <v>30</v>
      </c>
      <c r="I2742">
        <v>147</v>
      </c>
      <c r="J2742">
        <v>441</v>
      </c>
      <c r="K2742" s="4">
        <v>207</v>
      </c>
      <c r="L2742" t="s">
        <v>27</v>
      </c>
    </row>
    <row r="2743" spans="1:12" x14ac:dyDescent="0.35">
      <c r="A2743" t="s">
        <v>63</v>
      </c>
      <c r="B2743">
        <v>1128299</v>
      </c>
      <c r="C2743" s="1">
        <v>44466</v>
      </c>
      <c r="D2743" t="s">
        <v>48</v>
      </c>
      <c r="E2743" t="s">
        <v>114</v>
      </c>
      <c r="F2743" t="s">
        <v>115</v>
      </c>
      <c r="G2743" t="s">
        <v>32</v>
      </c>
      <c r="H2743" s="2">
        <v>39</v>
      </c>
      <c r="I2743">
        <v>147</v>
      </c>
      <c r="J2743">
        <v>573</v>
      </c>
      <c r="K2743" s="4">
        <v>241</v>
      </c>
      <c r="L2743" t="s">
        <v>27</v>
      </c>
    </row>
    <row r="2744" spans="1:12" x14ac:dyDescent="0.35">
      <c r="A2744" t="s">
        <v>42</v>
      </c>
      <c r="B2744">
        <v>1128299</v>
      </c>
      <c r="C2744" s="1">
        <v>44542</v>
      </c>
      <c r="D2744" t="s">
        <v>13</v>
      </c>
      <c r="E2744" t="s">
        <v>57</v>
      </c>
      <c r="F2744" t="s">
        <v>58</v>
      </c>
      <c r="G2744" t="s">
        <v>32</v>
      </c>
      <c r="H2744" s="2">
        <v>36</v>
      </c>
      <c r="I2744">
        <v>147</v>
      </c>
      <c r="J2744">
        <v>529</v>
      </c>
      <c r="K2744" s="4">
        <v>222</v>
      </c>
      <c r="L2744" t="s">
        <v>27</v>
      </c>
    </row>
    <row r="2745" spans="1:12" x14ac:dyDescent="0.35">
      <c r="A2745" t="s">
        <v>42</v>
      </c>
      <c r="B2745">
        <v>1185732</v>
      </c>
      <c r="C2745" s="1">
        <v>44303</v>
      </c>
      <c r="D2745" t="s">
        <v>19</v>
      </c>
      <c r="E2745" t="s">
        <v>37</v>
      </c>
      <c r="F2745" t="s">
        <v>38</v>
      </c>
      <c r="G2745" t="s">
        <v>16</v>
      </c>
      <c r="H2745" s="2">
        <v>22</v>
      </c>
      <c r="I2745">
        <v>147</v>
      </c>
      <c r="J2745">
        <v>323</v>
      </c>
      <c r="K2745" s="4">
        <v>171</v>
      </c>
      <c r="L2745" t="s">
        <v>27</v>
      </c>
    </row>
    <row r="2746" spans="1:12" x14ac:dyDescent="0.35">
      <c r="A2746" t="s">
        <v>12</v>
      </c>
      <c r="B2746">
        <v>1185732</v>
      </c>
      <c r="C2746" s="1">
        <v>44425</v>
      </c>
      <c r="D2746" t="s">
        <v>19</v>
      </c>
      <c r="E2746" t="s">
        <v>37</v>
      </c>
      <c r="F2746" t="s">
        <v>38</v>
      </c>
      <c r="G2746" t="s">
        <v>56</v>
      </c>
      <c r="H2746" s="2">
        <v>32</v>
      </c>
      <c r="I2746">
        <v>147</v>
      </c>
      <c r="J2746">
        <v>470</v>
      </c>
      <c r="K2746" s="4">
        <v>198</v>
      </c>
      <c r="L2746" t="s">
        <v>27</v>
      </c>
    </row>
    <row r="2747" spans="1:12" x14ac:dyDescent="0.35">
      <c r="A2747" t="s">
        <v>63</v>
      </c>
      <c r="B2747">
        <v>1185732</v>
      </c>
      <c r="C2747" s="1">
        <v>44511</v>
      </c>
      <c r="D2747" t="s">
        <v>48</v>
      </c>
      <c r="E2747" t="s">
        <v>102</v>
      </c>
      <c r="F2747" t="s">
        <v>103</v>
      </c>
      <c r="G2747" t="s">
        <v>32</v>
      </c>
      <c r="H2747" s="2">
        <v>42</v>
      </c>
      <c r="I2747">
        <v>146</v>
      </c>
      <c r="J2747">
        <v>613</v>
      </c>
      <c r="K2747" s="4">
        <v>307</v>
      </c>
      <c r="L2747" t="s">
        <v>17</v>
      </c>
    </row>
    <row r="2748" spans="1:12" x14ac:dyDescent="0.35">
      <c r="A2748" t="s">
        <v>42</v>
      </c>
      <c r="B2748">
        <v>1185732</v>
      </c>
      <c r="C2748" s="1">
        <v>44323</v>
      </c>
      <c r="D2748" t="s">
        <v>33</v>
      </c>
      <c r="E2748" t="s">
        <v>91</v>
      </c>
      <c r="F2748" t="s">
        <v>92</v>
      </c>
      <c r="G2748" t="s">
        <v>26</v>
      </c>
      <c r="H2748" s="2">
        <v>57</v>
      </c>
      <c r="I2748">
        <v>146</v>
      </c>
      <c r="J2748">
        <v>832</v>
      </c>
      <c r="K2748" s="4">
        <v>350</v>
      </c>
      <c r="L2748" t="s">
        <v>17</v>
      </c>
    </row>
    <row r="2749" spans="1:12" x14ac:dyDescent="0.35">
      <c r="A2749" t="s">
        <v>42</v>
      </c>
      <c r="B2749">
        <v>1185732</v>
      </c>
      <c r="C2749" s="1">
        <v>44183</v>
      </c>
      <c r="D2749" t="s">
        <v>33</v>
      </c>
      <c r="E2749" t="s">
        <v>104</v>
      </c>
      <c r="F2749" t="s">
        <v>105</v>
      </c>
      <c r="G2749" t="s">
        <v>32</v>
      </c>
      <c r="H2749" s="2">
        <v>40</v>
      </c>
      <c r="I2749">
        <v>145</v>
      </c>
      <c r="J2749" s="3">
        <v>5800</v>
      </c>
      <c r="K2749" s="4">
        <v>1740</v>
      </c>
      <c r="L2749" t="s">
        <v>27</v>
      </c>
    </row>
    <row r="2750" spans="1:12" x14ac:dyDescent="0.35">
      <c r="A2750" t="s">
        <v>18</v>
      </c>
      <c r="B2750">
        <v>1128299</v>
      </c>
      <c r="C2750" s="1">
        <v>44188</v>
      </c>
      <c r="D2750" t="s">
        <v>48</v>
      </c>
      <c r="E2750" t="s">
        <v>66</v>
      </c>
      <c r="F2750" t="s">
        <v>67</v>
      </c>
      <c r="G2750" t="s">
        <v>70</v>
      </c>
      <c r="H2750" s="2">
        <v>62</v>
      </c>
      <c r="I2750">
        <v>145</v>
      </c>
      <c r="J2750">
        <v>899</v>
      </c>
      <c r="K2750" s="4">
        <v>566</v>
      </c>
      <c r="L2750" t="s">
        <v>17</v>
      </c>
    </row>
    <row r="2751" spans="1:12" x14ac:dyDescent="0.35">
      <c r="A2751" t="s">
        <v>63</v>
      </c>
      <c r="B2751">
        <v>1189833</v>
      </c>
      <c r="C2751" s="1">
        <v>44266</v>
      </c>
      <c r="D2751" t="s">
        <v>48</v>
      </c>
      <c r="E2751" t="s">
        <v>66</v>
      </c>
      <c r="F2751" t="s">
        <v>76</v>
      </c>
      <c r="G2751" t="s">
        <v>70</v>
      </c>
      <c r="H2751" s="2">
        <v>49</v>
      </c>
      <c r="I2751">
        <v>145</v>
      </c>
      <c r="J2751">
        <v>711</v>
      </c>
      <c r="K2751" s="4">
        <v>469</v>
      </c>
      <c r="L2751" t="s">
        <v>17</v>
      </c>
    </row>
    <row r="2752" spans="1:12" x14ac:dyDescent="0.35">
      <c r="A2752" t="s">
        <v>23</v>
      </c>
      <c r="B2752">
        <v>1197831</v>
      </c>
      <c r="C2752" s="1">
        <v>44433</v>
      </c>
      <c r="D2752" t="s">
        <v>19</v>
      </c>
      <c r="E2752" t="s">
        <v>59</v>
      </c>
      <c r="F2752" t="s">
        <v>68</v>
      </c>
      <c r="G2752" t="s">
        <v>32</v>
      </c>
      <c r="H2752" s="2">
        <v>28</v>
      </c>
      <c r="I2752">
        <v>145</v>
      </c>
      <c r="J2752">
        <v>406</v>
      </c>
      <c r="K2752" s="4">
        <v>191</v>
      </c>
      <c r="L2752" t="s">
        <v>17</v>
      </c>
    </row>
    <row r="2753" spans="1:12" x14ac:dyDescent="0.35">
      <c r="A2753" t="s">
        <v>23</v>
      </c>
      <c r="B2753">
        <v>1197831</v>
      </c>
      <c r="C2753" s="1">
        <v>44453</v>
      </c>
      <c r="D2753" t="s">
        <v>19</v>
      </c>
      <c r="E2753" t="s">
        <v>59</v>
      </c>
      <c r="F2753" t="s">
        <v>68</v>
      </c>
      <c r="G2753" t="s">
        <v>70</v>
      </c>
      <c r="H2753" s="2">
        <v>45</v>
      </c>
      <c r="I2753">
        <v>145</v>
      </c>
      <c r="J2753">
        <v>653</v>
      </c>
      <c r="K2753" s="4">
        <v>281</v>
      </c>
      <c r="L2753" t="s">
        <v>17</v>
      </c>
    </row>
    <row r="2754" spans="1:12" x14ac:dyDescent="0.35">
      <c r="A2754" t="s">
        <v>23</v>
      </c>
      <c r="B2754">
        <v>1197831</v>
      </c>
      <c r="C2754" s="1">
        <v>44482</v>
      </c>
      <c r="D2754" t="s">
        <v>19</v>
      </c>
      <c r="E2754" t="s">
        <v>59</v>
      </c>
      <c r="F2754" t="s">
        <v>68</v>
      </c>
      <c r="G2754" t="s">
        <v>56</v>
      </c>
      <c r="H2754" s="2">
        <v>59</v>
      </c>
      <c r="I2754">
        <v>145</v>
      </c>
      <c r="J2754">
        <v>856</v>
      </c>
      <c r="K2754" s="4">
        <v>530</v>
      </c>
      <c r="L2754" t="s">
        <v>17</v>
      </c>
    </row>
    <row r="2755" spans="1:12" x14ac:dyDescent="0.35">
      <c r="A2755" t="s">
        <v>42</v>
      </c>
      <c r="B2755">
        <v>1185732</v>
      </c>
      <c r="C2755" s="1">
        <v>44527</v>
      </c>
      <c r="D2755" t="s">
        <v>43</v>
      </c>
      <c r="E2755" t="s">
        <v>135</v>
      </c>
      <c r="F2755" t="s">
        <v>136</v>
      </c>
      <c r="G2755" t="s">
        <v>26</v>
      </c>
      <c r="H2755" s="2">
        <v>60</v>
      </c>
      <c r="I2755">
        <v>145</v>
      </c>
      <c r="J2755">
        <v>870</v>
      </c>
      <c r="K2755" s="4">
        <v>583</v>
      </c>
      <c r="L2755" t="s">
        <v>17</v>
      </c>
    </row>
    <row r="2756" spans="1:12" x14ac:dyDescent="0.35">
      <c r="A2756" t="s">
        <v>18</v>
      </c>
      <c r="B2756">
        <v>1128299</v>
      </c>
      <c r="C2756" s="1">
        <v>43873</v>
      </c>
      <c r="D2756" t="s">
        <v>48</v>
      </c>
      <c r="E2756" t="s">
        <v>116</v>
      </c>
      <c r="F2756" t="s">
        <v>117</v>
      </c>
      <c r="G2756" t="s">
        <v>16</v>
      </c>
      <c r="H2756" s="2">
        <v>78</v>
      </c>
      <c r="I2756">
        <v>145</v>
      </c>
      <c r="J2756" s="3">
        <v>1131</v>
      </c>
      <c r="K2756" s="4">
        <v>339</v>
      </c>
      <c r="L2756" t="s">
        <v>17</v>
      </c>
    </row>
    <row r="2757" spans="1:12" x14ac:dyDescent="0.35">
      <c r="A2757" t="s">
        <v>23</v>
      </c>
      <c r="B2757">
        <v>1197831</v>
      </c>
      <c r="C2757" s="1">
        <v>44299</v>
      </c>
      <c r="D2757" t="s">
        <v>19</v>
      </c>
      <c r="E2757" t="s">
        <v>74</v>
      </c>
      <c r="F2757" t="s">
        <v>75</v>
      </c>
      <c r="G2757" t="s">
        <v>70</v>
      </c>
      <c r="H2757" s="2">
        <v>43</v>
      </c>
      <c r="I2757">
        <v>145</v>
      </c>
      <c r="J2757">
        <v>624</v>
      </c>
      <c r="K2757" s="4">
        <v>299</v>
      </c>
      <c r="L2757" t="s">
        <v>17</v>
      </c>
    </row>
    <row r="2758" spans="1:12" x14ac:dyDescent="0.35">
      <c r="A2758" t="s">
        <v>42</v>
      </c>
      <c r="B2758">
        <v>1185732</v>
      </c>
      <c r="C2758" s="1">
        <v>44379</v>
      </c>
      <c r="D2758" t="s">
        <v>33</v>
      </c>
      <c r="E2758" t="s">
        <v>120</v>
      </c>
      <c r="F2758" t="s">
        <v>121</v>
      </c>
      <c r="G2758" t="s">
        <v>26</v>
      </c>
      <c r="H2758" s="2">
        <v>41</v>
      </c>
      <c r="I2758">
        <v>145</v>
      </c>
      <c r="J2758">
        <v>595</v>
      </c>
      <c r="K2758" s="4">
        <v>315</v>
      </c>
      <c r="L2758" t="s">
        <v>17</v>
      </c>
    </row>
    <row r="2759" spans="1:12" x14ac:dyDescent="0.35">
      <c r="A2759" t="s">
        <v>23</v>
      </c>
      <c r="B2759">
        <v>1197831</v>
      </c>
      <c r="C2759" s="1">
        <v>44443</v>
      </c>
      <c r="D2759" t="s">
        <v>19</v>
      </c>
      <c r="E2759" t="s">
        <v>24</v>
      </c>
      <c r="F2759" t="s">
        <v>25</v>
      </c>
      <c r="G2759" t="s">
        <v>70</v>
      </c>
      <c r="H2759" s="2">
        <v>49</v>
      </c>
      <c r="I2759">
        <v>145</v>
      </c>
      <c r="J2759">
        <v>711</v>
      </c>
      <c r="K2759" s="4">
        <v>391</v>
      </c>
      <c r="L2759" t="s">
        <v>17</v>
      </c>
    </row>
    <row r="2760" spans="1:12" x14ac:dyDescent="0.35">
      <c r="A2760" t="s">
        <v>23</v>
      </c>
      <c r="B2760">
        <v>1197831</v>
      </c>
      <c r="C2760" s="1">
        <v>44479</v>
      </c>
      <c r="D2760" t="s">
        <v>19</v>
      </c>
      <c r="E2760" t="s">
        <v>24</v>
      </c>
      <c r="F2760" t="s">
        <v>25</v>
      </c>
      <c r="G2760" t="s">
        <v>70</v>
      </c>
      <c r="H2760" s="2">
        <v>58</v>
      </c>
      <c r="I2760">
        <v>145</v>
      </c>
      <c r="J2760">
        <v>841</v>
      </c>
      <c r="K2760" s="4">
        <v>471</v>
      </c>
      <c r="L2760" t="s">
        <v>17</v>
      </c>
    </row>
    <row r="2761" spans="1:12" x14ac:dyDescent="0.35">
      <c r="A2761" t="s">
        <v>23</v>
      </c>
      <c r="B2761">
        <v>1128299</v>
      </c>
      <c r="C2761" s="1">
        <v>44539</v>
      </c>
      <c r="D2761" t="s">
        <v>48</v>
      </c>
      <c r="E2761" t="s">
        <v>129</v>
      </c>
      <c r="F2761" t="s">
        <v>130</v>
      </c>
      <c r="G2761" t="s">
        <v>56</v>
      </c>
      <c r="H2761" s="2">
        <v>73</v>
      </c>
      <c r="I2761">
        <v>145</v>
      </c>
      <c r="J2761" s="3">
        <v>1059</v>
      </c>
      <c r="K2761" s="4">
        <v>370</v>
      </c>
      <c r="L2761" t="s">
        <v>17</v>
      </c>
    </row>
    <row r="2762" spans="1:12" x14ac:dyDescent="0.35">
      <c r="A2762" t="s">
        <v>18</v>
      </c>
      <c r="B2762">
        <v>1185732</v>
      </c>
      <c r="C2762" s="1">
        <v>44208</v>
      </c>
      <c r="D2762" t="s">
        <v>13</v>
      </c>
      <c r="E2762" t="s">
        <v>14</v>
      </c>
      <c r="F2762" t="s">
        <v>15</v>
      </c>
      <c r="G2762" t="s">
        <v>56</v>
      </c>
      <c r="H2762" s="2">
        <v>37</v>
      </c>
      <c r="I2762">
        <v>145</v>
      </c>
      <c r="J2762">
        <v>537</v>
      </c>
      <c r="K2762" s="4">
        <v>220</v>
      </c>
      <c r="L2762" t="s">
        <v>17</v>
      </c>
    </row>
    <row r="2763" spans="1:12" x14ac:dyDescent="0.35">
      <c r="A2763" t="s">
        <v>63</v>
      </c>
      <c r="B2763">
        <v>1185732</v>
      </c>
      <c r="C2763" s="1">
        <v>44210</v>
      </c>
      <c r="D2763" t="s">
        <v>43</v>
      </c>
      <c r="E2763" t="s">
        <v>44</v>
      </c>
      <c r="F2763" t="s">
        <v>101</v>
      </c>
      <c r="G2763" t="s">
        <v>70</v>
      </c>
      <c r="H2763" s="2">
        <v>49</v>
      </c>
      <c r="I2763">
        <v>145</v>
      </c>
      <c r="J2763">
        <v>711</v>
      </c>
      <c r="K2763" s="4">
        <v>320</v>
      </c>
      <c r="L2763" t="s">
        <v>17</v>
      </c>
    </row>
    <row r="2764" spans="1:12" x14ac:dyDescent="0.35">
      <c r="A2764" t="s">
        <v>63</v>
      </c>
      <c r="B2764">
        <v>1185732</v>
      </c>
      <c r="C2764" s="1">
        <v>44239</v>
      </c>
      <c r="D2764" t="s">
        <v>43</v>
      </c>
      <c r="E2764" t="s">
        <v>44</v>
      </c>
      <c r="F2764" t="s">
        <v>101</v>
      </c>
      <c r="G2764" t="s">
        <v>39</v>
      </c>
      <c r="H2764" s="2">
        <v>37</v>
      </c>
      <c r="I2764">
        <v>145</v>
      </c>
      <c r="J2764">
        <v>537</v>
      </c>
      <c r="K2764" s="4">
        <v>220</v>
      </c>
      <c r="L2764" t="s">
        <v>17</v>
      </c>
    </row>
    <row r="2765" spans="1:12" x14ac:dyDescent="0.35">
      <c r="A2765" t="s">
        <v>63</v>
      </c>
      <c r="B2765">
        <v>1185732</v>
      </c>
      <c r="C2765" s="1">
        <v>44239</v>
      </c>
      <c r="D2765" t="s">
        <v>48</v>
      </c>
      <c r="E2765" t="s">
        <v>102</v>
      </c>
      <c r="F2765" t="s">
        <v>103</v>
      </c>
      <c r="G2765" t="s">
        <v>70</v>
      </c>
      <c r="H2765" s="2">
        <v>47</v>
      </c>
      <c r="I2765">
        <v>145</v>
      </c>
      <c r="J2765">
        <v>682</v>
      </c>
      <c r="K2765" s="4">
        <v>279</v>
      </c>
      <c r="L2765" t="s">
        <v>17</v>
      </c>
    </row>
    <row r="2766" spans="1:12" x14ac:dyDescent="0.35">
      <c r="A2766" t="s">
        <v>63</v>
      </c>
      <c r="B2766">
        <v>1185732</v>
      </c>
      <c r="C2766" s="1">
        <v>44297</v>
      </c>
      <c r="D2766" t="s">
        <v>48</v>
      </c>
      <c r="E2766" t="s">
        <v>102</v>
      </c>
      <c r="F2766" t="s">
        <v>103</v>
      </c>
      <c r="G2766" t="s">
        <v>32</v>
      </c>
      <c r="H2766" s="2">
        <v>28</v>
      </c>
      <c r="I2766">
        <v>145</v>
      </c>
      <c r="J2766">
        <v>406</v>
      </c>
      <c r="K2766" s="4">
        <v>187</v>
      </c>
      <c r="L2766" t="s">
        <v>17</v>
      </c>
    </row>
    <row r="2767" spans="1:12" x14ac:dyDescent="0.35">
      <c r="A2767" t="s">
        <v>63</v>
      </c>
      <c r="B2767">
        <v>1185732</v>
      </c>
      <c r="C2767" s="1">
        <v>44326</v>
      </c>
      <c r="D2767" t="s">
        <v>48</v>
      </c>
      <c r="E2767" t="s">
        <v>102</v>
      </c>
      <c r="F2767" t="s">
        <v>103</v>
      </c>
      <c r="G2767" t="s">
        <v>32</v>
      </c>
      <c r="H2767" s="2">
        <v>39</v>
      </c>
      <c r="I2767">
        <v>145</v>
      </c>
      <c r="J2767">
        <v>566</v>
      </c>
      <c r="K2767" s="4">
        <v>277</v>
      </c>
      <c r="L2767" t="s">
        <v>17</v>
      </c>
    </row>
    <row r="2768" spans="1:12" x14ac:dyDescent="0.35">
      <c r="A2768" t="s">
        <v>42</v>
      </c>
      <c r="B2768">
        <v>1185732</v>
      </c>
      <c r="C2768" s="1">
        <v>44540</v>
      </c>
      <c r="D2768" t="s">
        <v>48</v>
      </c>
      <c r="E2768" t="s">
        <v>102</v>
      </c>
      <c r="F2768" t="s">
        <v>103</v>
      </c>
      <c r="G2768" t="s">
        <v>70</v>
      </c>
      <c r="H2768" s="2">
        <v>54</v>
      </c>
      <c r="I2768">
        <v>145</v>
      </c>
      <c r="J2768">
        <v>783</v>
      </c>
      <c r="K2768" s="4">
        <v>352</v>
      </c>
      <c r="L2768" t="s">
        <v>17</v>
      </c>
    </row>
    <row r="2769" spans="1:12" x14ac:dyDescent="0.35">
      <c r="A2769" t="s">
        <v>23</v>
      </c>
      <c r="B2769">
        <v>1185732</v>
      </c>
      <c r="C2769" s="1">
        <v>44454</v>
      </c>
      <c r="D2769" t="s">
        <v>33</v>
      </c>
      <c r="E2769" t="s">
        <v>45</v>
      </c>
      <c r="F2769" t="s">
        <v>46</v>
      </c>
      <c r="G2769" t="s">
        <v>32</v>
      </c>
      <c r="H2769" s="2">
        <v>34</v>
      </c>
      <c r="I2769">
        <v>145</v>
      </c>
      <c r="J2769">
        <v>493</v>
      </c>
      <c r="K2769" s="4">
        <v>207</v>
      </c>
      <c r="L2769" t="s">
        <v>17</v>
      </c>
    </row>
    <row r="2770" spans="1:12" x14ac:dyDescent="0.35">
      <c r="A2770" t="s">
        <v>23</v>
      </c>
      <c r="B2770">
        <v>1185732</v>
      </c>
      <c r="C2770" s="1">
        <v>44516</v>
      </c>
      <c r="D2770" t="s">
        <v>33</v>
      </c>
      <c r="E2770" t="s">
        <v>45</v>
      </c>
      <c r="F2770" t="s">
        <v>46</v>
      </c>
      <c r="G2770" t="s">
        <v>39</v>
      </c>
      <c r="H2770" s="2">
        <v>42</v>
      </c>
      <c r="I2770">
        <v>145</v>
      </c>
      <c r="J2770">
        <v>609</v>
      </c>
      <c r="K2770" s="4">
        <v>335</v>
      </c>
      <c r="L2770" t="s">
        <v>17</v>
      </c>
    </row>
    <row r="2771" spans="1:12" x14ac:dyDescent="0.35">
      <c r="A2771" t="s">
        <v>18</v>
      </c>
      <c r="B2771">
        <v>1185732</v>
      </c>
      <c r="C2771" s="1">
        <v>44540</v>
      </c>
      <c r="D2771" t="s">
        <v>48</v>
      </c>
      <c r="E2771" t="s">
        <v>49</v>
      </c>
      <c r="F2771" t="s">
        <v>50</v>
      </c>
      <c r="G2771" t="s">
        <v>39</v>
      </c>
      <c r="H2771" s="2">
        <v>28</v>
      </c>
      <c r="I2771">
        <v>145</v>
      </c>
      <c r="J2771">
        <v>406</v>
      </c>
      <c r="K2771" s="4">
        <v>199</v>
      </c>
      <c r="L2771" t="s">
        <v>17</v>
      </c>
    </row>
    <row r="2772" spans="1:12" x14ac:dyDescent="0.35">
      <c r="A2772" t="s">
        <v>18</v>
      </c>
      <c r="B2772">
        <v>1128299</v>
      </c>
      <c r="C2772" s="1">
        <v>44341</v>
      </c>
      <c r="D2772" t="s">
        <v>48</v>
      </c>
      <c r="E2772" t="s">
        <v>85</v>
      </c>
      <c r="F2772" t="s">
        <v>86</v>
      </c>
      <c r="G2772" t="s">
        <v>26</v>
      </c>
      <c r="H2772" s="2">
        <v>48</v>
      </c>
      <c r="I2772">
        <v>145</v>
      </c>
      <c r="J2772">
        <v>696</v>
      </c>
      <c r="K2772" s="4">
        <v>313</v>
      </c>
      <c r="L2772" t="s">
        <v>17</v>
      </c>
    </row>
    <row r="2773" spans="1:12" x14ac:dyDescent="0.35">
      <c r="A2773" t="s">
        <v>18</v>
      </c>
      <c r="B2773">
        <v>1128299</v>
      </c>
      <c r="C2773" s="1">
        <v>44457</v>
      </c>
      <c r="D2773" t="s">
        <v>19</v>
      </c>
      <c r="E2773" t="s">
        <v>20</v>
      </c>
      <c r="F2773" t="s">
        <v>21</v>
      </c>
      <c r="G2773" t="s">
        <v>26</v>
      </c>
      <c r="H2773" s="2">
        <v>43</v>
      </c>
      <c r="I2773">
        <v>145</v>
      </c>
      <c r="J2773">
        <v>624</v>
      </c>
      <c r="K2773" s="4">
        <v>343</v>
      </c>
      <c r="L2773" t="s">
        <v>17</v>
      </c>
    </row>
    <row r="2774" spans="1:12" x14ac:dyDescent="0.35">
      <c r="A2774" t="s">
        <v>42</v>
      </c>
      <c r="B2774">
        <v>1128299</v>
      </c>
      <c r="C2774" s="1">
        <v>44277</v>
      </c>
      <c r="D2774" t="s">
        <v>48</v>
      </c>
      <c r="E2774" t="s">
        <v>123</v>
      </c>
      <c r="F2774" t="s">
        <v>124</v>
      </c>
      <c r="G2774" t="s">
        <v>26</v>
      </c>
      <c r="H2774" s="2">
        <v>37</v>
      </c>
      <c r="I2774">
        <v>145</v>
      </c>
      <c r="J2774">
        <v>537</v>
      </c>
      <c r="K2774" s="4">
        <v>252</v>
      </c>
      <c r="L2774" t="s">
        <v>17</v>
      </c>
    </row>
    <row r="2775" spans="1:12" x14ac:dyDescent="0.35">
      <c r="A2775" t="s">
        <v>42</v>
      </c>
      <c r="B2775">
        <v>1128299</v>
      </c>
      <c r="C2775" s="1">
        <v>44492</v>
      </c>
      <c r="D2775" t="s">
        <v>48</v>
      </c>
      <c r="E2775" t="s">
        <v>123</v>
      </c>
      <c r="F2775" t="s">
        <v>124</v>
      </c>
      <c r="G2775" t="s">
        <v>39</v>
      </c>
      <c r="H2775" s="2">
        <v>47</v>
      </c>
      <c r="I2775">
        <v>145</v>
      </c>
      <c r="J2775">
        <v>682</v>
      </c>
      <c r="K2775" s="4">
        <v>361</v>
      </c>
      <c r="L2775" t="s">
        <v>17</v>
      </c>
    </row>
    <row r="2776" spans="1:12" x14ac:dyDescent="0.35">
      <c r="A2776" t="s">
        <v>63</v>
      </c>
      <c r="B2776">
        <v>1128299</v>
      </c>
      <c r="C2776" s="1">
        <v>44402</v>
      </c>
      <c r="D2776" t="s">
        <v>48</v>
      </c>
      <c r="E2776" t="s">
        <v>114</v>
      </c>
      <c r="F2776" t="s">
        <v>115</v>
      </c>
      <c r="G2776" t="s">
        <v>70</v>
      </c>
      <c r="H2776" s="2">
        <v>57</v>
      </c>
      <c r="I2776">
        <v>145</v>
      </c>
      <c r="J2776">
        <v>827</v>
      </c>
      <c r="K2776" s="4">
        <v>355</v>
      </c>
      <c r="L2776" t="s">
        <v>17</v>
      </c>
    </row>
    <row r="2777" spans="1:12" x14ac:dyDescent="0.35">
      <c r="A2777" t="s">
        <v>23</v>
      </c>
      <c r="B2777">
        <v>1128299</v>
      </c>
      <c r="C2777" s="1">
        <v>44555</v>
      </c>
      <c r="D2777" t="s">
        <v>48</v>
      </c>
      <c r="E2777" t="s">
        <v>114</v>
      </c>
      <c r="F2777" t="s">
        <v>115</v>
      </c>
      <c r="G2777" t="s">
        <v>56</v>
      </c>
      <c r="H2777" s="2">
        <v>55</v>
      </c>
      <c r="I2777">
        <v>145</v>
      </c>
      <c r="J2777">
        <v>798</v>
      </c>
      <c r="K2777" s="4">
        <v>367</v>
      </c>
      <c r="L2777" t="s">
        <v>17</v>
      </c>
    </row>
    <row r="2778" spans="1:12" x14ac:dyDescent="0.35">
      <c r="A2778" t="s">
        <v>23</v>
      </c>
      <c r="B2778">
        <v>1128299</v>
      </c>
      <c r="C2778" s="1">
        <v>44240</v>
      </c>
      <c r="D2778" t="s">
        <v>48</v>
      </c>
      <c r="E2778" t="s">
        <v>114</v>
      </c>
      <c r="F2778" t="s">
        <v>115</v>
      </c>
      <c r="G2778" t="s">
        <v>26</v>
      </c>
      <c r="H2778" s="2">
        <v>29</v>
      </c>
      <c r="I2778">
        <v>145</v>
      </c>
      <c r="J2778">
        <v>421</v>
      </c>
      <c r="K2778" s="4">
        <v>223</v>
      </c>
      <c r="L2778" t="s">
        <v>17</v>
      </c>
    </row>
    <row r="2779" spans="1:12" x14ac:dyDescent="0.35">
      <c r="A2779" t="s">
        <v>12</v>
      </c>
      <c r="B2779">
        <v>1185732</v>
      </c>
      <c r="C2779" s="1">
        <v>44487</v>
      </c>
      <c r="D2779" t="s">
        <v>19</v>
      </c>
      <c r="E2779" t="s">
        <v>37</v>
      </c>
      <c r="F2779" t="s">
        <v>38</v>
      </c>
      <c r="G2779" t="s">
        <v>39</v>
      </c>
      <c r="H2779" s="2">
        <v>25</v>
      </c>
      <c r="I2779">
        <v>145</v>
      </c>
      <c r="J2779">
        <v>363</v>
      </c>
      <c r="K2779" s="4">
        <v>163</v>
      </c>
      <c r="L2779" t="s">
        <v>17</v>
      </c>
    </row>
    <row r="2780" spans="1:12" x14ac:dyDescent="0.35">
      <c r="A2780" t="s">
        <v>63</v>
      </c>
      <c r="B2780">
        <v>1197831</v>
      </c>
      <c r="C2780" s="1">
        <v>44483</v>
      </c>
      <c r="D2780" t="s">
        <v>33</v>
      </c>
      <c r="E2780" t="s">
        <v>71</v>
      </c>
      <c r="F2780" t="s">
        <v>72</v>
      </c>
      <c r="G2780" t="s">
        <v>26</v>
      </c>
      <c r="H2780" s="2">
        <v>29</v>
      </c>
      <c r="I2780">
        <v>145</v>
      </c>
      <c r="J2780">
        <v>421</v>
      </c>
      <c r="K2780" s="4">
        <v>193</v>
      </c>
      <c r="L2780" t="s">
        <v>17</v>
      </c>
    </row>
    <row r="2781" spans="1:12" x14ac:dyDescent="0.35">
      <c r="A2781" t="s">
        <v>42</v>
      </c>
      <c r="B2781">
        <v>1185732</v>
      </c>
      <c r="C2781" s="1">
        <v>44233</v>
      </c>
      <c r="D2781" t="s">
        <v>33</v>
      </c>
      <c r="E2781" t="s">
        <v>89</v>
      </c>
      <c r="F2781" t="s">
        <v>90</v>
      </c>
      <c r="G2781" t="s">
        <v>26</v>
      </c>
      <c r="H2781" s="2">
        <v>28</v>
      </c>
      <c r="I2781">
        <v>145</v>
      </c>
      <c r="J2781">
        <v>406</v>
      </c>
      <c r="K2781" s="4">
        <v>179</v>
      </c>
      <c r="L2781" t="s">
        <v>17</v>
      </c>
    </row>
    <row r="2782" spans="1:12" x14ac:dyDescent="0.35">
      <c r="A2782" t="s">
        <v>42</v>
      </c>
      <c r="B2782">
        <v>1185732</v>
      </c>
      <c r="C2782" s="1">
        <v>44390</v>
      </c>
      <c r="D2782" t="s">
        <v>43</v>
      </c>
      <c r="E2782" t="s">
        <v>95</v>
      </c>
      <c r="F2782" t="s">
        <v>96</v>
      </c>
      <c r="G2782" t="s">
        <v>16</v>
      </c>
      <c r="H2782" s="2">
        <v>55</v>
      </c>
      <c r="I2782">
        <v>145</v>
      </c>
      <c r="J2782">
        <v>798</v>
      </c>
      <c r="K2782" s="4">
        <v>399</v>
      </c>
      <c r="L2782" t="s">
        <v>17</v>
      </c>
    </row>
    <row r="2783" spans="1:12" x14ac:dyDescent="0.35">
      <c r="A2783" t="s">
        <v>42</v>
      </c>
      <c r="B2783">
        <v>1185732</v>
      </c>
      <c r="C2783" s="1">
        <v>44220</v>
      </c>
      <c r="D2783" t="s">
        <v>43</v>
      </c>
      <c r="E2783" t="s">
        <v>127</v>
      </c>
      <c r="F2783" t="s">
        <v>128</v>
      </c>
      <c r="G2783" t="s">
        <v>26</v>
      </c>
      <c r="H2783" s="2">
        <v>52</v>
      </c>
      <c r="I2783">
        <v>145</v>
      </c>
      <c r="J2783">
        <v>754</v>
      </c>
      <c r="K2783" s="4">
        <v>347</v>
      </c>
      <c r="L2783" t="s">
        <v>17</v>
      </c>
    </row>
    <row r="2784" spans="1:12" x14ac:dyDescent="0.35">
      <c r="A2784" t="s">
        <v>23</v>
      </c>
      <c r="B2784">
        <v>1197831</v>
      </c>
      <c r="C2784" s="1">
        <v>44476</v>
      </c>
      <c r="D2784" t="s">
        <v>19</v>
      </c>
      <c r="E2784" t="s">
        <v>59</v>
      </c>
      <c r="F2784" t="s">
        <v>68</v>
      </c>
      <c r="G2784" t="s">
        <v>56</v>
      </c>
      <c r="H2784" s="2">
        <v>30</v>
      </c>
      <c r="I2784">
        <v>145</v>
      </c>
      <c r="J2784">
        <v>435</v>
      </c>
      <c r="K2784" s="4">
        <v>235</v>
      </c>
      <c r="L2784" t="s">
        <v>27</v>
      </c>
    </row>
    <row r="2785" spans="1:12" x14ac:dyDescent="0.35">
      <c r="A2785" t="s">
        <v>18</v>
      </c>
      <c r="B2785">
        <v>1128299</v>
      </c>
      <c r="C2785" s="1">
        <v>43839</v>
      </c>
      <c r="D2785" t="s">
        <v>48</v>
      </c>
      <c r="E2785" t="s">
        <v>116</v>
      </c>
      <c r="F2785" t="s">
        <v>117</v>
      </c>
      <c r="G2785" t="s">
        <v>39</v>
      </c>
      <c r="H2785" s="2">
        <v>35</v>
      </c>
      <c r="I2785">
        <v>145</v>
      </c>
      <c r="J2785">
        <v>508</v>
      </c>
      <c r="K2785" s="4">
        <v>157</v>
      </c>
      <c r="L2785" t="s">
        <v>27</v>
      </c>
    </row>
    <row r="2786" spans="1:12" x14ac:dyDescent="0.35">
      <c r="A2786" t="s">
        <v>18</v>
      </c>
      <c r="B2786">
        <v>1128299</v>
      </c>
      <c r="C2786" s="1">
        <v>43865</v>
      </c>
      <c r="D2786" t="s">
        <v>48</v>
      </c>
      <c r="E2786" t="s">
        <v>116</v>
      </c>
      <c r="F2786" t="s">
        <v>117</v>
      </c>
      <c r="G2786" t="s">
        <v>56</v>
      </c>
      <c r="H2786" s="2">
        <v>47</v>
      </c>
      <c r="I2786">
        <v>145</v>
      </c>
      <c r="J2786">
        <v>682</v>
      </c>
      <c r="K2786" s="4">
        <v>307</v>
      </c>
      <c r="L2786" t="s">
        <v>27</v>
      </c>
    </row>
    <row r="2787" spans="1:12" x14ac:dyDescent="0.35">
      <c r="A2787" t="s">
        <v>18</v>
      </c>
      <c r="B2787">
        <v>1128299</v>
      </c>
      <c r="C2787" s="1">
        <v>43906</v>
      </c>
      <c r="D2787" t="s">
        <v>48</v>
      </c>
      <c r="E2787" t="s">
        <v>116</v>
      </c>
      <c r="F2787" t="s">
        <v>117</v>
      </c>
      <c r="G2787" t="s">
        <v>39</v>
      </c>
      <c r="H2787" s="2">
        <v>31</v>
      </c>
      <c r="I2787">
        <v>145</v>
      </c>
      <c r="J2787">
        <v>450</v>
      </c>
      <c r="K2787" s="4">
        <v>112</v>
      </c>
      <c r="L2787" t="s">
        <v>27</v>
      </c>
    </row>
    <row r="2788" spans="1:12" x14ac:dyDescent="0.35">
      <c r="A2788" t="s">
        <v>23</v>
      </c>
      <c r="B2788">
        <v>1197831</v>
      </c>
      <c r="C2788" s="1">
        <v>44282</v>
      </c>
      <c r="D2788" t="s">
        <v>19</v>
      </c>
      <c r="E2788" t="s">
        <v>74</v>
      </c>
      <c r="F2788" t="s">
        <v>75</v>
      </c>
      <c r="G2788" t="s">
        <v>16</v>
      </c>
      <c r="H2788" s="2">
        <v>25</v>
      </c>
      <c r="I2788">
        <v>145</v>
      </c>
      <c r="J2788">
        <v>363</v>
      </c>
      <c r="K2788" s="4">
        <v>221</v>
      </c>
      <c r="L2788" t="s">
        <v>27</v>
      </c>
    </row>
    <row r="2789" spans="1:12" x14ac:dyDescent="0.35">
      <c r="A2789" t="s">
        <v>18</v>
      </c>
      <c r="B2789">
        <v>1128299</v>
      </c>
      <c r="C2789" s="1">
        <v>44524</v>
      </c>
      <c r="D2789" t="s">
        <v>48</v>
      </c>
      <c r="E2789" t="s">
        <v>85</v>
      </c>
      <c r="F2789" t="s">
        <v>86</v>
      </c>
      <c r="G2789" t="s">
        <v>70</v>
      </c>
      <c r="H2789" s="2">
        <v>50</v>
      </c>
      <c r="I2789">
        <v>145</v>
      </c>
      <c r="J2789">
        <v>725</v>
      </c>
      <c r="K2789" s="4">
        <v>334</v>
      </c>
      <c r="L2789" t="s">
        <v>27</v>
      </c>
    </row>
    <row r="2790" spans="1:12" x14ac:dyDescent="0.35">
      <c r="A2790" t="s">
        <v>42</v>
      </c>
      <c r="B2790">
        <v>1128299</v>
      </c>
      <c r="C2790" s="1">
        <v>44219</v>
      </c>
      <c r="D2790" t="s">
        <v>48</v>
      </c>
      <c r="E2790" t="s">
        <v>79</v>
      </c>
      <c r="F2790" t="s">
        <v>80</v>
      </c>
      <c r="G2790" t="s">
        <v>32</v>
      </c>
      <c r="H2790" s="2">
        <v>31</v>
      </c>
      <c r="I2790">
        <v>145</v>
      </c>
      <c r="J2790">
        <v>450</v>
      </c>
      <c r="K2790" s="4">
        <v>175</v>
      </c>
      <c r="L2790" t="s">
        <v>27</v>
      </c>
    </row>
    <row r="2791" spans="1:12" x14ac:dyDescent="0.35">
      <c r="A2791" t="s">
        <v>42</v>
      </c>
      <c r="B2791">
        <v>1128299</v>
      </c>
      <c r="C2791" s="1">
        <v>44399</v>
      </c>
      <c r="D2791" t="s">
        <v>48</v>
      </c>
      <c r="E2791" t="s">
        <v>123</v>
      </c>
      <c r="F2791" t="s">
        <v>124</v>
      </c>
      <c r="G2791" t="s">
        <v>70</v>
      </c>
      <c r="H2791" s="2">
        <v>40</v>
      </c>
      <c r="I2791">
        <v>145</v>
      </c>
      <c r="J2791">
        <v>580</v>
      </c>
      <c r="K2791" s="4">
        <v>215</v>
      </c>
      <c r="L2791" t="s">
        <v>27</v>
      </c>
    </row>
    <row r="2792" spans="1:12" x14ac:dyDescent="0.35">
      <c r="A2792" t="s">
        <v>42</v>
      </c>
      <c r="B2792">
        <v>1128299</v>
      </c>
      <c r="C2792" s="1">
        <v>44399</v>
      </c>
      <c r="D2792" t="s">
        <v>48</v>
      </c>
      <c r="E2792" t="s">
        <v>123</v>
      </c>
      <c r="F2792" t="s">
        <v>124</v>
      </c>
      <c r="G2792" t="s">
        <v>16</v>
      </c>
      <c r="H2792" s="2">
        <v>46</v>
      </c>
      <c r="I2792">
        <v>145</v>
      </c>
      <c r="J2792">
        <v>667</v>
      </c>
      <c r="K2792" s="4">
        <v>200</v>
      </c>
      <c r="L2792" t="s">
        <v>27</v>
      </c>
    </row>
    <row r="2793" spans="1:12" x14ac:dyDescent="0.35">
      <c r="A2793" t="s">
        <v>42</v>
      </c>
      <c r="B2793">
        <v>1128299</v>
      </c>
      <c r="C2793" s="1">
        <v>44463</v>
      </c>
      <c r="D2793" t="s">
        <v>48</v>
      </c>
      <c r="E2793" t="s">
        <v>123</v>
      </c>
      <c r="F2793" t="s">
        <v>124</v>
      </c>
      <c r="G2793" t="s">
        <v>32</v>
      </c>
      <c r="H2793" s="2">
        <v>34</v>
      </c>
      <c r="I2793">
        <v>145</v>
      </c>
      <c r="J2793">
        <v>493</v>
      </c>
      <c r="K2793" s="4">
        <v>182</v>
      </c>
      <c r="L2793" t="s">
        <v>27</v>
      </c>
    </row>
    <row r="2794" spans="1:12" x14ac:dyDescent="0.35">
      <c r="A2794" t="s">
        <v>63</v>
      </c>
      <c r="B2794">
        <v>1128299</v>
      </c>
      <c r="C2794" s="1">
        <v>44466</v>
      </c>
      <c r="D2794" t="s">
        <v>48</v>
      </c>
      <c r="E2794" t="s">
        <v>114</v>
      </c>
      <c r="F2794" t="s">
        <v>115</v>
      </c>
      <c r="G2794" t="s">
        <v>56</v>
      </c>
      <c r="H2794" s="2">
        <v>37</v>
      </c>
      <c r="I2794">
        <v>145</v>
      </c>
      <c r="J2794">
        <v>537</v>
      </c>
      <c r="K2794" s="4">
        <v>220</v>
      </c>
      <c r="L2794" t="s">
        <v>27</v>
      </c>
    </row>
    <row r="2795" spans="1:12" x14ac:dyDescent="0.35">
      <c r="A2795" t="s">
        <v>63</v>
      </c>
      <c r="B2795">
        <v>1128299</v>
      </c>
      <c r="C2795" s="1">
        <v>44466</v>
      </c>
      <c r="D2795" t="s">
        <v>48</v>
      </c>
      <c r="E2795" t="s">
        <v>114</v>
      </c>
      <c r="F2795" t="s">
        <v>115</v>
      </c>
      <c r="G2795" t="s">
        <v>70</v>
      </c>
      <c r="H2795" s="2">
        <v>40</v>
      </c>
      <c r="I2795">
        <v>145</v>
      </c>
      <c r="J2795">
        <v>580</v>
      </c>
      <c r="K2795" s="4">
        <v>203</v>
      </c>
      <c r="L2795" t="s">
        <v>27</v>
      </c>
    </row>
    <row r="2796" spans="1:12" x14ac:dyDescent="0.35">
      <c r="A2796" t="s">
        <v>23</v>
      </c>
      <c r="B2796">
        <v>1128299</v>
      </c>
      <c r="C2796" s="1">
        <v>44330</v>
      </c>
      <c r="D2796" t="s">
        <v>13</v>
      </c>
      <c r="E2796" t="s">
        <v>57</v>
      </c>
      <c r="F2796" t="s">
        <v>58</v>
      </c>
      <c r="G2796" t="s">
        <v>32</v>
      </c>
      <c r="H2796" s="2">
        <v>40</v>
      </c>
      <c r="I2796">
        <v>145</v>
      </c>
      <c r="J2796">
        <v>580</v>
      </c>
      <c r="K2796" s="4">
        <v>226</v>
      </c>
      <c r="L2796" t="s">
        <v>27</v>
      </c>
    </row>
    <row r="2797" spans="1:12" x14ac:dyDescent="0.35">
      <c r="A2797" t="s">
        <v>23</v>
      </c>
      <c r="B2797">
        <v>1128299</v>
      </c>
      <c r="C2797" s="1">
        <v>44513</v>
      </c>
      <c r="D2797" t="s">
        <v>13</v>
      </c>
      <c r="E2797" t="s">
        <v>57</v>
      </c>
      <c r="F2797" t="s">
        <v>58</v>
      </c>
      <c r="G2797" t="s">
        <v>32</v>
      </c>
      <c r="H2797" s="2">
        <v>39</v>
      </c>
      <c r="I2797">
        <v>145</v>
      </c>
      <c r="J2797">
        <v>566</v>
      </c>
      <c r="K2797" s="4">
        <v>226</v>
      </c>
      <c r="L2797" t="s">
        <v>27</v>
      </c>
    </row>
    <row r="2798" spans="1:12" x14ac:dyDescent="0.35">
      <c r="A2798" t="s">
        <v>12</v>
      </c>
      <c r="B2798">
        <v>1185732</v>
      </c>
      <c r="C2798" s="1">
        <v>44455</v>
      </c>
      <c r="D2798" t="s">
        <v>19</v>
      </c>
      <c r="E2798" t="s">
        <v>37</v>
      </c>
      <c r="F2798" t="s">
        <v>38</v>
      </c>
      <c r="G2798" t="s">
        <v>32</v>
      </c>
      <c r="H2798" s="2">
        <v>15</v>
      </c>
      <c r="I2798">
        <v>145</v>
      </c>
      <c r="J2798">
        <v>218</v>
      </c>
      <c r="K2798" s="4">
        <v>102</v>
      </c>
      <c r="L2798" t="s">
        <v>27</v>
      </c>
    </row>
    <row r="2799" spans="1:12" x14ac:dyDescent="0.35">
      <c r="A2799" t="s">
        <v>12</v>
      </c>
      <c r="B2799">
        <v>1197831</v>
      </c>
      <c r="C2799" s="1">
        <v>44248</v>
      </c>
      <c r="D2799" t="s">
        <v>19</v>
      </c>
      <c r="E2799" t="s">
        <v>54</v>
      </c>
      <c r="F2799" t="s">
        <v>55</v>
      </c>
      <c r="G2799" t="s">
        <v>16</v>
      </c>
      <c r="H2799" s="2">
        <v>16</v>
      </c>
      <c r="I2799">
        <v>145</v>
      </c>
      <c r="J2799">
        <v>232</v>
      </c>
      <c r="K2799" s="4">
        <v>97</v>
      </c>
      <c r="L2799" t="s">
        <v>27</v>
      </c>
    </row>
    <row r="2800" spans="1:12" x14ac:dyDescent="0.35">
      <c r="A2800" t="s">
        <v>12</v>
      </c>
      <c r="B2800">
        <v>1197831</v>
      </c>
      <c r="C2800" s="1">
        <v>44335</v>
      </c>
      <c r="D2800" t="s">
        <v>19</v>
      </c>
      <c r="E2800" t="s">
        <v>54</v>
      </c>
      <c r="F2800" t="s">
        <v>55</v>
      </c>
      <c r="G2800" t="s">
        <v>16</v>
      </c>
      <c r="H2800" s="2">
        <v>33</v>
      </c>
      <c r="I2800">
        <v>145</v>
      </c>
      <c r="J2800">
        <v>479</v>
      </c>
      <c r="K2800" s="4">
        <v>225</v>
      </c>
      <c r="L2800" t="s">
        <v>27</v>
      </c>
    </row>
    <row r="2801" spans="1:12" x14ac:dyDescent="0.35">
      <c r="A2801" t="s">
        <v>51</v>
      </c>
      <c r="B2801">
        <v>1185732</v>
      </c>
      <c r="C2801" s="1">
        <v>44387</v>
      </c>
      <c r="D2801" t="s">
        <v>43</v>
      </c>
      <c r="E2801" t="s">
        <v>125</v>
      </c>
      <c r="F2801" t="s">
        <v>126</v>
      </c>
      <c r="G2801" t="s">
        <v>39</v>
      </c>
      <c r="H2801" s="2">
        <v>42</v>
      </c>
      <c r="I2801">
        <v>145</v>
      </c>
      <c r="J2801">
        <v>609</v>
      </c>
      <c r="K2801" s="4">
        <v>305</v>
      </c>
      <c r="L2801" t="s">
        <v>27</v>
      </c>
    </row>
    <row r="2802" spans="1:12" x14ac:dyDescent="0.35">
      <c r="A2802" t="s">
        <v>51</v>
      </c>
      <c r="B2802">
        <v>1185732</v>
      </c>
      <c r="C2802" s="1">
        <v>44540</v>
      </c>
      <c r="D2802" t="s">
        <v>43</v>
      </c>
      <c r="E2802" t="s">
        <v>125</v>
      </c>
      <c r="F2802" t="s">
        <v>126</v>
      </c>
      <c r="G2802" t="s">
        <v>16</v>
      </c>
      <c r="H2802" s="2">
        <v>60</v>
      </c>
      <c r="I2802">
        <v>145</v>
      </c>
      <c r="J2802">
        <v>870</v>
      </c>
      <c r="K2802" s="4">
        <v>409</v>
      </c>
      <c r="L2802" t="s">
        <v>27</v>
      </c>
    </row>
    <row r="2803" spans="1:12" x14ac:dyDescent="0.35">
      <c r="A2803" t="s">
        <v>51</v>
      </c>
      <c r="B2803">
        <v>1185732</v>
      </c>
      <c r="C2803" s="1">
        <v>44426</v>
      </c>
      <c r="D2803" t="s">
        <v>43</v>
      </c>
      <c r="E2803" t="s">
        <v>127</v>
      </c>
      <c r="F2803" t="s">
        <v>128</v>
      </c>
      <c r="G2803" t="s">
        <v>16</v>
      </c>
      <c r="H2803" s="2">
        <v>46</v>
      </c>
      <c r="I2803">
        <v>145</v>
      </c>
      <c r="J2803">
        <v>667</v>
      </c>
      <c r="K2803" s="4">
        <v>247</v>
      </c>
      <c r="L2803" t="s">
        <v>27</v>
      </c>
    </row>
    <row r="2804" spans="1:12" x14ac:dyDescent="0.35">
      <c r="A2804" t="s">
        <v>42</v>
      </c>
      <c r="B2804">
        <v>1185732</v>
      </c>
      <c r="C2804" s="1">
        <v>44359</v>
      </c>
      <c r="D2804" t="s">
        <v>33</v>
      </c>
      <c r="E2804" t="s">
        <v>118</v>
      </c>
      <c r="F2804" t="s">
        <v>119</v>
      </c>
      <c r="G2804" t="s">
        <v>26</v>
      </c>
      <c r="H2804" s="2">
        <v>47</v>
      </c>
      <c r="I2804">
        <v>144</v>
      </c>
      <c r="J2804">
        <v>677</v>
      </c>
      <c r="K2804" s="4">
        <v>372</v>
      </c>
      <c r="L2804" t="s">
        <v>17</v>
      </c>
    </row>
    <row r="2805" spans="1:12" x14ac:dyDescent="0.35">
      <c r="A2805" t="s">
        <v>23</v>
      </c>
      <c r="B2805">
        <v>1197831</v>
      </c>
      <c r="C2805" s="1">
        <v>44475</v>
      </c>
      <c r="D2805" t="s">
        <v>19</v>
      </c>
      <c r="E2805" t="s">
        <v>59</v>
      </c>
      <c r="F2805" t="s">
        <v>68</v>
      </c>
      <c r="G2805" t="s">
        <v>32</v>
      </c>
      <c r="H2805" s="2">
        <v>41</v>
      </c>
      <c r="I2805">
        <v>144</v>
      </c>
      <c r="J2805">
        <v>590</v>
      </c>
      <c r="K2805" s="4">
        <v>307</v>
      </c>
      <c r="L2805" t="s">
        <v>17</v>
      </c>
    </row>
    <row r="2806" spans="1:12" x14ac:dyDescent="0.35">
      <c r="A2806" t="s">
        <v>18</v>
      </c>
      <c r="B2806">
        <v>1128299</v>
      </c>
      <c r="C2806" s="1">
        <v>43936</v>
      </c>
      <c r="D2806" t="s">
        <v>48</v>
      </c>
      <c r="E2806" t="s">
        <v>133</v>
      </c>
      <c r="F2806" t="s">
        <v>134</v>
      </c>
      <c r="G2806" t="s">
        <v>39</v>
      </c>
      <c r="H2806" s="2">
        <v>59</v>
      </c>
      <c r="I2806">
        <v>144</v>
      </c>
      <c r="J2806">
        <v>850</v>
      </c>
      <c r="K2806" s="4">
        <v>425</v>
      </c>
      <c r="L2806" t="s">
        <v>17</v>
      </c>
    </row>
    <row r="2807" spans="1:12" x14ac:dyDescent="0.35">
      <c r="A2807" t="s">
        <v>18</v>
      </c>
      <c r="B2807">
        <v>1128299</v>
      </c>
      <c r="C2807" s="1">
        <v>44017</v>
      </c>
      <c r="D2807" t="s">
        <v>48</v>
      </c>
      <c r="E2807" t="s">
        <v>97</v>
      </c>
      <c r="F2807" t="s">
        <v>98</v>
      </c>
      <c r="G2807" t="s">
        <v>70</v>
      </c>
      <c r="H2807" s="2">
        <v>77</v>
      </c>
      <c r="I2807">
        <v>144</v>
      </c>
      <c r="J2807" s="3">
        <v>1109</v>
      </c>
      <c r="K2807" s="4">
        <v>388</v>
      </c>
      <c r="L2807" t="s">
        <v>17</v>
      </c>
    </row>
    <row r="2808" spans="1:12" x14ac:dyDescent="0.35">
      <c r="A2808" t="s">
        <v>23</v>
      </c>
      <c r="B2808">
        <v>1197831</v>
      </c>
      <c r="C2808" s="1">
        <v>44458</v>
      </c>
      <c r="D2808" t="s">
        <v>19</v>
      </c>
      <c r="E2808" t="s">
        <v>24</v>
      </c>
      <c r="F2808" t="s">
        <v>25</v>
      </c>
      <c r="G2808" t="s">
        <v>39</v>
      </c>
      <c r="H2808" s="2">
        <v>50</v>
      </c>
      <c r="I2808">
        <v>144</v>
      </c>
      <c r="J2808">
        <v>720</v>
      </c>
      <c r="K2808" s="4">
        <v>454</v>
      </c>
      <c r="L2808" t="s">
        <v>17</v>
      </c>
    </row>
    <row r="2809" spans="1:12" x14ac:dyDescent="0.35">
      <c r="A2809" t="s">
        <v>23</v>
      </c>
      <c r="B2809">
        <v>1197831</v>
      </c>
      <c r="C2809" s="1">
        <v>44471</v>
      </c>
      <c r="D2809" t="s">
        <v>19</v>
      </c>
      <c r="E2809" t="s">
        <v>24</v>
      </c>
      <c r="F2809" t="s">
        <v>25</v>
      </c>
      <c r="G2809" t="s">
        <v>32</v>
      </c>
      <c r="H2809" s="2">
        <v>43</v>
      </c>
      <c r="I2809">
        <v>144</v>
      </c>
      <c r="J2809">
        <v>619</v>
      </c>
      <c r="K2809" s="4">
        <v>396</v>
      </c>
      <c r="L2809" t="s">
        <v>17</v>
      </c>
    </row>
    <row r="2810" spans="1:12" x14ac:dyDescent="0.35">
      <c r="A2810" t="s">
        <v>51</v>
      </c>
      <c r="B2810">
        <v>1185732</v>
      </c>
      <c r="C2810" s="1">
        <v>44505</v>
      </c>
      <c r="D2810" t="s">
        <v>43</v>
      </c>
      <c r="E2810" t="s">
        <v>122</v>
      </c>
      <c r="F2810" t="s">
        <v>86</v>
      </c>
      <c r="G2810" t="s">
        <v>26</v>
      </c>
      <c r="H2810" s="2">
        <v>52</v>
      </c>
      <c r="I2810">
        <v>144</v>
      </c>
      <c r="J2810">
        <v>749</v>
      </c>
      <c r="K2810" s="4">
        <v>337</v>
      </c>
      <c r="L2810" t="s">
        <v>17</v>
      </c>
    </row>
    <row r="2811" spans="1:12" x14ac:dyDescent="0.35">
      <c r="A2811" t="s">
        <v>12</v>
      </c>
      <c r="B2811">
        <v>1128299</v>
      </c>
      <c r="C2811" s="1">
        <v>44486</v>
      </c>
      <c r="D2811" t="s">
        <v>13</v>
      </c>
      <c r="E2811" t="s">
        <v>14</v>
      </c>
      <c r="F2811" t="s">
        <v>15</v>
      </c>
      <c r="G2811" t="s">
        <v>39</v>
      </c>
      <c r="H2811" s="2">
        <v>59</v>
      </c>
      <c r="I2811">
        <v>144</v>
      </c>
      <c r="J2811">
        <v>850</v>
      </c>
      <c r="K2811" s="4">
        <v>323</v>
      </c>
      <c r="L2811" t="s">
        <v>17</v>
      </c>
    </row>
    <row r="2812" spans="1:12" x14ac:dyDescent="0.35">
      <c r="A2812" t="s">
        <v>18</v>
      </c>
      <c r="B2812">
        <v>1185732</v>
      </c>
      <c r="C2812" s="1">
        <v>44357</v>
      </c>
      <c r="D2812" t="s">
        <v>43</v>
      </c>
      <c r="E2812" t="s">
        <v>44</v>
      </c>
      <c r="F2812" t="s">
        <v>101</v>
      </c>
      <c r="G2812" t="s">
        <v>56</v>
      </c>
      <c r="H2812" s="2">
        <v>49</v>
      </c>
      <c r="I2812">
        <v>144</v>
      </c>
      <c r="J2812">
        <v>706</v>
      </c>
      <c r="K2812" s="4">
        <v>289</v>
      </c>
      <c r="L2812" t="s">
        <v>17</v>
      </c>
    </row>
    <row r="2813" spans="1:12" x14ac:dyDescent="0.35">
      <c r="A2813" t="s">
        <v>18</v>
      </c>
      <c r="B2813">
        <v>1185732</v>
      </c>
      <c r="C2813" s="1">
        <v>44509</v>
      </c>
      <c r="D2813" t="s">
        <v>43</v>
      </c>
      <c r="E2813" t="s">
        <v>44</v>
      </c>
      <c r="F2813" t="s">
        <v>101</v>
      </c>
      <c r="G2813" t="s">
        <v>56</v>
      </c>
      <c r="H2813" s="2">
        <v>47</v>
      </c>
      <c r="I2813">
        <v>144</v>
      </c>
      <c r="J2813">
        <v>677</v>
      </c>
      <c r="K2813" s="4">
        <v>271</v>
      </c>
      <c r="L2813" t="s">
        <v>17</v>
      </c>
    </row>
    <row r="2814" spans="1:12" x14ac:dyDescent="0.35">
      <c r="A2814" t="s">
        <v>23</v>
      </c>
      <c r="B2814">
        <v>1185732</v>
      </c>
      <c r="C2814" s="1">
        <v>44424</v>
      </c>
      <c r="D2814" t="s">
        <v>33</v>
      </c>
      <c r="E2814" t="s">
        <v>45</v>
      </c>
      <c r="F2814" t="s">
        <v>46</v>
      </c>
      <c r="G2814" t="s">
        <v>32</v>
      </c>
      <c r="H2814" s="2">
        <v>42</v>
      </c>
      <c r="I2814">
        <v>144</v>
      </c>
      <c r="J2814">
        <v>605</v>
      </c>
      <c r="K2814" s="4">
        <v>254</v>
      </c>
      <c r="L2814" t="s">
        <v>17</v>
      </c>
    </row>
    <row r="2815" spans="1:12" x14ac:dyDescent="0.35">
      <c r="A2815" t="s">
        <v>42</v>
      </c>
      <c r="B2815">
        <v>1185732</v>
      </c>
      <c r="C2815" s="1">
        <v>44304</v>
      </c>
      <c r="D2815" t="s">
        <v>33</v>
      </c>
      <c r="E2815" t="s">
        <v>34</v>
      </c>
      <c r="F2815" t="s">
        <v>35</v>
      </c>
      <c r="G2815" t="s">
        <v>26</v>
      </c>
      <c r="H2815" s="2">
        <v>33</v>
      </c>
      <c r="I2815">
        <v>144</v>
      </c>
      <c r="J2815">
        <v>475</v>
      </c>
      <c r="K2815" s="4">
        <v>247</v>
      </c>
      <c r="L2815" t="s">
        <v>17</v>
      </c>
    </row>
    <row r="2816" spans="1:12" x14ac:dyDescent="0.35">
      <c r="A2816" t="s">
        <v>42</v>
      </c>
      <c r="B2816">
        <v>1185732</v>
      </c>
      <c r="C2816" s="1">
        <v>44260</v>
      </c>
      <c r="D2816" t="s">
        <v>13</v>
      </c>
      <c r="E2816" t="s">
        <v>69</v>
      </c>
      <c r="F2816" t="s">
        <v>65</v>
      </c>
      <c r="G2816" t="s">
        <v>56</v>
      </c>
      <c r="H2816" s="2">
        <v>27</v>
      </c>
      <c r="I2816">
        <v>144</v>
      </c>
      <c r="J2816">
        <v>389</v>
      </c>
      <c r="K2816" s="4">
        <v>163</v>
      </c>
      <c r="L2816" t="s">
        <v>17</v>
      </c>
    </row>
    <row r="2817" spans="1:12" x14ac:dyDescent="0.35">
      <c r="A2817" t="s">
        <v>23</v>
      </c>
      <c r="B2817">
        <v>1185732</v>
      </c>
      <c r="C2817" s="1">
        <v>44289</v>
      </c>
      <c r="D2817" t="s">
        <v>13</v>
      </c>
      <c r="E2817" t="s">
        <v>77</v>
      </c>
      <c r="F2817" t="s">
        <v>78</v>
      </c>
      <c r="G2817" t="s">
        <v>32</v>
      </c>
      <c r="H2817" s="2">
        <v>20</v>
      </c>
      <c r="I2817">
        <v>144</v>
      </c>
      <c r="J2817">
        <v>288</v>
      </c>
      <c r="K2817" s="4">
        <v>158</v>
      </c>
      <c r="L2817" t="s">
        <v>17</v>
      </c>
    </row>
    <row r="2818" spans="1:12" x14ac:dyDescent="0.35">
      <c r="A2818" t="s">
        <v>23</v>
      </c>
      <c r="B2818">
        <v>1185732</v>
      </c>
      <c r="C2818" s="1">
        <v>44546</v>
      </c>
      <c r="D2818" t="s">
        <v>19</v>
      </c>
      <c r="E2818" t="s">
        <v>37</v>
      </c>
      <c r="F2818" t="s">
        <v>38</v>
      </c>
      <c r="G2818" t="s">
        <v>16</v>
      </c>
      <c r="H2818" s="2">
        <v>71</v>
      </c>
      <c r="I2818">
        <v>144</v>
      </c>
      <c r="J2818" s="3">
        <v>1022</v>
      </c>
      <c r="K2818" s="4">
        <v>624</v>
      </c>
      <c r="L2818" t="s">
        <v>17</v>
      </c>
    </row>
    <row r="2819" spans="1:12" x14ac:dyDescent="0.35">
      <c r="A2819" t="s">
        <v>63</v>
      </c>
      <c r="B2819">
        <v>1197831</v>
      </c>
      <c r="C2819" s="1">
        <v>44361</v>
      </c>
      <c r="D2819" t="s">
        <v>33</v>
      </c>
      <c r="E2819" t="s">
        <v>71</v>
      </c>
      <c r="F2819" t="s">
        <v>72</v>
      </c>
      <c r="G2819" t="s">
        <v>26</v>
      </c>
      <c r="H2819" s="2">
        <v>37</v>
      </c>
      <c r="I2819">
        <v>144</v>
      </c>
      <c r="J2819">
        <v>533</v>
      </c>
      <c r="K2819" s="4">
        <v>266</v>
      </c>
      <c r="L2819" t="s">
        <v>17</v>
      </c>
    </row>
    <row r="2820" spans="1:12" x14ac:dyDescent="0.35">
      <c r="A2820" t="s">
        <v>42</v>
      </c>
      <c r="B2820">
        <v>1185732</v>
      </c>
      <c r="C2820" s="1">
        <v>44242</v>
      </c>
      <c r="D2820" t="s">
        <v>43</v>
      </c>
      <c r="E2820" t="s">
        <v>93</v>
      </c>
      <c r="F2820" t="s">
        <v>94</v>
      </c>
      <c r="G2820" t="s">
        <v>26</v>
      </c>
      <c r="H2820" s="2">
        <v>39</v>
      </c>
      <c r="I2820">
        <v>144</v>
      </c>
      <c r="J2820">
        <v>562</v>
      </c>
      <c r="K2820" s="4">
        <v>281</v>
      </c>
      <c r="L2820" t="s">
        <v>17</v>
      </c>
    </row>
    <row r="2821" spans="1:12" x14ac:dyDescent="0.35">
      <c r="A2821" t="s">
        <v>63</v>
      </c>
      <c r="B2821">
        <v>1185732</v>
      </c>
      <c r="C2821" s="1">
        <v>44261</v>
      </c>
      <c r="D2821" t="s">
        <v>43</v>
      </c>
      <c r="E2821" t="s">
        <v>83</v>
      </c>
      <c r="F2821" t="s">
        <v>84</v>
      </c>
      <c r="G2821" t="s">
        <v>26</v>
      </c>
      <c r="H2821" s="2">
        <v>32</v>
      </c>
      <c r="I2821">
        <v>144</v>
      </c>
      <c r="J2821">
        <v>461</v>
      </c>
      <c r="K2821" s="4">
        <v>212</v>
      </c>
      <c r="L2821" t="s">
        <v>17</v>
      </c>
    </row>
    <row r="2822" spans="1:12" x14ac:dyDescent="0.35">
      <c r="A2822" t="s">
        <v>18</v>
      </c>
      <c r="B2822">
        <v>1128299</v>
      </c>
      <c r="C2822" s="1">
        <v>43882</v>
      </c>
      <c r="D2822" t="s">
        <v>48</v>
      </c>
      <c r="E2822" t="s">
        <v>116</v>
      </c>
      <c r="F2822" t="s">
        <v>117</v>
      </c>
      <c r="G2822" t="s">
        <v>32</v>
      </c>
      <c r="H2822" s="2">
        <v>46</v>
      </c>
      <c r="I2822">
        <v>144</v>
      </c>
      <c r="J2822">
        <v>662</v>
      </c>
      <c r="K2822" s="4">
        <v>272</v>
      </c>
      <c r="L2822" t="s">
        <v>27</v>
      </c>
    </row>
    <row r="2823" spans="1:12" x14ac:dyDescent="0.35">
      <c r="A2823" t="s">
        <v>23</v>
      </c>
      <c r="B2823">
        <v>1197831</v>
      </c>
      <c r="C2823" s="1">
        <v>44420</v>
      </c>
      <c r="D2823" t="s">
        <v>19</v>
      </c>
      <c r="E2823" t="s">
        <v>24</v>
      </c>
      <c r="F2823" t="s">
        <v>25</v>
      </c>
      <c r="G2823" t="s">
        <v>16</v>
      </c>
      <c r="H2823" s="2">
        <v>27</v>
      </c>
      <c r="I2823">
        <v>144</v>
      </c>
      <c r="J2823">
        <v>389</v>
      </c>
      <c r="K2823" s="4">
        <v>222</v>
      </c>
      <c r="L2823" t="s">
        <v>27</v>
      </c>
    </row>
    <row r="2824" spans="1:12" x14ac:dyDescent="0.35">
      <c r="A2824" t="s">
        <v>23</v>
      </c>
      <c r="B2824">
        <v>1197831</v>
      </c>
      <c r="C2824" s="1">
        <v>44423</v>
      </c>
      <c r="D2824" t="s">
        <v>19</v>
      </c>
      <c r="E2824" t="s">
        <v>24</v>
      </c>
      <c r="F2824" t="s">
        <v>25</v>
      </c>
      <c r="G2824" t="s">
        <v>32</v>
      </c>
      <c r="H2824" s="2">
        <v>20</v>
      </c>
      <c r="I2824">
        <v>144</v>
      </c>
      <c r="J2824">
        <v>288</v>
      </c>
      <c r="K2824" s="4">
        <v>147</v>
      </c>
      <c r="L2824" t="s">
        <v>27</v>
      </c>
    </row>
    <row r="2825" spans="1:12" x14ac:dyDescent="0.35">
      <c r="A2825" t="s">
        <v>42</v>
      </c>
      <c r="B2825">
        <v>1128299</v>
      </c>
      <c r="C2825" s="1">
        <v>44524</v>
      </c>
      <c r="D2825" t="s">
        <v>13</v>
      </c>
      <c r="E2825" t="s">
        <v>99</v>
      </c>
      <c r="F2825" t="s">
        <v>100</v>
      </c>
      <c r="G2825" t="s">
        <v>56</v>
      </c>
      <c r="H2825" s="2">
        <v>36</v>
      </c>
      <c r="I2825">
        <v>144</v>
      </c>
      <c r="J2825">
        <v>518</v>
      </c>
      <c r="K2825" s="4">
        <v>202</v>
      </c>
      <c r="L2825" t="s">
        <v>27</v>
      </c>
    </row>
    <row r="2826" spans="1:12" x14ac:dyDescent="0.35">
      <c r="A2826" t="s">
        <v>42</v>
      </c>
      <c r="B2826">
        <v>1185732</v>
      </c>
      <c r="C2826" s="1">
        <v>44547</v>
      </c>
      <c r="D2826" t="s">
        <v>43</v>
      </c>
      <c r="E2826" t="s">
        <v>127</v>
      </c>
      <c r="F2826" t="s">
        <v>128</v>
      </c>
      <c r="G2826" t="s">
        <v>16</v>
      </c>
      <c r="H2826" s="2">
        <v>61</v>
      </c>
      <c r="I2826">
        <v>144</v>
      </c>
      <c r="J2826">
        <v>878</v>
      </c>
      <c r="K2826" s="4">
        <v>351</v>
      </c>
      <c r="L2826" t="s">
        <v>27</v>
      </c>
    </row>
    <row r="2827" spans="1:12" x14ac:dyDescent="0.35">
      <c r="A2827" t="s">
        <v>42</v>
      </c>
      <c r="B2827">
        <v>1185732</v>
      </c>
      <c r="C2827" s="1">
        <v>44539</v>
      </c>
      <c r="D2827" t="s">
        <v>43</v>
      </c>
      <c r="E2827" t="s">
        <v>135</v>
      </c>
      <c r="F2827" t="s">
        <v>136</v>
      </c>
      <c r="G2827" t="s">
        <v>26</v>
      </c>
      <c r="H2827" s="2">
        <v>62</v>
      </c>
      <c r="I2827">
        <v>143</v>
      </c>
      <c r="J2827">
        <v>887</v>
      </c>
      <c r="K2827" s="4">
        <v>532</v>
      </c>
      <c r="L2827" t="s">
        <v>17</v>
      </c>
    </row>
    <row r="2828" spans="1:12" x14ac:dyDescent="0.35">
      <c r="A2828" t="s">
        <v>18</v>
      </c>
      <c r="B2828">
        <v>1128299</v>
      </c>
      <c r="C2828" s="1">
        <v>43850</v>
      </c>
      <c r="D2828" t="s">
        <v>48</v>
      </c>
      <c r="E2828" t="s">
        <v>116</v>
      </c>
      <c r="F2828" t="s">
        <v>117</v>
      </c>
      <c r="G2828" t="s">
        <v>26</v>
      </c>
      <c r="H2828" s="2">
        <v>58</v>
      </c>
      <c r="I2828">
        <v>143</v>
      </c>
      <c r="J2828">
        <v>829</v>
      </c>
      <c r="K2828" s="4">
        <v>423</v>
      </c>
      <c r="L2828" t="s">
        <v>17</v>
      </c>
    </row>
    <row r="2829" spans="1:12" x14ac:dyDescent="0.35">
      <c r="A2829" t="s">
        <v>18</v>
      </c>
      <c r="B2829">
        <v>1128299</v>
      </c>
      <c r="C2829" s="1">
        <v>43870</v>
      </c>
      <c r="D2829" t="s">
        <v>48</v>
      </c>
      <c r="E2829" t="s">
        <v>116</v>
      </c>
      <c r="F2829" t="s">
        <v>117</v>
      </c>
      <c r="G2829" t="s">
        <v>32</v>
      </c>
      <c r="H2829" s="2">
        <v>61</v>
      </c>
      <c r="I2829">
        <v>143</v>
      </c>
      <c r="J2829">
        <v>872</v>
      </c>
      <c r="K2829" s="4">
        <v>462</v>
      </c>
      <c r="L2829" t="s">
        <v>17</v>
      </c>
    </row>
    <row r="2830" spans="1:12" x14ac:dyDescent="0.35">
      <c r="A2830" t="s">
        <v>18</v>
      </c>
      <c r="B2830">
        <v>1128299</v>
      </c>
      <c r="C2830" s="1">
        <v>43944</v>
      </c>
      <c r="D2830" t="s">
        <v>48</v>
      </c>
      <c r="E2830" t="s">
        <v>133</v>
      </c>
      <c r="F2830" t="s">
        <v>134</v>
      </c>
      <c r="G2830" t="s">
        <v>56</v>
      </c>
      <c r="H2830" s="2">
        <v>61</v>
      </c>
      <c r="I2830">
        <v>143</v>
      </c>
      <c r="J2830">
        <v>872</v>
      </c>
      <c r="K2830" s="4">
        <v>454</v>
      </c>
      <c r="L2830" t="s">
        <v>17</v>
      </c>
    </row>
    <row r="2831" spans="1:12" x14ac:dyDescent="0.35">
      <c r="A2831" t="s">
        <v>18</v>
      </c>
      <c r="B2831">
        <v>1128299</v>
      </c>
      <c r="C2831" s="1">
        <v>43949</v>
      </c>
      <c r="D2831" t="s">
        <v>48</v>
      </c>
      <c r="E2831" t="s">
        <v>133</v>
      </c>
      <c r="F2831" t="s">
        <v>134</v>
      </c>
      <c r="G2831" t="s">
        <v>32</v>
      </c>
      <c r="H2831" s="2">
        <v>67</v>
      </c>
      <c r="I2831">
        <v>143</v>
      </c>
      <c r="J2831">
        <v>958</v>
      </c>
      <c r="K2831" s="4">
        <v>546</v>
      </c>
      <c r="L2831" t="s">
        <v>17</v>
      </c>
    </row>
    <row r="2832" spans="1:12" x14ac:dyDescent="0.35">
      <c r="A2832" t="s">
        <v>63</v>
      </c>
      <c r="B2832">
        <v>1189833</v>
      </c>
      <c r="C2832" s="1">
        <v>44231</v>
      </c>
      <c r="D2832" t="s">
        <v>33</v>
      </c>
      <c r="E2832" t="s">
        <v>131</v>
      </c>
      <c r="F2832" t="s">
        <v>132</v>
      </c>
      <c r="G2832" t="s">
        <v>32</v>
      </c>
      <c r="H2832" s="2">
        <v>44</v>
      </c>
      <c r="I2832">
        <v>143</v>
      </c>
      <c r="J2832">
        <v>629</v>
      </c>
      <c r="K2832" s="4">
        <v>371</v>
      </c>
      <c r="L2832" t="s">
        <v>17</v>
      </c>
    </row>
    <row r="2833" spans="1:12" x14ac:dyDescent="0.35">
      <c r="A2833" t="s">
        <v>63</v>
      </c>
      <c r="B2833">
        <v>1189833</v>
      </c>
      <c r="C2833" s="1">
        <v>44234</v>
      </c>
      <c r="D2833" t="s">
        <v>33</v>
      </c>
      <c r="E2833" t="s">
        <v>131</v>
      </c>
      <c r="F2833" t="s">
        <v>132</v>
      </c>
      <c r="G2833" t="s">
        <v>16</v>
      </c>
      <c r="H2833" s="2">
        <v>58</v>
      </c>
      <c r="I2833">
        <v>143</v>
      </c>
      <c r="J2833">
        <v>829</v>
      </c>
      <c r="K2833" s="4">
        <v>290</v>
      </c>
      <c r="L2833" t="s">
        <v>17</v>
      </c>
    </row>
    <row r="2834" spans="1:12" x14ac:dyDescent="0.35">
      <c r="A2834" t="s">
        <v>63</v>
      </c>
      <c r="B2834">
        <v>1189833</v>
      </c>
      <c r="C2834" s="1">
        <v>44262</v>
      </c>
      <c r="D2834" t="s">
        <v>33</v>
      </c>
      <c r="E2834" t="s">
        <v>131</v>
      </c>
      <c r="F2834" t="s">
        <v>132</v>
      </c>
      <c r="G2834" t="s">
        <v>56</v>
      </c>
      <c r="H2834" s="2">
        <v>43</v>
      </c>
      <c r="I2834">
        <v>143</v>
      </c>
      <c r="J2834">
        <v>615</v>
      </c>
      <c r="K2834" s="4">
        <v>314</v>
      </c>
      <c r="L2834" t="s">
        <v>17</v>
      </c>
    </row>
    <row r="2835" spans="1:12" x14ac:dyDescent="0.35">
      <c r="A2835" t="s">
        <v>23</v>
      </c>
      <c r="B2835">
        <v>1197831</v>
      </c>
      <c r="C2835" s="1">
        <v>44468</v>
      </c>
      <c r="D2835" t="s">
        <v>19</v>
      </c>
      <c r="E2835" t="s">
        <v>24</v>
      </c>
      <c r="F2835" t="s">
        <v>25</v>
      </c>
      <c r="G2835" t="s">
        <v>16</v>
      </c>
      <c r="H2835" s="2">
        <v>36</v>
      </c>
      <c r="I2835">
        <v>143</v>
      </c>
      <c r="J2835">
        <v>515</v>
      </c>
      <c r="K2835" s="4">
        <v>386</v>
      </c>
      <c r="L2835" t="s">
        <v>17</v>
      </c>
    </row>
    <row r="2836" spans="1:12" x14ac:dyDescent="0.35">
      <c r="A2836" t="s">
        <v>23</v>
      </c>
      <c r="B2836">
        <v>1197831</v>
      </c>
      <c r="C2836" s="1">
        <v>44478</v>
      </c>
      <c r="D2836" t="s">
        <v>19</v>
      </c>
      <c r="E2836" t="s">
        <v>24</v>
      </c>
      <c r="F2836" t="s">
        <v>25</v>
      </c>
      <c r="G2836" t="s">
        <v>56</v>
      </c>
      <c r="H2836" s="2">
        <v>63</v>
      </c>
      <c r="I2836">
        <v>143</v>
      </c>
      <c r="J2836">
        <v>901</v>
      </c>
      <c r="K2836" s="4">
        <v>676</v>
      </c>
      <c r="L2836" t="s">
        <v>17</v>
      </c>
    </row>
    <row r="2837" spans="1:12" x14ac:dyDescent="0.35">
      <c r="A2837" t="s">
        <v>51</v>
      </c>
      <c r="B2837">
        <v>1185732</v>
      </c>
      <c r="C2837" s="1">
        <v>44517</v>
      </c>
      <c r="D2837" t="s">
        <v>43</v>
      </c>
      <c r="E2837" t="s">
        <v>122</v>
      </c>
      <c r="F2837" t="s">
        <v>86</v>
      </c>
      <c r="G2837" t="s">
        <v>26</v>
      </c>
      <c r="H2837" s="2">
        <v>51</v>
      </c>
      <c r="I2837">
        <v>143</v>
      </c>
      <c r="J2837">
        <v>729</v>
      </c>
      <c r="K2837" s="4">
        <v>357</v>
      </c>
      <c r="L2837" t="s">
        <v>17</v>
      </c>
    </row>
    <row r="2838" spans="1:12" x14ac:dyDescent="0.35">
      <c r="A2838" t="s">
        <v>42</v>
      </c>
      <c r="B2838">
        <v>1128299</v>
      </c>
      <c r="C2838" s="1">
        <v>44237</v>
      </c>
      <c r="D2838" t="s">
        <v>48</v>
      </c>
      <c r="E2838" t="s">
        <v>137</v>
      </c>
      <c r="F2838" t="s">
        <v>138</v>
      </c>
      <c r="G2838" t="s">
        <v>26</v>
      </c>
      <c r="H2838" s="2">
        <v>33</v>
      </c>
      <c r="I2838">
        <v>143</v>
      </c>
      <c r="J2838">
        <v>472</v>
      </c>
      <c r="K2838" s="4">
        <v>170</v>
      </c>
      <c r="L2838" t="s">
        <v>17</v>
      </c>
    </row>
    <row r="2839" spans="1:12" x14ac:dyDescent="0.35">
      <c r="A2839" t="s">
        <v>42</v>
      </c>
      <c r="B2839">
        <v>1128299</v>
      </c>
      <c r="C2839" s="1">
        <v>44327</v>
      </c>
      <c r="D2839" t="s">
        <v>48</v>
      </c>
      <c r="E2839" t="s">
        <v>129</v>
      </c>
      <c r="F2839" t="s">
        <v>130</v>
      </c>
      <c r="G2839" t="s">
        <v>16</v>
      </c>
      <c r="H2839" s="2">
        <v>69</v>
      </c>
      <c r="I2839">
        <v>143</v>
      </c>
      <c r="J2839">
        <v>987</v>
      </c>
      <c r="K2839" s="4">
        <v>543</v>
      </c>
      <c r="L2839" t="s">
        <v>17</v>
      </c>
    </row>
    <row r="2840" spans="1:12" x14ac:dyDescent="0.35">
      <c r="A2840" t="s">
        <v>12</v>
      </c>
      <c r="B2840">
        <v>1128299</v>
      </c>
      <c r="C2840" s="1">
        <v>44425</v>
      </c>
      <c r="D2840" t="s">
        <v>13</v>
      </c>
      <c r="E2840" t="s">
        <v>14</v>
      </c>
      <c r="F2840" t="s">
        <v>15</v>
      </c>
      <c r="G2840" t="s">
        <v>56</v>
      </c>
      <c r="H2840" s="2">
        <v>77</v>
      </c>
      <c r="I2840">
        <v>143</v>
      </c>
      <c r="J2840" s="3">
        <v>1101</v>
      </c>
      <c r="K2840" s="4">
        <v>462</v>
      </c>
      <c r="L2840" t="s">
        <v>17</v>
      </c>
    </row>
    <row r="2841" spans="1:12" x14ac:dyDescent="0.35">
      <c r="A2841" t="s">
        <v>12</v>
      </c>
      <c r="B2841">
        <v>1128299</v>
      </c>
      <c r="C2841" s="1">
        <v>44425</v>
      </c>
      <c r="D2841" t="s">
        <v>13</v>
      </c>
      <c r="E2841" t="s">
        <v>14</v>
      </c>
      <c r="F2841" t="s">
        <v>15</v>
      </c>
      <c r="G2841" t="s">
        <v>70</v>
      </c>
      <c r="H2841" s="2">
        <v>74</v>
      </c>
      <c r="I2841">
        <v>143</v>
      </c>
      <c r="J2841" s="3">
        <v>1058</v>
      </c>
      <c r="K2841" s="4">
        <v>328</v>
      </c>
      <c r="L2841" t="s">
        <v>17</v>
      </c>
    </row>
    <row r="2842" spans="1:12" x14ac:dyDescent="0.35">
      <c r="A2842" t="s">
        <v>63</v>
      </c>
      <c r="B2842">
        <v>1185732</v>
      </c>
      <c r="C2842" s="1">
        <v>44239</v>
      </c>
      <c r="D2842" t="s">
        <v>43</v>
      </c>
      <c r="E2842" t="s">
        <v>44</v>
      </c>
      <c r="F2842" t="s">
        <v>101</v>
      </c>
      <c r="G2842" t="s">
        <v>32</v>
      </c>
      <c r="H2842" s="2">
        <v>29</v>
      </c>
      <c r="I2842">
        <v>143</v>
      </c>
      <c r="J2842">
        <v>415</v>
      </c>
      <c r="K2842" s="4">
        <v>203</v>
      </c>
      <c r="L2842" t="s">
        <v>17</v>
      </c>
    </row>
    <row r="2843" spans="1:12" x14ac:dyDescent="0.35">
      <c r="A2843" t="s">
        <v>63</v>
      </c>
      <c r="B2843">
        <v>1185732</v>
      </c>
      <c r="C2843" s="1">
        <v>44419</v>
      </c>
      <c r="D2843" t="s">
        <v>48</v>
      </c>
      <c r="E2843" t="s">
        <v>102</v>
      </c>
      <c r="F2843" t="s">
        <v>103</v>
      </c>
      <c r="G2843" t="s">
        <v>32</v>
      </c>
      <c r="H2843" s="2">
        <v>38</v>
      </c>
      <c r="I2843">
        <v>143</v>
      </c>
      <c r="J2843">
        <v>543</v>
      </c>
      <c r="K2843" s="4">
        <v>245</v>
      </c>
      <c r="L2843" t="s">
        <v>17</v>
      </c>
    </row>
    <row r="2844" spans="1:12" x14ac:dyDescent="0.35">
      <c r="A2844" t="s">
        <v>63</v>
      </c>
      <c r="B2844">
        <v>1185732</v>
      </c>
      <c r="C2844" s="1">
        <v>44511</v>
      </c>
      <c r="D2844" t="s">
        <v>48</v>
      </c>
      <c r="E2844" t="s">
        <v>102</v>
      </c>
      <c r="F2844" t="s">
        <v>103</v>
      </c>
      <c r="G2844" t="s">
        <v>70</v>
      </c>
      <c r="H2844" s="2">
        <v>51</v>
      </c>
      <c r="I2844">
        <v>143</v>
      </c>
      <c r="J2844">
        <v>729</v>
      </c>
      <c r="K2844" s="4">
        <v>299</v>
      </c>
      <c r="L2844" t="s">
        <v>17</v>
      </c>
    </row>
    <row r="2845" spans="1:12" x14ac:dyDescent="0.35">
      <c r="A2845" t="s">
        <v>42</v>
      </c>
      <c r="B2845">
        <v>1128299</v>
      </c>
      <c r="C2845" s="1">
        <v>44278</v>
      </c>
      <c r="D2845" t="s">
        <v>13</v>
      </c>
      <c r="E2845" t="s">
        <v>99</v>
      </c>
      <c r="F2845" t="s">
        <v>100</v>
      </c>
      <c r="G2845" t="s">
        <v>26</v>
      </c>
      <c r="H2845" s="2">
        <v>38</v>
      </c>
      <c r="I2845">
        <v>143</v>
      </c>
      <c r="J2845">
        <v>543</v>
      </c>
      <c r="K2845" s="4">
        <v>255</v>
      </c>
      <c r="L2845" t="s">
        <v>17</v>
      </c>
    </row>
    <row r="2846" spans="1:12" x14ac:dyDescent="0.35">
      <c r="A2846" t="s">
        <v>23</v>
      </c>
      <c r="B2846">
        <v>1185732</v>
      </c>
      <c r="C2846" s="1">
        <v>44270</v>
      </c>
      <c r="D2846" t="s">
        <v>33</v>
      </c>
      <c r="E2846" t="s">
        <v>45</v>
      </c>
      <c r="F2846" t="s">
        <v>46</v>
      </c>
      <c r="G2846" t="s">
        <v>16</v>
      </c>
      <c r="H2846" s="2">
        <v>33</v>
      </c>
      <c r="I2846">
        <v>143</v>
      </c>
      <c r="J2846">
        <v>472</v>
      </c>
      <c r="K2846" s="4">
        <v>326</v>
      </c>
      <c r="L2846" t="s">
        <v>17</v>
      </c>
    </row>
    <row r="2847" spans="1:12" x14ac:dyDescent="0.35">
      <c r="A2847" t="s">
        <v>23</v>
      </c>
      <c r="B2847">
        <v>1185732</v>
      </c>
      <c r="C2847" s="1">
        <v>44392</v>
      </c>
      <c r="D2847" t="s">
        <v>33</v>
      </c>
      <c r="E2847" t="s">
        <v>45</v>
      </c>
      <c r="F2847" t="s">
        <v>46</v>
      </c>
      <c r="G2847" t="s">
        <v>70</v>
      </c>
      <c r="H2847" s="2">
        <v>54</v>
      </c>
      <c r="I2847">
        <v>143</v>
      </c>
      <c r="J2847">
        <v>772</v>
      </c>
      <c r="K2847" s="4">
        <v>394</v>
      </c>
      <c r="L2847" t="s">
        <v>17</v>
      </c>
    </row>
    <row r="2848" spans="1:12" x14ac:dyDescent="0.35">
      <c r="A2848" t="s">
        <v>42</v>
      </c>
      <c r="B2848">
        <v>1185732</v>
      </c>
      <c r="C2848" s="1">
        <v>44545</v>
      </c>
      <c r="D2848" t="s">
        <v>33</v>
      </c>
      <c r="E2848" t="s">
        <v>45</v>
      </c>
      <c r="F2848" t="s">
        <v>46</v>
      </c>
      <c r="G2848" t="s">
        <v>70</v>
      </c>
      <c r="H2848" s="2">
        <v>55</v>
      </c>
      <c r="I2848">
        <v>143</v>
      </c>
      <c r="J2848">
        <v>787</v>
      </c>
      <c r="K2848" s="4">
        <v>409</v>
      </c>
      <c r="L2848" t="s">
        <v>17</v>
      </c>
    </row>
    <row r="2849" spans="1:12" x14ac:dyDescent="0.35">
      <c r="A2849" t="s">
        <v>42</v>
      </c>
      <c r="B2849">
        <v>1185732</v>
      </c>
      <c r="C2849" s="1">
        <v>44426</v>
      </c>
      <c r="D2849" t="s">
        <v>33</v>
      </c>
      <c r="E2849" t="s">
        <v>34</v>
      </c>
      <c r="F2849" t="s">
        <v>35</v>
      </c>
      <c r="G2849" t="s">
        <v>39</v>
      </c>
      <c r="H2849" s="2">
        <v>38</v>
      </c>
      <c r="I2849">
        <v>143</v>
      </c>
      <c r="J2849">
        <v>543</v>
      </c>
      <c r="K2849" s="4">
        <v>250</v>
      </c>
      <c r="L2849" t="s">
        <v>17</v>
      </c>
    </row>
    <row r="2850" spans="1:12" x14ac:dyDescent="0.35">
      <c r="A2850" t="s">
        <v>18</v>
      </c>
      <c r="B2850">
        <v>1185732</v>
      </c>
      <c r="C2850" s="1">
        <v>44207</v>
      </c>
      <c r="D2850" t="s">
        <v>33</v>
      </c>
      <c r="E2850" t="s">
        <v>34</v>
      </c>
      <c r="F2850" t="s">
        <v>35</v>
      </c>
      <c r="G2850" t="s">
        <v>32</v>
      </c>
      <c r="H2850" s="2">
        <v>14</v>
      </c>
      <c r="I2850">
        <v>143</v>
      </c>
      <c r="J2850">
        <v>200</v>
      </c>
      <c r="K2850" s="4">
        <v>94</v>
      </c>
      <c r="L2850" t="s">
        <v>17</v>
      </c>
    </row>
    <row r="2851" spans="1:12" x14ac:dyDescent="0.35">
      <c r="A2851" t="s">
        <v>18</v>
      </c>
      <c r="B2851">
        <v>1128299</v>
      </c>
      <c r="C2851" s="1">
        <v>44553</v>
      </c>
      <c r="D2851" t="s">
        <v>48</v>
      </c>
      <c r="E2851" t="s">
        <v>85</v>
      </c>
      <c r="F2851" t="s">
        <v>86</v>
      </c>
      <c r="G2851" t="s">
        <v>56</v>
      </c>
      <c r="H2851" s="2">
        <v>67</v>
      </c>
      <c r="I2851">
        <v>143</v>
      </c>
      <c r="J2851">
        <v>958</v>
      </c>
      <c r="K2851" s="4">
        <v>431</v>
      </c>
      <c r="L2851" t="s">
        <v>17</v>
      </c>
    </row>
    <row r="2852" spans="1:12" x14ac:dyDescent="0.35">
      <c r="A2852" t="s">
        <v>18</v>
      </c>
      <c r="B2852">
        <v>1197831</v>
      </c>
      <c r="C2852" s="1">
        <v>44201</v>
      </c>
      <c r="D2852" t="s">
        <v>19</v>
      </c>
      <c r="E2852" t="s">
        <v>20</v>
      </c>
      <c r="F2852" t="s">
        <v>21</v>
      </c>
      <c r="G2852" t="s">
        <v>16</v>
      </c>
      <c r="H2852" s="2">
        <v>34</v>
      </c>
      <c r="I2852">
        <v>143</v>
      </c>
      <c r="J2852">
        <v>486</v>
      </c>
      <c r="K2852" s="4">
        <v>292</v>
      </c>
      <c r="L2852" t="s">
        <v>17</v>
      </c>
    </row>
    <row r="2853" spans="1:12" x14ac:dyDescent="0.35">
      <c r="A2853" t="s">
        <v>18</v>
      </c>
      <c r="B2853">
        <v>1197831</v>
      </c>
      <c r="C2853" s="1">
        <v>44351</v>
      </c>
      <c r="D2853" t="s">
        <v>48</v>
      </c>
      <c r="E2853" t="s">
        <v>79</v>
      </c>
      <c r="F2853" t="s">
        <v>80</v>
      </c>
      <c r="G2853" t="s">
        <v>56</v>
      </c>
      <c r="H2853" s="2">
        <v>48</v>
      </c>
      <c r="I2853">
        <v>143</v>
      </c>
      <c r="J2853">
        <v>686</v>
      </c>
      <c r="K2853" s="4">
        <v>405</v>
      </c>
      <c r="L2853" t="s">
        <v>17</v>
      </c>
    </row>
    <row r="2854" spans="1:12" x14ac:dyDescent="0.35">
      <c r="A2854" t="s">
        <v>42</v>
      </c>
      <c r="B2854">
        <v>1128299</v>
      </c>
      <c r="C2854" s="1">
        <v>44250</v>
      </c>
      <c r="D2854" t="s">
        <v>48</v>
      </c>
      <c r="E2854" t="s">
        <v>79</v>
      </c>
      <c r="F2854" t="s">
        <v>80</v>
      </c>
      <c r="G2854" t="s">
        <v>26</v>
      </c>
      <c r="H2854" s="2">
        <v>29</v>
      </c>
      <c r="I2854">
        <v>143</v>
      </c>
      <c r="J2854">
        <v>415</v>
      </c>
      <c r="K2854" s="4">
        <v>207</v>
      </c>
      <c r="L2854" t="s">
        <v>17</v>
      </c>
    </row>
    <row r="2855" spans="1:12" x14ac:dyDescent="0.35">
      <c r="A2855" t="s">
        <v>63</v>
      </c>
      <c r="B2855">
        <v>1128299</v>
      </c>
      <c r="C2855" s="1">
        <v>44434</v>
      </c>
      <c r="D2855" t="s">
        <v>48</v>
      </c>
      <c r="E2855" t="s">
        <v>114</v>
      </c>
      <c r="F2855" t="s">
        <v>115</v>
      </c>
      <c r="G2855" t="s">
        <v>56</v>
      </c>
      <c r="H2855" s="2">
        <v>55</v>
      </c>
      <c r="I2855">
        <v>143</v>
      </c>
      <c r="J2855">
        <v>787</v>
      </c>
      <c r="K2855" s="4">
        <v>370</v>
      </c>
      <c r="L2855" t="s">
        <v>17</v>
      </c>
    </row>
    <row r="2856" spans="1:12" x14ac:dyDescent="0.35">
      <c r="A2856" t="s">
        <v>63</v>
      </c>
      <c r="B2856">
        <v>1128299</v>
      </c>
      <c r="C2856" s="1">
        <v>44466</v>
      </c>
      <c r="D2856" t="s">
        <v>48</v>
      </c>
      <c r="E2856" t="s">
        <v>114</v>
      </c>
      <c r="F2856" t="s">
        <v>115</v>
      </c>
      <c r="G2856" t="s">
        <v>32</v>
      </c>
      <c r="H2856" s="2">
        <v>46</v>
      </c>
      <c r="I2856">
        <v>143</v>
      </c>
      <c r="J2856">
        <v>658</v>
      </c>
      <c r="K2856" s="4">
        <v>309</v>
      </c>
      <c r="L2856" t="s">
        <v>17</v>
      </c>
    </row>
    <row r="2857" spans="1:12" x14ac:dyDescent="0.35">
      <c r="A2857" t="s">
        <v>23</v>
      </c>
      <c r="B2857">
        <v>1128299</v>
      </c>
      <c r="C2857" s="1">
        <v>44389</v>
      </c>
      <c r="D2857" t="s">
        <v>13</v>
      </c>
      <c r="E2857" t="s">
        <v>57</v>
      </c>
      <c r="F2857" t="s">
        <v>58</v>
      </c>
      <c r="G2857" t="s">
        <v>16</v>
      </c>
      <c r="H2857" s="2">
        <v>67</v>
      </c>
      <c r="I2857">
        <v>143</v>
      </c>
      <c r="J2857">
        <v>958</v>
      </c>
      <c r="K2857" s="4">
        <v>364</v>
      </c>
      <c r="L2857" t="s">
        <v>17</v>
      </c>
    </row>
    <row r="2858" spans="1:12" x14ac:dyDescent="0.35">
      <c r="A2858" t="s">
        <v>51</v>
      </c>
      <c r="B2858">
        <v>1185732</v>
      </c>
      <c r="C2858" s="1">
        <v>44238</v>
      </c>
      <c r="D2858" t="s">
        <v>13</v>
      </c>
      <c r="E2858" t="s">
        <v>77</v>
      </c>
      <c r="F2858" t="s">
        <v>78</v>
      </c>
      <c r="G2858" t="s">
        <v>39</v>
      </c>
      <c r="H2858" s="2">
        <v>33</v>
      </c>
      <c r="I2858">
        <v>143</v>
      </c>
      <c r="J2858">
        <v>472</v>
      </c>
      <c r="K2858" s="4">
        <v>236</v>
      </c>
      <c r="L2858" t="s">
        <v>17</v>
      </c>
    </row>
    <row r="2859" spans="1:12" x14ac:dyDescent="0.35">
      <c r="A2859" t="s">
        <v>51</v>
      </c>
      <c r="B2859">
        <v>1185732</v>
      </c>
      <c r="C2859" s="1">
        <v>44238</v>
      </c>
      <c r="D2859" t="s">
        <v>33</v>
      </c>
      <c r="E2859" t="s">
        <v>52</v>
      </c>
      <c r="F2859" t="s">
        <v>53</v>
      </c>
      <c r="G2859" t="s">
        <v>16</v>
      </c>
      <c r="H2859" s="2">
        <v>29</v>
      </c>
      <c r="I2859">
        <v>143</v>
      </c>
      <c r="J2859">
        <v>415</v>
      </c>
      <c r="K2859" s="4">
        <v>253</v>
      </c>
      <c r="L2859" t="s">
        <v>17</v>
      </c>
    </row>
    <row r="2860" spans="1:12" x14ac:dyDescent="0.35">
      <c r="A2860" t="s">
        <v>51</v>
      </c>
      <c r="B2860">
        <v>1185732</v>
      </c>
      <c r="C2860" s="1">
        <v>44325</v>
      </c>
      <c r="D2860" t="s">
        <v>33</v>
      </c>
      <c r="E2860" t="s">
        <v>52</v>
      </c>
      <c r="F2860" t="s">
        <v>53</v>
      </c>
      <c r="G2860" t="s">
        <v>32</v>
      </c>
      <c r="H2860" s="2">
        <v>39</v>
      </c>
      <c r="I2860">
        <v>143</v>
      </c>
      <c r="J2860">
        <v>558</v>
      </c>
      <c r="K2860" s="4">
        <v>284</v>
      </c>
      <c r="L2860" t="s">
        <v>17</v>
      </c>
    </row>
    <row r="2861" spans="1:12" x14ac:dyDescent="0.35">
      <c r="A2861" t="s">
        <v>51</v>
      </c>
      <c r="B2861">
        <v>1185732</v>
      </c>
      <c r="C2861" s="1">
        <v>44325</v>
      </c>
      <c r="D2861" t="s">
        <v>33</v>
      </c>
      <c r="E2861" t="s">
        <v>52</v>
      </c>
      <c r="F2861" t="s">
        <v>53</v>
      </c>
      <c r="G2861" t="s">
        <v>16</v>
      </c>
      <c r="H2861" s="2">
        <v>53</v>
      </c>
      <c r="I2861">
        <v>143</v>
      </c>
      <c r="J2861">
        <v>758</v>
      </c>
      <c r="K2861" s="4">
        <v>485</v>
      </c>
      <c r="L2861" t="s">
        <v>17</v>
      </c>
    </row>
    <row r="2862" spans="1:12" x14ac:dyDescent="0.35">
      <c r="A2862" t="s">
        <v>42</v>
      </c>
      <c r="B2862">
        <v>1185732</v>
      </c>
      <c r="C2862" s="1">
        <v>44365</v>
      </c>
      <c r="D2862" t="s">
        <v>19</v>
      </c>
      <c r="E2862" t="s">
        <v>37</v>
      </c>
      <c r="F2862" t="s">
        <v>38</v>
      </c>
      <c r="G2862" t="s">
        <v>32</v>
      </c>
      <c r="H2862" s="2">
        <v>41</v>
      </c>
      <c r="I2862">
        <v>143</v>
      </c>
      <c r="J2862">
        <v>586</v>
      </c>
      <c r="K2862" s="4">
        <v>322</v>
      </c>
      <c r="L2862" t="s">
        <v>17</v>
      </c>
    </row>
    <row r="2863" spans="1:12" x14ac:dyDescent="0.35">
      <c r="A2863" t="s">
        <v>12</v>
      </c>
      <c r="B2863">
        <v>1197831</v>
      </c>
      <c r="C2863" s="1">
        <v>44428</v>
      </c>
      <c r="D2863" t="s">
        <v>19</v>
      </c>
      <c r="E2863" t="s">
        <v>54</v>
      </c>
      <c r="F2863" t="s">
        <v>55</v>
      </c>
      <c r="G2863" t="s">
        <v>16</v>
      </c>
      <c r="H2863" s="2">
        <v>50</v>
      </c>
      <c r="I2863">
        <v>143</v>
      </c>
      <c r="J2863">
        <v>715</v>
      </c>
      <c r="K2863" s="4">
        <v>372</v>
      </c>
      <c r="L2863" t="s">
        <v>17</v>
      </c>
    </row>
    <row r="2864" spans="1:12" x14ac:dyDescent="0.35">
      <c r="A2864" t="s">
        <v>18</v>
      </c>
      <c r="B2864">
        <v>1197831</v>
      </c>
      <c r="C2864" s="1">
        <v>44520</v>
      </c>
      <c r="D2864" t="s">
        <v>19</v>
      </c>
      <c r="E2864" t="s">
        <v>54</v>
      </c>
      <c r="F2864" t="s">
        <v>55</v>
      </c>
      <c r="G2864" t="s">
        <v>26</v>
      </c>
      <c r="H2864" s="2">
        <v>24</v>
      </c>
      <c r="I2864">
        <v>143</v>
      </c>
      <c r="J2864">
        <v>343</v>
      </c>
      <c r="K2864" s="4">
        <v>172</v>
      </c>
      <c r="L2864" t="s">
        <v>17</v>
      </c>
    </row>
    <row r="2865" spans="1:12" x14ac:dyDescent="0.35">
      <c r="A2865" t="s">
        <v>63</v>
      </c>
      <c r="B2865">
        <v>1197831</v>
      </c>
      <c r="C2865" s="1">
        <v>44328</v>
      </c>
      <c r="D2865" t="s">
        <v>33</v>
      </c>
      <c r="E2865" t="s">
        <v>71</v>
      </c>
      <c r="F2865" t="s">
        <v>72</v>
      </c>
      <c r="G2865" t="s">
        <v>26</v>
      </c>
      <c r="H2865" s="2">
        <v>36</v>
      </c>
      <c r="I2865">
        <v>143</v>
      </c>
      <c r="J2865">
        <v>515</v>
      </c>
      <c r="K2865" s="4">
        <v>232</v>
      </c>
      <c r="L2865" t="s">
        <v>17</v>
      </c>
    </row>
    <row r="2866" spans="1:12" x14ac:dyDescent="0.35">
      <c r="A2866" t="s">
        <v>18</v>
      </c>
      <c r="B2866">
        <v>1185732</v>
      </c>
      <c r="C2866" s="1">
        <v>44443</v>
      </c>
      <c r="D2866" t="s">
        <v>33</v>
      </c>
      <c r="E2866" t="s">
        <v>40</v>
      </c>
      <c r="F2866" t="s">
        <v>41</v>
      </c>
      <c r="G2866" t="s">
        <v>26</v>
      </c>
      <c r="H2866" s="2">
        <v>33</v>
      </c>
      <c r="I2866">
        <v>143</v>
      </c>
      <c r="J2866">
        <v>472</v>
      </c>
      <c r="K2866" s="4">
        <v>193</v>
      </c>
      <c r="L2866" t="s">
        <v>17</v>
      </c>
    </row>
    <row r="2867" spans="1:12" x14ac:dyDescent="0.35">
      <c r="A2867" t="s">
        <v>18</v>
      </c>
      <c r="B2867">
        <v>1185732</v>
      </c>
      <c r="C2867" s="1">
        <v>44303</v>
      </c>
      <c r="D2867" t="s">
        <v>43</v>
      </c>
      <c r="E2867" t="s">
        <v>64</v>
      </c>
      <c r="F2867" t="s">
        <v>65</v>
      </c>
      <c r="G2867" t="s">
        <v>26</v>
      </c>
      <c r="H2867" s="2">
        <v>27</v>
      </c>
      <c r="I2867">
        <v>143</v>
      </c>
      <c r="J2867">
        <v>386</v>
      </c>
      <c r="K2867" s="4">
        <v>197</v>
      </c>
      <c r="L2867" t="s">
        <v>17</v>
      </c>
    </row>
    <row r="2868" spans="1:12" x14ac:dyDescent="0.35">
      <c r="A2868" t="s">
        <v>23</v>
      </c>
      <c r="B2868">
        <v>1185732</v>
      </c>
      <c r="C2868" s="1">
        <v>44380</v>
      </c>
      <c r="D2868" t="s">
        <v>43</v>
      </c>
      <c r="E2868" t="s">
        <v>108</v>
      </c>
      <c r="F2868" t="s">
        <v>109</v>
      </c>
      <c r="G2868" t="s">
        <v>16</v>
      </c>
      <c r="H2868" s="2">
        <v>56</v>
      </c>
      <c r="I2868">
        <v>143</v>
      </c>
      <c r="J2868">
        <v>801</v>
      </c>
      <c r="K2868" s="4">
        <v>384</v>
      </c>
      <c r="L2868" t="s">
        <v>17</v>
      </c>
    </row>
    <row r="2869" spans="1:12" x14ac:dyDescent="0.35">
      <c r="A2869" t="s">
        <v>42</v>
      </c>
      <c r="B2869">
        <v>1185732</v>
      </c>
      <c r="C2869" s="1">
        <v>44415</v>
      </c>
      <c r="D2869" t="s">
        <v>43</v>
      </c>
      <c r="E2869" t="s">
        <v>110</v>
      </c>
      <c r="F2869" t="s">
        <v>111</v>
      </c>
      <c r="G2869" t="s">
        <v>26</v>
      </c>
      <c r="H2869" s="2">
        <v>46</v>
      </c>
      <c r="I2869">
        <v>143</v>
      </c>
      <c r="J2869">
        <v>658</v>
      </c>
      <c r="K2869" s="4">
        <v>316</v>
      </c>
      <c r="L2869" t="s">
        <v>17</v>
      </c>
    </row>
    <row r="2870" spans="1:12" x14ac:dyDescent="0.35">
      <c r="A2870" t="s">
        <v>23</v>
      </c>
      <c r="B2870">
        <v>1197831</v>
      </c>
      <c r="C2870" s="1">
        <v>44427</v>
      </c>
      <c r="D2870" t="s">
        <v>19</v>
      </c>
      <c r="E2870" t="s">
        <v>59</v>
      </c>
      <c r="F2870" t="s">
        <v>68</v>
      </c>
      <c r="G2870" t="s">
        <v>32</v>
      </c>
      <c r="H2870" s="2">
        <v>27</v>
      </c>
      <c r="I2870">
        <v>143</v>
      </c>
      <c r="J2870">
        <v>386</v>
      </c>
      <c r="K2870" s="4">
        <v>135</v>
      </c>
      <c r="L2870" t="s">
        <v>27</v>
      </c>
    </row>
    <row r="2871" spans="1:12" x14ac:dyDescent="0.35">
      <c r="A2871" t="s">
        <v>42</v>
      </c>
      <c r="B2871">
        <v>1185732</v>
      </c>
      <c r="C2871" s="1">
        <v>44557</v>
      </c>
      <c r="D2871" t="s">
        <v>43</v>
      </c>
      <c r="E2871" t="s">
        <v>135</v>
      </c>
      <c r="F2871" t="s">
        <v>136</v>
      </c>
      <c r="G2871" t="s">
        <v>26</v>
      </c>
      <c r="H2871" s="2">
        <v>53</v>
      </c>
      <c r="I2871">
        <v>143</v>
      </c>
      <c r="J2871">
        <v>758</v>
      </c>
      <c r="K2871" s="4">
        <v>462</v>
      </c>
      <c r="L2871" t="s">
        <v>27</v>
      </c>
    </row>
    <row r="2872" spans="1:12" x14ac:dyDescent="0.35">
      <c r="A2872" t="s">
        <v>23</v>
      </c>
      <c r="B2872">
        <v>1197831</v>
      </c>
      <c r="C2872" s="1">
        <v>44276</v>
      </c>
      <c r="D2872" t="s">
        <v>19</v>
      </c>
      <c r="E2872" t="s">
        <v>74</v>
      </c>
      <c r="F2872" t="s">
        <v>75</v>
      </c>
      <c r="G2872" t="s">
        <v>16</v>
      </c>
      <c r="H2872" s="2">
        <v>28</v>
      </c>
      <c r="I2872">
        <v>143</v>
      </c>
      <c r="J2872">
        <v>400</v>
      </c>
      <c r="K2872" s="4">
        <v>224</v>
      </c>
      <c r="L2872" t="s">
        <v>27</v>
      </c>
    </row>
    <row r="2873" spans="1:12" x14ac:dyDescent="0.35">
      <c r="A2873" t="s">
        <v>23</v>
      </c>
      <c r="B2873">
        <v>1197831</v>
      </c>
      <c r="C2873" s="1">
        <v>44311</v>
      </c>
      <c r="D2873" t="s">
        <v>19</v>
      </c>
      <c r="E2873" t="s">
        <v>74</v>
      </c>
      <c r="F2873" t="s">
        <v>75</v>
      </c>
      <c r="G2873" t="s">
        <v>70</v>
      </c>
      <c r="H2873" s="2">
        <v>35</v>
      </c>
      <c r="I2873">
        <v>143</v>
      </c>
      <c r="J2873">
        <v>501</v>
      </c>
      <c r="K2873" s="4">
        <v>225</v>
      </c>
      <c r="L2873" t="s">
        <v>27</v>
      </c>
    </row>
    <row r="2874" spans="1:12" x14ac:dyDescent="0.35">
      <c r="A2874" t="s">
        <v>42</v>
      </c>
      <c r="B2874">
        <v>1128299</v>
      </c>
      <c r="C2874" s="1">
        <v>44524</v>
      </c>
      <c r="D2874" t="s">
        <v>13</v>
      </c>
      <c r="E2874" t="s">
        <v>99</v>
      </c>
      <c r="F2874" t="s">
        <v>100</v>
      </c>
      <c r="G2874" t="s">
        <v>32</v>
      </c>
      <c r="H2874" s="2">
        <v>33</v>
      </c>
      <c r="I2874">
        <v>143</v>
      </c>
      <c r="J2874">
        <v>472</v>
      </c>
      <c r="K2874" s="4">
        <v>184</v>
      </c>
      <c r="L2874" t="s">
        <v>27</v>
      </c>
    </row>
    <row r="2875" spans="1:12" x14ac:dyDescent="0.35">
      <c r="A2875" t="s">
        <v>18</v>
      </c>
      <c r="B2875">
        <v>1128299</v>
      </c>
      <c r="C2875" s="1">
        <v>44278</v>
      </c>
      <c r="D2875" t="s">
        <v>48</v>
      </c>
      <c r="E2875" t="s">
        <v>85</v>
      </c>
      <c r="F2875" t="s">
        <v>86</v>
      </c>
      <c r="G2875" t="s">
        <v>26</v>
      </c>
      <c r="H2875" s="2">
        <v>28</v>
      </c>
      <c r="I2875">
        <v>143</v>
      </c>
      <c r="J2875">
        <v>400</v>
      </c>
      <c r="K2875" s="4">
        <v>160</v>
      </c>
      <c r="L2875" t="s">
        <v>27</v>
      </c>
    </row>
    <row r="2876" spans="1:12" x14ac:dyDescent="0.35">
      <c r="A2876" t="s">
        <v>18</v>
      </c>
      <c r="B2876">
        <v>1128299</v>
      </c>
      <c r="C2876" s="1">
        <v>44425</v>
      </c>
      <c r="D2876" t="s">
        <v>19</v>
      </c>
      <c r="E2876" t="s">
        <v>20</v>
      </c>
      <c r="F2876" t="s">
        <v>21</v>
      </c>
      <c r="G2876" t="s">
        <v>56</v>
      </c>
      <c r="H2876" s="2">
        <v>55</v>
      </c>
      <c r="I2876">
        <v>143</v>
      </c>
      <c r="J2876">
        <v>787</v>
      </c>
      <c r="K2876" s="4">
        <v>370</v>
      </c>
      <c r="L2876" t="s">
        <v>27</v>
      </c>
    </row>
    <row r="2877" spans="1:12" x14ac:dyDescent="0.35">
      <c r="A2877" t="s">
        <v>42</v>
      </c>
      <c r="B2877">
        <v>1128299</v>
      </c>
      <c r="C2877" s="1">
        <v>44370</v>
      </c>
      <c r="D2877" t="s">
        <v>48</v>
      </c>
      <c r="E2877" t="s">
        <v>123</v>
      </c>
      <c r="F2877" t="s">
        <v>124</v>
      </c>
      <c r="G2877" t="s">
        <v>39</v>
      </c>
      <c r="H2877" s="2">
        <v>36</v>
      </c>
      <c r="I2877">
        <v>143</v>
      </c>
      <c r="J2877">
        <v>515</v>
      </c>
      <c r="K2877" s="4">
        <v>216</v>
      </c>
      <c r="L2877" t="s">
        <v>27</v>
      </c>
    </row>
    <row r="2878" spans="1:12" x14ac:dyDescent="0.35">
      <c r="A2878" t="s">
        <v>42</v>
      </c>
      <c r="B2878">
        <v>1128299</v>
      </c>
      <c r="C2878" s="1">
        <v>44542</v>
      </c>
      <c r="D2878" t="s">
        <v>13</v>
      </c>
      <c r="E2878" t="s">
        <v>57</v>
      </c>
      <c r="F2878" t="s">
        <v>58</v>
      </c>
      <c r="G2878" t="s">
        <v>56</v>
      </c>
      <c r="H2878" s="2">
        <v>40</v>
      </c>
      <c r="I2878">
        <v>143</v>
      </c>
      <c r="J2878">
        <v>572</v>
      </c>
      <c r="K2878" s="4">
        <v>246</v>
      </c>
      <c r="L2878" t="s">
        <v>27</v>
      </c>
    </row>
    <row r="2879" spans="1:12" x14ac:dyDescent="0.35">
      <c r="A2879" t="s">
        <v>12</v>
      </c>
      <c r="B2879">
        <v>1185732</v>
      </c>
      <c r="C2879" s="1">
        <v>44393</v>
      </c>
      <c r="D2879" t="s">
        <v>19</v>
      </c>
      <c r="E2879" t="s">
        <v>37</v>
      </c>
      <c r="F2879" t="s">
        <v>38</v>
      </c>
      <c r="G2879" t="s">
        <v>56</v>
      </c>
      <c r="H2879" s="2">
        <v>33</v>
      </c>
      <c r="I2879">
        <v>143</v>
      </c>
      <c r="J2879">
        <v>472</v>
      </c>
      <c r="K2879" s="4">
        <v>203</v>
      </c>
      <c r="L2879" t="s">
        <v>27</v>
      </c>
    </row>
    <row r="2880" spans="1:12" x14ac:dyDescent="0.35">
      <c r="A2880" t="s">
        <v>23</v>
      </c>
      <c r="B2880">
        <v>1185732</v>
      </c>
      <c r="C2880" s="1">
        <v>44546</v>
      </c>
      <c r="D2880" t="s">
        <v>19</v>
      </c>
      <c r="E2880" t="s">
        <v>37</v>
      </c>
      <c r="F2880" t="s">
        <v>38</v>
      </c>
      <c r="G2880" t="s">
        <v>56</v>
      </c>
      <c r="H2880" s="2">
        <v>41</v>
      </c>
      <c r="I2880">
        <v>143</v>
      </c>
      <c r="J2880">
        <v>586</v>
      </c>
      <c r="K2880" s="4">
        <v>276</v>
      </c>
      <c r="L2880" t="s">
        <v>27</v>
      </c>
    </row>
    <row r="2881" spans="1:12" x14ac:dyDescent="0.35">
      <c r="A2881" t="s">
        <v>18</v>
      </c>
      <c r="B2881">
        <v>1197831</v>
      </c>
      <c r="C2881" s="1">
        <v>44368</v>
      </c>
      <c r="D2881" t="s">
        <v>19</v>
      </c>
      <c r="E2881" t="s">
        <v>61</v>
      </c>
      <c r="F2881" t="s">
        <v>62</v>
      </c>
      <c r="G2881" t="s">
        <v>16</v>
      </c>
      <c r="H2881" s="2">
        <v>40</v>
      </c>
      <c r="I2881">
        <v>143</v>
      </c>
      <c r="J2881">
        <v>572</v>
      </c>
      <c r="K2881" s="4">
        <v>240</v>
      </c>
      <c r="L2881" t="s">
        <v>27</v>
      </c>
    </row>
    <row r="2882" spans="1:12" x14ac:dyDescent="0.35">
      <c r="A2882" t="s">
        <v>23</v>
      </c>
      <c r="B2882">
        <v>1197831</v>
      </c>
      <c r="C2882" s="1">
        <v>44465</v>
      </c>
      <c r="D2882" t="s">
        <v>19</v>
      </c>
      <c r="E2882" t="s">
        <v>59</v>
      </c>
      <c r="F2882" t="s">
        <v>68</v>
      </c>
      <c r="G2882" t="s">
        <v>70</v>
      </c>
      <c r="H2882" s="2">
        <v>53</v>
      </c>
      <c r="I2882">
        <v>142</v>
      </c>
      <c r="J2882">
        <v>753</v>
      </c>
      <c r="K2882" s="4">
        <v>361</v>
      </c>
      <c r="L2882" t="s">
        <v>17</v>
      </c>
    </row>
    <row r="2883" spans="1:12" x14ac:dyDescent="0.35">
      <c r="A2883" t="s">
        <v>23</v>
      </c>
      <c r="B2883">
        <v>1197831</v>
      </c>
      <c r="C2883" s="1">
        <v>44292</v>
      </c>
      <c r="D2883" t="s">
        <v>19</v>
      </c>
      <c r="E2883" t="s">
        <v>74</v>
      </c>
      <c r="F2883" t="s">
        <v>75</v>
      </c>
      <c r="G2883" t="s">
        <v>56</v>
      </c>
      <c r="H2883" s="2">
        <v>27</v>
      </c>
      <c r="I2883">
        <v>142</v>
      </c>
      <c r="J2883">
        <v>383</v>
      </c>
      <c r="K2883" s="4">
        <v>230</v>
      </c>
      <c r="L2883" t="s">
        <v>17</v>
      </c>
    </row>
    <row r="2884" spans="1:12" x14ac:dyDescent="0.35">
      <c r="A2884" t="s">
        <v>42</v>
      </c>
      <c r="B2884">
        <v>1128299</v>
      </c>
      <c r="C2884" s="1">
        <v>44418</v>
      </c>
      <c r="D2884" t="s">
        <v>48</v>
      </c>
      <c r="E2884" t="s">
        <v>129</v>
      </c>
      <c r="F2884" t="s">
        <v>130</v>
      </c>
      <c r="G2884" t="s">
        <v>56</v>
      </c>
      <c r="H2884" s="2">
        <v>67</v>
      </c>
      <c r="I2884">
        <v>142</v>
      </c>
      <c r="J2884">
        <v>951</v>
      </c>
      <c r="K2884" s="4">
        <v>362</v>
      </c>
      <c r="L2884" t="s">
        <v>17</v>
      </c>
    </row>
    <row r="2885" spans="1:12" x14ac:dyDescent="0.35">
      <c r="A2885" t="s">
        <v>23</v>
      </c>
      <c r="B2885">
        <v>1128299</v>
      </c>
      <c r="C2885" s="1">
        <v>44539</v>
      </c>
      <c r="D2885" t="s">
        <v>48</v>
      </c>
      <c r="E2885" t="s">
        <v>129</v>
      </c>
      <c r="F2885" t="s">
        <v>130</v>
      </c>
      <c r="G2885" t="s">
        <v>16</v>
      </c>
      <c r="H2885" s="2">
        <v>89</v>
      </c>
      <c r="I2885">
        <v>142</v>
      </c>
      <c r="J2885" s="3">
        <v>1264</v>
      </c>
      <c r="K2885" s="4">
        <v>632</v>
      </c>
      <c r="L2885" t="s">
        <v>17</v>
      </c>
    </row>
    <row r="2886" spans="1:12" x14ac:dyDescent="0.35">
      <c r="A2886" t="s">
        <v>42</v>
      </c>
      <c r="B2886">
        <v>1128299</v>
      </c>
      <c r="C2886" s="1">
        <v>44371</v>
      </c>
      <c r="D2886" t="s">
        <v>13</v>
      </c>
      <c r="E2886" t="s">
        <v>99</v>
      </c>
      <c r="F2886" t="s">
        <v>100</v>
      </c>
      <c r="G2886" t="s">
        <v>56</v>
      </c>
      <c r="H2886" s="2">
        <v>72</v>
      </c>
      <c r="I2886">
        <v>142</v>
      </c>
      <c r="J2886" s="3">
        <v>1022</v>
      </c>
      <c r="K2886" s="4">
        <v>501</v>
      </c>
      <c r="L2886" t="s">
        <v>17</v>
      </c>
    </row>
    <row r="2887" spans="1:12" x14ac:dyDescent="0.35">
      <c r="A2887" t="s">
        <v>42</v>
      </c>
      <c r="B2887">
        <v>1128299</v>
      </c>
      <c r="C2887" s="1">
        <v>44493</v>
      </c>
      <c r="D2887" t="s">
        <v>13</v>
      </c>
      <c r="E2887" t="s">
        <v>99</v>
      </c>
      <c r="F2887" t="s">
        <v>100</v>
      </c>
      <c r="G2887" t="s">
        <v>39</v>
      </c>
      <c r="H2887" s="2">
        <v>51</v>
      </c>
      <c r="I2887">
        <v>142</v>
      </c>
      <c r="J2887">
        <v>724</v>
      </c>
      <c r="K2887" s="4">
        <v>355</v>
      </c>
      <c r="L2887" t="s">
        <v>17</v>
      </c>
    </row>
    <row r="2888" spans="1:12" x14ac:dyDescent="0.35">
      <c r="A2888" t="s">
        <v>23</v>
      </c>
      <c r="B2888">
        <v>1185732</v>
      </c>
      <c r="C2888" s="1">
        <v>44424</v>
      </c>
      <c r="D2888" t="s">
        <v>33</v>
      </c>
      <c r="E2888" t="s">
        <v>45</v>
      </c>
      <c r="F2888" t="s">
        <v>46</v>
      </c>
      <c r="G2888" t="s">
        <v>56</v>
      </c>
      <c r="H2888" s="2">
        <v>34</v>
      </c>
      <c r="I2888">
        <v>142</v>
      </c>
      <c r="J2888">
        <v>483</v>
      </c>
      <c r="K2888" s="4">
        <v>217</v>
      </c>
      <c r="L2888" t="s">
        <v>17</v>
      </c>
    </row>
    <row r="2889" spans="1:12" x14ac:dyDescent="0.35">
      <c r="A2889" t="s">
        <v>42</v>
      </c>
      <c r="B2889">
        <v>1185732</v>
      </c>
      <c r="C2889" s="1">
        <v>44365</v>
      </c>
      <c r="D2889" t="s">
        <v>33</v>
      </c>
      <c r="E2889" t="s">
        <v>34</v>
      </c>
      <c r="F2889" t="s">
        <v>35</v>
      </c>
      <c r="G2889" t="s">
        <v>16</v>
      </c>
      <c r="H2889" s="2">
        <v>42</v>
      </c>
      <c r="I2889">
        <v>142</v>
      </c>
      <c r="J2889">
        <v>596</v>
      </c>
      <c r="K2889" s="4">
        <v>388</v>
      </c>
      <c r="L2889" t="s">
        <v>17</v>
      </c>
    </row>
    <row r="2890" spans="1:12" x14ac:dyDescent="0.35">
      <c r="A2890" t="s">
        <v>18</v>
      </c>
      <c r="B2890">
        <v>1128299</v>
      </c>
      <c r="C2890" s="1">
        <v>44493</v>
      </c>
      <c r="D2890" t="s">
        <v>48</v>
      </c>
      <c r="E2890" t="s">
        <v>85</v>
      </c>
      <c r="F2890" t="s">
        <v>86</v>
      </c>
      <c r="G2890" t="s">
        <v>39</v>
      </c>
      <c r="H2890" s="2">
        <v>50</v>
      </c>
      <c r="I2890">
        <v>142</v>
      </c>
      <c r="J2890">
        <v>710</v>
      </c>
      <c r="K2890" s="4">
        <v>327</v>
      </c>
      <c r="L2890" t="s">
        <v>17</v>
      </c>
    </row>
    <row r="2891" spans="1:12" x14ac:dyDescent="0.35">
      <c r="A2891" t="s">
        <v>18</v>
      </c>
      <c r="B2891">
        <v>1128299</v>
      </c>
      <c r="C2891" s="1">
        <v>44303</v>
      </c>
      <c r="D2891" t="s">
        <v>19</v>
      </c>
      <c r="E2891" t="s">
        <v>20</v>
      </c>
      <c r="F2891" t="s">
        <v>21</v>
      </c>
      <c r="G2891" t="s">
        <v>26</v>
      </c>
      <c r="H2891" s="2">
        <v>48</v>
      </c>
      <c r="I2891">
        <v>142</v>
      </c>
      <c r="J2891">
        <v>682</v>
      </c>
      <c r="K2891" s="4">
        <v>354</v>
      </c>
      <c r="L2891" t="s">
        <v>17</v>
      </c>
    </row>
    <row r="2892" spans="1:12" x14ac:dyDescent="0.35">
      <c r="A2892" t="s">
        <v>23</v>
      </c>
      <c r="B2892">
        <v>1197831</v>
      </c>
      <c r="C2892" s="1">
        <v>44473</v>
      </c>
      <c r="D2892" t="s">
        <v>48</v>
      </c>
      <c r="E2892" t="s">
        <v>79</v>
      </c>
      <c r="F2892" t="s">
        <v>80</v>
      </c>
      <c r="G2892" t="s">
        <v>16</v>
      </c>
      <c r="H2892" s="2">
        <v>42</v>
      </c>
      <c r="I2892">
        <v>142</v>
      </c>
      <c r="J2892">
        <v>596</v>
      </c>
      <c r="K2892" s="4">
        <v>394</v>
      </c>
      <c r="L2892" t="s">
        <v>17</v>
      </c>
    </row>
    <row r="2893" spans="1:12" x14ac:dyDescent="0.35">
      <c r="A2893" t="s">
        <v>42</v>
      </c>
      <c r="B2893">
        <v>1197831</v>
      </c>
      <c r="C2893" s="1">
        <v>44534</v>
      </c>
      <c r="D2893" t="s">
        <v>48</v>
      </c>
      <c r="E2893" t="s">
        <v>79</v>
      </c>
      <c r="F2893" t="s">
        <v>80</v>
      </c>
      <c r="G2893" t="s">
        <v>56</v>
      </c>
      <c r="H2893" s="2">
        <v>59</v>
      </c>
      <c r="I2893">
        <v>142</v>
      </c>
      <c r="J2893">
        <v>838</v>
      </c>
      <c r="K2893" s="4">
        <v>545</v>
      </c>
      <c r="L2893" t="s">
        <v>17</v>
      </c>
    </row>
    <row r="2894" spans="1:12" x14ac:dyDescent="0.35">
      <c r="A2894" t="s">
        <v>42</v>
      </c>
      <c r="B2894">
        <v>1128299</v>
      </c>
      <c r="C2894" s="1">
        <v>44399</v>
      </c>
      <c r="D2894" t="s">
        <v>48</v>
      </c>
      <c r="E2894" t="s">
        <v>123</v>
      </c>
      <c r="F2894" t="s">
        <v>124</v>
      </c>
      <c r="G2894" t="s">
        <v>39</v>
      </c>
      <c r="H2894" s="2">
        <v>50</v>
      </c>
      <c r="I2894">
        <v>142</v>
      </c>
      <c r="J2894">
        <v>710</v>
      </c>
      <c r="K2894" s="4">
        <v>362</v>
      </c>
      <c r="L2894" t="s">
        <v>17</v>
      </c>
    </row>
    <row r="2895" spans="1:12" x14ac:dyDescent="0.35">
      <c r="A2895" t="s">
        <v>63</v>
      </c>
      <c r="B2895">
        <v>1128299</v>
      </c>
      <c r="C2895" s="1">
        <v>44434</v>
      </c>
      <c r="D2895" t="s">
        <v>48</v>
      </c>
      <c r="E2895" t="s">
        <v>114</v>
      </c>
      <c r="F2895" t="s">
        <v>115</v>
      </c>
      <c r="G2895" t="s">
        <v>32</v>
      </c>
      <c r="H2895" s="2">
        <v>58</v>
      </c>
      <c r="I2895">
        <v>142</v>
      </c>
      <c r="J2895">
        <v>824</v>
      </c>
      <c r="K2895" s="4">
        <v>379</v>
      </c>
      <c r="L2895" t="s">
        <v>17</v>
      </c>
    </row>
    <row r="2896" spans="1:12" x14ac:dyDescent="0.35">
      <c r="A2896" t="s">
        <v>23</v>
      </c>
      <c r="B2896">
        <v>1128299</v>
      </c>
      <c r="C2896" s="1">
        <v>44299</v>
      </c>
      <c r="D2896" t="s">
        <v>13</v>
      </c>
      <c r="E2896" t="s">
        <v>57</v>
      </c>
      <c r="F2896" t="s">
        <v>58</v>
      </c>
      <c r="G2896" t="s">
        <v>26</v>
      </c>
      <c r="H2896" s="2">
        <v>45</v>
      </c>
      <c r="I2896">
        <v>142</v>
      </c>
      <c r="J2896">
        <v>639</v>
      </c>
      <c r="K2896" s="4">
        <v>326</v>
      </c>
      <c r="L2896" t="s">
        <v>17</v>
      </c>
    </row>
    <row r="2897" spans="1:12" x14ac:dyDescent="0.35">
      <c r="A2897" t="s">
        <v>23</v>
      </c>
      <c r="B2897">
        <v>1128299</v>
      </c>
      <c r="C2897" s="1">
        <v>44360</v>
      </c>
      <c r="D2897" t="s">
        <v>13</v>
      </c>
      <c r="E2897" t="s">
        <v>57</v>
      </c>
      <c r="F2897" t="s">
        <v>58</v>
      </c>
      <c r="G2897" t="s">
        <v>32</v>
      </c>
      <c r="H2897" s="2">
        <v>52</v>
      </c>
      <c r="I2897">
        <v>142</v>
      </c>
      <c r="J2897">
        <v>738</v>
      </c>
      <c r="K2897" s="4">
        <v>354</v>
      </c>
      <c r="L2897" t="s">
        <v>17</v>
      </c>
    </row>
    <row r="2898" spans="1:12" x14ac:dyDescent="0.35">
      <c r="A2898" t="s">
        <v>23</v>
      </c>
      <c r="B2898">
        <v>1128299</v>
      </c>
      <c r="C2898" s="1">
        <v>44482</v>
      </c>
      <c r="D2898" t="s">
        <v>13</v>
      </c>
      <c r="E2898" t="s">
        <v>57</v>
      </c>
      <c r="F2898" t="s">
        <v>58</v>
      </c>
      <c r="G2898" t="s">
        <v>39</v>
      </c>
      <c r="H2898" s="2">
        <v>47</v>
      </c>
      <c r="I2898">
        <v>142</v>
      </c>
      <c r="J2898">
        <v>667</v>
      </c>
      <c r="K2898" s="4">
        <v>347</v>
      </c>
      <c r="L2898" t="s">
        <v>17</v>
      </c>
    </row>
    <row r="2899" spans="1:12" x14ac:dyDescent="0.35">
      <c r="A2899" t="s">
        <v>23</v>
      </c>
      <c r="B2899">
        <v>1185732</v>
      </c>
      <c r="C2899" s="1">
        <v>44231</v>
      </c>
      <c r="D2899" t="s">
        <v>13</v>
      </c>
      <c r="E2899" t="s">
        <v>77</v>
      </c>
      <c r="F2899" t="s">
        <v>78</v>
      </c>
      <c r="G2899" t="s">
        <v>56</v>
      </c>
      <c r="H2899" s="2">
        <v>29</v>
      </c>
      <c r="I2899">
        <v>142</v>
      </c>
      <c r="J2899">
        <v>412</v>
      </c>
      <c r="K2899" s="4">
        <v>206</v>
      </c>
      <c r="L2899" t="s">
        <v>17</v>
      </c>
    </row>
    <row r="2900" spans="1:12" x14ac:dyDescent="0.35">
      <c r="A2900" t="s">
        <v>51</v>
      </c>
      <c r="B2900">
        <v>1185732</v>
      </c>
      <c r="C2900" s="1">
        <v>44358</v>
      </c>
      <c r="D2900" t="s">
        <v>33</v>
      </c>
      <c r="E2900" t="s">
        <v>52</v>
      </c>
      <c r="F2900" t="s">
        <v>53</v>
      </c>
      <c r="G2900" t="s">
        <v>32</v>
      </c>
      <c r="H2900" s="2">
        <v>49</v>
      </c>
      <c r="I2900">
        <v>142</v>
      </c>
      <c r="J2900">
        <v>696</v>
      </c>
      <c r="K2900" s="4">
        <v>376</v>
      </c>
      <c r="L2900" t="s">
        <v>17</v>
      </c>
    </row>
    <row r="2901" spans="1:12" x14ac:dyDescent="0.35">
      <c r="A2901" t="s">
        <v>18</v>
      </c>
      <c r="B2901">
        <v>1185732</v>
      </c>
      <c r="C2901" s="1">
        <v>44539</v>
      </c>
      <c r="D2901" t="s">
        <v>33</v>
      </c>
      <c r="E2901" t="s">
        <v>52</v>
      </c>
      <c r="F2901" t="s">
        <v>53</v>
      </c>
      <c r="G2901" t="s">
        <v>70</v>
      </c>
      <c r="H2901" s="2">
        <v>68</v>
      </c>
      <c r="I2901">
        <v>142</v>
      </c>
      <c r="J2901">
        <v>966</v>
      </c>
      <c r="K2901" s="4">
        <v>473</v>
      </c>
      <c r="L2901" t="s">
        <v>17</v>
      </c>
    </row>
    <row r="2902" spans="1:12" x14ac:dyDescent="0.35">
      <c r="A2902" t="s">
        <v>51</v>
      </c>
      <c r="B2902">
        <v>1185732</v>
      </c>
      <c r="C2902" s="1">
        <v>44369</v>
      </c>
      <c r="D2902" t="s">
        <v>13</v>
      </c>
      <c r="E2902" t="s">
        <v>106</v>
      </c>
      <c r="F2902" t="s">
        <v>107</v>
      </c>
      <c r="G2902" t="s">
        <v>26</v>
      </c>
      <c r="H2902" s="2">
        <v>36</v>
      </c>
      <c r="I2902">
        <v>142</v>
      </c>
      <c r="J2902">
        <v>511</v>
      </c>
      <c r="K2902" s="4">
        <v>256</v>
      </c>
      <c r="L2902" t="s">
        <v>17</v>
      </c>
    </row>
    <row r="2903" spans="1:12" x14ac:dyDescent="0.35">
      <c r="A2903" t="s">
        <v>42</v>
      </c>
      <c r="B2903">
        <v>1185732</v>
      </c>
      <c r="C2903" s="1">
        <v>44216</v>
      </c>
      <c r="D2903" t="s">
        <v>13</v>
      </c>
      <c r="E2903" t="s">
        <v>106</v>
      </c>
      <c r="F2903" t="s">
        <v>107</v>
      </c>
      <c r="G2903" t="s">
        <v>39</v>
      </c>
      <c r="H2903" s="2">
        <v>29</v>
      </c>
      <c r="I2903">
        <v>142</v>
      </c>
      <c r="J2903">
        <v>412</v>
      </c>
      <c r="K2903" s="4">
        <v>185</v>
      </c>
      <c r="L2903" t="s">
        <v>17</v>
      </c>
    </row>
    <row r="2904" spans="1:12" x14ac:dyDescent="0.35">
      <c r="A2904" t="s">
        <v>12</v>
      </c>
      <c r="B2904">
        <v>1185732</v>
      </c>
      <c r="C2904" s="1">
        <v>44393</v>
      </c>
      <c r="D2904" t="s">
        <v>19</v>
      </c>
      <c r="E2904" t="s">
        <v>37</v>
      </c>
      <c r="F2904" t="s">
        <v>38</v>
      </c>
      <c r="G2904" t="s">
        <v>32</v>
      </c>
      <c r="H2904" s="2">
        <v>48</v>
      </c>
      <c r="I2904">
        <v>142</v>
      </c>
      <c r="J2904">
        <v>682</v>
      </c>
      <c r="K2904" s="4">
        <v>341</v>
      </c>
      <c r="L2904" t="s">
        <v>17</v>
      </c>
    </row>
    <row r="2905" spans="1:12" x14ac:dyDescent="0.35">
      <c r="A2905" t="s">
        <v>18</v>
      </c>
      <c r="B2905">
        <v>1197831</v>
      </c>
      <c r="C2905" s="1">
        <v>44396</v>
      </c>
      <c r="D2905" t="s">
        <v>19</v>
      </c>
      <c r="E2905" t="s">
        <v>61</v>
      </c>
      <c r="F2905" t="s">
        <v>62</v>
      </c>
      <c r="G2905" t="s">
        <v>16</v>
      </c>
      <c r="H2905" s="2">
        <v>61</v>
      </c>
      <c r="I2905">
        <v>142</v>
      </c>
      <c r="J2905">
        <v>866</v>
      </c>
      <c r="K2905" s="4">
        <v>468</v>
      </c>
      <c r="L2905" t="s">
        <v>17</v>
      </c>
    </row>
    <row r="2906" spans="1:12" x14ac:dyDescent="0.35">
      <c r="A2906" t="s">
        <v>42</v>
      </c>
      <c r="B2906">
        <v>1185732</v>
      </c>
      <c r="C2906" s="1">
        <v>44452</v>
      </c>
      <c r="D2906" t="s">
        <v>43</v>
      </c>
      <c r="E2906" t="s">
        <v>95</v>
      </c>
      <c r="F2906" t="s">
        <v>96</v>
      </c>
      <c r="G2906" t="s">
        <v>26</v>
      </c>
      <c r="H2906" s="2">
        <v>50</v>
      </c>
      <c r="I2906">
        <v>142</v>
      </c>
      <c r="J2906">
        <v>710</v>
      </c>
      <c r="K2906" s="4">
        <v>348</v>
      </c>
      <c r="L2906" t="s">
        <v>17</v>
      </c>
    </row>
    <row r="2907" spans="1:12" x14ac:dyDescent="0.35">
      <c r="A2907" t="s">
        <v>23</v>
      </c>
      <c r="B2907">
        <v>1185732</v>
      </c>
      <c r="C2907" s="1">
        <v>44319</v>
      </c>
      <c r="D2907" t="s">
        <v>43</v>
      </c>
      <c r="E2907" t="s">
        <v>108</v>
      </c>
      <c r="F2907" t="s">
        <v>109</v>
      </c>
      <c r="G2907" t="s">
        <v>26</v>
      </c>
      <c r="H2907" s="2">
        <v>54</v>
      </c>
      <c r="I2907">
        <v>142</v>
      </c>
      <c r="J2907">
        <v>767</v>
      </c>
      <c r="K2907" s="4">
        <v>391</v>
      </c>
      <c r="L2907" t="s">
        <v>17</v>
      </c>
    </row>
    <row r="2908" spans="1:12" x14ac:dyDescent="0.35">
      <c r="A2908" t="s">
        <v>51</v>
      </c>
      <c r="B2908">
        <v>1185732</v>
      </c>
      <c r="C2908" s="1">
        <v>44265</v>
      </c>
      <c r="D2908" t="s">
        <v>43</v>
      </c>
      <c r="E2908" t="s">
        <v>125</v>
      </c>
      <c r="F2908" t="s">
        <v>126</v>
      </c>
      <c r="G2908" t="s">
        <v>26</v>
      </c>
      <c r="H2908" s="2">
        <v>44</v>
      </c>
      <c r="I2908">
        <v>142</v>
      </c>
      <c r="J2908">
        <v>625</v>
      </c>
      <c r="K2908" s="4">
        <v>375</v>
      </c>
      <c r="L2908" t="s">
        <v>17</v>
      </c>
    </row>
    <row r="2909" spans="1:12" x14ac:dyDescent="0.35">
      <c r="A2909" t="s">
        <v>18</v>
      </c>
      <c r="B2909">
        <v>1185732</v>
      </c>
      <c r="C2909" s="1">
        <v>44257</v>
      </c>
      <c r="D2909" t="s">
        <v>33</v>
      </c>
      <c r="E2909" t="s">
        <v>40</v>
      </c>
      <c r="F2909" t="s">
        <v>41</v>
      </c>
      <c r="G2909" t="s">
        <v>26</v>
      </c>
      <c r="H2909" s="2">
        <v>19</v>
      </c>
      <c r="I2909">
        <v>141</v>
      </c>
      <c r="J2909">
        <v>268</v>
      </c>
      <c r="K2909" s="4">
        <v>110</v>
      </c>
      <c r="L2909" t="s">
        <v>17</v>
      </c>
    </row>
    <row r="2910" spans="1:12" x14ac:dyDescent="0.35">
      <c r="A2910" t="s">
        <v>18</v>
      </c>
      <c r="B2910">
        <v>1128299</v>
      </c>
      <c r="C2910" s="1">
        <v>44146</v>
      </c>
      <c r="D2910" t="s">
        <v>48</v>
      </c>
      <c r="E2910" t="s">
        <v>66</v>
      </c>
      <c r="F2910" t="s">
        <v>67</v>
      </c>
      <c r="G2910" t="s">
        <v>70</v>
      </c>
      <c r="H2910" s="2">
        <v>50</v>
      </c>
      <c r="I2910">
        <v>140</v>
      </c>
      <c r="J2910">
        <v>700</v>
      </c>
      <c r="K2910" s="4">
        <v>427</v>
      </c>
      <c r="L2910" t="s">
        <v>17</v>
      </c>
    </row>
    <row r="2911" spans="1:12" x14ac:dyDescent="0.35">
      <c r="A2911" t="s">
        <v>23</v>
      </c>
      <c r="B2911">
        <v>1197831</v>
      </c>
      <c r="C2911" s="1">
        <v>44430</v>
      </c>
      <c r="D2911" t="s">
        <v>19</v>
      </c>
      <c r="E2911" t="s">
        <v>59</v>
      </c>
      <c r="F2911" t="s">
        <v>68</v>
      </c>
      <c r="G2911" t="s">
        <v>16</v>
      </c>
      <c r="H2911" s="2">
        <v>32</v>
      </c>
      <c r="I2911">
        <v>140</v>
      </c>
      <c r="J2911">
        <v>448</v>
      </c>
      <c r="K2911" s="4">
        <v>251</v>
      </c>
      <c r="L2911" t="s">
        <v>17</v>
      </c>
    </row>
    <row r="2912" spans="1:12" x14ac:dyDescent="0.35">
      <c r="A2912" t="s">
        <v>18</v>
      </c>
      <c r="B2912">
        <v>1128299</v>
      </c>
      <c r="C2912" s="1">
        <v>43951</v>
      </c>
      <c r="D2912" t="s">
        <v>48</v>
      </c>
      <c r="E2912" t="s">
        <v>133</v>
      </c>
      <c r="F2912" t="s">
        <v>134</v>
      </c>
      <c r="G2912" t="s">
        <v>70</v>
      </c>
      <c r="H2912" s="2">
        <v>74</v>
      </c>
      <c r="I2912">
        <v>140</v>
      </c>
      <c r="J2912" s="3">
        <v>1036</v>
      </c>
      <c r="K2912" s="4">
        <v>756</v>
      </c>
      <c r="L2912" t="s">
        <v>17</v>
      </c>
    </row>
    <row r="2913" spans="1:12" x14ac:dyDescent="0.35">
      <c r="A2913" t="s">
        <v>23</v>
      </c>
      <c r="B2913">
        <v>1197831</v>
      </c>
      <c r="C2913" s="1">
        <v>44335</v>
      </c>
      <c r="D2913" t="s">
        <v>19</v>
      </c>
      <c r="E2913" t="s">
        <v>74</v>
      </c>
      <c r="F2913" t="s">
        <v>75</v>
      </c>
      <c r="G2913" t="s">
        <v>70</v>
      </c>
      <c r="H2913" s="2">
        <v>50</v>
      </c>
      <c r="I2913">
        <v>140</v>
      </c>
      <c r="J2913">
        <v>700</v>
      </c>
      <c r="K2913" s="4">
        <v>350</v>
      </c>
      <c r="L2913" t="s">
        <v>17</v>
      </c>
    </row>
    <row r="2914" spans="1:12" x14ac:dyDescent="0.35">
      <c r="A2914" t="s">
        <v>51</v>
      </c>
      <c r="B2914">
        <v>1185732</v>
      </c>
      <c r="C2914" s="1">
        <v>44487</v>
      </c>
      <c r="D2914" t="s">
        <v>43</v>
      </c>
      <c r="E2914" t="s">
        <v>122</v>
      </c>
      <c r="F2914" t="s">
        <v>86</v>
      </c>
      <c r="G2914" t="s">
        <v>26</v>
      </c>
      <c r="H2914" s="2">
        <v>38</v>
      </c>
      <c r="I2914">
        <v>140</v>
      </c>
      <c r="J2914">
        <v>532</v>
      </c>
      <c r="K2914" s="4">
        <v>261</v>
      </c>
      <c r="L2914" t="s">
        <v>17</v>
      </c>
    </row>
    <row r="2915" spans="1:12" x14ac:dyDescent="0.35">
      <c r="A2915" t="s">
        <v>12</v>
      </c>
      <c r="B2915">
        <v>1128299</v>
      </c>
      <c r="C2915" s="1">
        <v>44510</v>
      </c>
      <c r="D2915" t="s">
        <v>48</v>
      </c>
      <c r="E2915" t="s">
        <v>129</v>
      </c>
      <c r="F2915" t="s">
        <v>130</v>
      </c>
      <c r="G2915" t="s">
        <v>16</v>
      </c>
      <c r="H2915" s="2">
        <v>82</v>
      </c>
      <c r="I2915">
        <v>140</v>
      </c>
      <c r="J2915" s="3">
        <v>1148</v>
      </c>
      <c r="K2915" s="4">
        <v>597</v>
      </c>
      <c r="L2915" t="s">
        <v>17</v>
      </c>
    </row>
    <row r="2916" spans="1:12" x14ac:dyDescent="0.35">
      <c r="A2916" t="s">
        <v>12</v>
      </c>
      <c r="B2916">
        <v>1128299</v>
      </c>
      <c r="C2916" s="1">
        <v>44457</v>
      </c>
      <c r="D2916" t="s">
        <v>13</v>
      </c>
      <c r="E2916" t="s">
        <v>14</v>
      </c>
      <c r="F2916" t="s">
        <v>15</v>
      </c>
      <c r="G2916" t="s">
        <v>26</v>
      </c>
      <c r="H2916" s="2">
        <v>58</v>
      </c>
      <c r="I2916">
        <v>140</v>
      </c>
      <c r="J2916">
        <v>812</v>
      </c>
      <c r="K2916" s="4">
        <v>325</v>
      </c>
      <c r="L2916" t="s">
        <v>17</v>
      </c>
    </row>
    <row r="2917" spans="1:12" x14ac:dyDescent="0.35">
      <c r="A2917" t="s">
        <v>63</v>
      </c>
      <c r="B2917">
        <v>1185732</v>
      </c>
      <c r="C2917" s="1">
        <v>44297</v>
      </c>
      <c r="D2917" t="s">
        <v>48</v>
      </c>
      <c r="E2917" t="s">
        <v>102</v>
      </c>
      <c r="F2917" t="s">
        <v>103</v>
      </c>
      <c r="G2917" t="s">
        <v>39</v>
      </c>
      <c r="H2917" s="2">
        <v>39</v>
      </c>
      <c r="I2917">
        <v>140</v>
      </c>
      <c r="J2917">
        <v>546</v>
      </c>
      <c r="K2917" s="4">
        <v>246</v>
      </c>
      <c r="L2917" t="s">
        <v>17</v>
      </c>
    </row>
    <row r="2918" spans="1:12" x14ac:dyDescent="0.35">
      <c r="A2918" t="s">
        <v>63</v>
      </c>
      <c r="B2918">
        <v>1185732</v>
      </c>
      <c r="C2918" s="1">
        <v>44359</v>
      </c>
      <c r="D2918" t="s">
        <v>48</v>
      </c>
      <c r="E2918" t="s">
        <v>102</v>
      </c>
      <c r="F2918" t="s">
        <v>103</v>
      </c>
      <c r="G2918" t="s">
        <v>56</v>
      </c>
      <c r="H2918" s="2">
        <v>38</v>
      </c>
      <c r="I2918">
        <v>140</v>
      </c>
      <c r="J2918">
        <v>532</v>
      </c>
      <c r="K2918" s="4">
        <v>250</v>
      </c>
      <c r="L2918" t="s">
        <v>17</v>
      </c>
    </row>
    <row r="2919" spans="1:12" x14ac:dyDescent="0.35">
      <c r="A2919" t="s">
        <v>63</v>
      </c>
      <c r="B2919">
        <v>1185732</v>
      </c>
      <c r="C2919" s="1">
        <v>44419</v>
      </c>
      <c r="D2919" t="s">
        <v>48</v>
      </c>
      <c r="E2919" t="s">
        <v>102</v>
      </c>
      <c r="F2919" t="s">
        <v>103</v>
      </c>
      <c r="G2919" t="s">
        <v>70</v>
      </c>
      <c r="H2919" s="2">
        <v>47</v>
      </c>
      <c r="I2919">
        <v>140</v>
      </c>
      <c r="J2919">
        <v>658</v>
      </c>
      <c r="K2919" s="4">
        <v>270</v>
      </c>
      <c r="L2919" t="s">
        <v>17</v>
      </c>
    </row>
    <row r="2920" spans="1:12" x14ac:dyDescent="0.35">
      <c r="A2920" t="s">
        <v>18</v>
      </c>
      <c r="B2920">
        <v>1128299</v>
      </c>
      <c r="C2920" s="1">
        <v>44244</v>
      </c>
      <c r="D2920" t="s">
        <v>48</v>
      </c>
      <c r="E2920" t="s">
        <v>85</v>
      </c>
      <c r="F2920" t="s">
        <v>86</v>
      </c>
      <c r="G2920" t="s">
        <v>26</v>
      </c>
      <c r="H2920" s="2">
        <v>33</v>
      </c>
      <c r="I2920">
        <v>140</v>
      </c>
      <c r="J2920">
        <v>462</v>
      </c>
      <c r="K2920" s="4">
        <v>245</v>
      </c>
      <c r="L2920" t="s">
        <v>17</v>
      </c>
    </row>
    <row r="2921" spans="1:12" x14ac:dyDescent="0.35">
      <c r="A2921" t="s">
        <v>63</v>
      </c>
      <c r="B2921">
        <v>1128299</v>
      </c>
      <c r="C2921" s="1">
        <v>44402</v>
      </c>
      <c r="D2921" t="s">
        <v>48</v>
      </c>
      <c r="E2921" t="s">
        <v>114</v>
      </c>
      <c r="F2921" t="s">
        <v>115</v>
      </c>
      <c r="G2921" t="s">
        <v>16</v>
      </c>
      <c r="H2921" s="2">
        <v>69</v>
      </c>
      <c r="I2921">
        <v>140</v>
      </c>
      <c r="J2921">
        <v>966</v>
      </c>
      <c r="K2921" s="4">
        <v>367</v>
      </c>
      <c r="L2921" t="s">
        <v>17</v>
      </c>
    </row>
    <row r="2922" spans="1:12" x14ac:dyDescent="0.35">
      <c r="A2922" t="s">
        <v>63</v>
      </c>
      <c r="B2922">
        <v>1128299</v>
      </c>
      <c r="C2922" s="1">
        <v>44526</v>
      </c>
      <c r="D2922" t="s">
        <v>48</v>
      </c>
      <c r="E2922" t="s">
        <v>114</v>
      </c>
      <c r="F2922" t="s">
        <v>115</v>
      </c>
      <c r="G2922" t="s">
        <v>16</v>
      </c>
      <c r="H2922" s="2">
        <v>72</v>
      </c>
      <c r="I2922">
        <v>140</v>
      </c>
      <c r="J2922" s="3">
        <v>1008</v>
      </c>
      <c r="K2922" s="4">
        <v>393</v>
      </c>
      <c r="L2922" t="s">
        <v>17</v>
      </c>
    </row>
    <row r="2923" spans="1:12" x14ac:dyDescent="0.35">
      <c r="A2923" t="s">
        <v>23</v>
      </c>
      <c r="B2923">
        <v>1185732</v>
      </c>
      <c r="C2923" s="1">
        <v>44289</v>
      </c>
      <c r="D2923" t="s">
        <v>13</v>
      </c>
      <c r="E2923" t="s">
        <v>77</v>
      </c>
      <c r="F2923" t="s">
        <v>78</v>
      </c>
      <c r="G2923" t="s">
        <v>56</v>
      </c>
      <c r="H2923" s="2">
        <v>24</v>
      </c>
      <c r="I2923">
        <v>140</v>
      </c>
      <c r="J2923">
        <v>336</v>
      </c>
      <c r="K2923" s="4">
        <v>181</v>
      </c>
      <c r="L2923" t="s">
        <v>17</v>
      </c>
    </row>
    <row r="2924" spans="1:12" x14ac:dyDescent="0.35">
      <c r="A2924" t="s">
        <v>51</v>
      </c>
      <c r="B2924">
        <v>1185732</v>
      </c>
      <c r="C2924" s="1">
        <v>44358</v>
      </c>
      <c r="D2924" t="s">
        <v>33</v>
      </c>
      <c r="E2924" t="s">
        <v>52</v>
      </c>
      <c r="F2924" t="s">
        <v>53</v>
      </c>
      <c r="G2924" t="s">
        <v>56</v>
      </c>
      <c r="H2924" s="2">
        <v>49</v>
      </c>
      <c r="I2924">
        <v>140</v>
      </c>
      <c r="J2924">
        <v>686</v>
      </c>
      <c r="K2924" s="4">
        <v>350</v>
      </c>
      <c r="L2924" t="s">
        <v>17</v>
      </c>
    </row>
    <row r="2925" spans="1:12" x14ac:dyDescent="0.35">
      <c r="A2925" t="s">
        <v>51</v>
      </c>
      <c r="B2925">
        <v>1185732</v>
      </c>
      <c r="C2925" s="1">
        <v>44510</v>
      </c>
      <c r="D2925" t="s">
        <v>33</v>
      </c>
      <c r="E2925" t="s">
        <v>52</v>
      </c>
      <c r="F2925" t="s">
        <v>53</v>
      </c>
      <c r="G2925" t="s">
        <v>39</v>
      </c>
      <c r="H2925" s="2">
        <v>24</v>
      </c>
      <c r="I2925">
        <v>140</v>
      </c>
      <c r="J2925">
        <v>336</v>
      </c>
      <c r="K2925" s="4">
        <v>151</v>
      </c>
      <c r="L2925" t="s">
        <v>17</v>
      </c>
    </row>
    <row r="2926" spans="1:12" x14ac:dyDescent="0.35">
      <c r="A2926" t="s">
        <v>42</v>
      </c>
      <c r="B2926">
        <v>1185732</v>
      </c>
      <c r="C2926" s="1">
        <v>44332</v>
      </c>
      <c r="D2926" t="s">
        <v>19</v>
      </c>
      <c r="E2926" t="s">
        <v>37</v>
      </c>
      <c r="F2926" t="s">
        <v>38</v>
      </c>
      <c r="G2926" t="s">
        <v>16</v>
      </c>
      <c r="H2926" s="2">
        <v>47</v>
      </c>
      <c r="I2926">
        <v>140</v>
      </c>
      <c r="J2926">
        <v>658</v>
      </c>
      <c r="K2926" s="4">
        <v>421</v>
      </c>
      <c r="L2926" t="s">
        <v>17</v>
      </c>
    </row>
    <row r="2927" spans="1:12" x14ac:dyDescent="0.35">
      <c r="A2927" t="s">
        <v>18</v>
      </c>
      <c r="B2927">
        <v>1197831</v>
      </c>
      <c r="C2927" s="1">
        <v>44549</v>
      </c>
      <c r="D2927" t="s">
        <v>19</v>
      </c>
      <c r="E2927" t="s">
        <v>54</v>
      </c>
      <c r="F2927" t="s">
        <v>55</v>
      </c>
      <c r="G2927" t="s">
        <v>39</v>
      </c>
      <c r="H2927" s="2">
        <v>54</v>
      </c>
      <c r="I2927">
        <v>140</v>
      </c>
      <c r="J2927">
        <v>756</v>
      </c>
      <c r="K2927" s="4">
        <v>355</v>
      </c>
      <c r="L2927" t="s">
        <v>17</v>
      </c>
    </row>
    <row r="2928" spans="1:12" x14ac:dyDescent="0.35">
      <c r="A2928" t="s">
        <v>63</v>
      </c>
      <c r="B2928">
        <v>1197831</v>
      </c>
      <c r="C2928" s="1">
        <v>44389</v>
      </c>
      <c r="D2928" t="s">
        <v>33</v>
      </c>
      <c r="E2928" t="s">
        <v>71</v>
      </c>
      <c r="F2928" t="s">
        <v>72</v>
      </c>
      <c r="G2928" t="s">
        <v>16</v>
      </c>
      <c r="H2928" s="2">
        <v>60</v>
      </c>
      <c r="I2928">
        <v>140</v>
      </c>
      <c r="J2928">
        <v>840</v>
      </c>
      <c r="K2928" s="4">
        <v>412</v>
      </c>
      <c r="L2928" t="s">
        <v>17</v>
      </c>
    </row>
    <row r="2929" spans="1:12" x14ac:dyDescent="0.35">
      <c r="A2929" t="s">
        <v>23</v>
      </c>
      <c r="B2929">
        <v>1185732</v>
      </c>
      <c r="C2929" s="1">
        <v>44541</v>
      </c>
      <c r="D2929" t="s">
        <v>33</v>
      </c>
      <c r="E2929" t="s">
        <v>87</v>
      </c>
      <c r="F2929" t="s">
        <v>88</v>
      </c>
      <c r="G2929" t="s">
        <v>26</v>
      </c>
      <c r="H2929" s="2">
        <v>58</v>
      </c>
      <c r="I2929">
        <v>140</v>
      </c>
      <c r="J2929">
        <v>812</v>
      </c>
      <c r="K2929" s="4">
        <v>374</v>
      </c>
      <c r="L2929" t="s">
        <v>17</v>
      </c>
    </row>
    <row r="2930" spans="1:12" x14ac:dyDescent="0.35">
      <c r="A2930" t="s">
        <v>18</v>
      </c>
      <c r="B2930">
        <v>1185732</v>
      </c>
      <c r="C2930" s="1">
        <v>44230</v>
      </c>
      <c r="D2930" t="s">
        <v>33</v>
      </c>
      <c r="E2930" t="s">
        <v>91</v>
      </c>
      <c r="F2930" t="s">
        <v>92</v>
      </c>
      <c r="G2930" t="s">
        <v>26</v>
      </c>
      <c r="H2930" s="2">
        <v>29</v>
      </c>
      <c r="I2930">
        <v>140</v>
      </c>
      <c r="J2930">
        <v>406</v>
      </c>
      <c r="K2930" s="4">
        <v>166</v>
      </c>
      <c r="L2930" t="s">
        <v>17</v>
      </c>
    </row>
    <row r="2931" spans="1:12" x14ac:dyDescent="0.35">
      <c r="A2931" t="s">
        <v>18</v>
      </c>
      <c r="B2931">
        <v>1185732</v>
      </c>
      <c r="C2931" s="1">
        <v>44206</v>
      </c>
      <c r="D2931" t="s">
        <v>33</v>
      </c>
      <c r="E2931" t="s">
        <v>40</v>
      </c>
      <c r="F2931" t="s">
        <v>41</v>
      </c>
      <c r="G2931" t="s">
        <v>26</v>
      </c>
      <c r="H2931" s="2">
        <v>32</v>
      </c>
      <c r="I2931">
        <v>140</v>
      </c>
      <c r="J2931">
        <v>448</v>
      </c>
      <c r="K2931" s="4">
        <v>233</v>
      </c>
      <c r="L2931" t="s">
        <v>17</v>
      </c>
    </row>
    <row r="2932" spans="1:12" x14ac:dyDescent="0.35">
      <c r="A2932" t="s">
        <v>23</v>
      </c>
      <c r="B2932">
        <v>1185732</v>
      </c>
      <c r="C2932" s="1">
        <v>44242</v>
      </c>
      <c r="D2932" t="s">
        <v>43</v>
      </c>
      <c r="E2932" t="s">
        <v>110</v>
      </c>
      <c r="F2932" t="s">
        <v>111</v>
      </c>
      <c r="G2932" t="s">
        <v>26</v>
      </c>
      <c r="H2932" s="2">
        <v>36</v>
      </c>
      <c r="I2932">
        <v>140</v>
      </c>
      <c r="J2932">
        <v>504</v>
      </c>
      <c r="K2932" s="4">
        <v>207</v>
      </c>
      <c r="L2932" t="s">
        <v>17</v>
      </c>
    </row>
    <row r="2933" spans="1:12" x14ac:dyDescent="0.35">
      <c r="A2933" t="s">
        <v>63</v>
      </c>
      <c r="B2933">
        <v>1189833</v>
      </c>
      <c r="C2933" s="1">
        <v>44272</v>
      </c>
      <c r="D2933" t="s">
        <v>48</v>
      </c>
      <c r="E2933" t="s">
        <v>66</v>
      </c>
      <c r="F2933" t="s">
        <v>76</v>
      </c>
      <c r="G2933" t="s">
        <v>70</v>
      </c>
      <c r="H2933" s="2">
        <v>40</v>
      </c>
      <c r="I2933">
        <v>140</v>
      </c>
      <c r="J2933">
        <v>560</v>
      </c>
      <c r="K2933" s="4">
        <v>319</v>
      </c>
      <c r="L2933" t="s">
        <v>27</v>
      </c>
    </row>
    <row r="2934" spans="1:12" x14ac:dyDescent="0.35">
      <c r="A2934" t="s">
        <v>63</v>
      </c>
      <c r="B2934">
        <v>1189833</v>
      </c>
      <c r="C2934" s="1">
        <v>44303</v>
      </c>
      <c r="D2934" t="s">
        <v>48</v>
      </c>
      <c r="E2934" t="s">
        <v>66</v>
      </c>
      <c r="F2934" t="s">
        <v>76</v>
      </c>
      <c r="G2934" t="s">
        <v>70</v>
      </c>
      <c r="H2934" s="2">
        <v>38</v>
      </c>
      <c r="I2934">
        <v>140</v>
      </c>
      <c r="J2934">
        <v>532</v>
      </c>
      <c r="K2934" s="4">
        <v>314</v>
      </c>
      <c r="L2934" t="s">
        <v>27</v>
      </c>
    </row>
    <row r="2935" spans="1:12" x14ac:dyDescent="0.35">
      <c r="A2935" t="s">
        <v>23</v>
      </c>
      <c r="B2935">
        <v>1197831</v>
      </c>
      <c r="C2935" s="1">
        <v>44434</v>
      </c>
      <c r="D2935" t="s">
        <v>19</v>
      </c>
      <c r="E2935" t="s">
        <v>59</v>
      </c>
      <c r="F2935" t="s">
        <v>68</v>
      </c>
      <c r="G2935" t="s">
        <v>56</v>
      </c>
      <c r="H2935" s="2">
        <v>26</v>
      </c>
      <c r="I2935">
        <v>140</v>
      </c>
      <c r="J2935">
        <v>364</v>
      </c>
      <c r="K2935" s="4">
        <v>171</v>
      </c>
      <c r="L2935" t="s">
        <v>27</v>
      </c>
    </row>
    <row r="2936" spans="1:12" x14ac:dyDescent="0.35">
      <c r="A2936" t="s">
        <v>42</v>
      </c>
      <c r="B2936">
        <v>1185732</v>
      </c>
      <c r="C2936" s="1">
        <v>44509</v>
      </c>
      <c r="D2936" t="s">
        <v>43</v>
      </c>
      <c r="E2936" t="s">
        <v>135</v>
      </c>
      <c r="F2936" t="s">
        <v>136</v>
      </c>
      <c r="G2936" t="s">
        <v>26</v>
      </c>
      <c r="H2936" s="2">
        <v>35</v>
      </c>
      <c r="I2936">
        <v>140</v>
      </c>
      <c r="J2936">
        <v>490</v>
      </c>
      <c r="K2936" s="4">
        <v>279</v>
      </c>
      <c r="L2936" t="s">
        <v>27</v>
      </c>
    </row>
    <row r="2937" spans="1:12" x14ac:dyDescent="0.35">
      <c r="A2937" t="s">
        <v>18</v>
      </c>
      <c r="B2937">
        <v>1128299</v>
      </c>
      <c r="C2937" s="1">
        <v>43834</v>
      </c>
      <c r="D2937" t="s">
        <v>43</v>
      </c>
      <c r="E2937" t="s">
        <v>135</v>
      </c>
      <c r="F2937" t="s">
        <v>136</v>
      </c>
      <c r="G2937" t="s">
        <v>32</v>
      </c>
      <c r="H2937" s="2">
        <v>36</v>
      </c>
      <c r="I2937">
        <v>140</v>
      </c>
      <c r="J2937">
        <v>504</v>
      </c>
      <c r="K2937" s="4">
        <v>237</v>
      </c>
      <c r="L2937" t="s">
        <v>27</v>
      </c>
    </row>
    <row r="2938" spans="1:12" x14ac:dyDescent="0.35">
      <c r="A2938" t="s">
        <v>18</v>
      </c>
      <c r="B2938">
        <v>1128299</v>
      </c>
      <c r="C2938" s="1">
        <v>43840</v>
      </c>
      <c r="D2938" t="s">
        <v>48</v>
      </c>
      <c r="E2938" t="s">
        <v>116</v>
      </c>
      <c r="F2938" t="s">
        <v>117</v>
      </c>
      <c r="G2938" t="s">
        <v>32</v>
      </c>
      <c r="H2938" s="2">
        <v>31</v>
      </c>
      <c r="I2938">
        <v>140</v>
      </c>
      <c r="J2938">
        <v>434</v>
      </c>
      <c r="K2938" s="4">
        <v>187</v>
      </c>
      <c r="L2938" t="s">
        <v>27</v>
      </c>
    </row>
    <row r="2939" spans="1:12" x14ac:dyDescent="0.35">
      <c r="A2939" t="s">
        <v>18</v>
      </c>
      <c r="B2939">
        <v>1128299</v>
      </c>
      <c r="C2939" s="1">
        <v>43843</v>
      </c>
      <c r="D2939" t="s">
        <v>48</v>
      </c>
      <c r="E2939" t="s">
        <v>116</v>
      </c>
      <c r="F2939" t="s">
        <v>117</v>
      </c>
      <c r="G2939" t="s">
        <v>16</v>
      </c>
      <c r="H2939" s="2">
        <v>31</v>
      </c>
      <c r="I2939">
        <v>140</v>
      </c>
      <c r="J2939">
        <v>434</v>
      </c>
      <c r="K2939" s="4">
        <v>100</v>
      </c>
      <c r="L2939" t="s">
        <v>27</v>
      </c>
    </row>
    <row r="2940" spans="1:12" x14ac:dyDescent="0.35">
      <c r="A2940" t="s">
        <v>18</v>
      </c>
      <c r="B2940">
        <v>1128299</v>
      </c>
      <c r="C2940" s="1">
        <v>43861</v>
      </c>
      <c r="D2940" t="s">
        <v>48</v>
      </c>
      <c r="E2940" t="s">
        <v>116</v>
      </c>
      <c r="F2940" t="s">
        <v>117</v>
      </c>
      <c r="G2940" t="s">
        <v>16</v>
      </c>
      <c r="H2940" s="2">
        <v>54</v>
      </c>
      <c r="I2940">
        <v>140</v>
      </c>
      <c r="J2940">
        <v>756</v>
      </c>
      <c r="K2940" s="4">
        <v>242</v>
      </c>
      <c r="L2940" t="s">
        <v>27</v>
      </c>
    </row>
    <row r="2941" spans="1:12" x14ac:dyDescent="0.35">
      <c r="A2941" t="s">
        <v>18</v>
      </c>
      <c r="B2941">
        <v>1128299</v>
      </c>
      <c r="C2941" s="1">
        <v>43871</v>
      </c>
      <c r="D2941" t="s">
        <v>48</v>
      </c>
      <c r="E2941" t="s">
        <v>116</v>
      </c>
      <c r="F2941" t="s">
        <v>117</v>
      </c>
      <c r="G2941" t="s">
        <v>56</v>
      </c>
      <c r="H2941" s="2">
        <v>46</v>
      </c>
      <c r="I2941">
        <v>140</v>
      </c>
      <c r="J2941">
        <v>644</v>
      </c>
      <c r="K2941" s="4">
        <v>270</v>
      </c>
      <c r="L2941" t="s">
        <v>27</v>
      </c>
    </row>
    <row r="2942" spans="1:12" x14ac:dyDescent="0.35">
      <c r="A2942" t="s">
        <v>18</v>
      </c>
      <c r="B2942">
        <v>1128299</v>
      </c>
      <c r="C2942" s="1">
        <v>43885</v>
      </c>
      <c r="D2942" t="s">
        <v>48</v>
      </c>
      <c r="E2942" t="s">
        <v>116</v>
      </c>
      <c r="F2942" t="s">
        <v>117</v>
      </c>
      <c r="G2942" t="s">
        <v>16</v>
      </c>
      <c r="H2942" s="2">
        <v>54</v>
      </c>
      <c r="I2942">
        <v>140</v>
      </c>
      <c r="J2942">
        <v>756</v>
      </c>
      <c r="K2942" s="4">
        <v>159</v>
      </c>
      <c r="L2942" t="s">
        <v>27</v>
      </c>
    </row>
    <row r="2943" spans="1:12" x14ac:dyDescent="0.35">
      <c r="A2943" t="s">
        <v>18</v>
      </c>
      <c r="B2943">
        <v>1128299</v>
      </c>
      <c r="C2943" s="1">
        <v>43895</v>
      </c>
      <c r="D2943" t="s">
        <v>48</v>
      </c>
      <c r="E2943" t="s">
        <v>116</v>
      </c>
      <c r="F2943" t="s">
        <v>117</v>
      </c>
      <c r="G2943" t="s">
        <v>32</v>
      </c>
      <c r="H2943" s="2">
        <v>44</v>
      </c>
      <c r="I2943">
        <v>140</v>
      </c>
      <c r="J2943">
        <v>616</v>
      </c>
      <c r="K2943" s="4">
        <v>259</v>
      </c>
      <c r="L2943" t="s">
        <v>27</v>
      </c>
    </row>
    <row r="2944" spans="1:12" x14ac:dyDescent="0.35">
      <c r="A2944" t="s">
        <v>23</v>
      </c>
      <c r="B2944">
        <v>1197831</v>
      </c>
      <c r="C2944" s="1">
        <v>44273</v>
      </c>
      <c r="D2944" t="s">
        <v>19</v>
      </c>
      <c r="E2944" t="s">
        <v>74</v>
      </c>
      <c r="F2944" t="s">
        <v>75</v>
      </c>
      <c r="G2944" t="s">
        <v>32</v>
      </c>
      <c r="H2944" s="2">
        <v>23</v>
      </c>
      <c r="I2944">
        <v>140</v>
      </c>
      <c r="J2944">
        <v>322</v>
      </c>
      <c r="K2944" s="4">
        <v>126</v>
      </c>
      <c r="L2944" t="s">
        <v>27</v>
      </c>
    </row>
    <row r="2945" spans="1:12" x14ac:dyDescent="0.35">
      <c r="A2945" t="s">
        <v>23</v>
      </c>
      <c r="B2945">
        <v>1197831</v>
      </c>
      <c r="C2945" s="1">
        <v>44329</v>
      </c>
      <c r="D2945" t="s">
        <v>19</v>
      </c>
      <c r="E2945" t="s">
        <v>74</v>
      </c>
      <c r="F2945" t="s">
        <v>75</v>
      </c>
      <c r="G2945" t="s">
        <v>70</v>
      </c>
      <c r="H2945" s="2">
        <v>43</v>
      </c>
      <c r="I2945">
        <v>140</v>
      </c>
      <c r="J2945">
        <v>602</v>
      </c>
      <c r="K2945" s="4">
        <v>277</v>
      </c>
      <c r="L2945" t="s">
        <v>27</v>
      </c>
    </row>
    <row r="2946" spans="1:12" x14ac:dyDescent="0.35">
      <c r="A2946" t="s">
        <v>42</v>
      </c>
      <c r="B2946">
        <v>1185732</v>
      </c>
      <c r="C2946" s="1">
        <v>44337</v>
      </c>
      <c r="D2946" t="s">
        <v>19</v>
      </c>
      <c r="E2946" t="s">
        <v>74</v>
      </c>
      <c r="F2946" t="s">
        <v>75</v>
      </c>
      <c r="G2946" t="s">
        <v>26</v>
      </c>
      <c r="H2946" s="2">
        <v>27</v>
      </c>
      <c r="I2946">
        <v>140</v>
      </c>
      <c r="J2946">
        <v>378</v>
      </c>
      <c r="K2946" s="4">
        <v>166</v>
      </c>
      <c r="L2946" t="s">
        <v>27</v>
      </c>
    </row>
    <row r="2947" spans="1:12" x14ac:dyDescent="0.35">
      <c r="A2947" t="s">
        <v>23</v>
      </c>
      <c r="B2947">
        <v>1197831</v>
      </c>
      <c r="C2947" s="1">
        <v>44454</v>
      </c>
      <c r="D2947" t="s">
        <v>19</v>
      </c>
      <c r="E2947" t="s">
        <v>24</v>
      </c>
      <c r="F2947" t="s">
        <v>25</v>
      </c>
      <c r="G2947" t="s">
        <v>56</v>
      </c>
      <c r="H2947" s="2">
        <v>37</v>
      </c>
      <c r="I2947">
        <v>140</v>
      </c>
      <c r="J2947">
        <v>518</v>
      </c>
      <c r="K2947" s="4">
        <v>332</v>
      </c>
      <c r="L2947" t="s">
        <v>27</v>
      </c>
    </row>
    <row r="2948" spans="1:12" x14ac:dyDescent="0.35">
      <c r="A2948" t="s">
        <v>23</v>
      </c>
      <c r="B2948">
        <v>1197831</v>
      </c>
      <c r="C2948" s="1">
        <v>44455</v>
      </c>
      <c r="D2948" t="s">
        <v>19</v>
      </c>
      <c r="E2948" t="s">
        <v>24</v>
      </c>
      <c r="F2948" t="s">
        <v>25</v>
      </c>
      <c r="G2948" t="s">
        <v>70</v>
      </c>
      <c r="H2948" s="2">
        <v>42</v>
      </c>
      <c r="I2948">
        <v>140</v>
      </c>
      <c r="J2948">
        <v>588</v>
      </c>
      <c r="K2948" s="4">
        <v>294</v>
      </c>
      <c r="L2948" t="s">
        <v>27</v>
      </c>
    </row>
    <row r="2949" spans="1:12" x14ac:dyDescent="0.35">
      <c r="A2949" t="s">
        <v>51</v>
      </c>
      <c r="B2949">
        <v>1185732</v>
      </c>
      <c r="C2949" s="1">
        <v>44481</v>
      </c>
      <c r="D2949" t="s">
        <v>19</v>
      </c>
      <c r="E2949" t="s">
        <v>24</v>
      </c>
      <c r="F2949" t="s">
        <v>25</v>
      </c>
      <c r="G2949" t="s">
        <v>26</v>
      </c>
      <c r="H2949" s="2">
        <v>27</v>
      </c>
      <c r="I2949">
        <v>140</v>
      </c>
      <c r="J2949">
        <v>378</v>
      </c>
      <c r="K2949" s="4">
        <v>147</v>
      </c>
      <c r="L2949" t="s">
        <v>27</v>
      </c>
    </row>
    <row r="2950" spans="1:12" x14ac:dyDescent="0.35">
      <c r="A2950" t="s">
        <v>12</v>
      </c>
      <c r="B2950">
        <v>1128299</v>
      </c>
      <c r="C2950" s="1">
        <v>44486</v>
      </c>
      <c r="D2950" t="s">
        <v>13</v>
      </c>
      <c r="E2950" t="s">
        <v>14</v>
      </c>
      <c r="F2950" t="s">
        <v>15</v>
      </c>
      <c r="G2950" t="s">
        <v>26</v>
      </c>
      <c r="H2950" s="2">
        <v>39</v>
      </c>
      <c r="I2950">
        <v>140</v>
      </c>
      <c r="J2950">
        <v>546</v>
      </c>
      <c r="K2950" s="4">
        <v>202</v>
      </c>
      <c r="L2950" t="s">
        <v>27</v>
      </c>
    </row>
    <row r="2951" spans="1:12" x14ac:dyDescent="0.35">
      <c r="A2951" t="s">
        <v>12</v>
      </c>
      <c r="B2951">
        <v>1128299</v>
      </c>
      <c r="C2951" s="1">
        <v>44486</v>
      </c>
      <c r="D2951" t="s">
        <v>13</v>
      </c>
      <c r="E2951" t="s">
        <v>14</v>
      </c>
      <c r="F2951" t="s">
        <v>15</v>
      </c>
      <c r="G2951" t="s">
        <v>16</v>
      </c>
      <c r="H2951" s="2">
        <v>53</v>
      </c>
      <c r="I2951">
        <v>140</v>
      </c>
      <c r="J2951">
        <v>742</v>
      </c>
      <c r="K2951" s="4">
        <v>386</v>
      </c>
      <c r="L2951" t="s">
        <v>27</v>
      </c>
    </row>
    <row r="2952" spans="1:12" x14ac:dyDescent="0.35">
      <c r="A2952" t="s">
        <v>23</v>
      </c>
      <c r="B2952">
        <v>1185732</v>
      </c>
      <c r="C2952" s="1">
        <v>44215</v>
      </c>
      <c r="D2952" t="s">
        <v>13</v>
      </c>
      <c r="E2952" t="s">
        <v>99</v>
      </c>
      <c r="F2952" t="s">
        <v>100</v>
      </c>
      <c r="G2952" t="s">
        <v>70</v>
      </c>
      <c r="H2952" s="2">
        <v>30</v>
      </c>
      <c r="I2952">
        <v>140</v>
      </c>
      <c r="J2952">
        <v>420</v>
      </c>
      <c r="K2952" s="4">
        <v>189</v>
      </c>
      <c r="L2952" t="s">
        <v>27</v>
      </c>
    </row>
    <row r="2953" spans="1:12" x14ac:dyDescent="0.35">
      <c r="A2953" t="s">
        <v>18</v>
      </c>
      <c r="B2953">
        <v>1185732</v>
      </c>
      <c r="C2953" s="1">
        <v>44265</v>
      </c>
      <c r="D2953" t="s">
        <v>48</v>
      </c>
      <c r="E2953" t="s">
        <v>49</v>
      </c>
      <c r="F2953" t="s">
        <v>50</v>
      </c>
      <c r="G2953" t="s">
        <v>32</v>
      </c>
      <c r="H2953" s="2">
        <v>16</v>
      </c>
      <c r="I2953">
        <v>140</v>
      </c>
      <c r="J2953">
        <v>224</v>
      </c>
      <c r="K2953" s="4">
        <v>87</v>
      </c>
      <c r="L2953" t="s">
        <v>27</v>
      </c>
    </row>
    <row r="2954" spans="1:12" x14ac:dyDescent="0.35">
      <c r="A2954" t="s">
        <v>18</v>
      </c>
      <c r="B2954">
        <v>1185732</v>
      </c>
      <c r="C2954" s="1">
        <v>44265</v>
      </c>
      <c r="D2954" t="s">
        <v>48</v>
      </c>
      <c r="E2954" t="s">
        <v>49</v>
      </c>
      <c r="F2954" t="s">
        <v>50</v>
      </c>
      <c r="G2954" t="s">
        <v>16</v>
      </c>
      <c r="H2954" s="2">
        <v>21</v>
      </c>
      <c r="I2954">
        <v>140</v>
      </c>
      <c r="J2954">
        <v>294</v>
      </c>
      <c r="K2954" s="4">
        <v>168</v>
      </c>
      <c r="L2954" t="s">
        <v>27</v>
      </c>
    </row>
    <row r="2955" spans="1:12" x14ac:dyDescent="0.35">
      <c r="A2955" t="s">
        <v>18</v>
      </c>
      <c r="B2955">
        <v>1185732</v>
      </c>
      <c r="C2955" s="1">
        <v>44387</v>
      </c>
      <c r="D2955" t="s">
        <v>48</v>
      </c>
      <c r="E2955" t="s">
        <v>49</v>
      </c>
      <c r="F2955" t="s">
        <v>50</v>
      </c>
      <c r="G2955" t="s">
        <v>70</v>
      </c>
      <c r="H2955" s="2">
        <v>28</v>
      </c>
      <c r="I2955">
        <v>140</v>
      </c>
      <c r="J2955">
        <v>392</v>
      </c>
      <c r="K2955" s="4">
        <v>149</v>
      </c>
      <c r="L2955" t="s">
        <v>27</v>
      </c>
    </row>
    <row r="2956" spans="1:12" x14ac:dyDescent="0.35">
      <c r="A2956" t="s">
        <v>18</v>
      </c>
      <c r="B2956">
        <v>1185732</v>
      </c>
      <c r="C2956" s="1">
        <v>44480</v>
      </c>
      <c r="D2956" t="s">
        <v>48</v>
      </c>
      <c r="E2956" t="s">
        <v>49</v>
      </c>
      <c r="F2956" t="s">
        <v>50</v>
      </c>
      <c r="G2956" t="s">
        <v>16</v>
      </c>
      <c r="H2956" s="2">
        <v>25</v>
      </c>
      <c r="I2956">
        <v>140</v>
      </c>
      <c r="J2956">
        <v>350</v>
      </c>
      <c r="K2956" s="4">
        <v>189</v>
      </c>
      <c r="L2956" t="s">
        <v>27</v>
      </c>
    </row>
    <row r="2957" spans="1:12" x14ac:dyDescent="0.35">
      <c r="A2957" t="s">
        <v>18</v>
      </c>
      <c r="B2957">
        <v>1128299</v>
      </c>
      <c r="C2957" s="1">
        <v>44371</v>
      </c>
      <c r="D2957" t="s">
        <v>48</v>
      </c>
      <c r="E2957" t="s">
        <v>85</v>
      </c>
      <c r="F2957" t="s">
        <v>86</v>
      </c>
      <c r="G2957" t="s">
        <v>70</v>
      </c>
      <c r="H2957" s="2">
        <v>67</v>
      </c>
      <c r="I2957">
        <v>140</v>
      </c>
      <c r="J2957">
        <v>938</v>
      </c>
      <c r="K2957" s="4">
        <v>431</v>
      </c>
      <c r="L2957" t="s">
        <v>27</v>
      </c>
    </row>
    <row r="2958" spans="1:12" x14ac:dyDescent="0.35">
      <c r="A2958" t="s">
        <v>18</v>
      </c>
      <c r="B2958">
        <v>1128299</v>
      </c>
      <c r="C2958" s="1">
        <v>44213</v>
      </c>
      <c r="D2958" t="s">
        <v>48</v>
      </c>
      <c r="E2958" t="s">
        <v>85</v>
      </c>
      <c r="F2958" t="s">
        <v>86</v>
      </c>
      <c r="G2958" t="s">
        <v>16</v>
      </c>
      <c r="H2958" s="2">
        <v>34</v>
      </c>
      <c r="I2958">
        <v>140</v>
      </c>
      <c r="J2958">
        <v>476</v>
      </c>
      <c r="K2958" s="4">
        <v>190</v>
      </c>
      <c r="L2958" t="s">
        <v>27</v>
      </c>
    </row>
    <row r="2959" spans="1:12" x14ac:dyDescent="0.35">
      <c r="A2959" t="s">
        <v>18</v>
      </c>
      <c r="B2959">
        <v>1128299</v>
      </c>
      <c r="C2959" s="1">
        <v>44486</v>
      </c>
      <c r="D2959" t="s">
        <v>19</v>
      </c>
      <c r="E2959" t="s">
        <v>20</v>
      </c>
      <c r="F2959" t="s">
        <v>21</v>
      </c>
      <c r="G2959" t="s">
        <v>16</v>
      </c>
      <c r="H2959" s="2">
        <v>44</v>
      </c>
      <c r="I2959">
        <v>140</v>
      </c>
      <c r="J2959">
        <v>616</v>
      </c>
      <c r="K2959" s="4">
        <v>246</v>
      </c>
      <c r="L2959" t="s">
        <v>27</v>
      </c>
    </row>
    <row r="2960" spans="1:12" x14ac:dyDescent="0.35">
      <c r="A2960" t="s">
        <v>23</v>
      </c>
      <c r="B2960">
        <v>1197831</v>
      </c>
      <c r="C2960" s="1">
        <v>44444</v>
      </c>
      <c r="D2960" t="s">
        <v>48</v>
      </c>
      <c r="E2960" t="s">
        <v>79</v>
      </c>
      <c r="F2960" t="s">
        <v>80</v>
      </c>
      <c r="G2960" t="s">
        <v>70</v>
      </c>
      <c r="H2960" s="2">
        <v>42</v>
      </c>
      <c r="I2960">
        <v>140</v>
      </c>
      <c r="J2960">
        <v>588</v>
      </c>
      <c r="K2960" s="4">
        <v>241</v>
      </c>
      <c r="L2960" t="s">
        <v>27</v>
      </c>
    </row>
    <row r="2961" spans="1:12" x14ac:dyDescent="0.35">
      <c r="A2961" t="s">
        <v>42</v>
      </c>
      <c r="B2961">
        <v>1128299</v>
      </c>
      <c r="C2961" s="1">
        <v>44219</v>
      </c>
      <c r="D2961" t="s">
        <v>48</v>
      </c>
      <c r="E2961" t="s">
        <v>79</v>
      </c>
      <c r="F2961" t="s">
        <v>80</v>
      </c>
      <c r="G2961" t="s">
        <v>39</v>
      </c>
      <c r="H2961" s="2">
        <v>30</v>
      </c>
      <c r="I2961">
        <v>140</v>
      </c>
      <c r="J2961">
        <v>420</v>
      </c>
      <c r="K2961" s="4">
        <v>181</v>
      </c>
      <c r="L2961" t="s">
        <v>27</v>
      </c>
    </row>
    <row r="2962" spans="1:12" x14ac:dyDescent="0.35">
      <c r="A2962" t="s">
        <v>42</v>
      </c>
      <c r="B2962">
        <v>1128299</v>
      </c>
      <c r="C2962" s="1">
        <v>44219</v>
      </c>
      <c r="D2962" t="s">
        <v>48</v>
      </c>
      <c r="E2962" t="s">
        <v>79</v>
      </c>
      <c r="F2962" t="s">
        <v>80</v>
      </c>
      <c r="G2962" t="s">
        <v>16</v>
      </c>
      <c r="H2962" s="2">
        <v>27</v>
      </c>
      <c r="I2962">
        <v>140</v>
      </c>
      <c r="J2962">
        <v>378</v>
      </c>
      <c r="K2962" s="4">
        <v>102</v>
      </c>
      <c r="L2962" t="s">
        <v>27</v>
      </c>
    </row>
    <row r="2963" spans="1:12" x14ac:dyDescent="0.35">
      <c r="A2963" t="s">
        <v>42</v>
      </c>
      <c r="B2963">
        <v>1128299</v>
      </c>
      <c r="C2963" s="1">
        <v>44523</v>
      </c>
      <c r="D2963" t="s">
        <v>48</v>
      </c>
      <c r="E2963" t="s">
        <v>123</v>
      </c>
      <c r="F2963" t="s">
        <v>124</v>
      </c>
      <c r="G2963" t="s">
        <v>16</v>
      </c>
      <c r="H2963" s="2">
        <v>39</v>
      </c>
      <c r="I2963">
        <v>140</v>
      </c>
      <c r="J2963">
        <v>546</v>
      </c>
      <c r="K2963" s="4">
        <v>153</v>
      </c>
      <c r="L2963" t="s">
        <v>27</v>
      </c>
    </row>
    <row r="2964" spans="1:12" x14ac:dyDescent="0.35">
      <c r="A2964" t="s">
        <v>63</v>
      </c>
      <c r="B2964">
        <v>1128299</v>
      </c>
      <c r="C2964" s="1">
        <v>44253</v>
      </c>
      <c r="D2964" t="s">
        <v>48</v>
      </c>
      <c r="E2964" t="s">
        <v>114</v>
      </c>
      <c r="F2964" t="s">
        <v>115</v>
      </c>
      <c r="G2964" t="s">
        <v>16</v>
      </c>
      <c r="H2964" s="2">
        <v>35</v>
      </c>
      <c r="I2964">
        <v>140</v>
      </c>
      <c r="J2964">
        <v>490</v>
      </c>
      <c r="K2964" s="4">
        <v>137</v>
      </c>
      <c r="L2964" t="s">
        <v>27</v>
      </c>
    </row>
    <row r="2965" spans="1:12" x14ac:dyDescent="0.35">
      <c r="A2965" t="s">
        <v>63</v>
      </c>
      <c r="B2965">
        <v>1128299</v>
      </c>
      <c r="C2965" s="1">
        <v>44312</v>
      </c>
      <c r="D2965" t="s">
        <v>48</v>
      </c>
      <c r="E2965" t="s">
        <v>114</v>
      </c>
      <c r="F2965" t="s">
        <v>115</v>
      </c>
      <c r="G2965" t="s">
        <v>32</v>
      </c>
      <c r="H2965" s="2">
        <v>44</v>
      </c>
      <c r="I2965">
        <v>140</v>
      </c>
      <c r="J2965">
        <v>616</v>
      </c>
      <c r="K2965" s="4">
        <v>259</v>
      </c>
      <c r="L2965" t="s">
        <v>27</v>
      </c>
    </row>
    <row r="2966" spans="1:12" x14ac:dyDescent="0.35">
      <c r="A2966" t="s">
        <v>23</v>
      </c>
      <c r="B2966">
        <v>1128299</v>
      </c>
      <c r="C2966" s="1">
        <v>44209</v>
      </c>
      <c r="D2966" t="s">
        <v>48</v>
      </c>
      <c r="E2966" t="s">
        <v>114</v>
      </c>
      <c r="F2966" t="s">
        <v>115</v>
      </c>
      <c r="G2966" t="s">
        <v>39</v>
      </c>
      <c r="H2966" s="2">
        <v>27</v>
      </c>
      <c r="I2966">
        <v>140</v>
      </c>
      <c r="J2966">
        <v>378</v>
      </c>
      <c r="K2966" s="4">
        <v>178</v>
      </c>
      <c r="L2966" t="s">
        <v>27</v>
      </c>
    </row>
    <row r="2967" spans="1:12" x14ac:dyDescent="0.35">
      <c r="A2967" t="s">
        <v>23</v>
      </c>
      <c r="B2967">
        <v>1128299</v>
      </c>
      <c r="C2967" s="1">
        <v>44209</v>
      </c>
      <c r="D2967" t="s">
        <v>48</v>
      </c>
      <c r="E2967" t="s">
        <v>114</v>
      </c>
      <c r="F2967" t="s">
        <v>115</v>
      </c>
      <c r="G2967" t="s">
        <v>32</v>
      </c>
      <c r="H2967" s="2">
        <v>32</v>
      </c>
      <c r="I2967">
        <v>140</v>
      </c>
      <c r="J2967">
        <v>448</v>
      </c>
      <c r="K2967" s="4">
        <v>188</v>
      </c>
      <c r="L2967" t="s">
        <v>27</v>
      </c>
    </row>
    <row r="2968" spans="1:12" x14ac:dyDescent="0.35">
      <c r="A2968" t="s">
        <v>23</v>
      </c>
      <c r="B2968">
        <v>1128299</v>
      </c>
      <c r="C2968" s="1">
        <v>44209</v>
      </c>
      <c r="D2968" t="s">
        <v>48</v>
      </c>
      <c r="E2968" t="s">
        <v>114</v>
      </c>
      <c r="F2968" t="s">
        <v>115</v>
      </c>
      <c r="G2968" t="s">
        <v>16</v>
      </c>
      <c r="H2968" s="2">
        <v>28</v>
      </c>
      <c r="I2968">
        <v>140</v>
      </c>
      <c r="J2968">
        <v>392</v>
      </c>
      <c r="K2968" s="4">
        <v>125</v>
      </c>
      <c r="L2968" t="s">
        <v>27</v>
      </c>
    </row>
    <row r="2969" spans="1:12" x14ac:dyDescent="0.35">
      <c r="A2969" t="s">
        <v>23</v>
      </c>
      <c r="B2969">
        <v>1128299</v>
      </c>
      <c r="C2969" s="1">
        <v>44421</v>
      </c>
      <c r="D2969" t="s">
        <v>13</v>
      </c>
      <c r="E2969" t="s">
        <v>57</v>
      </c>
      <c r="F2969" t="s">
        <v>58</v>
      </c>
      <c r="G2969" t="s">
        <v>70</v>
      </c>
      <c r="H2969" s="2">
        <v>51</v>
      </c>
      <c r="I2969">
        <v>140</v>
      </c>
      <c r="J2969">
        <v>714</v>
      </c>
      <c r="K2969" s="4">
        <v>278</v>
      </c>
      <c r="L2969" t="s">
        <v>27</v>
      </c>
    </row>
    <row r="2970" spans="1:12" x14ac:dyDescent="0.35">
      <c r="A2970" t="s">
        <v>23</v>
      </c>
      <c r="B2970">
        <v>1128299</v>
      </c>
      <c r="C2970" s="1">
        <v>44513</v>
      </c>
      <c r="D2970" t="s">
        <v>13</v>
      </c>
      <c r="E2970" t="s">
        <v>57</v>
      </c>
      <c r="F2970" t="s">
        <v>58</v>
      </c>
      <c r="G2970" t="s">
        <v>56</v>
      </c>
      <c r="H2970" s="2">
        <v>37</v>
      </c>
      <c r="I2970">
        <v>140</v>
      </c>
      <c r="J2970">
        <v>518</v>
      </c>
      <c r="K2970" s="4">
        <v>238</v>
      </c>
      <c r="L2970" t="s">
        <v>27</v>
      </c>
    </row>
    <row r="2971" spans="1:12" x14ac:dyDescent="0.35">
      <c r="A2971" t="s">
        <v>42</v>
      </c>
      <c r="B2971">
        <v>1185732</v>
      </c>
      <c r="C2971" s="1">
        <v>44332</v>
      </c>
      <c r="D2971" t="s">
        <v>19</v>
      </c>
      <c r="E2971" t="s">
        <v>37</v>
      </c>
      <c r="F2971" t="s">
        <v>38</v>
      </c>
      <c r="G2971" t="s">
        <v>39</v>
      </c>
      <c r="H2971" s="2">
        <v>28</v>
      </c>
      <c r="I2971">
        <v>140</v>
      </c>
      <c r="J2971">
        <v>392</v>
      </c>
      <c r="K2971" s="4">
        <v>161</v>
      </c>
      <c r="L2971" t="s">
        <v>27</v>
      </c>
    </row>
    <row r="2972" spans="1:12" x14ac:dyDescent="0.35">
      <c r="A2972" t="s">
        <v>23</v>
      </c>
      <c r="B2972">
        <v>1197831</v>
      </c>
      <c r="C2972" s="1">
        <v>44219</v>
      </c>
      <c r="D2972" t="s">
        <v>19</v>
      </c>
      <c r="E2972" t="s">
        <v>37</v>
      </c>
      <c r="F2972" t="s">
        <v>38</v>
      </c>
      <c r="G2972" t="s">
        <v>32</v>
      </c>
      <c r="H2972" s="2">
        <v>11</v>
      </c>
      <c r="I2972">
        <v>140</v>
      </c>
      <c r="J2972">
        <v>154</v>
      </c>
      <c r="K2972" s="4">
        <v>68</v>
      </c>
      <c r="L2972" t="s">
        <v>27</v>
      </c>
    </row>
    <row r="2973" spans="1:12" x14ac:dyDescent="0.35">
      <c r="A2973" t="s">
        <v>12</v>
      </c>
      <c r="B2973">
        <v>1197831</v>
      </c>
      <c r="C2973" s="1">
        <v>44396</v>
      </c>
      <c r="D2973" t="s">
        <v>19</v>
      </c>
      <c r="E2973" t="s">
        <v>54</v>
      </c>
      <c r="F2973" t="s">
        <v>55</v>
      </c>
      <c r="G2973" t="s">
        <v>32</v>
      </c>
      <c r="H2973" s="2">
        <v>32</v>
      </c>
      <c r="I2973">
        <v>140</v>
      </c>
      <c r="J2973">
        <v>448</v>
      </c>
      <c r="K2973" s="4">
        <v>197</v>
      </c>
      <c r="L2973" t="s">
        <v>27</v>
      </c>
    </row>
    <row r="2974" spans="1:12" x14ac:dyDescent="0.35">
      <c r="A2974" t="s">
        <v>12</v>
      </c>
      <c r="B2974">
        <v>1197831</v>
      </c>
      <c r="C2974" s="1">
        <v>44458</v>
      </c>
      <c r="D2974" t="s">
        <v>19</v>
      </c>
      <c r="E2974" t="s">
        <v>54</v>
      </c>
      <c r="F2974" t="s">
        <v>55</v>
      </c>
      <c r="G2974" t="s">
        <v>16</v>
      </c>
      <c r="H2974" s="2">
        <v>22</v>
      </c>
      <c r="I2974">
        <v>140</v>
      </c>
      <c r="J2974">
        <v>308</v>
      </c>
      <c r="K2974" s="4">
        <v>129</v>
      </c>
      <c r="L2974" t="s">
        <v>27</v>
      </c>
    </row>
    <row r="2975" spans="1:12" x14ac:dyDescent="0.35">
      <c r="A2975" t="s">
        <v>18</v>
      </c>
      <c r="B2975">
        <v>1197831</v>
      </c>
      <c r="C2975" s="1">
        <v>44428</v>
      </c>
      <c r="D2975" t="s">
        <v>19</v>
      </c>
      <c r="E2975" t="s">
        <v>61</v>
      </c>
      <c r="F2975" t="s">
        <v>62</v>
      </c>
      <c r="G2975" t="s">
        <v>39</v>
      </c>
      <c r="H2975" s="2">
        <v>37</v>
      </c>
      <c r="I2975">
        <v>140</v>
      </c>
      <c r="J2975">
        <v>518</v>
      </c>
      <c r="K2975" s="4">
        <v>218</v>
      </c>
      <c r="L2975" t="s">
        <v>27</v>
      </c>
    </row>
    <row r="2976" spans="1:12" x14ac:dyDescent="0.35">
      <c r="A2976" t="s">
        <v>23</v>
      </c>
      <c r="B2976">
        <v>1185732</v>
      </c>
      <c r="C2976" s="1">
        <v>44213</v>
      </c>
      <c r="D2976" t="s">
        <v>43</v>
      </c>
      <c r="E2976" t="s">
        <v>110</v>
      </c>
      <c r="F2976" t="s">
        <v>111</v>
      </c>
      <c r="G2976" t="s">
        <v>26</v>
      </c>
      <c r="H2976" s="2">
        <v>28</v>
      </c>
      <c r="I2976">
        <v>140</v>
      </c>
      <c r="J2976">
        <v>392</v>
      </c>
      <c r="K2976" s="4">
        <v>129</v>
      </c>
      <c r="L2976" t="s">
        <v>27</v>
      </c>
    </row>
    <row r="2977" spans="1:12" x14ac:dyDescent="0.35">
      <c r="A2977" t="s">
        <v>18</v>
      </c>
      <c r="B2977">
        <v>1185732</v>
      </c>
      <c r="C2977" s="1">
        <v>44511</v>
      </c>
      <c r="D2977" t="s">
        <v>43</v>
      </c>
      <c r="E2977" t="s">
        <v>125</v>
      </c>
      <c r="F2977" t="s">
        <v>126</v>
      </c>
      <c r="G2977" t="s">
        <v>26</v>
      </c>
      <c r="H2977" s="2">
        <v>54</v>
      </c>
      <c r="I2977">
        <v>140</v>
      </c>
      <c r="J2977">
        <v>756</v>
      </c>
      <c r="K2977" s="4">
        <v>378</v>
      </c>
      <c r="L2977" t="s">
        <v>27</v>
      </c>
    </row>
    <row r="2978" spans="1:12" x14ac:dyDescent="0.35">
      <c r="A2978" t="s">
        <v>51</v>
      </c>
      <c r="B2978">
        <v>1185732</v>
      </c>
      <c r="C2978" s="1">
        <v>44333</v>
      </c>
      <c r="D2978" t="s">
        <v>43</v>
      </c>
      <c r="E2978" t="s">
        <v>127</v>
      </c>
      <c r="F2978" t="s">
        <v>128</v>
      </c>
      <c r="G2978" t="s">
        <v>16</v>
      </c>
      <c r="H2978" s="2">
        <v>46</v>
      </c>
      <c r="I2978">
        <v>140</v>
      </c>
      <c r="J2978">
        <v>644</v>
      </c>
      <c r="K2978" s="4">
        <v>251</v>
      </c>
      <c r="L2978" t="s">
        <v>27</v>
      </c>
    </row>
    <row r="2979" spans="1:12" x14ac:dyDescent="0.35">
      <c r="A2979" t="s">
        <v>51</v>
      </c>
      <c r="B2979">
        <v>1185732</v>
      </c>
      <c r="C2979" s="1">
        <v>44366</v>
      </c>
      <c r="D2979" t="s">
        <v>43</v>
      </c>
      <c r="E2979" t="s">
        <v>127</v>
      </c>
      <c r="F2979" t="s">
        <v>128</v>
      </c>
      <c r="G2979" t="s">
        <v>39</v>
      </c>
      <c r="H2979" s="2">
        <v>40</v>
      </c>
      <c r="I2979">
        <v>140</v>
      </c>
      <c r="J2979">
        <v>560</v>
      </c>
      <c r="K2979" s="4">
        <v>263</v>
      </c>
      <c r="L2979" t="s">
        <v>27</v>
      </c>
    </row>
    <row r="2980" spans="1:12" x14ac:dyDescent="0.35">
      <c r="A2980" t="s">
        <v>42</v>
      </c>
      <c r="B2980">
        <v>1185732</v>
      </c>
      <c r="C2980" s="1">
        <v>44329</v>
      </c>
      <c r="D2980" t="s">
        <v>33</v>
      </c>
      <c r="E2980" t="s">
        <v>87</v>
      </c>
      <c r="F2980" t="s">
        <v>88</v>
      </c>
      <c r="G2980" t="s">
        <v>26</v>
      </c>
      <c r="H2980" s="2">
        <v>58</v>
      </c>
      <c r="I2980">
        <v>139</v>
      </c>
      <c r="J2980">
        <v>806</v>
      </c>
      <c r="K2980" s="4">
        <v>379</v>
      </c>
      <c r="L2980" t="s">
        <v>17</v>
      </c>
    </row>
    <row r="2981" spans="1:12" x14ac:dyDescent="0.35">
      <c r="A2981" t="s">
        <v>23</v>
      </c>
      <c r="B2981">
        <v>1197831</v>
      </c>
      <c r="C2981" s="1">
        <v>44483</v>
      </c>
      <c r="D2981" t="s">
        <v>19</v>
      </c>
      <c r="E2981" t="s">
        <v>59</v>
      </c>
      <c r="F2981" t="s">
        <v>68</v>
      </c>
      <c r="G2981" t="s">
        <v>70</v>
      </c>
      <c r="H2981" s="2">
        <v>56</v>
      </c>
      <c r="I2981">
        <v>138</v>
      </c>
      <c r="J2981">
        <v>773</v>
      </c>
      <c r="K2981" s="4">
        <v>371</v>
      </c>
      <c r="L2981" t="s">
        <v>17</v>
      </c>
    </row>
    <row r="2982" spans="1:12" x14ac:dyDescent="0.35">
      <c r="A2982" t="s">
        <v>18</v>
      </c>
      <c r="B2982">
        <v>1128299</v>
      </c>
      <c r="C2982" s="1">
        <v>43878</v>
      </c>
      <c r="D2982" t="s">
        <v>48</v>
      </c>
      <c r="E2982" t="s">
        <v>116</v>
      </c>
      <c r="F2982" t="s">
        <v>117</v>
      </c>
      <c r="G2982" t="s">
        <v>70</v>
      </c>
      <c r="H2982" s="2">
        <v>68</v>
      </c>
      <c r="I2982">
        <v>138</v>
      </c>
      <c r="J2982">
        <v>938</v>
      </c>
      <c r="K2982" s="4">
        <v>638</v>
      </c>
      <c r="L2982" t="s">
        <v>17</v>
      </c>
    </row>
    <row r="2983" spans="1:12" x14ac:dyDescent="0.35">
      <c r="A2983" t="s">
        <v>18</v>
      </c>
      <c r="B2983">
        <v>1128299</v>
      </c>
      <c r="C2983" s="1">
        <v>43886</v>
      </c>
      <c r="D2983" t="s">
        <v>48</v>
      </c>
      <c r="E2983" t="s">
        <v>116</v>
      </c>
      <c r="F2983" t="s">
        <v>117</v>
      </c>
      <c r="G2983" t="s">
        <v>26</v>
      </c>
      <c r="H2983" s="2">
        <v>56</v>
      </c>
      <c r="I2983">
        <v>138</v>
      </c>
      <c r="J2983">
        <v>773</v>
      </c>
      <c r="K2983" s="4">
        <v>379</v>
      </c>
      <c r="L2983" t="s">
        <v>17</v>
      </c>
    </row>
    <row r="2984" spans="1:12" x14ac:dyDescent="0.35">
      <c r="A2984" t="s">
        <v>18</v>
      </c>
      <c r="B2984">
        <v>1128299</v>
      </c>
      <c r="C2984" s="1">
        <v>43983</v>
      </c>
      <c r="D2984" t="s">
        <v>48</v>
      </c>
      <c r="E2984" t="s">
        <v>97</v>
      </c>
      <c r="F2984" t="s">
        <v>98</v>
      </c>
      <c r="G2984" t="s">
        <v>26</v>
      </c>
      <c r="H2984" s="2">
        <v>36</v>
      </c>
      <c r="I2984">
        <v>138</v>
      </c>
      <c r="J2984">
        <v>497</v>
      </c>
      <c r="K2984" s="4">
        <v>214</v>
      </c>
      <c r="L2984" t="s">
        <v>17</v>
      </c>
    </row>
    <row r="2985" spans="1:12" x14ac:dyDescent="0.35">
      <c r="A2985" t="s">
        <v>18</v>
      </c>
      <c r="B2985">
        <v>1128299</v>
      </c>
      <c r="C2985" s="1">
        <v>44032</v>
      </c>
      <c r="D2985" t="s">
        <v>48</v>
      </c>
      <c r="E2985" t="s">
        <v>97</v>
      </c>
      <c r="F2985" t="s">
        <v>98</v>
      </c>
      <c r="G2985" t="s">
        <v>39</v>
      </c>
      <c r="H2985" s="2">
        <v>64</v>
      </c>
      <c r="I2985">
        <v>138</v>
      </c>
      <c r="J2985">
        <v>883</v>
      </c>
      <c r="K2985" s="4">
        <v>327</v>
      </c>
      <c r="L2985" t="s">
        <v>17</v>
      </c>
    </row>
    <row r="2986" spans="1:12" x14ac:dyDescent="0.35">
      <c r="A2986" t="s">
        <v>18</v>
      </c>
      <c r="B2986">
        <v>1128299</v>
      </c>
      <c r="C2986" s="1">
        <v>44042</v>
      </c>
      <c r="D2986" t="s">
        <v>48</v>
      </c>
      <c r="E2986" t="s">
        <v>97</v>
      </c>
      <c r="F2986" t="s">
        <v>98</v>
      </c>
      <c r="G2986" t="s">
        <v>16</v>
      </c>
      <c r="H2986" s="2">
        <v>88</v>
      </c>
      <c r="I2986">
        <v>138</v>
      </c>
      <c r="J2986" s="3">
        <v>1214</v>
      </c>
      <c r="K2986" s="4">
        <v>376</v>
      </c>
      <c r="L2986" t="s">
        <v>17</v>
      </c>
    </row>
    <row r="2987" spans="1:12" x14ac:dyDescent="0.35">
      <c r="A2987" t="s">
        <v>18</v>
      </c>
      <c r="B2987">
        <v>1128299</v>
      </c>
      <c r="C2987" s="1">
        <v>44045</v>
      </c>
      <c r="D2987" t="s">
        <v>48</v>
      </c>
      <c r="E2987" t="s">
        <v>97</v>
      </c>
      <c r="F2987" t="s">
        <v>98</v>
      </c>
      <c r="G2987" t="s">
        <v>32</v>
      </c>
      <c r="H2987" s="2">
        <v>73</v>
      </c>
      <c r="I2987">
        <v>138</v>
      </c>
      <c r="J2987" s="3">
        <v>1007</v>
      </c>
      <c r="K2987" s="4">
        <v>393</v>
      </c>
      <c r="L2987" t="s">
        <v>17</v>
      </c>
    </row>
    <row r="2988" spans="1:12" x14ac:dyDescent="0.35">
      <c r="A2988" t="s">
        <v>18</v>
      </c>
      <c r="B2988">
        <v>1128299</v>
      </c>
      <c r="C2988" s="1">
        <v>44046</v>
      </c>
      <c r="D2988" t="s">
        <v>48</v>
      </c>
      <c r="E2988" t="s">
        <v>97</v>
      </c>
      <c r="F2988" t="s">
        <v>98</v>
      </c>
      <c r="G2988" t="s">
        <v>56</v>
      </c>
      <c r="H2988" s="2">
        <v>76</v>
      </c>
      <c r="I2988">
        <v>138</v>
      </c>
      <c r="J2988" s="3">
        <v>1049</v>
      </c>
      <c r="K2988" s="4">
        <v>451</v>
      </c>
      <c r="L2988" t="s">
        <v>17</v>
      </c>
    </row>
    <row r="2989" spans="1:12" x14ac:dyDescent="0.35">
      <c r="A2989" t="s">
        <v>63</v>
      </c>
      <c r="B2989">
        <v>1189833</v>
      </c>
      <c r="C2989" s="1">
        <v>44198</v>
      </c>
      <c r="D2989" t="s">
        <v>33</v>
      </c>
      <c r="E2989" t="s">
        <v>131</v>
      </c>
      <c r="F2989" t="s">
        <v>132</v>
      </c>
      <c r="G2989" t="s">
        <v>16</v>
      </c>
      <c r="H2989" s="2">
        <v>43</v>
      </c>
      <c r="I2989">
        <v>138</v>
      </c>
      <c r="J2989">
        <v>593</v>
      </c>
      <c r="K2989" s="4">
        <v>231</v>
      </c>
      <c r="L2989" t="s">
        <v>17</v>
      </c>
    </row>
    <row r="2990" spans="1:12" x14ac:dyDescent="0.35">
      <c r="A2990" t="s">
        <v>23</v>
      </c>
      <c r="B2990">
        <v>1197831</v>
      </c>
      <c r="C2990" s="1">
        <v>44411</v>
      </c>
      <c r="D2990" t="s">
        <v>33</v>
      </c>
      <c r="E2990" t="s">
        <v>120</v>
      </c>
      <c r="F2990" t="s">
        <v>121</v>
      </c>
      <c r="G2990" t="s">
        <v>32</v>
      </c>
      <c r="H2990" s="2">
        <v>28</v>
      </c>
      <c r="I2990">
        <v>138</v>
      </c>
      <c r="J2990">
        <v>386</v>
      </c>
      <c r="K2990" s="4">
        <v>213</v>
      </c>
      <c r="L2990" t="s">
        <v>17</v>
      </c>
    </row>
    <row r="2991" spans="1:12" x14ac:dyDescent="0.35">
      <c r="A2991" t="s">
        <v>23</v>
      </c>
      <c r="B2991">
        <v>1197831</v>
      </c>
      <c r="C2991" s="1">
        <v>44412</v>
      </c>
      <c r="D2991" t="s">
        <v>33</v>
      </c>
      <c r="E2991" t="s">
        <v>120</v>
      </c>
      <c r="F2991" t="s">
        <v>121</v>
      </c>
      <c r="G2991" t="s">
        <v>56</v>
      </c>
      <c r="H2991" s="2">
        <v>33</v>
      </c>
      <c r="I2991">
        <v>138</v>
      </c>
      <c r="J2991">
        <v>455</v>
      </c>
      <c r="K2991" s="4">
        <v>291</v>
      </c>
      <c r="L2991" t="s">
        <v>17</v>
      </c>
    </row>
    <row r="2992" spans="1:12" x14ac:dyDescent="0.35">
      <c r="A2992" t="s">
        <v>23</v>
      </c>
      <c r="B2992">
        <v>1197831</v>
      </c>
      <c r="C2992" s="1">
        <v>44414</v>
      </c>
      <c r="D2992" t="s">
        <v>19</v>
      </c>
      <c r="E2992" t="s">
        <v>24</v>
      </c>
      <c r="F2992" t="s">
        <v>25</v>
      </c>
      <c r="G2992" t="s">
        <v>16</v>
      </c>
      <c r="H2992" s="2">
        <v>32</v>
      </c>
      <c r="I2992">
        <v>138</v>
      </c>
      <c r="J2992">
        <v>442</v>
      </c>
      <c r="K2992" s="4">
        <v>309</v>
      </c>
      <c r="L2992" t="s">
        <v>17</v>
      </c>
    </row>
    <row r="2993" spans="1:12" x14ac:dyDescent="0.35">
      <c r="A2993" t="s">
        <v>51</v>
      </c>
      <c r="B2993">
        <v>1185732</v>
      </c>
      <c r="C2993" s="1">
        <v>44547</v>
      </c>
      <c r="D2993" t="s">
        <v>43</v>
      </c>
      <c r="E2993" t="s">
        <v>122</v>
      </c>
      <c r="F2993" t="s">
        <v>86</v>
      </c>
      <c r="G2993" t="s">
        <v>26</v>
      </c>
      <c r="H2993" s="2">
        <v>62</v>
      </c>
      <c r="I2993">
        <v>138</v>
      </c>
      <c r="J2993">
        <v>856</v>
      </c>
      <c r="K2993" s="4">
        <v>411</v>
      </c>
      <c r="L2993" t="s">
        <v>17</v>
      </c>
    </row>
    <row r="2994" spans="1:12" x14ac:dyDescent="0.35">
      <c r="A2994" t="s">
        <v>12</v>
      </c>
      <c r="B2994">
        <v>1128299</v>
      </c>
      <c r="C2994" s="1">
        <v>44479</v>
      </c>
      <c r="D2994" t="s">
        <v>48</v>
      </c>
      <c r="E2994" t="s">
        <v>129</v>
      </c>
      <c r="F2994" t="s">
        <v>130</v>
      </c>
      <c r="G2994" t="s">
        <v>39</v>
      </c>
      <c r="H2994" s="2">
        <v>61</v>
      </c>
      <c r="I2994">
        <v>138</v>
      </c>
      <c r="J2994">
        <v>842</v>
      </c>
      <c r="K2994" s="4">
        <v>253</v>
      </c>
      <c r="L2994" t="s">
        <v>17</v>
      </c>
    </row>
    <row r="2995" spans="1:12" x14ac:dyDescent="0.35">
      <c r="A2995" t="s">
        <v>12</v>
      </c>
      <c r="B2995">
        <v>1128299</v>
      </c>
      <c r="C2995" s="1">
        <v>44303</v>
      </c>
      <c r="D2995" t="s">
        <v>13</v>
      </c>
      <c r="E2995" t="s">
        <v>14</v>
      </c>
      <c r="F2995" t="s">
        <v>15</v>
      </c>
      <c r="G2995" t="s">
        <v>26</v>
      </c>
      <c r="H2995" s="2">
        <v>62</v>
      </c>
      <c r="I2995">
        <v>138</v>
      </c>
      <c r="J2995">
        <v>856</v>
      </c>
      <c r="K2995" s="4">
        <v>359</v>
      </c>
      <c r="L2995" t="s">
        <v>17</v>
      </c>
    </row>
    <row r="2996" spans="1:12" x14ac:dyDescent="0.35">
      <c r="A2996" t="s">
        <v>18</v>
      </c>
      <c r="B2996">
        <v>1185732</v>
      </c>
      <c r="C2996" s="1">
        <v>44237</v>
      </c>
      <c r="D2996" t="s">
        <v>13</v>
      </c>
      <c r="E2996" t="s">
        <v>14</v>
      </c>
      <c r="F2996" t="s">
        <v>15</v>
      </c>
      <c r="G2996" t="s">
        <v>39</v>
      </c>
      <c r="H2996" s="2">
        <v>42</v>
      </c>
      <c r="I2996">
        <v>138</v>
      </c>
      <c r="J2996">
        <v>580</v>
      </c>
      <c r="K2996" s="4">
        <v>284</v>
      </c>
      <c r="L2996" t="s">
        <v>17</v>
      </c>
    </row>
    <row r="2997" spans="1:12" x14ac:dyDescent="0.35">
      <c r="A2997" t="s">
        <v>18</v>
      </c>
      <c r="B2997">
        <v>1185732</v>
      </c>
      <c r="C2997" s="1">
        <v>44447</v>
      </c>
      <c r="D2997" t="s">
        <v>43</v>
      </c>
      <c r="E2997" t="s">
        <v>44</v>
      </c>
      <c r="F2997" t="s">
        <v>101</v>
      </c>
      <c r="G2997" t="s">
        <v>32</v>
      </c>
      <c r="H2997" s="2">
        <v>41</v>
      </c>
      <c r="I2997">
        <v>138</v>
      </c>
      <c r="J2997">
        <v>566</v>
      </c>
      <c r="K2997" s="4">
        <v>198</v>
      </c>
      <c r="L2997" t="s">
        <v>17</v>
      </c>
    </row>
    <row r="2998" spans="1:12" x14ac:dyDescent="0.35">
      <c r="A2998" t="s">
        <v>42</v>
      </c>
      <c r="B2998">
        <v>1128299</v>
      </c>
      <c r="C2998" s="1">
        <v>44524</v>
      </c>
      <c r="D2998" t="s">
        <v>13</v>
      </c>
      <c r="E2998" t="s">
        <v>99</v>
      </c>
      <c r="F2998" t="s">
        <v>100</v>
      </c>
      <c r="G2998" t="s">
        <v>32</v>
      </c>
      <c r="H2998" s="2">
        <v>43</v>
      </c>
      <c r="I2998">
        <v>138</v>
      </c>
      <c r="J2998">
        <v>593</v>
      </c>
      <c r="K2998" s="4">
        <v>285</v>
      </c>
      <c r="L2998" t="s">
        <v>17</v>
      </c>
    </row>
    <row r="2999" spans="1:12" x14ac:dyDescent="0.35">
      <c r="A2999" t="s">
        <v>23</v>
      </c>
      <c r="B2999">
        <v>1185732</v>
      </c>
      <c r="C2999" s="1">
        <v>44215</v>
      </c>
      <c r="D2999" t="s">
        <v>13</v>
      </c>
      <c r="E2999" t="s">
        <v>99</v>
      </c>
      <c r="F2999" t="s">
        <v>100</v>
      </c>
      <c r="G2999" t="s">
        <v>16</v>
      </c>
      <c r="H2999" s="2">
        <v>33</v>
      </c>
      <c r="I2999">
        <v>138</v>
      </c>
      <c r="J2999">
        <v>455</v>
      </c>
      <c r="K2999" s="4">
        <v>310</v>
      </c>
      <c r="L2999" t="s">
        <v>17</v>
      </c>
    </row>
    <row r="3000" spans="1:12" x14ac:dyDescent="0.35">
      <c r="A3000" t="s">
        <v>23</v>
      </c>
      <c r="B3000">
        <v>1185732</v>
      </c>
      <c r="C3000" s="1">
        <v>44244</v>
      </c>
      <c r="D3000" t="s">
        <v>33</v>
      </c>
      <c r="E3000" t="s">
        <v>45</v>
      </c>
      <c r="F3000" t="s">
        <v>46</v>
      </c>
      <c r="G3000" t="s">
        <v>16</v>
      </c>
      <c r="H3000" s="2">
        <v>33</v>
      </c>
      <c r="I3000">
        <v>138</v>
      </c>
      <c r="J3000">
        <v>455</v>
      </c>
      <c r="K3000" s="4">
        <v>305</v>
      </c>
      <c r="L3000" t="s">
        <v>17</v>
      </c>
    </row>
    <row r="3001" spans="1:12" x14ac:dyDescent="0.35">
      <c r="A3001" t="s">
        <v>23</v>
      </c>
      <c r="B3001">
        <v>1185732</v>
      </c>
      <c r="C3001" s="1">
        <v>44364</v>
      </c>
      <c r="D3001" t="s">
        <v>33</v>
      </c>
      <c r="E3001" t="s">
        <v>45</v>
      </c>
      <c r="F3001" t="s">
        <v>46</v>
      </c>
      <c r="G3001" t="s">
        <v>32</v>
      </c>
      <c r="H3001" s="2">
        <v>41</v>
      </c>
      <c r="I3001">
        <v>138</v>
      </c>
      <c r="J3001">
        <v>566</v>
      </c>
      <c r="K3001" s="4">
        <v>249</v>
      </c>
      <c r="L3001" t="s">
        <v>17</v>
      </c>
    </row>
    <row r="3002" spans="1:12" x14ac:dyDescent="0.35">
      <c r="A3002" t="s">
        <v>23</v>
      </c>
      <c r="B3002">
        <v>1185732</v>
      </c>
      <c r="C3002" s="1">
        <v>44516</v>
      </c>
      <c r="D3002" t="s">
        <v>33</v>
      </c>
      <c r="E3002" t="s">
        <v>45</v>
      </c>
      <c r="F3002" t="s">
        <v>46</v>
      </c>
      <c r="G3002" t="s">
        <v>56</v>
      </c>
      <c r="H3002" s="2">
        <v>41</v>
      </c>
      <c r="I3002">
        <v>138</v>
      </c>
      <c r="J3002">
        <v>566</v>
      </c>
      <c r="K3002" s="4">
        <v>277</v>
      </c>
      <c r="L3002" t="s">
        <v>17</v>
      </c>
    </row>
    <row r="3003" spans="1:12" x14ac:dyDescent="0.35">
      <c r="A3003" t="s">
        <v>42</v>
      </c>
      <c r="B3003">
        <v>1185732</v>
      </c>
      <c r="C3003" s="1">
        <v>44545</v>
      </c>
      <c r="D3003" t="s">
        <v>33</v>
      </c>
      <c r="E3003" t="s">
        <v>45</v>
      </c>
      <c r="F3003" t="s">
        <v>46</v>
      </c>
      <c r="G3003" t="s">
        <v>56</v>
      </c>
      <c r="H3003" s="2">
        <v>48</v>
      </c>
      <c r="I3003">
        <v>138</v>
      </c>
      <c r="J3003">
        <v>662</v>
      </c>
      <c r="K3003" s="4">
        <v>318</v>
      </c>
      <c r="L3003" t="s">
        <v>17</v>
      </c>
    </row>
    <row r="3004" spans="1:12" x14ac:dyDescent="0.35">
      <c r="A3004" t="s">
        <v>18</v>
      </c>
      <c r="B3004">
        <v>1185732</v>
      </c>
      <c r="C3004" s="1">
        <v>44207</v>
      </c>
      <c r="D3004" t="s">
        <v>33</v>
      </c>
      <c r="E3004" t="s">
        <v>34</v>
      </c>
      <c r="F3004" t="s">
        <v>35</v>
      </c>
      <c r="G3004" t="s">
        <v>16</v>
      </c>
      <c r="H3004" s="2">
        <v>24</v>
      </c>
      <c r="I3004">
        <v>138</v>
      </c>
      <c r="J3004">
        <v>331</v>
      </c>
      <c r="K3004" s="4">
        <v>212</v>
      </c>
      <c r="L3004" t="s">
        <v>17</v>
      </c>
    </row>
    <row r="3005" spans="1:12" x14ac:dyDescent="0.35">
      <c r="A3005" t="s">
        <v>18</v>
      </c>
      <c r="B3005">
        <v>1185732</v>
      </c>
      <c r="C3005" s="1">
        <v>44387</v>
      </c>
      <c r="D3005" t="s">
        <v>48</v>
      </c>
      <c r="E3005" t="s">
        <v>49</v>
      </c>
      <c r="F3005" t="s">
        <v>50</v>
      </c>
      <c r="G3005" t="s">
        <v>32</v>
      </c>
      <c r="H3005" s="2">
        <v>24</v>
      </c>
      <c r="I3005">
        <v>138</v>
      </c>
      <c r="J3005">
        <v>331</v>
      </c>
      <c r="K3005" s="4">
        <v>159</v>
      </c>
      <c r="L3005" t="s">
        <v>17</v>
      </c>
    </row>
    <row r="3006" spans="1:12" x14ac:dyDescent="0.35">
      <c r="A3006" t="s">
        <v>18</v>
      </c>
      <c r="B3006">
        <v>1128299</v>
      </c>
      <c r="C3006" s="1">
        <v>44425</v>
      </c>
      <c r="D3006" t="s">
        <v>19</v>
      </c>
      <c r="E3006" t="s">
        <v>20</v>
      </c>
      <c r="F3006" t="s">
        <v>21</v>
      </c>
      <c r="G3006" t="s">
        <v>70</v>
      </c>
      <c r="H3006" s="2">
        <v>64</v>
      </c>
      <c r="I3006">
        <v>138</v>
      </c>
      <c r="J3006">
        <v>883</v>
      </c>
      <c r="K3006" s="4">
        <v>521</v>
      </c>
      <c r="L3006" t="s">
        <v>17</v>
      </c>
    </row>
    <row r="3007" spans="1:12" x14ac:dyDescent="0.35">
      <c r="A3007" t="s">
        <v>18</v>
      </c>
      <c r="B3007">
        <v>1197831</v>
      </c>
      <c r="C3007" s="1">
        <v>44291</v>
      </c>
      <c r="D3007" t="s">
        <v>48</v>
      </c>
      <c r="E3007" t="s">
        <v>79</v>
      </c>
      <c r="F3007" t="s">
        <v>80</v>
      </c>
      <c r="G3007" t="s">
        <v>32</v>
      </c>
      <c r="H3007" s="2">
        <v>24</v>
      </c>
      <c r="I3007">
        <v>138</v>
      </c>
      <c r="J3007">
        <v>331</v>
      </c>
      <c r="K3007" s="4">
        <v>156</v>
      </c>
      <c r="L3007" t="s">
        <v>17</v>
      </c>
    </row>
    <row r="3008" spans="1:12" x14ac:dyDescent="0.35">
      <c r="A3008" t="s">
        <v>18</v>
      </c>
      <c r="B3008">
        <v>1197831</v>
      </c>
      <c r="C3008" s="1">
        <v>44291</v>
      </c>
      <c r="D3008" t="s">
        <v>48</v>
      </c>
      <c r="E3008" t="s">
        <v>79</v>
      </c>
      <c r="F3008" t="s">
        <v>80</v>
      </c>
      <c r="G3008" t="s">
        <v>16</v>
      </c>
      <c r="H3008" s="2">
        <v>28</v>
      </c>
      <c r="I3008">
        <v>138</v>
      </c>
      <c r="J3008">
        <v>386</v>
      </c>
      <c r="K3008" s="4">
        <v>236</v>
      </c>
      <c r="L3008" t="s">
        <v>17</v>
      </c>
    </row>
    <row r="3009" spans="1:12" x14ac:dyDescent="0.35">
      <c r="A3009" t="s">
        <v>42</v>
      </c>
      <c r="B3009">
        <v>1128299</v>
      </c>
      <c r="C3009" s="1">
        <v>44370</v>
      </c>
      <c r="D3009" t="s">
        <v>48</v>
      </c>
      <c r="E3009" t="s">
        <v>123</v>
      </c>
      <c r="F3009" t="s">
        <v>124</v>
      </c>
      <c r="G3009" t="s">
        <v>39</v>
      </c>
      <c r="H3009" s="2">
        <v>51</v>
      </c>
      <c r="I3009">
        <v>138</v>
      </c>
      <c r="J3009">
        <v>704</v>
      </c>
      <c r="K3009" s="4">
        <v>366</v>
      </c>
      <c r="L3009" t="s">
        <v>17</v>
      </c>
    </row>
    <row r="3010" spans="1:12" x14ac:dyDescent="0.35">
      <c r="A3010" t="s">
        <v>42</v>
      </c>
      <c r="B3010">
        <v>1128299</v>
      </c>
      <c r="C3010" s="1">
        <v>44370</v>
      </c>
      <c r="D3010" t="s">
        <v>48</v>
      </c>
      <c r="E3010" t="s">
        <v>123</v>
      </c>
      <c r="F3010" t="s">
        <v>124</v>
      </c>
      <c r="G3010" t="s">
        <v>32</v>
      </c>
      <c r="H3010" s="2">
        <v>51</v>
      </c>
      <c r="I3010">
        <v>138</v>
      </c>
      <c r="J3010">
        <v>704</v>
      </c>
      <c r="K3010" s="4">
        <v>317</v>
      </c>
      <c r="L3010" t="s">
        <v>17</v>
      </c>
    </row>
    <row r="3011" spans="1:12" x14ac:dyDescent="0.35">
      <c r="A3011" t="s">
        <v>63</v>
      </c>
      <c r="B3011">
        <v>1128299</v>
      </c>
      <c r="C3011" s="1">
        <v>44222</v>
      </c>
      <c r="D3011" t="s">
        <v>48</v>
      </c>
      <c r="E3011" t="s">
        <v>123</v>
      </c>
      <c r="F3011" t="s">
        <v>124</v>
      </c>
      <c r="G3011" t="s">
        <v>39</v>
      </c>
      <c r="H3011" s="2">
        <v>42</v>
      </c>
      <c r="I3011">
        <v>138</v>
      </c>
      <c r="J3011">
        <v>580</v>
      </c>
      <c r="K3011" s="4">
        <v>307</v>
      </c>
      <c r="L3011" t="s">
        <v>17</v>
      </c>
    </row>
    <row r="3012" spans="1:12" x14ac:dyDescent="0.35">
      <c r="A3012" t="s">
        <v>63</v>
      </c>
      <c r="B3012">
        <v>1128299</v>
      </c>
      <c r="C3012" s="1">
        <v>44222</v>
      </c>
      <c r="D3012" t="s">
        <v>48</v>
      </c>
      <c r="E3012" t="s">
        <v>123</v>
      </c>
      <c r="F3012" t="s">
        <v>124</v>
      </c>
      <c r="G3012" t="s">
        <v>32</v>
      </c>
      <c r="H3012" s="2">
        <v>42</v>
      </c>
      <c r="I3012">
        <v>138</v>
      </c>
      <c r="J3012">
        <v>580</v>
      </c>
      <c r="K3012" s="4">
        <v>267</v>
      </c>
      <c r="L3012" t="s">
        <v>17</v>
      </c>
    </row>
    <row r="3013" spans="1:12" x14ac:dyDescent="0.35">
      <c r="A3013" t="s">
        <v>23</v>
      </c>
      <c r="B3013">
        <v>1128299</v>
      </c>
      <c r="C3013" s="1">
        <v>44389</v>
      </c>
      <c r="D3013" t="s">
        <v>13</v>
      </c>
      <c r="E3013" t="s">
        <v>57</v>
      </c>
      <c r="F3013" t="s">
        <v>58</v>
      </c>
      <c r="G3013" t="s">
        <v>70</v>
      </c>
      <c r="H3013" s="2">
        <v>54</v>
      </c>
      <c r="I3013">
        <v>138</v>
      </c>
      <c r="J3013">
        <v>745</v>
      </c>
      <c r="K3013" s="4">
        <v>358</v>
      </c>
      <c r="L3013" t="s">
        <v>17</v>
      </c>
    </row>
    <row r="3014" spans="1:12" x14ac:dyDescent="0.35">
      <c r="A3014" t="s">
        <v>42</v>
      </c>
      <c r="B3014">
        <v>1128299</v>
      </c>
      <c r="C3014" s="1">
        <v>44542</v>
      </c>
      <c r="D3014" t="s">
        <v>13</v>
      </c>
      <c r="E3014" t="s">
        <v>57</v>
      </c>
      <c r="F3014" t="s">
        <v>58</v>
      </c>
      <c r="G3014" t="s">
        <v>32</v>
      </c>
      <c r="H3014" s="2">
        <v>53</v>
      </c>
      <c r="I3014">
        <v>138</v>
      </c>
      <c r="J3014">
        <v>731</v>
      </c>
      <c r="K3014" s="4">
        <v>366</v>
      </c>
      <c r="L3014" t="s">
        <v>17</v>
      </c>
    </row>
    <row r="3015" spans="1:12" x14ac:dyDescent="0.35">
      <c r="A3015" t="s">
        <v>51</v>
      </c>
      <c r="B3015">
        <v>1185732</v>
      </c>
      <c r="C3015" s="1">
        <v>44358</v>
      </c>
      <c r="D3015" t="s">
        <v>33</v>
      </c>
      <c r="E3015" t="s">
        <v>52</v>
      </c>
      <c r="F3015" t="s">
        <v>53</v>
      </c>
      <c r="G3015" t="s">
        <v>39</v>
      </c>
      <c r="H3015" s="2">
        <v>41</v>
      </c>
      <c r="I3015">
        <v>138</v>
      </c>
      <c r="J3015">
        <v>566</v>
      </c>
      <c r="K3015" s="4">
        <v>260</v>
      </c>
      <c r="L3015" t="s">
        <v>17</v>
      </c>
    </row>
    <row r="3016" spans="1:12" x14ac:dyDescent="0.35">
      <c r="A3016" t="s">
        <v>51</v>
      </c>
      <c r="B3016">
        <v>1185732</v>
      </c>
      <c r="C3016" s="1">
        <v>44448</v>
      </c>
      <c r="D3016" t="s">
        <v>33</v>
      </c>
      <c r="E3016" t="s">
        <v>52</v>
      </c>
      <c r="F3016" t="s">
        <v>53</v>
      </c>
      <c r="G3016" t="s">
        <v>32</v>
      </c>
      <c r="H3016" s="2">
        <v>23</v>
      </c>
      <c r="I3016">
        <v>138</v>
      </c>
      <c r="J3016">
        <v>317</v>
      </c>
      <c r="K3016" s="4">
        <v>175</v>
      </c>
      <c r="L3016" t="s">
        <v>17</v>
      </c>
    </row>
    <row r="3017" spans="1:12" x14ac:dyDescent="0.35">
      <c r="A3017" t="s">
        <v>51</v>
      </c>
      <c r="B3017">
        <v>1185732</v>
      </c>
      <c r="C3017" s="1">
        <v>44448</v>
      </c>
      <c r="D3017" t="s">
        <v>33</v>
      </c>
      <c r="E3017" t="s">
        <v>52</v>
      </c>
      <c r="F3017" t="s">
        <v>53</v>
      </c>
      <c r="G3017" t="s">
        <v>16</v>
      </c>
      <c r="H3017" s="2">
        <v>37</v>
      </c>
      <c r="I3017">
        <v>138</v>
      </c>
      <c r="J3017">
        <v>511</v>
      </c>
      <c r="K3017" s="4">
        <v>317</v>
      </c>
      <c r="L3017" t="s">
        <v>17</v>
      </c>
    </row>
    <row r="3018" spans="1:12" x14ac:dyDescent="0.35">
      <c r="A3018" t="s">
        <v>51</v>
      </c>
      <c r="B3018">
        <v>1185732</v>
      </c>
      <c r="C3018" s="1">
        <v>44480</v>
      </c>
      <c r="D3018" t="s">
        <v>33</v>
      </c>
      <c r="E3018" t="s">
        <v>52</v>
      </c>
      <c r="F3018" t="s">
        <v>53</v>
      </c>
      <c r="G3018" t="s">
        <v>39</v>
      </c>
      <c r="H3018" s="2">
        <v>29</v>
      </c>
      <c r="I3018">
        <v>138</v>
      </c>
      <c r="J3018">
        <v>400</v>
      </c>
      <c r="K3018" s="4">
        <v>188</v>
      </c>
      <c r="L3018" t="s">
        <v>17</v>
      </c>
    </row>
    <row r="3019" spans="1:12" x14ac:dyDescent="0.35">
      <c r="A3019" t="s">
        <v>51</v>
      </c>
      <c r="B3019">
        <v>1185732</v>
      </c>
      <c r="C3019" s="1">
        <v>44510</v>
      </c>
      <c r="D3019" t="s">
        <v>33</v>
      </c>
      <c r="E3019" t="s">
        <v>52</v>
      </c>
      <c r="F3019" t="s">
        <v>53</v>
      </c>
      <c r="G3019" t="s">
        <v>70</v>
      </c>
      <c r="H3019" s="2">
        <v>76</v>
      </c>
      <c r="I3019">
        <v>138</v>
      </c>
      <c r="J3019" s="3">
        <v>1049</v>
      </c>
      <c r="K3019" s="4">
        <v>514</v>
      </c>
      <c r="L3019" t="s">
        <v>17</v>
      </c>
    </row>
    <row r="3020" spans="1:12" x14ac:dyDescent="0.35">
      <c r="A3020" t="s">
        <v>51</v>
      </c>
      <c r="B3020">
        <v>1185732</v>
      </c>
      <c r="C3020" s="1">
        <v>44249</v>
      </c>
      <c r="D3020" t="s">
        <v>33</v>
      </c>
      <c r="E3020" t="s">
        <v>52</v>
      </c>
      <c r="F3020" t="s">
        <v>53</v>
      </c>
      <c r="G3020" t="s">
        <v>26</v>
      </c>
      <c r="H3020" s="2">
        <v>38</v>
      </c>
      <c r="I3020">
        <v>138</v>
      </c>
      <c r="J3020">
        <v>524</v>
      </c>
      <c r="K3020" s="4">
        <v>278</v>
      </c>
      <c r="L3020" t="s">
        <v>17</v>
      </c>
    </row>
    <row r="3021" spans="1:12" x14ac:dyDescent="0.35">
      <c r="A3021" t="s">
        <v>42</v>
      </c>
      <c r="B3021">
        <v>1185732</v>
      </c>
      <c r="C3021" s="1">
        <v>44208</v>
      </c>
      <c r="D3021" t="s">
        <v>33</v>
      </c>
      <c r="E3021" t="s">
        <v>71</v>
      </c>
      <c r="F3021" t="s">
        <v>72</v>
      </c>
      <c r="G3021" t="s">
        <v>26</v>
      </c>
      <c r="H3021" s="2">
        <v>38</v>
      </c>
      <c r="I3021">
        <v>138</v>
      </c>
      <c r="J3021">
        <v>524</v>
      </c>
      <c r="K3021" s="4">
        <v>257</v>
      </c>
      <c r="L3021" t="s">
        <v>17</v>
      </c>
    </row>
    <row r="3022" spans="1:12" x14ac:dyDescent="0.35">
      <c r="A3022" t="s">
        <v>42</v>
      </c>
      <c r="B3022">
        <v>1185732</v>
      </c>
      <c r="C3022" s="1">
        <v>44452</v>
      </c>
      <c r="D3022" t="s">
        <v>33</v>
      </c>
      <c r="E3022" t="s">
        <v>87</v>
      </c>
      <c r="F3022" t="s">
        <v>88</v>
      </c>
      <c r="G3022" t="s">
        <v>26</v>
      </c>
      <c r="H3022" s="2">
        <v>42</v>
      </c>
      <c r="I3022">
        <v>138</v>
      </c>
      <c r="J3022">
        <v>580</v>
      </c>
      <c r="K3022" s="4">
        <v>261</v>
      </c>
      <c r="L3022" t="s">
        <v>17</v>
      </c>
    </row>
    <row r="3023" spans="1:12" x14ac:dyDescent="0.35">
      <c r="A3023" t="s">
        <v>42</v>
      </c>
      <c r="B3023">
        <v>1185732</v>
      </c>
      <c r="C3023" s="1">
        <v>44382</v>
      </c>
      <c r="D3023" t="s">
        <v>33</v>
      </c>
      <c r="E3023" t="s">
        <v>91</v>
      </c>
      <c r="F3023" t="s">
        <v>92</v>
      </c>
      <c r="G3023" t="s">
        <v>26</v>
      </c>
      <c r="H3023" s="2">
        <v>49</v>
      </c>
      <c r="I3023">
        <v>138</v>
      </c>
      <c r="J3023">
        <v>676</v>
      </c>
      <c r="K3023" s="4">
        <v>298</v>
      </c>
      <c r="L3023" t="s">
        <v>17</v>
      </c>
    </row>
    <row r="3024" spans="1:12" x14ac:dyDescent="0.35">
      <c r="A3024" t="s">
        <v>18</v>
      </c>
      <c r="B3024">
        <v>1185732</v>
      </c>
      <c r="C3024" s="1">
        <v>44532</v>
      </c>
      <c r="D3024" t="s">
        <v>33</v>
      </c>
      <c r="E3024" t="s">
        <v>40</v>
      </c>
      <c r="F3024" t="s">
        <v>41</v>
      </c>
      <c r="G3024" t="s">
        <v>26</v>
      </c>
      <c r="H3024" s="2">
        <v>58</v>
      </c>
      <c r="I3024">
        <v>138</v>
      </c>
      <c r="J3024">
        <v>800</v>
      </c>
      <c r="K3024" s="4">
        <v>328</v>
      </c>
      <c r="L3024" t="s">
        <v>17</v>
      </c>
    </row>
    <row r="3025" spans="1:12" x14ac:dyDescent="0.35">
      <c r="A3025" t="s">
        <v>42</v>
      </c>
      <c r="B3025">
        <v>1185732</v>
      </c>
      <c r="C3025" s="1">
        <v>44249</v>
      </c>
      <c r="D3025" t="s">
        <v>43</v>
      </c>
      <c r="E3025" t="s">
        <v>64</v>
      </c>
      <c r="F3025" t="s">
        <v>65</v>
      </c>
      <c r="G3025" t="s">
        <v>26</v>
      </c>
      <c r="H3025" s="2">
        <v>32</v>
      </c>
      <c r="I3025">
        <v>138</v>
      </c>
      <c r="J3025">
        <v>442</v>
      </c>
      <c r="K3025" s="4">
        <v>234</v>
      </c>
      <c r="L3025" t="s">
        <v>17</v>
      </c>
    </row>
    <row r="3026" spans="1:12" x14ac:dyDescent="0.35">
      <c r="A3026" t="s">
        <v>63</v>
      </c>
      <c r="B3026">
        <v>1185732</v>
      </c>
      <c r="C3026" s="1">
        <v>44206</v>
      </c>
      <c r="D3026" t="s">
        <v>43</v>
      </c>
      <c r="E3026" t="s">
        <v>95</v>
      </c>
      <c r="F3026" t="s">
        <v>96</v>
      </c>
      <c r="G3026" t="s">
        <v>26</v>
      </c>
      <c r="H3026" s="2">
        <v>32</v>
      </c>
      <c r="I3026">
        <v>138</v>
      </c>
      <c r="J3026">
        <v>442</v>
      </c>
      <c r="K3026" s="4">
        <v>221</v>
      </c>
      <c r="L3026" t="s">
        <v>17</v>
      </c>
    </row>
    <row r="3027" spans="1:12" x14ac:dyDescent="0.35">
      <c r="A3027" t="s">
        <v>42</v>
      </c>
      <c r="B3027">
        <v>1185732</v>
      </c>
      <c r="C3027" s="1">
        <v>44355</v>
      </c>
      <c r="D3027" t="s">
        <v>43</v>
      </c>
      <c r="E3027" t="s">
        <v>110</v>
      </c>
      <c r="F3027" t="s">
        <v>111</v>
      </c>
      <c r="G3027" t="s">
        <v>26</v>
      </c>
      <c r="H3027" s="2">
        <v>47</v>
      </c>
      <c r="I3027">
        <v>138</v>
      </c>
      <c r="J3027">
        <v>649</v>
      </c>
      <c r="K3027" s="4">
        <v>292</v>
      </c>
      <c r="L3027" t="s">
        <v>17</v>
      </c>
    </row>
    <row r="3028" spans="1:12" x14ac:dyDescent="0.35">
      <c r="A3028" t="s">
        <v>51</v>
      </c>
      <c r="B3028">
        <v>1185732</v>
      </c>
      <c r="C3028" s="1">
        <v>44366</v>
      </c>
      <c r="D3028" t="s">
        <v>43</v>
      </c>
      <c r="E3028" t="s">
        <v>127</v>
      </c>
      <c r="F3028" t="s">
        <v>128</v>
      </c>
      <c r="G3028" t="s">
        <v>16</v>
      </c>
      <c r="H3028" s="2">
        <v>66</v>
      </c>
      <c r="I3028">
        <v>138</v>
      </c>
      <c r="J3028">
        <v>911</v>
      </c>
      <c r="K3028" s="4">
        <v>428</v>
      </c>
      <c r="L3028" t="s">
        <v>17</v>
      </c>
    </row>
    <row r="3029" spans="1:12" x14ac:dyDescent="0.35">
      <c r="A3029" t="s">
        <v>18</v>
      </c>
      <c r="B3029">
        <v>1128299</v>
      </c>
      <c r="C3029" s="1">
        <v>43946</v>
      </c>
      <c r="D3029" t="s">
        <v>48</v>
      </c>
      <c r="E3029" t="s">
        <v>133</v>
      </c>
      <c r="F3029" t="s">
        <v>134</v>
      </c>
      <c r="G3029" t="s">
        <v>16</v>
      </c>
      <c r="H3029" s="2">
        <v>78</v>
      </c>
      <c r="I3029">
        <v>137</v>
      </c>
      <c r="J3029" s="3">
        <v>1069</v>
      </c>
      <c r="K3029" s="4">
        <v>427</v>
      </c>
      <c r="L3029" t="s">
        <v>17</v>
      </c>
    </row>
    <row r="3030" spans="1:12" x14ac:dyDescent="0.35">
      <c r="A3030" t="s">
        <v>18</v>
      </c>
      <c r="B3030">
        <v>1128299</v>
      </c>
      <c r="C3030" s="1">
        <v>43959</v>
      </c>
      <c r="D3030" t="s">
        <v>48</v>
      </c>
      <c r="E3030" t="s">
        <v>133</v>
      </c>
      <c r="F3030" t="s">
        <v>134</v>
      </c>
      <c r="G3030" t="s">
        <v>26</v>
      </c>
      <c r="H3030" s="2">
        <v>51</v>
      </c>
      <c r="I3030">
        <v>137</v>
      </c>
      <c r="J3030">
        <v>699</v>
      </c>
      <c r="K3030" s="4">
        <v>349</v>
      </c>
      <c r="L3030" t="s">
        <v>17</v>
      </c>
    </row>
    <row r="3031" spans="1:12" x14ac:dyDescent="0.35">
      <c r="A3031" t="s">
        <v>18</v>
      </c>
      <c r="B3031">
        <v>1128299</v>
      </c>
      <c r="C3031" s="1">
        <v>43976</v>
      </c>
      <c r="D3031" t="s">
        <v>48</v>
      </c>
      <c r="E3031" t="s">
        <v>133</v>
      </c>
      <c r="F3031" t="s">
        <v>134</v>
      </c>
      <c r="G3031" t="s">
        <v>16</v>
      </c>
      <c r="H3031" s="2">
        <v>75</v>
      </c>
      <c r="I3031">
        <v>137</v>
      </c>
      <c r="J3031" s="3">
        <v>1028</v>
      </c>
      <c r="K3031" s="4">
        <v>339</v>
      </c>
      <c r="L3031" t="s">
        <v>17</v>
      </c>
    </row>
    <row r="3032" spans="1:12" x14ac:dyDescent="0.35">
      <c r="A3032" t="s">
        <v>18</v>
      </c>
      <c r="B3032">
        <v>1128299</v>
      </c>
      <c r="C3032" s="1">
        <v>44016</v>
      </c>
      <c r="D3032" t="s">
        <v>48</v>
      </c>
      <c r="E3032" t="s">
        <v>97</v>
      </c>
      <c r="F3032" t="s">
        <v>98</v>
      </c>
      <c r="G3032" t="s">
        <v>56</v>
      </c>
      <c r="H3032" s="2">
        <v>78</v>
      </c>
      <c r="I3032">
        <v>137</v>
      </c>
      <c r="J3032" s="3">
        <v>1069</v>
      </c>
      <c r="K3032" s="4">
        <v>438</v>
      </c>
      <c r="L3032" t="s">
        <v>17</v>
      </c>
    </row>
    <row r="3033" spans="1:12" x14ac:dyDescent="0.35">
      <c r="A3033" t="s">
        <v>42</v>
      </c>
      <c r="B3033">
        <v>1185732</v>
      </c>
      <c r="C3033" s="1">
        <v>44163</v>
      </c>
      <c r="D3033" t="s">
        <v>33</v>
      </c>
      <c r="E3033" t="s">
        <v>104</v>
      </c>
      <c r="F3033" t="s">
        <v>105</v>
      </c>
      <c r="G3033" t="s">
        <v>26</v>
      </c>
      <c r="H3033" s="2">
        <v>47</v>
      </c>
      <c r="I3033">
        <v>137</v>
      </c>
      <c r="J3033">
        <v>644</v>
      </c>
      <c r="K3033" s="4">
        <v>303</v>
      </c>
      <c r="L3033" t="s">
        <v>17</v>
      </c>
    </row>
    <row r="3034" spans="1:12" x14ac:dyDescent="0.35">
      <c r="A3034" t="s">
        <v>23</v>
      </c>
      <c r="B3034">
        <v>1128299</v>
      </c>
      <c r="C3034" s="1">
        <v>44244</v>
      </c>
      <c r="D3034" t="s">
        <v>48</v>
      </c>
      <c r="E3034" t="s">
        <v>129</v>
      </c>
      <c r="F3034" t="s">
        <v>130</v>
      </c>
      <c r="G3034" t="s">
        <v>26</v>
      </c>
      <c r="H3034" s="2">
        <v>36</v>
      </c>
      <c r="I3034">
        <v>137</v>
      </c>
      <c r="J3034">
        <v>493</v>
      </c>
      <c r="K3034" s="4">
        <v>207</v>
      </c>
      <c r="L3034" t="s">
        <v>17</v>
      </c>
    </row>
    <row r="3035" spans="1:12" x14ac:dyDescent="0.35">
      <c r="A3035" t="s">
        <v>18</v>
      </c>
      <c r="B3035">
        <v>1185732</v>
      </c>
      <c r="C3035" s="1">
        <v>44324</v>
      </c>
      <c r="D3035" t="s">
        <v>43</v>
      </c>
      <c r="E3035" t="s">
        <v>44</v>
      </c>
      <c r="F3035" t="s">
        <v>101</v>
      </c>
      <c r="G3035" t="s">
        <v>70</v>
      </c>
      <c r="H3035" s="2">
        <v>56</v>
      </c>
      <c r="I3035">
        <v>137</v>
      </c>
      <c r="J3035">
        <v>767</v>
      </c>
      <c r="K3035" s="4">
        <v>376</v>
      </c>
      <c r="L3035" t="s">
        <v>17</v>
      </c>
    </row>
    <row r="3036" spans="1:12" x14ac:dyDescent="0.35">
      <c r="A3036" t="s">
        <v>18</v>
      </c>
      <c r="B3036">
        <v>1185732</v>
      </c>
      <c r="C3036" s="1">
        <v>44447</v>
      </c>
      <c r="D3036" t="s">
        <v>43</v>
      </c>
      <c r="E3036" t="s">
        <v>44</v>
      </c>
      <c r="F3036" t="s">
        <v>101</v>
      </c>
      <c r="G3036" t="s">
        <v>56</v>
      </c>
      <c r="H3036" s="2">
        <v>44</v>
      </c>
      <c r="I3036">
        <v>137</v>
      </c>
      <c r="J3036">
        <v>603</v>
      </c>
      <c r="K3036" s="4">
        <v>247</v>
      </c>
      <c r="L3036" t="s">
        <v>17</v>
      </c>
    </row>
    <row r="3037" spans="1:12" x14ac:dyDescent="0.35">
      <c r="A3037" t="s">
        <v>18</v>
      </c>
      <c r="B3037">
        <v>1185732</v>
      </c>
      <c r="C3037" s="1">
        <v>44479</v>
      </c>
      <c r="D3037" t="s">
        <v>43</v>
      </c>
      <c r="E3037" t="s">
        <v>44</v>
      </c>
      <c r="F3037" t="s">
        <v>101</v>
      </c>
      <c r="G3037" t="s">
        <v>32</v>
      </c>
      <c r="H3037" s="2">
        <v>46</v>
      </c>
      <c r="I3037">
        <v>137</v>
      </c>
      <c r="J3037">
        <v>630</v>
      </c>
      <c r="K3037" s="4">
        <v>252</v>
      </c>
      <c r="L3037" t="s">
        <v>17</v>
      </c>
    </row>
    <row r="3038" spans="1:12" x14ac:dyDescent="0.35">
      <c r="A3038" t="s">
        <v>63</v>
      </c>
      <c r="B3038">
        <v>1185732</v>
      </c>
      <c r="C3038" s="1">
        <v>44387</v>
      </c>
      <c r="D3038" t="s">
        <v>48</v>
      </c>
      <c r="E3038" t="s">
        <v>102</v>
      </c>
      <c r="F3038" t="s">
        <v>103</v>
      </c>
      <c r="G3038" t="s">
        <v>70</v>
      </c>
      <c r="H3038" s="2">
        <v>48</v>
      </c>
      <c r="I3038">
        <v>137</v>
      </c>
      <c r="J3038">
        <v>658</v>
      </c>
      <c r="K3038" s="4">
        <v>276</v>
      </c>
      <c r="L3038" t="s">
        <v>17</v>
      </c>
    </row>
    <row r="3039" spans="1:12" x14ac:dyDescent="0.35">
      <c r="A3039" t="s">
        <v>63</v>
      </c>
      <c r="B3039">
        <v>1185732</v>
      </c>
      <c r="C3039" s="1">
        <v>44449</v>
      </c>
      <c r="D3039" t="s">
        <v>48</v>
      </c>
      <c r="E3039" t="s">
        <v>102</v>
      </c>
      <c r="F3039" t="s">
        <v>103</v>
      </c>
      <c r="G3039" t="s">
        <v>32</v>
      </c>
      <c r="H3039" s="2">
        <v>38</v>
      </c>
      <c r="I3039">
        <v>137</v>
      </c>
      <c r="J3039">
        <v>521</v>
      </c>
      <c r="K3039" s="4">
        <v>239</v>
      </c>
      <c r="L3039" t="s">
        <v>17</v>
      </c>
    </row>
    <row r="3040" spans="1:12" x14ac:dyDescent="0.35">
      <c r="A3040" t="s">
        <v>23</v>
      </c>
      <c r="B3040">
        <v>1185732</v>
      </c>
      <c r="C3040" s="1">
        <v>44486</v>
      </c>
      <c r="D3040" t="s">
        <v>33</v>
      </c>
      <c r="E3040" t="s">
        <v>45</v>
      </c>
      <c r="F3040" t="s">
        <v>46</v>
      </c>
      <c r="G3040" t="s">
        <v>16</v>
      </c>
      <c r="H3040" s="2">
        <v>52</v>
      </c>
      <c r="I3040">
        <v>137</v>
      </c>
      <c r="J3040">
        <v>712</v>
      </c>
      <c r="K3040" s="4">
        <v>499</v>
      </c>
      <c r="L3040" t="s">
        <v>17</v>
      </c>
    </row>
    <row r="3041" spans="1:12" x14ac:dyDescent="0.35">
      <c r="A3041" t="s">
        <v>18</v>
      </c>
      <c r="B3041">
        <v>1128299</v>
      </c>
      <c r="C3041" s="1">
        <v>44517</v>
      </c>
      <c r="D3041" t="s">
        <v>19</v>
      </c>
      <c r="E3041" t="s">
        <v>20</v>
      </c>
      <c r="F3041" t="s">
        <v>21</v>
      </c>
      <c r="G3041" t="s">
        <v>32</v>
      </c>
      <c r="H3041" s="2">
        <v>38</v>
      </c>
      <c r="I3041">
        <v>137</v>
      </c>
      <c r="J3041">
        <v>521</v>
      </c>
      <c r="K3041" s="4">
        <v>271</v>
      </c>
      <c r="L3041" t="s">
        <v>17</v>
      </c>
    </row>
    <row r="3042" spans="1:12" x14ac:dyDescent="0.35">
      <c r="A3042" t="s">
        <v>18</v>
      </c>
      <c r="B3042">
        <v>1197831</v>
      </c>
      <c r="C3042" s="1">
        <v>44383</v>
      </c>
      <c r="D3042" t="s">
        <v>48</v>
      </c>
      <c r="E3042" t="s">
        <v>79</v>
      </c>
      <c r="F3042" t="s">
        <v>80</v>
      </c>
      <c r="G3042" t="s">
        <v>56</v>
      </c>
      <c r="H3042" s="2">
        <v>47</v>
      </c>
      <c r="I3042">
        <v>137</v>
      </c>
      <c r="J3042">
        <v>644</v>
      </c>
      <c r="K3042" s="4">
        <v>412</v>
      </c>
      <c r="L3042" t="s">
        <v>17</v>
      </c>
    </row>
    <row r="3043" spans="1:12" x14ac:dyDescent="0.35">
      <c r="A3043" t="s">
        <v>23</v>
      </c>
      <c r="B3043">
        <v>1128299</v>
      </c>
      <c r="C3043" s="1">
        <v>44267</v>
      </c>
      <c r="D3043" t="s">
        <v>13</v>
      </c>
      <c r="E3043" t="s">
        <v>57</v>
      </c>
      <c r="F3043" t="s">
        <v>58</v>
      </c>
      <c r="G3043" t="s">
        <v>26</v>
      </c>
      <c r="H3043" s="2">
        <v>37</v>
      </c>
      <c r="I3043">
        <v>137</v>
      </c>
      <c r="J3043">
        <v>507</v>
      </c>
      <c r="K3043" s="4">
        <v>253</v>
      </c>
      <c r="L3043" t="s">
        <v>17</v>
      </c>
    </row>
    <row r="3044" spans="1:12" x14ac:dyDescent="0.35">
      <c r="A3044" t="s">
        <v>23</v>
      </c>
      <c r="B3044">
        <v>1128299</v>
      </c>
      <c r="C3044" s="1">
        <v>44389</v>
      </c>
      <c r="D3044" t="s">
        <v>13</v>
      </c>
      <c r="E3044" t="s">
        <v>57</v>
      </c>
      <c r="F3044" t="s">
        <v>58</v>
      </c>
      <c r="G3044" t="s">
        <v>32</v>
      </c>
      <c r="H3044" s="2">
        <v>50</v>
      </c>
      <c r="I3044">
        <v>137</v>
      </c>
      <c r="J3044">
        <v>685</v>
      </c>
      <c r="K3044" s="4">
        <v>343</v>
      </c>
      <c r="L3044" t="s">
        <v>17</v>
      </c>
    </row>
    <row r="3045" spans="1:12" x14ac:dyDescent="0.35">
      <c r="A3045" t="s">
        <v>23</v>
      </c>
      <c r="B3045">
        <v>1128299</v>
      </c>
      <c r="C3045" s="1">
        <v>44513</v>
      </c>
      <c r="D3045" t="s">
        <v>13</v>
      </c>
      <c r="E3045" t="s">
        <v>57</v>
      </c>
      <c r="F3045" t="s">
        <v>58</v>
      </c>
      <c r="G3045" t="s">
        <v>26</v>
      </c>
      <c r="H3045" s="2">
        <v>51</v>
      </c>
      <c r="I3045">
        <v>137</v>
      </c>
      <c r="J3045">
        <v>699</v>
      </c>
      <c r="K3045" s="4">
        <v>356</v>
      </c>
      <c r="L3045" t="s">
        <v>17</v>
      </c>
    </row>
    <row r="3046" spans="1:12" x14ac:dyDescent="0.35">
      <c r="A3046" t="s">
        <v>51</v>
      </c>
      <c r="B3046">
        <v>1185732</v>
      </c>
      <c r="C3046" s="1">
        <v>44296</v>
      </c>
      <c r="D3046" t="s">
        <v>33</v>
      </c>
      <c r="E3046" t="s">
        <v>52</v>
      </c>
      <c r="F3046" t="s">
        <v>53</v>
      </c>
      <c r="G3046" t="s">
        <v>16</v>
      </c>
      <c r="H3046" s="2">
        <v>34</v>
      </c>
      <c r="I3046">
        <v>137</v>
      </c>
      <c r="J3046">
        <v>466</v>
      </c>
      <c r="K3046" s="4">
        <v>303</v>
      </c>
      <c r="L3046" t="s">
        <v>17</v>
      </c>
    </row>
    <row r="3047" spans="1:12" x14ac:dyDescent="0.35">
      <c r="A3047" t="s">
        <v>51</v>
      </c>
      <c r="B3047">
        <v>1185732</v>
      </c>
      <c r="C3047" s="1">
        <v>44462</v>
      </c>
      <c r="D3047" t="s">
        <v>13</v>
      </c>
      <c r="E3047" t="s">
        <v>106</v>
      </c>
      <c r="F3047" t="s">
        <v>107</v>
      </c>
      <c r="G3047" t="s">
        <v>26</v>
      </c>
      <c r="H3047" s="2">
        <v>48</v>
      </c>
      <c r="I3047">
        <v>137</v>
      </c>
      <c r="J3047">
        <v>658</v>
      </c>
      <c r="K3047" s="4">
        <v>349</v>
      </c>
      <c r="L3047" t="s">
        <v>17</v>
      </c>
    </row>
    <row r="3048" spans="1:12" x14ac:dyDescent="0.35">
      <c r="A3048" t="s">
        <v>23</v>
      </c>
      <c r="B3048">
        <v>1185732</v>
      </c>
      <c r="C3048" s="1">
        <v>44546</v>
      </c>
      <c r="D3048" t="s">
        <v>19</v>
      </c>
      <c r="E3048" t="s">
        <v>37</v>
      </c>
      <c r="F3048" t="s">
        <v>38</v>
      </c>
      <c r="G3048" t="s">
        <v>32</v>
      </c>
      <c r="H3048" s="2">
        <v>59</v>
      </c>
      <c r="I3048">
        <v>137</v>
      </c>
      <c r="J3048">
        <v>808</v>
      </c>
      <c r="K3048" s="4">
        <v>436</v>
      </c>
      <c r="L3048" t="s">
        <v>17</v>
      </c>
    </row>
    <row r="3049" spans="1:12" x14ac:dyDescent="0.35">
      <c r="A3049" t="s">
        <v>18</v>
      </c>
      <c r="B3049">
        <v>1197831</v>
      </c>
      <c r="C3049" s="1">
        <v>44490</v>
      </c>
      <c r="D3049" t="s">
        <v>19</v>
      </c>
      <c r="E3049" t="s">
        <v>61</v>
      </c>
      <c r="F3049" t="s">
        <v>62</v>
      </c>
      <c r="G3049" t="s">
        <v>26</v>
      </c>
      <c r="H3049" s="2">
        <v>29</v>
      </c>
      <c r="I3049">
        <v>137</v>
      </c>
      <c r="J3049">
        <v>397</v>
      </c>
      <c r="K3049" s="4">
        <v>215</v>
      </c>
      <c r="L3049" t="s">
        <v>17</v>
      </c>
    </row>
    <row r="3050" spans="1:12" x14ac:dyDescent="0.35">
      <c r="A3050" t="s">
        <v>42</v>
      </c>
      <c r="B3050">
        <v>1185732</v>
      </c>
      <c r="C3050" s="1">
        <v>44353</v>
      </c>
      <c r="D3050" t="s">
        <v>33</v>
      </c>
      <c r="E3050" t="s">
        <v>91</v>
      </c>
      <c r="F3050" t="s">
        <v>92</v>
      </c>
      <c r="G3050" t="s">
        <v>26</v>
      </c>
      <c r="H3050" s="2">
        <v>32</v>
      </c>
      <c r="I3050">
        <v>137</v>
      </c>
      <c r="J3050">
        <v>438</v>
      </c>
      <c r="K3050" s="4">
        <v>184</v>
      </c>
      <c r="L3050" t="s">
        <v>17</v>
      </c>
    </row>
    <row r="3051" spans="1:12" x14ac:dyDescent="0.35">
      <c r="A3051" t="s">
        <v>42</v>
      </c>
      <c r="B3051">
        <v>1185732</v>
      </c>
      <c r="C3051" s="1">
        <v>44213</v>
      </c>
      <c r="D3051" t="s">
        <v>43</v>
      </c>
      <c r="E3051" t="s">
        <v>93</v>
      </c>
      <c r="F3051" t="s">
        <v>94</v>
      </c>
      <c r="G3051" t="s">
        <v>26</v>
      </c>
      <c r="H3051" s="2">
        <v>36</v>
      </c>
      <c r="I3051">
        <v>137</v>
      </c>
      <c r="J3051">
        <v>493</v>
      </c>
      <c r="K3051" s="4">
        <v>222</v>
      </c>
      <c r="L3051" t="s">
        <v>17</v>
      </c>
    </row>
    <row r="3052" spans="1:12" x14ac:dyDescent="0.35">
      <c r="A3052" t="s">
        <v>51</v>
      </c>
      <c r="B3052">
        <v>1185732</v>
      </c>
      <c r="C3052" s="1">
        <v>44297</v>
      </c>
      <c r="D3052" t="s">
        <v>43</v>
      </c>
      <c r="E3052" t="s">
        <v>125</v>
      </c>
      <c r="F3052" t="s">
        <v>126</v>
      </c>
      <c r="G3052" t="s">
        <v>26</v>
      </c>
      <c r="H3052" s="2">
        <v>41</v>
      </c>
      <c r="I3052">
        <v>137</v>
      </c>
      <c r="J3052">
        <v>562</v>
      </c>
      <c r="K3052" s="4">
        <v>315</v>
      </c>
      <c r="L3052" t="s">
        <v>17</v>
      </c>
    </row>
    <row r="3053" spans="1:12" x14ac:dyDescent="0.35">
      <c r="A3053" t="s">
        <v>51</v>
      </c>
      <c r="B3053">
        <v>1185732</v>
      </c>
      <c r="C3053" s="1">
        <v>44449</v>
      </c>
      <c r="D3053" t="s">
        <v>43</v>
      </c>
      <c r="E3053" t="s">
        <v>125</v>
      </c>
      <c r="F3053" t="s">
        <v>126</v>
      </c>
      <c r="G3053" t="s">
        <v>26</v>
      </c>
      <c r="H3053" s="2">
        <v>56</v>
      </c>
      <c r="I3053">
        <v>137</v>
      </c>
      <c r="J3053">
        <v>767</v>
      </c>
      <c r="K3053" s="4">
        <v>437</v>
      </c>
      <c r="L3053" t="s">
        <v>17</v>
      </c>
    </row>
    <row r="3054" spans="1:12" x14ac:dyDescent="0.35">
      <c r="A3054" t="s">
        <v>51</v>
      </c>
      <c r="B3054">
        <v>1185732</v>
      </c>
      <c r="C3054" s="1">
        <v>44394</v>
      </c>
      <c r="D3054" t="s">
        <v>43</v>
      </c>
      <c r="E3054" t="s">
        <v>127</v>
      </c>
      <c r="F3054" t="s">
        <v>128</v>
      </c>
      <c r="G3054" t="s">
        <v>16</v>
      </c>
      <c r="H3054" s="2">
        <v>64</v>
      </c>
      <c r="I3054">
        <v>137</v>
      </c>
      <c r="J3054">
        <v>877</v>
      </c>
      <c r="K3054" s="4">
        <v>430</v>
      </c>
      <c r="L3054" t="s">
        <v>17</v>
      </c>
    </row>
    <row r="3055" spans="1:12" x14ac:dyDescent="0.35">
      <c r="A3055" t="s">
        <v>42</v>
      </c>
      <c r="B3055">
        <v>1185732</v>
      </c>
      <c r="C3055" s="1">
        <v>44515</v>
      </c>
      <c r="D3055" t="s">
        <v>43</v>
      </c>
      <c r="E3055" t="s">
        <v>135</v>
      </c>
      <c r="F3055" t="s">
        <v>136</v>
      </c>
      <c r="G3055" t="s">
        <v>26</v>
      </c>
      <c r="H3055" s="2">
        <v>58</v>
      </c>
      <c r="I3055">
        <v>136</v>
      </c>
      <c r="J3055">
        <v>789</v>
      </c>
      <c r="K3055" s="4">
        <v>497</v>
      </c>
      <c r="L3055" t="s">
        <v>17</v>
      </c>
    </row>
    <row r="3056" spans="1:12" x14ac:dyDescent="0.35">
      <c r="A3056" t="s">
        <v>42</v>
      </c>
      <c r="B3056">
        <v>1185732</v>
      </c>
      <c r="C3056" s="1">
        <v>44260</v>
      </c>
      <c r="D3056" t="s">
        <v>33</v>
      </c>
      <c r="E3056" t="s">
        <v>91</v>
      </c>
      <c r="F3056" t="s">
        <v>92</v>
      </c>
      <c r="G3056" t="s">
        <v>26</v>
      </c>
      <c r="H3056" s="2">
        <v>19</v>
      </c>
      <c r="I3056">
        <v>136</v>
      </c>
      <c r="J3056">
        <v>258</v>
      </c>
      <c r="K3056" s="4">
        <v>103</v>
      </c>
      <c r="L3056" t="s">
        <v>17</v>
      </c>
    </row>
    <row r="3057" spans="1:12" x14ac:dyDescent="0.35">
      <c r="A3057" t="s">
        <v>23</v>
      </c>
      <c r="B3057">
        <v>1197831</v>
      </c>
      <c r="C3057" s="1">
        <v>44428</v>
      </c>
      <c r="D3057" t="s">
        <v>19</v>
      </c>
      <c r="E3057" t="s">
        <v>59</v>
      </c>
      <c r="F3057" t="s">
        <v>68</v>
      </c>
      <c r="G3057" t="s">
        <v>56</v>
      </c>
      <c r="H3057" s="2">
        <v>28</v>
      </c>
      <c r="I3057">
        <v>136</v>
      </c>
      <c r="J3057">
        <v>381</v>
      </c>
      <c r="K3057" s="4">
        <v>171</v>
      </c>
      <c r="L3057" t="s">
        <v>27</v>
      </c>
    </row>
    <row r="3058" spans="1:12" x14ac:dyDescent="0.35">
      <c r="A3058" t="s">
        <v>18</v>
      </c>
      <c r="B3058">
        <v>1128299</v>
      </c>
      <c r="C3058" s="1">
        <v>43903</v>
      </c>
      <c r="D3058" t="s">
        <v>48</v>
      </c>
      <c r="E3058" t="s">
        <v>116</v>
      </c>
      <c r="F3058" t="s">
        <v>117</v>
      </c>
      <c r="G3058" t="s">
        <v>70</v>
      </c>
      <c r="H3058" s="2">
        <v>49</v>
      </c>
      <c r="I3058">
        <v>136</v>
      </c>
      <c r="J3058">
        <v>666</v>
      </c>
      <c r="K3058" s="4">
        <v>360</v>
      </c>
      <c r="L3058" t="s">
        <v>27</v>
      </c>
    </row>
    <row r="3059" spans="1:12" x14ac:dyDescent="0.35">
      <c r="A3059" t="s">
        <v>23</v>
      </c>
      <c r="B3059">
        <v>1197831</v>
      </c>
      <c r="C3059" s="1">
        <v>44316</v>
      </c>
      <c r="D3059" t="s">
        <v>19</v>
      </c>
      <c r="E3059" t="s">
        <v>74</v>
      </c>
      <c r="F3059" t="s">
        <v>75</v>
      </c>
      <c r="G3059" t="s">
        <v>56</v>
      </c>
      <c r="H3059" s="2">
        <v>40</v>
      </c>
      <c r="I3059">
        <v>136</v>
      </c>
      <c r="J3059">
        <v>544</v>
      </c>
      <c r="K3059" s="4">
        <v>310</v>
      </c>
      <c r="L3059" t="s">
        <v>27</v>
      </c>
    </row>
    <row r="3060" spans="1:12" x14ac:dyDescent="0.35">
      <c r="A3060" t="s">
        <v>23</v>
      </c>
      <c r="B3060">
        <v>1197831</v>
      </c>
      <c r="C3060" s="1">
        <v>44417</v>
      </c>
      <c r="D3060" t="s">
        <v>19</v>
      </c>
      <c r="E3060" t="s">
        <v>24</v>
      </c>
      <c r="F3060" t="s">
        <v>25</v>
      </c>
      <c r="G3060" t="s">
        <v>32</v>
      </c>
      <c r="H3060" s="2">
        <v>26</v>
      </c>
      <c r="I3060">
        <v>136</v>
      </c>
      <c r="J3060">
        <v>354</v>
      </c>
      <c r="K3060" s="4">
        <v>156</v>
      </c>
      <c r="L3060" t="s">
        <v>27</v>
      </c>
    </row>
    <row r="3061" spans="1:12" x14ac:dyDescent="0.35">
      <c r="A3061" t="s">
        <v>42</v>
      </c>
      <c r="B3061">
        <v>1128299</v>
      </c>
      <c r="C3061" s="1">
        <v>44432</v>
      </c>
      <c r="D3061" t="s">
        <v>13</v>
      </c>
      <c r="E3061" t="s">
        <v>99</v>
      </c>
      <c r="F3061" t="s">
        <v>100</v>
      </c>
      <c r="G3061" t="s">
        <v>56</v>
      </c>
      <c r="H3061" s="2">
        <v>52</v>
      </c>
      <c r="I3061">
        <v>136</v>
      </c>
      <c r="J3061">
        <v>707</v>
      </c>
      <c r="K3061" s="4">
        <v>276</v>
      </c>
      <c r="L3061" t="s">
        <v>27</v>
      </c>
    </row>
    <row r="3062" spans="1:12" x14ac:dyDescent="0.35">
      <c r="A3062" t="s">
        <v>42</v>
      </c>
      <c r="B3062">
        <v>1128299</v>
      </c>
      <c r="C3062" s="1">
        <v>44524</v>
      </c>
      <c r="D3062" t="s">
        <v>13</v>
      </c>
      <c r="E3062" t="s">
        <v>99</v>
      </c>
      <c r="F3062" t="s">
        <v>100</v>
      </c>
      <c r="G3062" t="s">
        <v>70</v>
      </c>
      <c r="H3062" s="2">
        <v>56</v>
      </c>
      <c r="I3062">
        <v>136</v>
      </c>
      <c r="J3062">
        <v>762</v>
      </c>
      <c r="K3062" s="4">
        <v>335</v>
      </c>
      <c r="L3062" t="s">
        <v>27</v>
      </c>
    </row>
    <row r="3063" spans="1:12" x14ac:dyDescent="0.35">
      <c r="A3063" t="s">
        <v>23</v>
      </c>
      <c r="B3063">
        <v>1185732</v>
      </c>
      <c r="C3063" s="1">
        <v>44215</v>
      </c>
      <c r="D3063" t="s">
        <v>13</v>
      </c>
      <c r="E3063" t="s">
        <v>99</v>
      </c>
      <c r="F3063" t="s">
        <v>100</v>
      </c>
      <c r="G3063" t="s">
        <v>56</v>
      </c>
      <c r="H3063" s="2">
        <v>21</v>
      </c>
      <c r="I3063">
        <v>136</v>
      </c>
      <c r="J3063">
        <v>286</v>
      </c>
      <c r="K3063" s="4">
        <v>120</v>
      </c>
      <c r="L3063" t="s">
        <v>27</v>
      </c>
    </row>
    <row r="3064" spans="1:12" x14ac:dyDescent="0.35">
      <c r="A3064" t="s">
        <v>18</v>
      </c>
      <c r="B3064">
        <v>1185732</v>
      </c>
      <c r="C3064" s="1">
        <v>44297</v>
      </c>
      <c r="D3064" t="s">
        <v>48</v>
      </c>
      <c r="E3064" t="s">
        <v>49</v>
      </c>
      <c r="F3064" t="s">
        <v>50</v>
      </c>
      <c r="G3064" t="s">
        <v>16</v>
      </c>
      <c r="H3064" s="2">
        <v>20</v>
      </c>
      <c r="I3064">
        <v>136</v>
      </c>
      <c r="J3064">
        <v>272</v>
      </c>
      <c r="K3064" s="4">
        <v>141</v>
      </c>
      <c r="L3064" t="s">
        <v>27</v>
      </c>
    </row>
    <row r="3065" spans="1:12" x14ac:dyDescent="0.35">
      <c r="A3065" t="s">
        <v>18</v>
      </c>
      <c r="B3065">
        <v>1185732</v>
      </c>
      <c r="C3065" s="1">
        <v>44511</v>
      </c>
      <c r="D3065" t="s">
        <v>48</v>
      </c>
      <c r="E3065" t="s">
        <v>49</v>
      </c>
      <c r="F3065" t="s">
        <v>50</v>
      </c>
      <c r="G3065" t="s">
        <v>39</v>
      </c>
      <c r="H3065" s="2">
        <v>14</v>
      </c>
      <c r="I3065">
        <v>136</v>
      </c>
      <c r="J3065">
        <v>190</v>
      </c>
      <c r="K3065" s="4">
        <v>74</v>
      </c>
      <c r="L3065" t="s">
        <v>27</v>
      </c>
    </row>
    <row r="3066" spans="1:12" x14ac:dyDescent="0.35">
      <c r="A3066" t="s">
        <v>18</v>
      </c>
      <c r="B3066">
        <v>1185732</v>
      </c>
      <c r="C3066" s="1">
        <v>44540</v>
      </c>
      <c r="D3066" t="s">
        <v>48</v>
      </c>
      <c r="E3066" t="s">
        <v>49</v>
      </c>
      <c r="F3066" t="s">
        <v>50</v>
      </c>
      <c r="G3066" t="s">
        <v>56</v>
      </c>
      <c r="H3066" s="2">
        <v>22</v>
      </c>
      <c r="I3066">
        <v>136</v>
      </c>
      <c r="J3066">
        <v>299</v>
      </c>
      <c r="K3066" s="4">
        <v>126</v>
      </c>
      <c r="L3066" t="s">
        <v>27</v>
      </c>
    </row>
    <row r="3067" spans="1:12" x14ac:dyDescent="0.35">
      <c r="A3067" t="s">
        <v>18</v>
      </c>
      <c r="B3067">
        <v>1128299</v>
      </c>
      <c r="C3067" s="1">
        <v>44432</v>
      </c>
      <c r="D3067" t="s">
        <v>48</v>
      </c>
      <c r="E3067" t="s">
        <v>85</v>
      </c>
      <c r="F3067" t="s">
        <v>86</v>
      </c>
      <c r="G3067" t="s">
        <v>70</v>
      </c>
      <c r="H3067" s="2">
        <v>53</v>
      </c>
      <c r="I3067">
        <v>136</v>
      </c>
      <c r="J3067">
        <v>721</v>
      </c>
      <c r="K3067" s="4">
        <v>303</v>
      </c>
      <c r="L3067" t="s">
        <v>27</v>
      </c>
    </row>
    <row r="3068" spans="1:12" x14ac:dyDescent="0.35">
      <c r="A3068" t="s">
        <v>18</v>
      </c>
      <c r="B3068">
        <v>1128299</v>
      </c>
      <c r="C3068" s="1">
        <v>44334</v>
      </c>
      <c r="D3068" t="s">
        <v>19</v>
      </c>
      <c r="E3068" t="s">
        <v>20</v>
      </c>
      <c r="F3068" t="s">
        <v>21</v>
      </c>
      <c r="G3068" t="s">
        <v>32</v>
      </c>
      <c r="H3068" s="2">
        <v>37</v>
      </c>
      <c r="I3068">
        <v>136</v>
      </c>
      <c r="J3068">
        <v>503</v>
      </c>
      <c r="K3068" s="4">
        <v>211</v>
      </c>
      <c r="L3068" t="s">
        <v>27</v>
      </c>
    </row>
    <row r="3069" spans="1:12" x14ac:dyDescent="0.35">
      <c r="A3069" t="s">
        <v>23</v>
      </c>
      <c r="B3069">
        <v>1197831</v>
      </c>
      <c r="C3069" s="1">
        <v>44444</v>
      </c>
      <c r="D3069" t="s">
        <v>48</v>
      </c>
      <c r="E3069" t="s">
        <v>79</v>
      </c>
      <c r="F3069" t="s">
        <v>80</v>
      </c>
      <c r="G3069" t="s">
        <v>56</v>
      </c>
      <c r="H3069" s="2">
        <v>40</v>
      </c>
      <c r="I3069">
        <v>136</v>
      </c>
      <c r="J3069">
        <v>544</v>
      </c>
      <c r="K3069" s="4">
        <v>299</v>
      </c>
      <c r="L3069" t="s">
        <v>27</v>
      </c>
    </row>
    <row r="3070" spans="1:12" x14ac:dyDescent="0.35">
      <c r="A3070" t="s">
        <v>42</v>
      </c>
      <c r="B3070">
        <v>1128299</v>
      </c>
      <c r="C3070" s="1">
        <v>44219</v>
      </c>
      <c r="D3070" t="s">
        <v>48</v>
      </c>
      <c r="E3070" t="s">
        <v>79</v>
      </c>
      <c r="F3070" t="s">
        <v>80</v>
      </c>
      <c r="G3070" t="s">
        <v>26</v>
      </c>
      <c r="H3070" s="2">
        <v>23</v>
      </c>
      <c r="I3070">
        <v>136</v>
      </c>
      <c r="J3070">
        <v>313</v>
      </c>
      <c r="K3070" s="4">
        <v>125</v>
      </c>
      <c r="L3070" t="s">
        <v>27</v>
      </c>
    </row>
    <row r="3071" spans="1:12" x14ac:dyDescent="0.35">
      <c r="A3071" t="s">
        <v>42</v>
      </c>
      <c r="B3071">
        <v>1128299</v>
      </c>
      <c r="C3071" s="1">
        <v>44431</v>
      </c>
      <c r="D3071" t="s">
        <v>48</v>
      </c>
      <c r="E3071" t="s">
        <v>123</v>
      </c>
      <c r="F3071" t="s">
        <v>124</v>
      </c>
      <c r="G3071" t="s">
        <v>70</v>
      </c>
      <c r="H3071" s="2">
        <v>45</v>
      </c>
      <c r="I3071">
        <v>136</v>
      </c>
      <c r="J3071">
        <v>612</v>
      </c>
      <c r="K3071" s="4">
        <v>226</v>
      </c>
      <c r="L3071" t="s">
        <v>27</v>
      </c>
    </row>
    <row r="3072" spans="1:12" x14ac:dyDescent="0.35">
      <c r="A3072" t="s">
        <v>63</v>
      </c>
      <c r="B3072">
        <v>1128299</v>
      </c>
      <c r="C3072" s="1">
        <v>44552</v>
      </c>
      <c r="D3072" t="s">
        <v>48</v>
      </c>
      <c r="E3072" t="s">
        <v>123</v>
      </c>
      <c r="F3072" t="s">
        <v>124</v>
      </c>
      <c r="G3072" t="s">
        <v>32</v>
      </c>
      <c r="H3072" s="2">
        <v>35</v>
      </c>
      <c r="I3072">
        <v>136</v>
      </c>
      <c r="J3072">
        <v>476</v>
      </c>
      <c r="K3072" s="4">
        <v>195</v>
      </c>
      <c r="L3072" t="s">
        <v>27</v>
      </c>
    </row>
    <row r="3073" spans="1:12" x14ac:dyDescent="0.35">
      <c r="A3073" t="s">
        <v>63</v>
      </c>
      <c r="B3073">
        <v>1128299</v>
      </c>
      <c r="C3073" s="1">
        <v>44253</v>
      </c>
      <c r="D3073" t="s">
        <v>48</v>
      </c>
      <c r="E3073" t="s">
        <v>123</v>
      </c>
      <c r="F3073" t="s">
        <v>124</v>
      </c>
      <c r="G3073" t="s">
        <v>39</v>
      </c>
      <c r="H3073" s="2">
        <v>36</v>
      </c>
      <c r="I3073">
        <v>136</v>
      </c>
      <c r="J3073">
        <v>490</v>
      </c>
      <c r="K3073" s="4">
        <v>230</v>
      </c>
      <c r="L3073" t="s">
        <v>27</v>
      </c>
    </row>
    <row r="3074" spans="1:12" x14ac:dyDescent="0.35">
      <c r="A3074" t="s">
        <v>63</v>
      </c>
      <c r="B3074">
        <v>1128299</v>
      </c>
      <c r="C3074" s="1">
        <v>44280</v>
      </c>
      <c r="D3074" t="s">
        <v>48</v>
      </c>
      <c r="E3074" t="s">
        <v>114</v>
      </c>
      <c r="F3074" t="s">
        <v>115</v>
      </c>
      <c r="G3074" t="s">
        <v>39</v>
      </c>
      <c r="H3074" s="2">
        <v>36</v>
      </c>
      <c r="I3074">
        <v>136</v>
      </c>
      <c r="J3074">
        <v>490</v>
      </c>
      <c r="K3074" s="4">
        <v>220</v>
      </c>
      <c r="L3074" t="s">
        <v>27</v>
      </c>
    </row>
    <row r="3075" spans="1:12" x14ac:dyDescent="0.35">
      <c r="A3075" t="s">
        <v>63</v>
      </c>
      <c r="B3075">
        <v>1128299</v>
      </c>
      <c r="C3075" s="1">
        <v>44343</v>
      </c>
      <c r="D3075" t="s">
        <v>48</v>
      </c>
      <c r="E3075" t="s">
        <v>114</v>
      </c>
      <c r="F3075" t="s">
        <v>115</v>
      </c>
      <c r="G3075" t="s">
        <v>39</v>
      </c>
      <c r="H3075" s="2">
        <v>46</v>
      </c>
      <c r="I3075">
        <v>136</v>
      </c>
      <c r="J3075">
        <v>626</v>
      </c>
      <c r="K3075" s="4">
        <v>263</v>
      </c>
      <c r="L3075" t="s">
        <v>27</v>
      </c>
    </row>
    <row r="3076" spans="1:12" x14ac:dyDescent="0.35">
      <c r="A3076" t="s">
        <v>63</v>
      </c>
      <c r="B3076">
        <v>1128299</v>
      </c>
      <c r="C3076" s="1">
        <v>44526</v>
      </c>
      <c r="D3076" t="s">
        <v>48</v>
      </c>
      <c r="E3076" t="s">
        <v>114</v>
      </c>
      <c r="F3076" t="s">
        <v>115</v>
      </c>
      <c r="G3076" t="s">
        <v>56</v>
      </c>
      <c r="H3076" s="2">
        <v>40</v>
      </c>
      <c r="I3076">
        <v>136</v>
      </c>
      <c r="J3076">
        <v>544</v>
      </c>
      <c r="K3076" s="4">
        <v>223</v>
      </c>
      <c r="L3076" t="s">
        <v>27</v>
      </c>
    </row>
    <row r="3077" spans="1:12" x14ac:dyDescent="0.35">
      <c r="A3077" t="s">
        <v>23</v>
      </c>
      <c r="B3077">
        <v>1128299</v>
      </c>
      <c r="C3077" s="1">
        <v>44330</v>
      </c>
      <c r="D3077" t="s">
        <v>13</v>
      </c>
      <c r="E3077" t="s">
        <v>57</v>
      </c>
      <c r="F3077" t="s">
        <v>58</v>
      </c>
      <c r="G3077" t="s">
        <v>39</v>
      </c>
      <c r="H3077" s="2">
        <v>36</v>
      </c>
      <c r="I3077">
        <v>136</v>
      </c>
      <c r="J3077">
        <v>490</v>
      </c>
      <c r="K3077" s="4">
        <v>220</v>
      </c>
      <c r="L3077" t="s">
        <v>27</v>
      </c>
    </row>
    <row r="3078" spans="1:12" x14ac:dyDescent="0.35">
      <c r="A3078" t="s">
        <v>42</v>
      </c>
      <c r="B3078">
        <v>1185732</v>
      </c>
      <c r="C3078" s="1">
        <v>44245</v>
      </c>
      <c r="D3078" t="s">
        <v>19</v>
      </c>
      <c r="E3078" t="s">
        <v>37</v>
      </c>
      <c r="F3078" t="s">
        <v>38</v>
      </c>
      <c r="G3078" t="s">
        <v>70</v>
      </c>
      <c r="H3078" s="2">
        <v>26</v>
      </c>
      <c r="I3078">
        <v>136</v>
      </c>
      <c r="J3078">
        <v>354</v>
      </c>
      <c r="K3078" s="4">
        <v>138</v>
      </c>
      <c r="L3078" t="s">
        <v>27</v>
      </c>
    </row>
    <row r="3079" spans="1:12" x14ac:dyDescent="0.35">
      <c r="A3079" t="s">
        <v>42</v>
      </c>
      <c r="B3079">
        <v>1185732</v>
      </c>
      <c r="C3079" s="1">
        <v>44271</v>
      </c>
      <c r="D3079" t="s">
        <v>19</v>
      </c>
      <c r="E3079" t="s">
        <v>37</v>
      </c>
      <c r="F3079" t="s">
        <v>38</v>
      </c>
      <c r="G3079" t="s">
        <v>32</v>
      </c>
      <c r="H3079" s="2">
        <v>11</v>
      </c>
      <c r="I3079">
        <v>136</v>
      </c>
      <c r="J3079">
        <v>150</v>
      </c>
      <c r="K3079" s="4">
        <v>70</v>
      </c>
      <c r="L3079" t="s">
        <v>27</v>
      </c>
    </row>
    <row r="3080" spans="1:12" x14ac:dyDescent="0.35">
      <c r="A3080" t="s">
        <v>42</v>
      </c>
      <c r="B3080">
        <v>1185732</v>
      </c>
      <c r="C3080" s="1">
        <v>44271</v>
      </c>
      <c r="D3080" t="s">
        <v>19</v>
      </c>
      <c r="E3080" t="s">
        <v>37</v>
      </c>
      <c r="F3080" t="s">
        <v>38</v>
      </c>
      <c r="G3080" t="s">
        <v>16</v>
      </c>
      <c r="H3080" s="2">
        <v>17</v>
      </c>
      <c r="I3080">
        <v>136</v>
      </c>
      <c r="J3080">
        <v>231</v>
      </c>
      <c r="K3080" s="4">
        <v>125</v>
      </c>
      <c r="L3080" t="s">
        <v>27</v>
      </c>
    </row>
    <row r="3081" spans="1:12" x14ac:dyDescent="0.35">
      <c r="A3081" t="s">
        <v>42</v>
      </c>
      <c r="B3081">
        <v>1185732</v>
      </c>
      <c r="C3081" s="1">
        <v>44332</v>
      </c>
      <c r="D3081" t="s">
        <v>19</v>
      </c>
      <c r="E3081" t="s">
        <v>37</v>
      </c>
      <c r="F3081" t="s">
        <v>38</v>
      </c>
      <c r="G3081" t="s">
        <v>32</v>
      </c>
      <c r="H3081" s="2">
        <v>26</v>
      </c>
      <c r="I3081">
        <v>136</v>
      </c>
      <c r="J3081">
        <v>354</v>
      </c>
      <c r="K3081" s="4">
        <v>152</v>
      </c>
      <c r="L3081" t="s">
        <v>27</v>
      </c>
    </row>
    <row r="3082" spans="1:12" x14ac:dyDescent="0.35">
      <c r="A3082" t="s">
        <v>23</v>
      </c>
      <c r="B3082">
        <v>1197831</v>
      </c>
      <c r="C3082" s="1">
        <v>44248</v>
      </c>
      <c r="D3082" t="s">
        <v>19</v>
      </c>
      <c r="E3082" t="s">
        <v>37</v>
      </c>
      <c r="F3082" t="s">
        <v>38</v>
      </c>
      <c r="G3082" t="s">
        <v>32</v>
      </c>
      <c r="H3082" s="2">
        <v>11</v>
      </c>
      <c r="I3082">
        <v>136</v>
      </c>
      <c r="J3082">
        <v>150</v>
      </c>
      <c r="K3082" s="4">
        <v>63</v>
      </c>
      <c r="L3082" t="s">
        <v>27</v>
      </c>
    </row>
    <row r="3083" spans="1:12" x14ac:dyDescent="0.35">
      <c r="A3083" t="s">
        <v>42</v>
      </c>
      <c r="B3083">
        <v>1185732</v>
      </c>
      <c r="C3083" s="1">
        <v>44383</v>
      </c>
      <c r="D3083" t="s">
        <v>43</v>
      </c>
      <c r="E3083" t="s">
        <v>110</v>
      </c>
      <c r="F3083" t="s">
        <v>111</v>
      </c>
      <c r="G3083" t="s">
        <v>16</v>
      </c>
      <c r="H3083" s="2">
        <v>38</v>
      </c>
      <c r="I3083">
        <v>136</v>
      </c>
      <c r="J3083">
        <v>517</v>
      </c>
      <c r="K3083" s="4">
        <v>217</v>
      </c>
      <c r="L3083" t="s">
        <v>27</v>
      </c>
    </row>
    <row r="3084" spans="1:12" x14ac:dyDescent="0.35">
      <c r="A3084" t="s">
        <v>51</v>
      </c>
      <c r="B3084">
        <v>1185732</v>
      </c>
      <c r="C3084" s="1">
        <v>44419</v>
      </c>
      <c r="D3084" t="s">
        <v>43</v>
      </c>
      <c r="E3084" t="s">
        <v>125</v>
      </c>
      <c r="F3084" t="s">
        <v>126</v>
      </c>
      <c r="G3084" t="s">
        <v>16</v>
      </c>
      <c r="H3084" s="2">
        <v>44</v>
      </c>
      <c r="I3084">
        <v>136</v>
      </c>
      <c r="J3084">
        <v>598</v>
      </c>
      <c r="K3084" s="4">
        <v>257</v>
      </c>
      <c r="L3084" t="s">
        <v>27</v>
      </c>
    </row>
    <row r="3085" spans="1:12" x14ac:dyDescent="0.35">
      <c r="A3085" t="s">
        <v>42</v>
      </c>
      <c r="B3085">
        <v>1185732</v>
      </c>
      <c r="C3085" s="1">
        <v>44377</v>
      </c>
      <c r="D3085" t="s">
        <v>33</v>
      </c>
      <c r="E3085" t="s">
        <v>118</v>
      </c>
      <c r="F3085" t="s">
        <v>119</v>
      </c>
      <c r="G3085" t="s">
        <v>26</v>
      </c>
      <c r="H3085" s="2">
        <v>46</v>
      </c>
      <c r="I3085">
        <v>135</v>
      </c>
      <c r="J3085">
        <v>621</v>
      </c>
      <c r="K3085" s="4">
        <v>342</v>
      </c>
      <c r="L3085" t="s">
        <v>17</v>
      </c>
    </row>
    <row r="3086" spans="1:12" x14ac:dyDescent="0.35">
      <c r="A3086" t="s">
        <v>42</v>
      </c>
      <c r="B3086">
        <v>1185732</v>
      </c>
      <c r="C3086" s="1">
        <v>44395</v>
      </c>
      <c r="D3086" t="s">
        <v>33</v>
      </c>
      <c r="E3086" t="s">
        <v>118</v>
      </c>
      <c r="F3086" t="s">
        <v>119</v>
      </c>
      <c r="G3086" t="s">
        <v>26</v>
      </c>
      <c r="H3086" s="2">
        <v>47</v>
      </c>
      <c r="I3086">
        <v>135</v>
      </c>
      <c r="J3086">
        <v>635</v>
      </c>
      <c r="K3086" s="4">
        <v>317</v>
      </c>
      <c r="L3086" t="s">
        <v>17</v>
      </c>
    </row>
    <row r="3087" spans="1:12" x14ac:dyDescent="0.35">
      <c r="A3087" t="s">
        <v>23</v>
      </c>
      <c r="B3087">
        <v>1197831</v>
      </c>
      <c r="C3087" s="1">
        <v>44436</v>
      </c>
      <c r="D3087" t="s">
        <v>19</v>
      </c>
      <c r="E3087" t="s">
        <v>59</v>
      </c>
      <c r="F3087" t="s">
        <v>68</v>
      </c>
      <c r="G3087" t="s">
        <v>16</v>
      </c>
      <c r="H3087" s="2">
        <v>32</v>
      </c>
      <c r="I3087">
        <v>135</v>
      </c>
      <c r="J3087">
        <v>432</v>
      </c>
      <c r="K3087" s="4">
        <v>272</v>
      </c>
      <c r="L3087" t="s">
        <v>17</v>
      </c>
    </row>
    <row r="3088" spans="1:12" x14ac:dyDescent="0.35">
      <c r="A3088" t="s">
        <v>23</v>
      </c>
      <c r="B3088">
        <v>1197831</v>
      </c>
      <c r="C3088" s="1">
        <v>44471</v>
      </c>
      <c r="D3088" t="s">
        <v>19</v>
      </c>
      <c r="E3088" t="s">
        <v>59</v>
      </c>
      <c r="F3088" t="s">
        <v>68</v>
      </c>
      <c r="G3088" t="s">
        <v>70</v>
      </c>
      <c r="H3088" s="2">
        <v>53</v>
      </c>
      <c r="I3088">
        <v>135</v>
      </c>
      <c r="J3088">
        <v>716</v>
      </c>
      <c r="K3088" s="4">
        <v>351</v>
      </c>
      <c r="L3088" t="s">
        <v>17</v>
      </c>
    </row>
    <row r="3089" spans="1:12" x14ac:dyDescent="0.35">
      <c r="A3089" t="s">
        <v>42</v>
      </c>
      <c r="B3089">
        <v>1185732</v>
      </c>
      <c r="C3089" s="1">
        <v>44521</v>
      </c>
      <c r="D3089" t="s">
        <v>43</v>
      </c>
      <c r="E3089" t="s">
        <v>135</v>
      </c>
      <c r="F3089" t="s">
        <v>136</v>
      </c>
      <c r="G3089" t="s">
        <v>26</v>
      </c>
      <c r="H3089" s="2">
        <v>64</v>
      </c>
      <c r="I3089">
        <v>135</v>
      </c>
      <c r="J3089">
        <v>864</v>
      </c>
      <c r="K3089" s="4">
        <v>562</v>
      </c>
      <c r="L3089" t="s">
        <v>17</v>
      </c>
    </row>
    <row r="3090" spans="1:12" x14ac:dyDescent="0.35">
      <c r="A3090" t="s">
        <v>18</v>
      </c>
      <c r="B3090">
        <v>1128299</v>
      </c>
      <c r="C3090" s="1">
        <v>43938</v>
      </c>
      <c r="D3090" t="s">
        <v>48</v>
      </c>
      <c r="E3090" t="s">
        <v>133</v>
      </c>
      <c r="F3090" t="s">
        <v>134</v>
      </c>
      <c r="G3090" t="s">
        <v>56</v>
      </c>
      <c r="H3090" s="2">
        <v>62</v>
      </c>
      <c r="I3090">
        <v>135</v>
      </c>
      <c r="J3090">
        <v>837</v>
      </c>
      <c r="K3090" s="4">
        <v>502</v>
      </c>
      <c r="L3090" t="s">
        <v>17</v>
      </c>
    </row>
    <row r="3091" spans="1:12" x14ac:dyDescent="0.35">
      <c r="A3091" t="s">
        <v>18</v>
      </c>
      <c r="B3091">
        <v>1128299</v>
      </c>
      <c r="C3091" s="1">
        <v>43950</v>
      </c>
      <c r="D3091" t="s">
        <v>48</v>
      </c>
      <c r="E3091" t="s">
        <v>133</v>
      </c>
      <c r="F3091" t="s">
        <v>134</v>
      </c>
      <c r="G3091" t="s">
        <v>56</v>
      </c>
      <c r="H3091" s="2">
        <v>63</v>
      </c>
      <c r="I3091">
        <v>135</v>
      </c>
      <c r="J3091">
        <v>851</v>
      </c>
      <c r="K3091" s="4">
        <v>459</v>
      </c>
      <c r="L3091" t="s">
        <v>17</v>
      </c>
    </row>
    <row r="3092" spans="1:12" x14ac:dyDescent="0.35">
      <c r="A3092" t="s">
        <v>18</v>
      </c>
      <c r="B3092">
        <v>1128299</v>
      </c>
      <c r="C3092" s="1">
        <v>43979</v>
      </c>
      <c r="D3092" t="s">
        <v>48</v>
      </c>
      <c r="E3092" t="s">
        <v>133</v>
      </c>
      <c r="F3092" t="s">
        <v>134</v>
      </c>
      <c r="G3092" t="s">
        <v>32</v>
      </c>
      <c r="H3092" s="2">
        <v>46</v>
      </c>
      <c r="I3092">
        <v>135</v>
      </c>
      <c r="J3092">
        <v>621</v>
      </c>
      <c r="K3092" s="4">
        <v>217</v>
      </c>
      <c r="L3092" t="s">
        <v>17</v>
      </c>
    </row>
    <row r="3093" spans="1:12" x14ac:dyDescent="0.35">
      <c r="A3093" t="s">
        <v>18</v>
      </c>
      <c r="B3093">
        <v>1128299</v>
      </c>
      <c r="C3093" s="1">
        <v>44027</v>
      </c>
      <c r="D3093" t="s">
        <v>48</v>
      </c>
      <c r="E3093" t="s">
        <v>97</v>
      </c>
      <c r="F3093" t="s">
        <v>98</v>
      </c>
      <c r="G3093" t="s">
        <v>32</v>
      </c>
      <c r="H3093" s="2">
        <v>63</v>
      </c>
      <c r="I3093">
        <v>135</v>
      </c>
      <c r="J3093">
        <v>851</v>
      </c>
      <c r="K3093" s="4">
        <v>315</v>
      </c>
      <c r="L3093" t="s">
        <v>17</v>
      </c>
    </row>
    <row r="3094" spans="1:12" x14ac:dyDescent="0.35">
      <c r="A3094" t="s">
        <v>42</v>
      </c>
      <c r="B3094">
        <v>1185732</v>
      </c>
      <c r="C3094" s="1">
        <v>44127</v>
      </c>
      <c r="D3094" t="s">
        <v>33</v>
      </c>
      <c r="E3094" t="s">
        <v>104</v>
      </c>
      <c r="F3094" t="s">
        <v>105</v>
      </c>
      <c r="G3094" t="s">
        <v>26</v>
      </c>
      <c r="H3094" s="2">
        <v>32</v>
      </c>
      <c r="I3094">
        <v>135</v>
      </c>
      <c r="J3094">
        <v>432</v>
      </c>
      <c r="K3094" s="4">
        <v>194</v>
      </c>
      <c r="L3094" t="s">
        <v>17</v>
      </c>
    </row>
    <row r="3095" spans="1:12" x14ac:dyDescent="0.35">
      <c r="A3095" t="s">
        <v>23</v>
      </c>
      <c r="B3095">
        <v>1197831</v>
      </c>
      <c r="C3095" s="1">
        <v>44268</v>
      </c>
      <c r="D3095" t="s">
        <v>33</v>
      </c>
      <c r="E3095" t="s">
        <v>131</v>
      </c>
      <c r="F3095" t="s">
        <v>132</v>
      </c>
      <c r="G3095" t="s">
        <v>56</v>
      </c>
      <c r="H3095" s="2">
        <v>32</v>
      </c>
      <c r="I3095">
        <v>135</v>
      </c>
      <c r="J3095">
        <v>432</v>
      </c>
      <c r="K3095" s="4">
        <v>246</v>
      </c>
      <c r="L3095" t="s">
        <v>17</v>
      </c>
    </row>
    <row r="3096" spans="1:12" x14ac:dyDescent="0.35">
      <c r="A3096" t="s">
        <v>23</v>
      </c>
      <c r="B3096">
        <v>1197831</v>
      </c>
      <c r="C3096" s="1">
        <v>44285</v>
      </c>
      <c r="D3096" t="s">
        <v>19</v>
      </c>
      <c r="E3096" t="s">
        <v>74</v>
      </c>
      <c r="F3096" t="s">
        <v>75</v>
      </c>
      <c r="G3096" t="s">
        <v>32</v>
      </c>
      <c r="H3096" s="2">
        <v>19</v>
      </c>
      <c r="I3096">
        <v>135</v>
      </c>
      <c r="J3096">
        <v>257</v>
      </c>
      <c r="K3096" s="4">
        <v>141</v>
      </c>
      <c r="L3096" t="s">
        <v>17</v>
      </c>
    </row>
    <row r="3097" spans="1:12" x14ac:dyDescent="0.35">
      <c r="A3097" t="s">
        <v>23</v>
      </c>
      <c r="B3097">
        <v>1197831</v>
      </c>
      <c r="C3097" s="1">
        <v>44436</v>
      </c>
      <c r="D3097" t="s">
        <v>19</v>
      </c>
      <c r="E3097" t="s">
        <v>24</v>
      </c>
      <c r="F3097" t="s">
        <v>25</v>
      </c>
      <c r="G3097" t="s">
        <v>56</v>
      </c>
      <c r="H3097" s="2">
        <v>34</v>
      </c>
      <c r="I3097">
        <v>135</v>
      </c>
      <c r="J3097">
        <v>459</v>
      </c>
      <c r="K3097" s="4">
        <v>312</v>
      </c>
      <c r="L3097" t="s">
        <v>17</v>
      </c>
    </row>
    <row r="3098" spans="1:12" x14ac:dyDescent="0.35">
      <c r="A3098" t="s">
        <v>42</v>
      </c>
      <c r="B3098">
        <v>1128299</v>
      </c>
      <c r="C3098" s="1">
        <v>44264</v>
      </c>
      <c r="D3098" t="s">
        <v>48</v>
      </c>
      <c r="E3098" t="s">
        <v>129</v>
      </c>
      <c r="F3098" t="s">
        <v>130</v>
      </c>
      <c r="G3098" t="s">
        <v>26</v>
      </c>
      <c r="H3098" s="2">
        <v>44</v>
      </c>
      <c r="I3098">
        <v>135</v>
      </c>
      <c r="J3098">
        <v>594</v>
      </c>
      <c r="K3098" s="4">
        <v>238</v>
      </c>
      <c r="L3098" t="s">
        <v>17</v>
      </c>
    </row>
    <row r="3099" spans="1:12" x14ac:dyDescent="0.35">
      <c r="A3099" t="s">
        <v>23</v>
      </c>
      <c r="B3099">
        <v>1128299</v>
      </c>
      <c r="C3099" s="1">
        <v>44539</v>
      </c>
      <c r="D3099" t="s">
        <v>48</v>
      </c>
      <c r="E3099" t="s">
        <v>129</v>
      </c>
      <c r="F3099" t="s">
        <v>130</v>
      </c>
      <c r="G3099" t="s">
        <v>32</v>
      </c>
      <c r="H3099" s="2">
        <v>74</v>
      </c>
      <c r="I3099">
        <v>135</v>
      </c>
      <c r="J3099">
        <v>999</v>
      </c>
      <c r="K3099" s="4">
        <v>350</v>
      </c>
      <c r="L3099" t="s">
        <v>17</v>
      </c>
    </row>
    <row r="3100" spans="1:12" x14ac:dyDescent="0.35">
      <c r="A3100" t="s">
        <v>12</v>
      </c>
      <c r="B3100">
        <v>1128299</v>
      </c>
      <c r="C3100" s="1">
        <v>44457</v>
      </c>
      <c r="D3100" t="s">
        <v>13</v>
      </c>
      <c r="E3100" t="s">
        <v>14</v>
      </c>
      <c r="F3100" t="s">
        <v>15</v>
      </c>
      <c r="G3100" t="s">
        <v>39</v>
      </c>
      <c r="H3100" s="2">
        <v>60</v>
      </c>
      <c r="I3100">
        <v>135</v>
      </c>
      <c r="J3100">
        <v>810</v>
      </c>
      <c r="K3100" s="4">
        <v>300</v>
      </c>
      <c r="L3100" t="s">
        <v>17</v>
      </c>
    </row>
    <row r="3101" spans="1:12" x14ac:dyDescent="0.35">
      <c r="A3101" t="s">
        <v>18</v>
      </c>
      <c r="B3101">
        <v>1185732</v>
      </c>
      <c r="C3101" s="1">
        <v>44295</v>
      </c>
      <c r="D3101" t="s">
        <v>43</v>
      </c>
      <c r="E3101" t="s">
        <v>44</v>
      </c>
      <c r="F3101" t="s">
        <v>101</v>
      </c>
      <c r="G3101" t="s">
        <v>56</v>
      </c>
      <c r="H3101" s="2">
        <v>37</v>
      </c>
      <c r="I3101">
        <v>135</v>
      </c>
      <c r="J3101">
        <v>500</v>
      </c>
      <c r="K3101" s="4">
        <v>205</v>
      </c>
      <c r="L3101" t="s">
        <v>17</v>
      </c>
    </row>
    <row r="3102" spans="1:12" x14ac:dyDescent="0.35">
      <c r="A3102" t="s">
        <v>18</v>
      </c>
      <c r="B3102">
        <v>1185732</v>
      </c>
      <c r="C3102" s="1">
        <v>44479</v>
      </c>
      <c r="D3102" t="s">
        <v>43</v>
      </c>
      <c r="E3102" t="s">
        <v>44</v>
      </c>
      <c r="F3102" t="s">
        <v>101</v>
      </c>
      <c r="G3102" t="s">
        <v>56</v>
      </c>
      <c r="H3102" s="2">
        <v>45</v>
      </c>
      <c r="I3102">
        <v>135</v>
      </c>
      <c r="J3102">
        <v>608</v>
      </c>
      <c r="K3102" s="4">
        <v>249</v>
      </c>
      <c r="L3102" t="s">
        <v>17</v>
      </c>
    </row>
    <row r="3103" spans="1:12" x14ac:dyDescent="0.35">
      <c r="A3103" t="s">
        <v>63</v>
      </c>
      <c r="B3103">
        <v>1185732</v>
      </c>
      <c r="C3103" s="1">
        <v>44359</v>
      </c>
      <c r="D3103" t="s">
        <v>48</v>
      </c>
      <c r="E3103" t="s">
        <v>102</v>
      </c>
      <c r="F3103" t="s">
        <v>103</v>
      </c>
      <c r="G3103" t="s">
        <v>70</v>
      </c>
      <c r="H3103" s="2">
        <v>49</v>
      </c>
      <c r="I3103">
        <v>135</v>
      </c>
      <c r="J3103">
        <v>662</v>
      </c>
      <c r="K3103" s="4">
        <v>291</v>
      </c>
      <c r="L3103" t="s">
        <v>17</v>
      </c>
    </row>
    <row r="3104" spans="1:12" x14ac:dyDescent="0.35">
      <c r="A3104" t="s">
        <v>63</v>
      </c>
      <c r="B3104">
        <v>1185732</v>
      </c>
      <c r="C3104" s="1">
        <v>44449</v>
      </c>
      <c r="D3104" t="s">
        <v>48</v>
      </c>
      <c r="E3104" t="s">
        <v>102</v>
      </c>
      <c r="F3104" t="s">
        <v>103</v>
      </c>
      <c r="G3104" t="s">
        <v>56</v>
      </c>
      <c r="H3104" s="2">
        <v>38</v>
      </c>
      <c r="I3104">
        <v>135</v>
      </c>
      <c r="J3104">
        <v>513</v>
      </c>
      <c r="K3104" s="4">
        <v>251</v>
      </c>
      <c r="L3104" t="s">
        <v>17</v>
      </c>
    </row>
    <row r="3105" spans="1:12" x14ac:dyDescent="0.35">
      <c r="A3105" t="s">
        <v>63</v>
      </c>
      <c r="B3105">
        <v>1185732</v>
      </c>
      <c r="C3105" s="1">
        <v>44511</v>
      </c>
      <c r="D3105" t="s">
        <v>48</v>
      </c>
      <c r="E3105" t="s">
        <v>102</v>
      </c>
      <c r="F3105" t="s">
        <v>103</v>
      </c>
      <c r="G3105" t="s">
        <v>56</v>
      </c>
      <c r="H3105" s="2">
        <v>42</v>
      </c>
      <c r="I3105">
        <v>135</v>
      </c>
      <c r="J3105">
        <v>567</v>
      </c>
      <c r="K3105" s="4">
        <v>278</v>
      </c>
      <c r="L3105" t="s">
        <v>17</v>
      </c>
    </row>
    <row r="3106" spans="1:12" x14ac:dyDescent="0.35">
      <c r="A3106" t="s">
        <v>42</v>
      </c>
      <c r="B3106">
        <v>1185732</v>
      </c>
      <c r="C3106" s="1">
        <v>44540</v>
      </c>
      <c r="D3106" t="s">
        <v>48</v>
      </c>
      <c r="E3106" t="s">
        <v>102</v>
      </c>
      <c r="F3106" t="s">
        <v>103</v>
      </c>
      <c r="G3106" t="s">
        <v>56</v>
      </c>
      <c r="H3106" s="2">
        <v>44</v>
      </c>
      <c r="I3106">
        <v>135</v>
      </c>
      <c r="J3106">
        <v>594</v>
      </c>
      <c r="K3106" s="4">
        <v>291</v>
      </c>
      <c r="L3106" t="s">
        <v>17</v>
      </c>
    </row>
    <row r="3107" spans="1:12" x14ac:dyDescent="0.35">
      <c r="A3107" t="s">
        <v>23</v>
      </c>
      <c r="B3107">
        <v>1185732</v>
      </c>
      <c r="C3107" s="1">
        <v>44302</v>
      </c>
      <c r="D3107" t="s">
        <v>33</v>
      </c>
      <c r="E3107" t="s">
        <v>45</v>
      </c>
      <c r="F3107" t="s">
        <v>46</v>
      </c>
      <c r="G3107" t="s">
        <v>32</v>
      </c>
      <c r="H3107" s="2">
        <v>27</v>
      </c>
      <c r="I3107">
        <v>135</v>
      </c>
      <c r="J3107">
        <v>365</v>
      </c>
      <c r="K3107" s="4">
        <v>153</v>
      </c>
      <c r="L3107" t="s">
        <v>17</v>
      </c>
    </row>
    <row r="3108" spans="1:12" x14ac:dyDescent="0.35">
      <c r="A3108" t="s">
        <v>23</v>
      </c>
      <c r="B3108">
        <v>1185732</v>
      </c>
      <c r="C3108" s="1">
        <v>44424</v>
      </c>
      <c r="D3108" t="s">
        <v>33</v>
      </c>
      <c r="E3108" t="s">
        <v>45</v>
      </c>
      <c r="F3108" t="s">
        <v>46</v>
      </c>
      <c r="G3108" t="s">
        <v>70</v>
      </c>
      <c r="H3108" s="2">
        <v>42</v>
      </c>
      <c r="I3108">
        <v>135</v>
      </c>
      <c r="J3108">
        <v>567</v>
      </c>
      <c r="K3108" s="4">
        <v>301</v>
      </c>
      <c r="L3108" t="s">
        <v>17</v>
      </c>
    </row>
    <row r="3109" spans="1:12" x14ac:dyDescent="0.35">
      <c r="A3109" t="s">
        <v>42</v>
      </c>
      <c r="B3109">
        <v>1128299</v>
      </c>
      <c r="C3109" s="1">
        <v>44492</v>
      </c>
      <c r="D3109" t="s">
        <v>48</v>
      </c>
      <c r="E3109" t="s">
        <v>123</v>
      </c>
      <c r="F3109" t="s">
        <v>124</v>
      </c>
      <c r="G3109" t="s">
        <v>26</v>
      </c>
      <c r="H3109" s="2">
        <v>41</v>
      </c>
      <c r="I3109">
        <v>135</v>
      </c>
      <c r="J3109">
        <v>554</v>
      </c>
      <c r="K3109" s="4">
        <v>266</v>
      </c>
      <c r="L3109" t="s">
        <v>17</v>
      </c>
    </row>
    <row r="3110" spans="1:12" x14ac:dyDescent="0.35">
      <c r="A3110" t="s">
        <v>42</v>
      </c>
      <c r="B3110">
        <v>1128299</v>
      </c>
      <c r="C3110" s="1">
        <v>44523</v>
      </c>
      <c r="D3110" t="s">
        <v>48</v>
      </c>
      <c r="E3110" t="s">
        <v>123</v>
      </c>
      <c r="F3110" t="s">
        <v>124</v>
      </c>
      <c r="G3110" t="s">
        <v>26</v>
      </c>
      <c r="H3110" s="2">
        <v>42</v>
      </c>
      <c r="I3110">
        <v>135</v>
      </c>
      <c r="J3110">
        <v>567</v>
      </c>
      <c r="K3110" s="4">
        <v>266</v>
      </c>
      <c r="L3110" t="s">
        <v>17</v>
      </c>
    </row>
    <row r="3111" spans="1:12" x14ac:dyDescent="0.35">
      <c r="A3111" t="s">
        <v>63</v>
      </c>
      <c r="B3111">
        <v>1128299</v>
      </c>
      <c r="C3111" s="1">
        <v>44552</v>
      </c>
      <c r="D3111" t="s">
        <v>48</v>
      </c>
      <c r="E3111" t="s">
        <v>123</v>
      </c>
      <c r="F3111" t="s">
        <v>124</v>
      </c>
      <c r="G3111" t="s">
        <v>16</v>
      </c>
      <c r="H3111" s="2">
        <v>58</v>
      </c>
      <c r="I3111">
        <v>135</v>
      </c>
      <c r="J3111">
        <v>783</v>
      </c>
      <c r="K3111" s="4">
        <v>290</v>
      </c>
      <c r="L3111" t="s">
        <v>17</v>
      </c>
    </row>
    <row r="3112" spans="1:12" x14ac:dyDescent="0.35">
      <c r="A3112" t="s">
        <v>63</v>
      </c>
      <c r="B3112">
        <v>1128299</v>
      </c>
      <c r="C3112" s="1">
        <v>44402</v>
      </c>
      <c r="D3112" t="s">
        <v>48</v>
      </c>
      <c r="E3112" t="s">
        <v>114</v>
      </c>
      <c r="F3112" t="s">
        <v>115</v>
      </c>
      <c r="G3112" t="s">
        <v>56</v>
      </c>
      <c r="H3112" s="2">
        <v>54</v>
      </c>
      <c r="I3112">
        <v>135</v>
      </c>
      <c r="J3112">
        <v>729</v>
      </c>
      <c r="K3112" s="4">
        <v>328</v>
      </c>
      <c r="L3112" t="s">
        <v>17</v>
      </c>
    </row>
    <row r="3113" spans="1:12" x14ac:dyDescent="0.35">
      <c r="A3113" t="s">
        <v>23</v>
      </c>
      <c r="B3113">
        <v>1128299</v>
      </c>
      <c r="C3113" s="1">
        <v>44209</v>
      </c>
      <c r="D3113" t="s">
        <v>48</v>
      </c>
      <c r="E3113" t="s">
        <v>114</v>
      </c>
      <c r="F3113" t="s">
        <v>115</v>
      </c>
      <c r="G3113" t="s">
        <v>39</v>
      </c>
      <c r="H3113" s="2">
        <v>39</v>
      </c>
      <c r="I3113">
        <v>135</v>
      </c>
      <c r="J3113">
        <v>527</v>
      </c>
      <c r="K3113" s="4">
        <v>269</v>
      </c>
      <c r="L3113" t="s">
        <v>17</v>
      </c>
    </row>
    <row r="3114" spans="1:12" x14ac:dyDescent="0.35">
      <c r="A3114" t="s">
        <v>23</v>
      </c>
      <c r="B3114">
        <v>1128299</v>
      </c>
      <c r="C3114" s="1">
        <v>44453</v>
      </c>
      <c r="D3114" t="s">
        <v>13</v>
      </c>
      <c r="E3114" t="s">
        <v>57</v>
      </c>
      <c r="F3114" t="s">
        <v>58</v>
      </c>
      <c r="G3114" t="s">
        <v>32</v>
      </c>
      <c r="H3114" s="2">
        <v>42</v>
      </c>
      <c r="I3114">
        <v>135</v>
      </c>
      <c r="J3114">
        <v>567</v>
      </c>
      <c r="K3114" s="4">
        <v>266</v>
      </c>
      <c r="L3114" t="s">
        <v>17</v>
      </c>
    </row>
    <row r="3115" spans="1:12" x14ac:dyDescent="0.35">
      <c r="A3115" t="s">
        <v>42</v>
      </c>
      <c r="B3115">
        <v>1128299</v>
      </c>
      <c r="C3115" s="1">
        <v>44542</v>
      </c>
      <c r="D3115" t="s">
        <v>13</v>
      </c>
      <c r="E3115" t="s">
        <v>57</v>
      </c>
      <c r="F3115" t="s">
        <v>58</v>
      </c>
      <c r="G3115" t="s">
        <v>16</v>
      </c>
      <c r="H3115" s="2">
        <v>64</v>
      </c>
      <c r="I3115">
        <v>135</v>
      </c>
      <c r="J3115">
        <v>864</v>
      </c>
      <c r="K3115" s="4">
        <v>302</v>
      </c>
      <c r="L3115" t="s">
        <v>17</v>
      </c>
    </row>
    <row r="3116" spans="1:12" x14ac:dyDescent="0.35">
      <c r="A3116" t="s">
        <v>51</v>
      </c>
      <c r="B3116">
        <v>1185732</v>
      </c>
      <c r="C3116" s="1">
        <v>44325</v>
      </c>
      <c r="D3116" t="s">
        <v>33</v>
      </c>
      <c r="E3116" t="s">
        <v>52</v>
      </c>
      <c r="F3116" t="s">
        <v>53</v>
      </c>
      <c r="G3116" t="s">
        <v>39</v>
      </c>
      <c r="H3116" s="2">
        <v>44</v>
      </c>
      <c r="I3116">
        <v>135</v>
      </c>
      <c r="J3116">
        <v>594</v>
      </c>
      <c r="K3116" s="4">
        <v>291</v>
      </c>
      <c r="L3116" t="s">
        <v>17</v>
      </c>
    </row>
    <row r="3117" spans="1:12" x14ac:dyDescent="0.35">
      <c r="A3117" t="s">
        <v>51</v>
      </c>
      <c r="B3117">
        <v>1185732</v>
      </c>
      <c r="C3117" s="1">
        <v>44418</v>
      </c>
      <c r="D3117" t="s">
        <v>33</v>
      </c>
      <c r="E3117" t="s">
        <v>52</v>
      </c>
      <c r="F3117" t="s">
        <v>53</v>
      </c>
      <c r="G3117" t="s">
        <v>70</v>
      </c>
      <c r="H3117" s="2">
        <v>50</v>
      </c>
      <c r="I3117">
        <v>135</v>
      </c>
      <c r="J3117">
        <v>675</v>
      </c>
      <c r="K3117" s="4">
        <v>331</v>
      </c>
      <c r="L3117" t="s">
        <v>17</v>
      </c>
    </row>
    <row r="3118" spans="1:12" x14ac:dyDescent="0.35">
      <c r="A3118" t="s">
        <v>51</v>
      </c>
      <c r="B3118">
        <v>1185732</v>
      </c>
      <c r="C3118" s="1">
        <v>44510</v>
      </c>
      <c r="D3118" t="s">
        <v>33</v>
      </c>
      <c r="E3118" t="s">
        <v>52</v>
      </c>
      <c r="F3118" t="s">
        <v>53</v>
      </c>
      <c r="G3118" t="s">
        <v>56</v>
      </c>
      <c r="H3118" s="2">
        <v>59</v>
      </c>
      <c r="I3118">
        <v>135</v>
      </c>
      <c r="J3118">
        <v>797</v>
      </c>
      <c r="K3118" s="4">
        <v>398</v>
      </c>
      <c r="L3118" t="s">
        <v>17</v>
      </c>
    </row>
    <row r="3119" spans="1:12" x14ac:dyDescent="0.35">
      <c r="A3119" t="s">
        <v>51</v>
      </c>
      <c r="B3119">
        <v>1185732</v>
      </c>
      <c r="C3119" s="1">
        <v>44218</v>
      </c>
      <c r="D3119" t="s">
        <v>33</v>
      </c>
      <c r="E3119" t="s">
        <v>52</v>
      </c>
      <c r="F3119" t="s">
        <v>53</v>
      </c>
      <c r="G3119" t="s">
        <v>26</v>
      </c>
      <c r="H3119" s="2">
        <v>37</v>
      </c>
      <c r="I3119">
        <v>135</v>
      </c>
      <c r="J3119">
        <v>500</v>
      </c>
      <c r="K3119" s="4">
        <v>270</v>
      </c>
      <c r="L3119" t="s">
        <v>17</v>
      </c>
    </row>
    <row r="3120" spans="1:12" x14ac:dyDescent="0.35">
      <c r="A3120" t="s">
        <v>42</v>
      </c>
      <c r="B3120">
        <v>1185732</v>
      </c>
      <c r="C3120" s="1">
        <v>44365</v>
      </c>
      <c r="D3120" t="s">
        <v>19</v>
      </c>
      <c r="E3120" t="s">
        <v>37</v>
      </c>
      <c r="F3120" t="s">
        <v>38</v>
      </c>
      <c r="G3120" t="s">
        <v>70</v>
      </c>
      <c r="H3120" s="2">
        <v>57</v>
      </c>
      <c r="I3120">
        <v>135</v>
      </c>
      <c r="J3120">
        <v>770</v>
      </c>
      <c r="K3120" s="4">
        <v>346</v>
      </c>
      <c r="L3120" t="s">
        <v>17</v>
      </c>
    </row>
    <row r="3121" spans="1:12" x14ac:dyDescent="0.35">
      <c r="A3121" t="s">
        <v>42</v>
      </c>
      <c r="B3121">
        <v>1185732</v>
      </c>
      <c r="C3121" s="1">
        <v>44359</v>
      </c>
      <c r="D3121" t="s">
        <v>33</v>
      </c>
      <c r="E3121" t="s">
        <v>87</v>
      </c>
      <c r="F3121" t="s">
        <v>88</v>
      </c>
      <c r="G3121" t="s">
        <v>26</v>
      </c>
      <c r="H3121" s="2">
        <v>41</v>
      </c>
      <c r="I3121">
        <v>135</v>
      </c>
      <c r="J3121">
        <v>554</v>
      </c>
      <c r="K3121" s="4">
        <v>255</v>
      </c>
      <c r="L3121" t="s">
        <v>17</v>
      </c>
    </row>
    <row r="3122" spans="1:12" x14ac:dyDescent="0.35">
      <c r="A3122" t="s">
        <v>42</v>
      </c>
      <c r="B3122">
        <v>1185732</v>
      </c>
      <c r="C3122" s="1">
        <v>44546</v>
      </c>
      <c r="D3122" t="s">
        <v>43</v>
      </c>
      <c r="E3122" t="s">
        <v>64</v>
      </c>
      <c r="F3122" t="s">
        <v>65</v>
      </c>
      <c r="G3122" t="s">
        <v>39</v>
      </c>
      <c r="H3122" s="2">
        <v>52</v>
      </c>
      <c r="I3122">
        <v>135</v>
      </c>
      <c r="J3122">
        <v>702</v>
      </c>
      <c r="K3122" s="4">
        <v>365</v>
      </c>
      <c r="L3122" t="s">
        <v>17</v>
      </c>
    </row>
    <row r="3123" spans="1:12" x14ac:dyDescent="0.35">
      <c r="A3123" t="s">
        <v>23</v>
      </c>
      <c r="B3123">
        <v>1185732</v>
      </c>
      <c r="C3123" s="1">
        <v>44429</v>
      </c>
      <c r="D3123" t="s">
        <v>43</v>
      </c>
      <c r="E3123" t="s">
        <v>93</v>
      </c>
      <c r="F3123" t="s">
        <v>94</v>
      </c>
      <c r="G3123" t="s">
        <v>26</v>
      </c>
      <c r="H3123" s="2">
        <v>48</v>
      </c>
      <c r="I3123">
        <v>135</v>
      </c>
      <c r="J3123">
        <v>648</v>
      </c>
      <c r="K3123" s="4">
        <v>343</v>
      </c>
      <c r="L3123" t="s">
        <v>17</v>
      </c>
    </row>
    <row r="3124" spans="1:12" x14ac:dyDescent="0.35">
      <c r="A3124" t="s">
        <v>42</v>
      </c>
      <c r="B3124">
        <v>1185732</v>
      </c>
      <c r="C3124" s="1">
        <v>44362</v>
      </c>
      <c r="D3124" t="s">
        <v>43</v>
      </c>
      <c r="E3124" t="s">
        <v>95</v>
      </c>
      <c r="F3124" t="s">
        <v>96</v>
      </c>
      <c r="G3124" t="s">
        <v>16</v>
      </c>
      <c r="H3124" s="2">
        <v>56</v>
      </c>
      <c r="I3124">
        <v>135</v>
      </c>
      <c r="J3124">
        <v>756</v>
      </c>
      <c r="K3124" s="4">
        <v>401</v>
      </c>
      <c r="L3124" t="s">
        <v>17</v>
      </c>
    </row>
    <row r="3125" spans="1:12" x14ac:dyDescent="0.35">
      <c r="A3125" t="s">
        <v>63</v>
      </c>
      <c r="B3125">
        <v>1185732</v>
      </c>
      <c r="C3125" s="1">
        <v>44514</v>
      </c>
      <c r="D3125" t="s">
        <v>43</v>
      </c>
      <c r="E3125" t="s">
        <v>95</v>
      </c>
      <c r="F3125" t="s">
        <v>96</v>
      </c>
      <c r="G3125" t="s">
        <v>26</v>
      </c>
      <c r="H3125" s="2">
        <v>60</v>
      </c>
      <c r="I3125">
        <v>135</v>
      </c>
      <c r="J3125">
        <v>810</v>
      </c>
      <c r="K3125" s="4">
        <v>381</v>
      </c>
      <c r="L3125" t="s">
        <v>17</v>
      </c>
    </row>
    <row r="3126" spans="1:12" x14ac:dyDescent="0.35">
      <c r="A3126" t="s">
        <v>23</v>
      </c>
      <c r="B3126">
        <v>1185732</v>
      </c>
      <c r="C3126" s="1">
        <v>44536</v>
      </c>
      <c r="D3126" t="s">
        <v>43</v>
      </c>
      <c r="E3126" t="s">
        <v>110</v>
      </c>
      <c r="F3126" t="s">
        <v>111</v>
      </c>
      <c r="G3126" t="s">
        <v>26</v>
      </c>
      <c r="H3126" s="2">
        <v>54</v>
      </c>
      <c r="I3126">
        <v>135</v>
      </c>
      <c r="J3126">
        <v>729</v>
      </c>
      <c r="K3126" s="4">
        <v>365</v>
      </c>
      <c r="L3126" t="s">
        <v>17</v>
      </c>
    </row>
    <row r="3127" spans="1:12" x14ac:dyDescent="0.35">
      <c r="A3127" t="s">
        <v>23</v>
      </c>
      <c r="B3127">
        <v>1185732</v>
      </c>
      <c r="C3127" s="1">
        <v>44452</v>
      </c>
      <c r="D3127" t="s">
        <v>43</v>
      </c>
      <c r="E3127" t="s">
        <v>112</v>
      </c>
      <c r="F3127" t="s">
        <v>113</v>
      </c>
      <c r="G3127" t="s">
        <v>26</v>
      </c>
      <c r="H3127" s="2">
        <v>53</v>
      </c>
      <c r="I3127">
        <v>135</v>
      </c>
      <c r="J3127">
        <v>716</v>
      </c>
      <c r="K3127" s="4">
        <v>301</v>
      </c>
      <c r="L3127" t="s">
        <v>17</v>
      </c>
    </row>
    <row r="3128" spans="1:12" x14ac:dyDescent="0.35">
      <c r="A3128" t="s">
        <v>51</v>
      </c>
      <c r="B3128">
        <v>1185732</v>
      </c>
      <c r="C3128" s="1">
        <v>44426</v>
      </c>
      <c r="D3128" t="s">
        <v>43</v>
      </c>
      <c r="E3128" t="s">
        <v>127</v>
      </c>
      <c r="F3128" t="s">
        <v>128</v>
      </c>
      <c r="G3128" t="s">
        <v>39</v>
      </c>
      <c r="H3128" s="2">
        <v>58</v>
      </c>
      <c r="I3128">
        <v>135</v>
      </c>
      <c r="J3128">
        <v>783</v>
      </c>
      <c r="K3128" s="4">
        <v>423</v>
      </c>
      <c r="L3128" t="s">
        <v>17</v>
      </c>
    </row>
    <row r="3129" spans="1:12" x14ac:dyDescent="0.35">
      <c r="A3129" t="s">
        <v>23</v>
      </c>
      <c r="B3129">
        <v>1197831</v>
      </c>
      <c r="C3129" s="1">
        <v>44470</v>
      </c>
      <c r="D3129" t="s">
        <v>19</v>
      </c>
      <c r="E3129" t="s">
        <v>59</v>
      </c>
      <c r="F3129" t="s">
        <v>68</v>
      </c>
      <c r="G3129" t="s">
        <v>56</v>
      </c>
      <c r="H3129" s="2">
        <v>41</v>
      </c>
      <c r="I3129">
        <v>135</v>
      </c>
      <c r="J3129">
        <v>554</v>
      </c>
      <c r="K3129" s="4">
        <v>304</v>
      </c>
      <c r="L3129" t="s">
        <v>27</v>
      </c>
    </row>
    <row r="3130" spans="1:12" x14ac:dyDescent="0.35">
      <c r="A3130" t="s">
        <v>18</v>
      </c>
      <c r="B3130">
        <v>1128299</v>
      </c>
      <c r="C3130" s="1">
        <v>43833</v>
      </c>
      <c r="D3130" t="s">
        <v>43</v>
      </c>
      <c r="E3130" t="s">
        <v>135</v>
      </c>
      <c r="F3130" t="s">
        <v>136</v>
      </c>
      <c r="G3130" t="s">
        <v>39</v>
      </c>
      <c r="H3130" s="2">
        <v>35</v>
      </c>
      <c r="I3130">
        <v>135</v>
      </c>
      <c r="J3130">
        <v>473</v>
      </c>
      <c r="K3130" s="4">
        <v>146</v>
      </c>
      <c r="L3130" t="s">
        <v>27</v>
      </c>
    </row>
    <row r="3131" spans="1:12" x14ac:dyDescent="0.35">
      <c r="A3131" t="s">
        <v>23</v>
      </c>
      <c r="B3131">
        <v>1197831</v>
      </c>
      <c r="C3131" s="1">
        <v>44472</v>
      </c>
      <c r="D3131" t="s">
        <v>19</v>
      </c>
      <c r="E3131" t="s">
        <v>24</v>
      </c>
      <c r="F3131" t="s">
        <v>25</v>
      </c>
      <c r="G3131" t="s">
        <v>56</v>
      </c>
      <c r="H3131" s="2">
        <v>36</v>
      </c>
      <c r="I3131">
        <v>135</v>
      </c>
      <c r="J3131">
        <v>486</v>
      </c>
      <c r="K3131" s="4">
        <v>326</v>
      </c>
      <c r="L3131" t="s">
        <v>27</v>
      </c>
    </row>
    <row r="3132" spans="1:12" x14ac:dyDescent="0.35">
      <c r="A3132" t="s">
        <v>42</v>
      </c>
      <c r="B3132">
        <v>1197831</v>
      </c>
      <c r="C3132" s="1">
        <v>44231</v>
      </c>
      <c r="D3132" t="s">
        <v>48</v>
      </c>
      <c r="E3132" t="s">
        <v>79</v>
      </c>
      <c r="F3132" t="s">
        <v>80</v>
      </c>
      <c r="G3132" t="s">
        <v>16</v>
      </c>
      <c r="H3132" s="2">
        <v>26</v>
      </c>
      <c r="I3132">
        <v>135</v>
      </c>
      <c r="J3132">
        <v>351</v>
      </c>
      <c r="K3132" s="4">
        <v>183</v>
      </c>
      <c r="L3132" t="s">
        <v>27</v>
      </c>
    </row>
    <row r="3133" spans="1:12" x14ac:dyDescent="0.35">
      <c r="A3133" t="s">
        <v>42</v>
      </c>
      <c r="B3133">
        <v>1197831</v>
      </c>
      <c r="C3133" s="1">
        <v>44261</v>
      </c>
      <c r="D3133" t="s">
        <v>48</v>
      </c>
      <c r="E3133" t="s">
        <v>79</v>
      </c>
      <c r="F3133" t="s">
        <v>80</v>
      </c>
      <c r="G3133" t="s">
        <v>32</v>
      </c>
      <c r="H3133" s="2">
        <v>20</v>
      </c>
      <c r="I3133">
        <v>135</v>
      </c>
      <c r="J3133">
        <v>270</v>
      </c>
      <c r="K3133" s="4">
        <v>103</v>
      </c>
      <c r="L3133" t="s">
        <v>27</v>
      </c>
    </row>
    <row r="3134" spans="1:12" x14ac:dyDescent="0.35">
      <c r="A3134" t="s">
        <v>63</v>
      </c>
      <c r="B3134">
        <v>1128299</v>
      </c>
      <c r="C3134" s="1">
        <v>44552</v>
      </c>
      <c r="D3134" t="s">
        <v>48</v>
      </c>
      <c r="E3134" t="s">
        <v>123</v>
      </c>
      <c r="F3134" t="s">
        <v>124</v>
      </c>
      <c r="G3134" t="s">
        <v>16</v>
      </c>
      <c r="H3134" s="2">
        <v>43</v>
      </c>
      <c r="I3134">
        <v>135</v>
      </c>
      <c r="J3134">
        <v>581</v>
      </c>
      <c r="K3134" s="4">
        <v>163</v>
      </c>
      <c r="L3134" t="s">
        <v>27</v>
      </c>
    </row>
    <row r="3135" spans="1:12" x14ac:dyDescent="0.35">
      <c r="A3135" t="s">
        <v>63</v>
      </c>
      <c r="B3135">
        <v>1128299</v>
      </c>
      <c r="C3135" s="1">
        <v>44343</v>
      </c>
      <c r="D3135" t="s">
        <v>48</v>
      </c>
      <c r="E3135" t="s">
        <v>114</v>
      </c>
      <c r="F3135" t="s">
        <v>115</v>
      </c>
      <c r="G3135" t="s">
        <v>32</v>
      </c>
      <c r="H3135" s="2">
        <v>46</v>
      </c>
      <c r="I3135">
        <v>135</v>
      </c>
      <c r="J3135">
        <v>621</v>
      </c>
      <c r="K3135" s="4">
        <v>255</v>
      </c>
      <c r="L3135" t="s">
        <v>27</v>
      </c>
    </row>
    <row r="3136" spans="1:12" x14ac:dyDescent="0.35">
      <c r="A3136" t="s">
        <v>23</v>
      </c>
      <c r="B3136">
        <v>1128299</v>
      </c>
      <c r="C3136" s="1">
        <v>44453</v>
      </c>
      <c r="D3136" t="s">
        <v>13</v>
      </c>
      <c r="E3136" t="s">
        <v>57</v>
      </c>
      <c r="F3136" t="s">
        <v>58</v>
      </c>
      <c r="G3136" t="s">
        <v>32</v>
      </c>
      <c r="H3136" s="2">
        <v>32</v>
      </c>
      <c r="I3136">
        <v>135</v>
      </c>
      <c r="J3136">
        <v>432</v>
      </c>
      <c r="K3136" s="4">
        <v>160</v>
      </c>
      <c r="L3136" t="s">
        <v>27</v>
      </c>
    </row>
    <row r="3137" spans="1:12" x14ac:dyDescent="0.35">
      <c r="A3137" t="s">
        <v>23</v>
      </c>
      <c r="B3137">
        <v>1128299</v>
      </c>
      <c r="C3137" s="1">
        <v>44453</v>
      </c>
      <c r="D3137" t="s">
        <v>13</v>
      </c>
      <c r="E3137" t="s">
        <v>57</v>
      </c>
      <c r="F3137" t="s">
        <v>58</v>
      </c>
      <c r="G3137" t="s">
        <v>16</v>
      </c>
      <c r="H3137" s="2">
        <v>46</v>
      </c>
      <c r="I3137">
        <v>135</v>
      </c>
      <c r="J3137">
        <v>621</v>
      </c>
      <c r="K3137" s="4">
        <v>186</v>
      </c>
      <c r="L3137" t="s">
        <v>27</v>
      </c>
    </row>
    <row r="3138" spans="1:12" x14ac:dyDescent="0.35">
      <c r="A3138" t="s">
        <v>42</v>
      </c>
      <c r="B3138">
        <v>1185732</v>
      </c>
      <c r="C3138" s="1">
        <v>44365</v>
      </c>
      <c r="D3138" t="s">
        <v>19</v>
      </c>
      <c r="E3138" t="s">
        <v>37</v>
      </c>
      <c r="F3138" t="s">
        <v>38</v>
      </c>
      <c r="G3138" t="s">
        <v>70</v>
      </c>
      <c r="H3138" s="2">
        <v>47</v>
      </c>
      <c r="I3138">
        <v>135</v>
      </c>
      <c r="J3138">
        <v>635</v>
      </c>
      <c r="K3138" s="4">
        <v>241</v>
      </c>
      <c r="L3138" t="s">
        <v>27</v>
      </c>
    </row>
    <row r="3139" spans="1:12" x14ac:dyDescent="0.35">
      <c r="A3139" t="s">
        <v>23</v>
      </c>
      <c r="B3139">
        <v>1197831</v>
      </c>
      <c r="C3139" s="1">
        <v>44219</v>
      </c>
      <c r="D3139" t="s">
        <v>19</v>
      </c>
      <c r="E3139" t="s">
        <v>37</v>
      </c>
      <c r="F3139" t="s">
        <v>38</v>
      </c>
      <c r="G3139" t="s">
        <v>39</v>
      </c>
      <c r="H3139" s="2">
        <v>18</v>
      </c>
      <c r="I3139">
        <v>135</v>
      </c>
      <c r="J3139">
        <v>243</v>
      </c>
      <c r="K3139" s="4">
        <v>97</v>
      </c>
      <c r="L3139" t="s">
        <v>27</v>
      </c>
    </row>
    <row r="3140" spans="1:12" x14ac:dyDescent="0.35">
      <c r="A3140" t="s">
        <v>12</v>
      </c>
      <c r="B3140">
        <v>1197831</v>
      </c>
      <c r="C3140" s="1">
        <v>44428</v>
      </c>
      <c r="D3140" t="s">
        <v>19</v>
      </c>
      <c r="E3140" t="s">
        <v>54</v>
      </c>
      <c r="F3140" t="s">
        <v>55</v>
      </c>
      <c r="G3140" t="s">
        <v>32</v>
      </c>
      <c r="H3140" s="2">
        <v>40</v>
      </c>
      <c r="I3140">
        <v>135</v>
      </c>
      <c r="J3140">
        <v>540</v>
      </c>
      <c r="K3140" s="4">
        <v>238</v>
      </c>
      <c r="L3140" t="s">
        <v>27</v>
      </c>
    </row>
    <row r="3141" spans="1:12" x14ac:dyDescent="0.35">
      <c r="A3141" t="s">
        <v>12</v>
      </c>
      <c r="B3141">
        <v>1197831</v>
      </c>
      <c r="C3141" s="1">
        <v>44458</v>
      </c>
      <c r="D3141" t="s">
        <v>19</v>
      </c>
      <c r="E3141" t="s">
        <v>54</v>
      </c>
      <c r="F3141" t="s">
        <v>55</v>
      </c>
      <c r="G3141" t="s">
        <v>39</v>
      </c>
      <c r="H3141" s="2">
        <v>26</v>
      </c>
      <c r="I3141">
        <v>135</v>
      </c>
      <c r="J3141">
        <v>351</v>
      </c>
      <c r="K3141" s="4">
        <v>144</v>
      </c>
      <c r="L3141" t="s">
        <v>27</v>
      </c>
    </row>
    <row r="3142" spans="1:12" x14ac:dyDescent="0.35">
      <c r="A3142" t="s">
        <v>18</v>
      </c>
      <c r="B3142">
        <v>1197831</v>
      </c>
      <c r="C3142" s="1">
        <v>44520</v>
      </c>
      <c r="D3142" t="s">
        <v>19</v>
      </c>
      <c r="E3142" t="s">
        <v>54</v>
      </c>
      <c r="F3142" t="s">
        <v>55</v>
      </c>
      <c r="G3142" t="s">
        <v>16</v>
      </c>
      <c r="H3142" s="2">
        <v>53</v>
      </c>
      <c r="I3142">
        <v>135</v>
      </c>
      <c r="J3142">
        <v>716</v>
      </c>
      <c r="K3142" s="4">
        <v>322</v>
      </c>
      <c r="L3142" t="s">
        <v>27</v>
      </c>
    </row>
    <row r="3143" spans="1:12" x14ac:dyDescent="0.35">
      <c r="A3143" t="s">
        <v>18</v>
      </c>
      <c r="B3143">
        <v>1197831</v>
      </c>
      <c r="C3143" s="1">
        <v>44396</v>
      </c>
      <c r="D3143" t="s">
        <v>19</v>
      </c>
      <c r="E3143" t="s">
        <v>61</v>
      </c>
      <c r="F3143" t="s">
        <v>62</v>
      </c>
      <c r="G3143" t="s">
        <v>39</v>
      </c>
      <c r="H3143" s="2">
        <v>35</v>
      </c>
      <c r="I3143">
        <v>135</v>
      </c>
      <c r="J3143">
        <v>473</v>
      </c>
      <c r="K3143" s="4">
        <v>180</v>
      </c>
      <c r="L3143" t="s">
        <v>27</v>
      </c>
    </row>
    <row r="3144" spans="1:12" x14ac:dyDescent="0.35">
      <c r="A3144" t="s">
        <v>51</v>
      </c>
      <c r="B3144">
        <v>1185732</v>
      </c>
      <c r="C3144" s="1">
        <v>44426</v>
      </c>
      <c r="D3144" t="s">
        <v>43</v>
      </c>
      <c r="E3144" t="s">
        <v>127</v>
      </c>
      <c r="F3144" t="s">
        <v>128</v>
      </c>
      <c r="G3144" t="s">
        <v>39</v>
      </c>
      <c r="H3144" s="2">
        <v>39</v>
      </c>
      <c r="I3144">
        <v>135</v>
      </c>
      <c r="J3144">
        <v>527</v>
      </c>
      <c r="K3144" s="4">
        <v>247</v>
      </c>
      <c r="L3144" t="s">
        <v>27</v>
      </c>
    </row>
    <row r="3145" spans="1:12" x14ac:dyDescent="0.35">
      <c r="A3145" t="s">
        <v>42</v>
      </c>
      <c r="B3145">
        <v>1185732</v>
      </c>
      <c r="C3145" s="1">
        <v>44371</v>
      </c>
      <c r="D3145" t="s">
        <v>33</v>
      </c>
      <c r="E3145" t="s">
        <v>118</v>
      </c>
      <c r="F3145" t="s">
        <v>119</v>
      </c>
      <c r="G3145" t="s">
        <v>26</v>
      </c>
      <c r="H3145" s="2">
        <v>58</v>
      </c>
      <c r="I3145">
        <v>134</v>
      </c>
      <c r="J3145">
        <v>777</v>
      </c>
      <c r="K3145" s="4">
        <v>420</v>
      </c>
      <c r="L3145" t="s">
        <v>17</v>
      </c>
    </row>
    <row r="3146" spans="1:12" x14ac:dyDescent="0.35">
      <c r="A3146" t="s">
        <v>23</v>
      </c>
      <c r="B3146">
        <v>1185732</v>
      </c>
      <c r="C3146" s="1">
        <v>44263</v>
      </c>
      <c r="D3146" t="s">
        <v>33</v>
      </c>
      <c r="E3146" t="s">
        <v>89</v>
      </c>
      <c r="F3146" t="s">
        <v>90</v>
      </c>
      <c r="G3146" t="s">
        <v>26</v>
      </c>
      <c r="H3146" s="2">
        <v>29</v>
      </c>
      <c r="I3146">
        <v>134</v>
      </c>
      <c r="J3146">
        <v>389</v>
      </c>
      <c r="K3146" s="4">
        <v>183</v>
      </c>
      <c r="L3146" t="s">
        <v>17</v>
      </c>
    </row>
    <row r="3147" spans="1:12" x14ac:dyDescent="0.35">
      <c r="A3147" t="s">
        <v>18</v>
      </c>
      <c r="B3147">
        <v>1185732</v>
      </c>
      <c r="C3147" s="1">
        <v>44320</v>
      </c>
      <c r="D3147" t="s">
        <v>33</v>
      </c>
      <c r="E3147" t="s">
        <v>40</v>
      </c>
      <c r="F3147" t="s">
        <v>41</v>
      </c>
      <c r="G3147" t="s">
        <v>26</v>
      </c>
      <c r="H3147" s="2">
        <v>58</v>
      </c>
      <c r="I3147">
        <v>134</v>
      </c>
      <c r="J3147">
        <v>777</v>
      </c>
      <c r="K3147" s="4">
        <v>319</v>
      </c>
      <c r="L3147" t="s">
        <v>17</v>
      </c>
    </row>
    <row r="3148" spans="1:12" x14ac:dyDescent="0.35">
      <c r="A3148" t="s">
        <v>18</v>
      </c>
      <c r="B3148">
        <v>1128299</v>
      </c>
      <c r="C3148" s="1">
        <v>43898</v>
      </c>
      <c r="D3148" t="s">
        <v>48</v>
      </c>
      <c r="E3148" t="s">
        <v>116</v>
      </c>
      <c r="F3148" t="s">
        <v>117</v>
      </c>
      <c r="G3148" t="s">
        <v>16</v>
      </c>
      <c r="H3148" s="2">
        <v>68</v>
      </c>
      <c r="I3148">
        <v>133</v>
      </c>
      <c r="J3148">
        <v>904</v>
      </c>
      <c r="K3148" s="4">
        <v>235</v>
      </c>
      <c r="L3148" t="s">
        <v>17</v>
      </c>
    </row>
    <row r="3149" spans="1:12" x14ac:dyDescent="0.35">
      <c r="A3149" t="s">
        <v>18</v>
      </c>
      <c r="B3149">
        <v>1128299</v>
      </c>
      <c r="C3149" s="1">
        <v>43902</v>
      </c>
      <c r="D3149" t="s">
        <v>48</v>
      </c>
      <c r="E3149" t="s">
        <v>116</v>
      </c>
      <c r="F3149" t="s">
        <v>117</v>
      </c>
      <c r="G3149" t="s">
        <v>56</v>
      </c>
      <c r="H3149" s="2">
        <v>57</v>
      </c>
      <c r="I3149">
        <v>133</v>
      </c>
      <c r="J3149">
        <v>758</v>
      </c>
      <c r="K3149" s="4">
        <v>334</v>
      </c>
      <c r="L3149" t="s">
        <v>17</v>
      </c>
    </row>
    <row r="3150" spans="1:12" x14ac:dyDescent="0.35">
      <c r="A3150" t="s">
        <v>18</v>
      </c>
      <c r="B3150">
        <v>1128299</v>
      </c>
      <c r="C3150" s="1">
        <v>43934</v>
      </c>
      <c r="D3150" t="s">
        <v>48</v>
      </c>
      <c r="E3150" t="s">
        <v>133</v>
      </c>
      <c r="F3150" t="s">
        <v>134</v>
      </c>
      <c r="G3150" t="s">
        <v>16</v>
      </c>
      <c r="H3150" s="2">
        <v>74</v>
      </c>
      <c r="I3150">
        <v>133</v>
      </c>
      <c r="J3150">
        <v>984</v>
      </c>
      <c r="K3150" s="4">
        <v>423</v>
      </c>
      <c r="L3150" t="s">
        <v>17</v>
      </c>
    </row>
    <row r="3151" spans="1:12" x14ac:dyDescent="0.35">
      <c r="A3151" t="s">
        <v>18</v>
      </c>
      <c r="B3151">
        <v>1128299</v>
      </c>
      <c r="C3151" s="1">
        <v>44047</v>
      </c>
      <c r="D3151" t="s">
        <v>48</v>
      </c>
      <c r="E3151" t="s">
        <v>97</v>
      </c>
      <c r="F3151" t="s">
        <v>98</v>
      </c>
      <c r="G3151" t="s">
        <v>70</v>
      </c>
      <c r="H3151" s="2">
        <v>82</v>
      </c>
      <c r="I3151">
        <v>133</v>
      </c>
      <c r="J3151" s="3">
        <v>1091</v>
      </c>
      <c r="K3151" s="4">
        <v>414</v>
      </c>
      <c r="L3151" t="s">
        <v>17</v>
      </c>
    </row>
    <row r="3152" spans="1:12" x14ac:dyDescent="0.35">
      <c r="A3152" t="s">
        <v>63</v>
      </c>
      <c r="B3152">
        <v>1189833</v>
      </c>
      <c r="C3152" s="1">
        <v>44258</v>
      </c>
      <c r="D3152" t="s">
        <v>33</v>
      </c>
      <c r="E3152" t="s">
        <v>131</v>
      </c>
      <c r="F3152" t="s">
        <v>132</v>
      </c>
      <c r="G3152" t="s">
        <v>16</v>
      </c>
      <c r="H3152" s="2">
        <v>56</v>
      </c>
      <c r="I3152">
        <v>133</v>
      </c>
      <c r="J3152">
        <v>745</v>
      </c>
      <c r="K3152" s="4">
        <v>283</v>
      </c>
      <c r="L3152" t="s">
        <v>17</v>
      </c>
    </row>
    <row r="3153" spans="1:12" x14ac:dyDescent="0.35">
      <c r="A3153" t="s">
        <v>63</v>
      </c>
      <c r="B3153">
        <v>1189833</v>
      </c>
      <c r="C3153" s="1">
        <v>44261</v>
      </c>
      <c r="D3153" t="s">
        <v>33</v>
      </c>
      <c r="E3153" t="s">
        <v>131</v>
      </c>
      <c r="F3153" t="s">
        <v>132</v>
      </c>
      <c r="G3153" t="s">
        <v>32</v>
      </c>
      <c r="H3153" s="2">
        <v>42</v>
      </c>
      <c r="I3153">
        <v>133</v>
      </c>
      <c r="J3153">
        <v>559</v>
      </c>
      <c r="K3153" s="4">
        <v>335</v>
      </c>
      <c r="L3153" t="s">
        <v>17</v>
      </c>
    </row>
    <row r="3154" spans="1:12" x14ac:dyDescent="0.35">
      <c r="A3154" t="s">
        <v>23</v>
      </c>
      <c r="B3154">
        <v>1197831</v>
      </c>
      <c r="C3154" s="1">
        <v>44276</v>
      </c>
      <c r="D3154" t="s">
        <v>19</v>
      </c>
      <c r="E3154" t="s">
        <v>74</v>
      </c>
      <c r="F3154" t="s">
        <v>75</v>
      </c>
      <c r="G3154" t="s">
        <v>16</v>
      </c>
      <c r="H3154" s="2">
        <v>32</v>
      </c>
      <c r="I3154">
        <v>133</v>
      </c>
      <c r="J3154">
        <v>426</v>
      </c>
      <c r="K3154" s="4">
        <v>272</v>
      </c>
      <c r="L3154" t="s">
        <v>17</v>
      </c>
    </row>
    <row r="3155" spans="1:12" x14ac:dyDescent="0.35">
      <c r="A3155" t="s">
        <v>23</v>
      </c>
      <c r="B3155">
        <v>1197831</v>
      </c>
      <c r="C3155" s="1">
        <v>44310</v>
      </c>
      <c r="D3155" t="s">
        <v>19</v>
      </c>
      <c r="E3155" t="s">
        <v>74</v>
      </c>
      <c r="F3155" t="s">
        <v>75</v>
      </c>
      <c r="G3155" t="s">
        <v>56</v>
      </c>
      <c r="H3155" s="2">
        <v>42</v>
      </c>
      <c r="I3155">
        <v>133</v>
      </c>
      <c r="J3155">
        <v>559</v>
      </c>
      <c r="K3155" s="4">
        <v>385</v>
      </c>
      <c r="L3155" t="s">
        <v>17</v>
      </c>
    </row>
    <row r="3156" spans="1:12" x14ac:dyDescent="0.35">
      <c r="A3156" t="s">
        <v>23</v>
      </c>
      <c r="B3156">
        <v>1197831</v>
      </c>
      <c r="C3156" s="1">
        <v>44311</v>
      </c>
      <c r="D3156" t="s">
        <v>19</v>
      </c>
      <c r="E3156" t="s">
        <v>74</v>
      </c>
      <c r="F3156" t="s">
        <v>75</v>
      </c>
      <c r="G3156" t="s">
        <v>70</v>
      </c>
      <c r="H3156" s="2">
        <v>49</v>
      </c>
      <c r="I3156">
        <v>133</v>
      </c>
      <c r="J3156">
        <v>652</v>
      </c>
      <c r="K3156" s="4">
        <v>345</v>
      </c>
      <c r="L3156" t="s">
        <v>17</v>
      </c>
    </row>
    <row r="3157" spans="1:12" x14ac:dyDescent="0.35">
      <c r="A3157" t="s">
        <v>23</v>
      </c>
      <c r="B3157">
        <v>1197831</v>
      </c>
      <c r="C3157" s="1">
        <v>44328</v>
      </c>
      <c r="D3157" t="s">
        <v>19</v>
      </c>
      <c r="E3157" t="s">
        <v>74</v>
      </c>
      <c r="F3157" t="s">
        <v>75</v>
      </c>
      <c r="G3157" t="s">
        <v>56</v>
      </c>
      <c r="H3157" s="2">
        <v>52</v>
      </c>
      <c r="I3157">
        <v>133</v>
      </c>
      <c r="J3157">
        <v>692</v>
      </c>
      <c r="K3157" s="4">
        <v>477</v>
      </c>
      <c r="L3157" t="s">
        <v>17</v>
      </c>
    </row>
    <row r="3158" spans="1:12" x14ac:dyDescent="0.35">
      <c r="A3158" t="s">
        <v>42</v>
      </c>
      <c r="B3158">
        <v>1128299</v>
      </c>
      <c r="C3158" s="1">
        <v>44357</v>
      </c>
      <c r="D3158" t="s">
        <v>48</v>
      </c>
      <c r="E3158" t="s">
        <v>129</v>
      </c>
      <c r="F3158" t="s">
        <v>130</v>
      </c>
      <c r="G3158" t="s">
        <v>56</v>
      </c>
      <c r="H3158" s="2">
        <v>74</v>
      </c>
      <c r="I3158">
        <v>133</v>
      </c>
      <c r="J3158">
        <v>984</v>
      </c>
      <c r="K3158" s="4">
        <v>374</v>
      </c>
      <c r="L3158" t="s">
        <v>17</v>
      </c>
    </row>
    <row r="3159" spans="1:12" x14ac:dyDescent="0.35">
      <c r="A3159" t="s">
        <v>18</v>
      </c>
      <c r="B3159">
        <v>1185732</v>
      </c>
      <c r="C3159" s="1">
        <v>44237</v>
      </c>
      <c r="D3159" t="s">
        <v>43</v>
      </c>
      <c r="E3159" t="s">
        <v>44</v>
      </c>
      <c r="F3159" t="s">
        <v>101</v>
      </c>
      <c r="G3159" t="s">
        <v>56</v>
      </c>
      <c r="H3159" s="2">
        <v>37</v>
      </c>
      <c r="I3159">
        <v>133</v>
      </c>
      <c r="J3159">
        <v>492</v>
      </c>
      <c r="K3159" s="4">
        <v>207</v>
      </c>
      <c r="L3159" t="s">
        <v>17</v>
      </c>
    </row>
    <row r="3160" spans="1:12" x14ac:dyDescent="0.35">
      <c r="A3160" t="s">
        <v>18</v>
      </c>
      <c r="B3160">
        <v>1185732</v>
      </c>
      <c r="C3160" s="1">
        <v>44263</v>
      </c>
      <c r="D3160" t="s">
        <v>43</v>
      </c>
      <c r="E3160" t="s">
        <v>44</v>
      </c>
      <c r="F3160" t="s">
        <v>101</v>
      </c>
      <c r="G3160" t="s">
        <v>70</v>
      </c>
      <c r="H3160" s="2">
        <v>51</v>
      </c>
      <c r="I3160">
        <v>133</v>
      </c>
      <c r="J3160">
        <v>678</v>
      </c>
      <c r="K3160" s="4">
        <v>332</v>
      </c>
      <c r="L3160" t="s">
        <v>17</v>
      </c>
    </row>
    <row r="3161" spans="1:12" x14ac:dyDescent="0.35">
      <c r="A3161" t="s">
        <v>63</v>
      </c>
      <c r="B3161">
        <v>1185732</v>
      </c>
      <c r="C3161" s="1">
        <v>44326</v>
      </c>
      <c r="D3161" t="s">
        <v>48</v>
      </c>
      <c r="E3161" t="s">
        <v>102</v>
      </c>
      <c r="F3161" t="s">
        <v>103</v>
      </c>
      <c r="G3161" t="s">
        <v>70</v>
      </c>
      <c r="H3161" s="2">
        <v>45</v>
      </c>
      <c r="I3161">
        <v>133</v>
      </c>
      <c r="J3161">
        <v>599</v>
      </c>
      <c r="K3161" s="4">
        <v>251</v>
      </c>
      <c r="L3161" t="s">
        <v>17</v>
      </c>
    </row>
    <row r="3162" spans="1:12" x14ac:dyDescent="0.35">
      <c r="A3162" t="s">
        <v>23</v>
      </c>
      <c r="B3162">
        <v>1128299</v>
      </c>
      <c r="C3162" s="1">
        <v>44553</v>
      </c>
      <c r="D3162" t="s">
        <v>13</v>
      </c>
      <c r="E3162" t="s">
        <v>99</v>
      </c>
      <c r="F3162" t="s">
        <v>100</v>
      </c>
      <c r="G3162" t="s">
        <v>70</v>
      </c>
      <c r="H3162" s="2">
        <v>72</v>
      </c>
      <c r="I3162">
        <v>133</v>
      </c>
      <c r="J3162">
        <v>958</v>
      </c>
      <c r="K3162" s="4">
        <v>488</v>
      </c>
      <c r="L3162" t="s">
        <v>17</v>
      </c>
    </row>
    <row r="3163" spans="1:12" x14ac:dyDescent="0.35">
      <c r="A3163" t="s">
        <v>23</v>
      </c>
      <c r="B3163">
        <v>1185732</v>
      </c>
      <c r="C3163" s="1">
        <v>44331</v>
      </c>
      <c r="D3163" t="s">
        <v>33</v>
      </c>
      <c r="E3163" t="s">
        <v>45</v>
      </c>
      <c r="F3163" t="s">
        <v>46</v>
      </c>
      <c r="G3163" t="s">
        <v>32</v>
      </c>
      <c r="H3163" s="2">
        <v>44</v>
      </c>
      <c r="I3163">
        <v>133</v>
      </c>
      <c r="J3163">
        <v>585</v>
      </c>
      <c r="K3163" s="4">
        <v>234</v>
      </c>
      <c r="L3163" t="s">
        <v>17</v>
      </c>
    </row>
    <row r="3164" spans="1:12" x14ac:dyDescent="0.35">
      <c r="A3164" t="s">
        <v>18</v>
      </c>
      <c r="B3164">
        <v>1185732</v>
      </c>
      <c r="C3164" s="1">
        <v>44207</v>
      </c>
      <c r="D3164" t="s">
        <v>33</v>
      </c>
      <c r="E3164" t="s">
        <v>34</v>
      </c>
      <c r="F3164" t="s">
        <v>35</v>
      </c>
      <c r="G3164" t="s">
        <v>39</v>
      </c>
      <c r="H3164" s="2">
        <v>23</v>
      </c>
      <c r="I3164">
        <v>133</v>
      </c>
      <c r="J3164">
        <v>306</v>
      </c>
      <c r="K3164" s="4">
        <v>144</v>
      </c>
      <c r="L3164" t="s">
        <v>17</v>
      </c>
    </row>
    <row r="3165" spans="1:12" x14ac:dyDescent="0.35">
      <c r="A3165" t="s">
        <v>18</v>
      </c>
      <c r="B3165">
        <v>1128299</v>
      </c>
      <c r="C3165" s="1">
        <v>44553</v>
      </c>
      <c r="D3165" t="s">
        <v>48</v>
      </c>
      <c r="E3165" t="s">
        <v>85</v>
      </c>
      <c r="F3165" t="s">
        <v>86</v>
      </c>
      <c r="G3165" t="s">
        <v>70</v>
      </c>
      <c r="H3165" s="2">
        <v>72</v>
      </c>
      <c r="I3165">
        <v>133</v>
      </c>
      <c r="J3165">
        <v>958</v>
      </c>
      <c r="K3165" s="4">
        <v>479</v>
      </c>
      <c r="L3165" t="s">
        <v>17</v>
      </c>
    </row>
    <row r="3166" spans="1:12" x14ac:dyDescent="0.35">
      <c r="A3166" t="s">
        <v>42</v>
      </c>
      <c r="B3166">
        <v>1197831</v>
      </c>
      <c r="C3166" s="1">
        <v>44201</v>
      </c>
      <c r="D3166" t="s">
        <v>19</v>
      </c>
      <c r="E3166" t="s">
        <v>20</v>
      </c>
      <c r="F3166" t="s">
        <v>21</v>
      </c>
      <c r="G3166" t="s">
        <v>56</v>
      </c>
      <c r="H3166" s="2">
        <v>33</v>
      </c>
      <c r="I3166">
        <v>133</v>
      </c>
      <c r="J3166">
        <v>439</v>
      </c>
      <c r="K3166" s="4">
        <v>233</v>
      </c>
      <c r="L3166" t="s">
        <v>17</v>
      </c>
    </row>
    <row r="3167" spans="1:12" x14ac:dyDescent="0.35">
      <c r="A3167" t="s">
        <v>23</v>
      </c>
      <c r="B3167">
        <v>1197831</v>
      </c>
      <c r="C3167" s="1">
        <v>44416</v>
      </c>
      <c r="D3167" t="s">
        <v>48</v>
      </c>
      <c r="E3167" t="s">
        <v>79</v>
      </c>
      <c r="F3167" t="s">
        <v>80</v>
      </c>
      <c r="G3167" t="s">
        <v>70</v>
      </c>
      <c r="H3167" s="2">
        <v>52</v>
      </c>
      <c r="I3167">
        <v>133</v>
      </c>
      <c r="J3167">
        <v>692</v>
      </c>
      <c r="K3167" s="4">
        <v>318</v>
      </c>
      <c r="L3167" t="s">
        <v>17</v>
      </c>
    </row>
    <row r="3168" spans="1:12" x14ac:dyDescent="0.35">
      <c r="A3168" t="s">
        <v>42</v>
      </c>
      <c r="B3168">
        <v>1197831</v>
      </c>
      <c r="C3168" s="1">
        <v>44534</v>
      </c>
      <c r="D3168" t="s">
        <v>48</v>
      </c>
      <c r="E3168" t="s">
        <v>79</v>
      </c>
      <c r="F3168" t="s">
        <v>80</v>
      </c>
      <c r="G3168" t="s">
        <v>70</v>
      </c>
      <c r="H3168" s="2">
        <v>50</v>
      </c>
      <c r="I3168">
        <v>133</v>
      </c>
      <c r="J3168">
        <v>665</v>
      </c>
      <c r="K3168" s="4">
        <v>326</v>
      </c>
      <c r="L3168" t="s">
        <v>17</v>
      </c>
    </row>
    <row r="3169" spans="1:12" x14ac:dyDescent="0.35">
      <c r="A3169" t="s">
        <v>42</v>
      </c>
      <c r="B3169">
        <v>1128299</v>
      </c>
      <c r="C3169" s="1">
        <v>44399</v>
      </c>
      <c r="D3169" t="s">
        <v>48</v>
      </c>
      <c r="E3169" t="s">
        <v>123</v>
      </c>
      <c r="F3169" t="s">
        <v>124</v>
      </c>
      <c r="G3169" t="s">
        <v>32</v>
      </c>
      <c r="H3169" s="2">
        <v>51</v>
      </c>
      <c r="I3169">
        <v>133</v>
      </c>
      <c r="J3169">
        <v>678</v>
      </c>
      <c r="K3169" s="4">
        <v>319</v>
      </c>
      <c r="L3169" t="s">
        <v>17</v>
      </c>
    </row>
    <row r="3170" spans="1:12" x14ac:dyDescent="0.35">
      <c r="A3170" t="s">
        <v>63</v>
      </c>
      <c r="B3170">
        <v>1128299</v>
      </c>
      <c r="C3170" s="1">
        <v>44222</v>
      </c>
      <c r="D3170" t="s">
        <v>48</v>
      </c>
      <c r="E3170" t="s">
        <v>123</v>
      </c>
      <c r="F3170" t="s">
        <v>124</v>
      </c>
      <c r="G3170" t="s">
        <v>26</v>
      </c>
      <c r="H3170" s="2">
        <v>33</v>
      </c>
      <c r="I3170">
        <v>133</v>
      </c>
      <c r="J3170">
        <v>439</v>
      </c>
      <c r="K3170" s="4">
        <v>215</v>
      </c>
      <c r="L3170" t="s">
        <v>17</v>
      </c>
    </row>
    <row r="3171" spans="1:12" x14ac:dyDescent="0.35">
      <c r="A3171" t="s">
        <v>63</v>
      </c>
      <c r="B3171">
        <v>1128299</v>
      </c>
      <c r="C3171" s="1">
        <v>44466</v>
      </c>
      <c r="D3171" t="s">
        <v>48</v>
      </c>
      <c r="E3171" t="s">
        <v>114</v>
      </c>
      <c r="F3171" t="s">
        <v>115</v>
      </c>
      <c r="G3171" t="s">
        <v>16</v>
      </c>
      <c r="H3171" s="2">
        <v>59</v>
      </c>
      <c r="I3171">
        <v>133</v>
      </c>
      <c r="J3171">
        <v>785</v>
      </c>
      <c r="K3171" s="4">
        <v>282</v>
      </c>
      <c r="L3171" t="s">
        <v>17</v>
      </c>
    </row>
    <row r="3172" spans="1:12" x14ac:dyDescent="0.35">
      <c r="A3172" t="s">
        <v>23</v>
      </c>
      <c r="B3172">
        <v>1185732</v>
      </c>
      <c r="C3172" s="1">
        <v>44546</v>
      </c>
      <c r="D3172" t="s">
        <v>19</v>
      </c>
      <c r="E3172" t="s">
        <v>37</v>
      </c>
      <c r="F3172" t="s">
        <v>38</v>
      </c>
      <c r="G3172" t="s">
        <v>56</v>
      </c>
      <c r="H3172" s="2">
        <v>56</v>
      </c>
      <c r="I3172">
        <v>133</v>
      </c>
      <c r="J3172">
        <v>745</v>
      </c>
      <c r="K3172" s="4">
        <v>387</v>
      </c>
      <c r="L3172" t="s">
        <v>17</v>
      </c>
    </row>
    <row r="3173" spans="1:12" x14ac:dyDescent="0.35">
      <c r="A3173" t="s">
        <v>63</v>
      </c>
      <c r="B3173">
        <v>1197831</v>
      </c>
      <c r="C3173" s="1">
        <v>44520</v>
      </c>
      <c r="D3173" t="s">
        <v>19</v>
      </c>
      <c r="E3173" t="s">
        <v>61</v>
      </c>
      <c r="F3173" t="s">
        <v>62</v>
      </c>
      <c r="G3173" t="s">
        <v>26</v>
      </c>
      <c r="H3173" s="2">
        <v>23</v>
      </c>
      <c r="I3173">
        <v>133</v>
      </c>
      <c r="J3173">
        <v>306</v>
      </c>
      <c r="K3173" s="4">
        <v>165</v>
      </c>
      <c r="L3173" t="s">
        <v>17</v>
      </c>
    </row>
    <row r="3174" spans="1:12" x14ac:dyDescent="0.35">
      <c r="A3174" t="s">
        <v>23</v>
      </c>
      <c r="B3174">
        <v>1185732</v>
      </c>
      <c r="C3174" s="1">
        <v>44449</v>
      </c>
      <c r="D3174" t="s">
        <v>33</v>
      </c>
      <c r="E3174" t="s">
        <v>89</v>
      </c>
      <c r="F3174" t="s">
        <v>90</v>
      </c>
      <c r="G3174" t="s">
        <v>26</v>
      </c>
      <c r="H3174" s="2">
        <v>36</v>
      </c>
      <c r="I3174">
        <v>133</v>
      </c>
      <c r="J3174">
        <v>479</v>
      </c>
      <c r="K3174" s="4">
        <v>239</v>
      </c>
      <c r="L3174" t="s">
        <v>17</v>
      </c>
    </row>
    <row r="3175" spans="1:12" x14ac:dyDescent="0.35">
      <c r="A3175" t="s">
        <v>42</v>
      </c>
      <c r="B3175">
        <v>1185732</v>
      </c>
      <c r="C3175" s="1">
        <v>44446</v>
      </c>
      <c r="D3175" t="s">
        <v>33</v>
      </c>
      <c r="E3175" t="s">
        <v>91</v>
      </c>
      <c r="F3175" t="s">
        <v>92</v>
      </c>
      <c r="G3175" t="s">
        <v>26</v>
      </c>
      <c r="H3175" s="2">
        <v>34</v>
      </c>
      <c r="I3175">
        <v>133</v>
      </c>
      <c r="J3175">
        <v>452</v>
      </c>
      <c r="K3175" s="4">
        <v>181</v>
      </c>
      <c r="L3175" t="s">
        <v>17</v>
      </c>
    </row>
    <row r="3176" spans="1:12" x14ac:dyDescent="0.35">
      <c r="A3176" t="s">
        <v>18</v>
      </c>
      <c r="B3176">
        <v>1185732</v>
      </c>
      <c r="C3176" s="1">
        <v>44450</v>
      </c>
      <c r="D3176" t="s">
        <v>33</v>
      </c>
      <c r="E3176" t="s">
        <v>81</v>
      </c>
      <c r="F3176" t="s">
        <v>82</v>
      </c>
      <c r="G3176" t="s">
        <v>26</v>
      </c>
      <c r="H3176" s="2">
        <v>33</v>
      </c>
      <c r="I3176">
        <v>133</v>
      </c>
      <c r="J3176">
        <v>439</v>
      </c>
      <c r="K3176" s="4">
        <v>237</v>
      </c>
      <c r="L3176" t="s">
        <v>17</v>
      </c>
    </row>
    <row r="3177" spans="1:12" x14ac:dyDescent="0.35">
      <c r="A3177" t="s">
        <v>18</v>
      </c>
      <c r="B3177">
        <v>1185732</v>
      </c>
      <c r="C3177" s="1">
        <v>44393</v>
      </c>
      <c r="D3177" t="s">
        <v>43</v>
      </c>
      <c r="E3177" t="s">
        <v>64</v>
      </c>
      <c r="F3177" t="s">
        <v>65</v>
      </c>
      <c r="G3177" t="s">
        <v>16</v>
      </c>
      <c r="H3177" s="2">
        <v>63</v>
      </c>
      <c r="I3177">
        <v>133</v>
      </c>
      <c r="J3177">
        <v>838</v>
      </c>
      <c r="K3177" s="4">
        <v>452</v>
      </c>
      <c r="L3177" t="s">
        <v>17</v>
      </c>
    </row>
    <row r="3178" spans="1:12" x14ac:dyDescent="0.35">
      <c r="A3178" t="s">
        <v>63</v>
      </c>
      <c r="B3178">
        <v>1185732</v>
      </c>
      <c r="C3178" s="1">
        <v>44293</v>
      </c>
      <c r="D3178" t="s">
        <v>43</v>
      </c>
      <c r="E3178" t="s">
        <v>83</v>
      </c>
      <c r="F3178" t="s">
        <v>84</v>
      </c>
      <c r="G3178" t="s">
        <v>26</v>
      </c>
      <c r="H3178" s="2">
        <v>34</v>
      </c>
      <c r="I3178">
        <v>133</v>
      </c>
      <c r="J3178">
        <v>452</v>
      </c>
      <c r="K3178" s="4">
        <v>226</v>
      </c>
      <c r="L3178" t="s">
        <v>17</v>
      </c>
    </row>
    <row r="3179" spans="1:12" x14ac:dyDescent="0.35">
      <c r="A3179" t="s">
        <v>51</v>
      </c>
      <c r="B3179">
        <v>1185732</v>
      </c>
      <c r="C3179" s="1">
        <v>44481</v>
      </c>
      <c r="D3179" t="s">
        <v>43</v>
      </c>
      <c r="E3179" t="s">
        <v>125</v>
      </c>
      <c r="F3179" t="s">
        <v>126</v>
      </c>
      <c r="G3179" t="s">
        <v>26</v>
      </c>
      <c r="H3179" s="2">
        <v>62</v>
      </c>
      <c r="I3179">
        <v>133</v>
      </c>
      <c r="J3179">
        <v>825</v>
      </c>
      <c r="K3179" s="4">
        <v>495</v>
      </c>
      <c r="L3179" t="s">
        <v>17</v>
      </c>
    </row>
    <row r="3180" spans="1:12" x14ac:dyDescent="0.35">
      <c r="A3180" t="s">
        <v>18</v>
      </c>
      <c r="B3180">
        <v>1128299</v>
      </c>
      <c r="C3180" s="1">
        <v>43858</v>
      </c>
      <c r="D3180" t="s">
        <v>48</v>
      </c>
      <c r="E3180" t="s">
        <v>116</v>
      </c>
      <c r="F3180" t="s">
        <v>117</v>
      </c>
      <c r="G3180" t="s">
        <v>32</v>
      </c>
      <c r="H3180" s="2">
        <v>49</v>
      </c>
      <c r="I3180">
        <v>132</v>
      </c>
      <c r="J3180">
        <v>647</v>
      </c>
      <c r="K3180" s="4">
        <v>304</v>
      </c>
      <c r="L3180" t="s">
        <v>27</v>
      </c>
    </row>
    <row r="3181" spans="1:12" x14ac:dyDescent="0.35">
      <c r="A3181" t="s">
        <v>18</v>
      </c>
      <c r="B3181">
        <v>1128299</v>
      </c>
      <c r="C3181" s="1">
        <v>43896</v>
      </c>
      <c r="D3181" t="s">
        <v>48</v>
      </c>
      <c r="E3181" t="s">
        <v>116</v>
      </c>
      <c r="F3181" t="s">
        <v>117</v>
      </c>
      <c r="G3181" t="s">
        <v>56</v>
      </c>
      <c r="H3181" s="2">
        <v>43</v>
      </c>
      <c r="I3181">
        <v>132</v>
      </c>
      <c r="J3181">
        <v>568</v>
      </c>
      <c r="K3181" s="4">
        <v>199</v>
      </c>
      <c r="L3181" t="s">
        <v>27</v>
      </c>
    </row>
    <row r="3182" spans="1:12" x14ac:dyDescent="0.35">
      <c r="A3182" t="s">
        <v>23</v>
      </c>
      <c r="B3182">
        <v>1197831</v>
      </c>
      <c r="C3182" s="1">
        <v>44293</v>
      </c>
      <c r="D3182" t="s">
        <v>19</v>
      </c>
      <c r="E3182" t="s">
        <v>74</v>
      </c>
      <c r="F3182" t="s">
        <v>75</v>
      </c>
      <c r="G3182" t="s">
        <v>70</v>
      </c>
      <c r="H3182" s="2">
        <v>33</v>
      </c>
      <c r="I3182">
        <v>132</v>
      </c>
      <c r="J3182">
        <v>436</v>
      </c>
      <c r="K3182" s="4">
        <v>179</v>
      </c>
      <c r="L3182" t="s">
        <v>27</v>
      </c>
    </row>
    <row r="3183" spans="1:12" x14ac:dyDescent="0.35">
      <c r="A3183" t="s">
        <v>23</v>
      </c>
      <c r="B3183">
        <v>1197831</v>
      </c>
      <c r="C3183" s="1">
        <v>44437</v>
      </c>
      <c r="D3183" t="s">
        <v>19</v>
      </c>
      <c r="E3183" t="s">
        <v>24</v>
      </c>
      <c r="F3183" t="s">
        <v>25</v>
      </c>
      <c r="G3183" t="s">
        <v>70</v>
      </c>
      <c r="H3183" s="2">
        <v>39</v>
      </c>
      <c r="I3183">
        <v>132</v>
      </c>
      <c r="J3183">
        <v>515</v>
      </c>
      <c r="K3183" s="4">
        <v>216</v>
      </c>
      <c r="L3183" t="s">
        <v>27</v>
      </c>
    </row>
    <row r="3184" spans="1:12" x14ac:dyDescent="0.35">
      <c r="A3184" t="s">
        <v>12</v>
      </c>
      <c r="B3184">
        <v>1128299</v>
      </c>
      <c r="C3184" s="1">
        <v>44303</v>
      </c>
      <c r="D3184" t="s">
        <v>13</v>
      </c>
      <c r="E3184" t="s">
        <v>14</v>
      </c>
      <c r="F3184" t="s">
        <v>15</v>
      </c>
      <c r="G3184" t="s">
        <v>32</v>
      </c>
      <c r="H3184" s="2">
        <v>49</v>
      </c>
      <c r="I3184">
        <v>132</v>
      </c>
      <c r="J3184">
        <v>647</v>
      </c>
      <c r="K3184" s="4">
        <v>220</v>
      </c>
      <c r="L3184" t="s">
        <v>27</v>
      </c>
    </row>
    <row r="3185" spans="1:12" x14ac:dyDescent="0.35">
      <c r="A3185" t="s">
        <v>12</v>
      </c>
      <c r="B3185">
        <v>1128299</v>
      </c>
      <c r="C3185" s="1">
        <v>44334</v>
      </c>
      <c r="D3185" t="s">
        <v>13</v>
      </c>
      <c r="E3185" t="s">
        <v>14</v>
      </c>
      <c r="F3185" t="s">
        <v>15</v>
      </c>
      <c r="G3185" t="s">
        <v>39</v>
      </c>
      <c r="H3185" s="2">
        <v>46</v>
      </c>
      <c r="I3185">
        <v>132</v>
      </c>
      <c r="J3185">
        <v>607</v>
      </c>
      <c r="K3185" s="4">
        <v>170</v>
      </c>
      <c r="L3185" t="s">
        <v>27</v>
      </c>
    </row>
    <row r="3186" spans="1:12" x14ac:dyDescent="0.35">
      <c r="A3186" t="s">
        <v>12</v>
      </c>
      <c r="B3186">
        <v>1128299</v>
      </c>
      <c r="C3186" s="1">
        <v>44334</v>
      </c>
      <c r="D3186" t="s">
        <v>13</v>
      </c>
      <c r="E3186" t="s">
        <v>14</v>
      </c>
      <c r="F3186" t="s">
        <v>15</v>
      </c>
      <c r="G3186" t="s">
        <v>32</v>
      </c>
      <c r="H3186" s="2">
        <v>46</v>
      </c>
      <c r="I3186">
        <v>132</v>
      </c>
      <c r="J3186">
        <v>607</v>
      </c>
      <c r="K3186" s="4">
        <v>219</v>
      </c>
      <c r="L3186" t="s">
        <v>27</v>
      </c>
    </row>
    <row r="3187" spans="1:12" x14ac:dyDescent="0.35">
      <c r="A3187" t="s">
        <v>42</v>
      </c>
      <c r="B3187">
        <v>1128299</v>
      </c>
      <c r="C3187" s="1">
        <v>44432</v>
      </c>
      <c r="D3187" t="s">
        <v>13</v>
      </c>
      <c r="E3187" t="s">
        <v>99</v>
      </c>
      <c r="F3187" t="s">
        <v>100</v>
      </c>
      <c r="G3187" t="s">
        <v>70</v>
      </c>
      <c r="H3187" s="2">
        <v>51</v>
      </c>
      <c r="I3187">
        <v>132</v>
      </c>
      <c r="J3187">
        <v>673</v>
      </c>
      <c r="K3187" s="4">
        <v>303</v>
      </c>
      <c r="L3187" t="s">
        <v>27</v>
      </c>
    </row>
    <row r="3188" spans="1:12" x14ac:dyDescent="0.35">
      <c r="A3188" t="s">
        <v>18</v>
      </c>
      <c r="B3188">
        <v>1185732</v>
      </c>
      <c r="C3188" s="1">
        <v>44358</v>
      </c>
      <c r="D3188" t="s">
        <v>48</v>
      </c>
      <c r="E3188" t="s">
        <v>49</v>
      </c>
      <c r="F3188" t="s">
        <v>50</v>
      </c>
      <c r="G3188" t="s">
        <v>39</v>
      </c>
      <c r="H3188" s="2">
        <v>18</v>
      </c>
      <c r="I3188">
        <v>132</v>
      </c>
      <c r="J3188">
        <v>238</v>
      </c>
      <c r="K3188" s="4">
        <v>95</v>
      </c>
      <c r="L3188" t="s">
        <v>27</v>
      </c>
    </row>
    <row r="3189" spans="1:12" x14ac:dyDescent="0.35">
      <c r="A3189" t="s">
        <v>18</v>
      </c>
      <c r="B3189">
        <v>1185732</v>
      </c>
      <c r="C3189" s="1">
        <v>44358</v>
      </c>
      <c r="D3189" t="s">
        <v>48</v>
      </c>
      <c r="E3189" t="s">
        <v>49</v>
      </c>
      <c r="F3189" t="s">
        <v>50</v>
      </c>
      <c r="G3189" t="s">
        <v>56</v>
      </c>
      <c r="H3189" s="2">
        <v>13</v>
      </c>
      <c r="I3189">
        <v>132</v>
      </c>
      <c r="J3189">
        <v>172</v>
      </c>
      <c r="K3189" s="4">
        <v>74</v>
      </c>
      <c r="L3189" t="s">
        <v>27</v>
      </c>
    </row>
    <row r="3190" spans="1:12" x14ac:dyDescent="0.35">
      <c r="A3190" t="s">
        <v>18</v>
      </c>
      <c r="B3190">
        <v>1185732</v>
      </c>
      <c r="C3190" s="1">
        <v>44358</v>
      </c>
      <c r="D3190" t="s">
        <v>48</v>
      </c>
      <c r="E3190" t="s">
        <v>49</v>
      </c>
      <c r="F3190" t="s">
        <v>50</v>
      </c>
      <c r="G3190" t="s">
        <v>70</v>
      </c>
      <c r="H3190" s="2">
        <v>24</v>
      </c>
      <c r="I3190">
        <v>132</v>
      </c>
      <c r="J3190">
        <v>317</v>
      </c>
      <c r="K3190" s="4">
        <v>117</v>
      </c>
      <c r="L3190" t="s">
        <v>27</v>
      </c>
    </row>
    <row r="3191" spans="1:12" x14ac:dyDescent="0.35">
      <c r="A3191" t="s">
        <v>18</v>
      </c>
      <c r="B3191">
        <v>1185732</v>
      </c>
      <c r="C3191" s="1">
        <v>44451</v>
      </c>
      <c r="D3191" t="s">
        <v>48</v>
      </c>
      <c r="E3191" t="s">
        <v>49</v>
      </c>
      <c r="F3191" t="s">
        <v>50</v>
      </c>
      <c r="G3191" t="s">
        <v>16</v>
      </c>
      <c r="H3191" s="2">
        <v>18</v>
      </c>
      <c r="I3191">
        <v>132</v>
      </c>
      <c r="J3191">
        <v>238</v>
      </c>
      <c r="K3191" s="4">
        <v>135</v>
      </c>
      <c r="L3191" t="s">
        <v>27</v>
      </c>
    </row>
    <row r="3192" spans="1:12" x14ac:dyDescent="0.35">
      <c r="A3192" t="s">
        <v>18</v>
      </c>
      <c r="B3192">
        <v>1185732</v>
      </c>
      <c r="C3192" s="1">
        <v>44480</v>
      </c>
      <c r="D3192" t="s">
        <v>48</v>
      </c>
      <c r="E3192" t="s">
        <v>49</v>
      </c>
      <c r="F3192" t="s">
        <v>50</v>
      </c>
      <c r="G3192" t="s">
        <v>39</v>
      </c>
      <c r="H3192" s="2">
        <v>14</v>
      </c>
      <c r="I3192">
        <v>132</v>
      </c>
      <c r="J3192">
        <v>185</v>
      </c>
      <c r="K3192" s="4">
        <v>74</v>
      </c>
      <c r="L3192" t="s">
        <v>27</v>
      </c>
    </row>
    <row r="3193" spans="1:12" x14ac:dyDescent="0.35">
      <c r="A3193" t="s">
        <v>18</v>
      </c>
      <c r="B3193">
        <v>1128299</v>
      </c>
      <c r="C3193" s="1">
        <v>44220</v>
      </c>
      <c r="D3193" t="s">
        <v>48</v>
      </c>
      <c r="E3193" t="s">
        <v>49</v>
      </c>
      <c r="F3193" t="s">
        <v>50</v>
      </c>
      <c r="G3193" t="s">
        <v>16</v>
      </c>
      <c r="H3193" s="2">
        <v>28</v>
      </c>
      <c r="I3193">
        <v>132</v>
      </c>
      <c r="J3193">
        <v>370</v>
      </c>
      <c r="K3193" s="4">
        <v>126</v>
      </c>
      <c r="L3193" t="s">
        <v>27</v>
      </c>
    </row>
    <row r="3194" spans="1:12" x14ac:dyDescent="0.35">
      <c r="A3194" t="s">
        <v>18</v>
      </c>
      <c r="B3194">
        <v>1128299</v>
      </c>
      <c r="C3194" s="1">
        <v>44244</v>
      </c>
      <c r="D3194" t="s">
        <v>48</v>
      </c>
      <c r="E3194" t="s">
        <v>85</v>
      </c>
      <c r="F3194" t="s">
        <v>86</v>
      </c>
      <c r="G3194" t="s">
        <v>32</v>
      </c>
      <c r="H3194" s="2">
        <v>34</v>
      </c>
      <c r="I3194">
        <v>132</v>
      </c>
      <c r="J3194">
        <v>449</v>
      </c>
      <c r="K3194" s="4">
        <v>193</v>
      </c>
      <c r="L3194" t="s">
        <v>27</v>
      </c>
    </row>
    <row r="3195" spans="1:12" x14ac:dyDescent="0.35">
      <c r="A3195" t="s">
        <v>42</v>
      </c>
      <c r="B3195">
        <v>1128299</v>
      </c>
      <c r="C3195" s="1">
        <v>44340</v>
      </c>
      <c r="D3195" t="s">
        <v>48</v>
      </c>
      <c r="E3195" t="s">
        <v>123</v>
      </c>
      <c r="F3195" t="s">
        <v>124</v>
      </c>
      <c r="G3195" t="s">
        <v>32</v>
      </c>
      <c r="H3195" s="2">
        <v>41</v>
      </c>
      <c r="I3195">
        <v>132</v>
      </c>
      <c r="J3195">
        <v>541</v>
      </c>
      <c r="K3195" s="4">
        <v>206</v>
      </c>
      <c r="L3195" t="s">
        <v>27</v>
      </c>
    </row>
    <row r="3196" spans="1:12" x14ac:dyDescent="0.35">
      <c r="A3196" t="s">
        <v>42</v>
      </c>
      <c r="B3196">
        <v>1128299</v>
      </c>
      <c r="C3196" s="1">
        <v>44463</v>
      </c>
      <c r="D3196" t="s">
        <v>48</v>
      </c>
      <c r="E3196" t="s">
        <v>123</v>
      </c>
      <c r="F3196" t="s">
        <v>124</v>
      </c>
      <c r="G3196" t="s">
        <v>16</v>
      </c>
      <c r="H3196" s="2">
        <v>43</v>
      </c>
      <c r="I3196">
        <v>132</v>
      </c>
      <c r="J3196">
        <v>568</v>
      </c>
      <c r="K3196" s="4">
        <v>182</v>
      </c>
      <c r="L3196" t="s">
        <v>27</v>
      </c>
    </row>
    <row r="3197" spans="1:12" x14ac:dyDescent="0.35">
      <c r="A3197" t="s">
        <v>63</v>
      </c>
      <c r="B3197">
        <v>1128299</v>
      </c>
      <c r="C3197" s="1">
        <v>44253</v>
      </c>
      <c r="D3197" t="s">
        <v>48</v>
      </c>
      <c r="E3197" t="s">
        <v>123</v>
      </c>
      <c r="F3197" t="s">
        <v>124</v>
      </c>
      <c r="G3197" t="s">
        <v>32</v>
      </c>
      <c r="H3197" s="2">
        <v>35</v>
      </c>
      <c r="I3197">
        <v>132</v>
      </c>
      <c r="J3197">
        <v>462</v>
      </c>
      <c r="K3197" s="4">
        <v>185</v>
      </c>
      <c r="L3197" t="s">
        <v>27</v>
      </c>
    </row>
    <row r="3198" spans="1:12" x14ac:dyDescent="0.35">
      <c r="A3198" t="s">
        <v>63</v>
      </c>
      <c r="B3198">
        <v>1128299</v>
      </c>
      <c r="C3198" s="1">
        <v>44343</v>
      </c>
      <c r="D3198" t="s">
        <v>48</v>
      </c>
      <c r="E3198" t="s">
        <v>114</v>
      </c>
      <c r="F3198" t="s">
        <v>115</v>
      </c>
      <c r="G3198" t="s">
        <v>16</v>
      </c>
      <c r="H3198" s="2">
        <v>56</v>
      </c>
      <c r="I3198">
        <v>132</v>
      </c>
      <c r="J3198">
        <v>739</v>
      </c>
      <c r="K3198" s="4">
        <v>214</v>
      </c>
      <c r="L3198" t="s">
        <v>27</v>
      </c>
    </row>
    <row r="3199" spans="1:12" x14ac:dyDescent="0.35">
      <c r="A3199" t="s">
        <v>23</v>
      </c>
      <c r="B3199">
        <v>1128299</v>
      </c>
      <c r="C3199" s="1">
        <v>44360</v>
      </c>
      <c r="D3199" t="s">
        <v>13</v>
      </c>
      <c r="E3199" t="s">
        <v>57</v>
      </c>
      <c r="F3199" t="s">
        <v>58</v>
      </c>
      <c r="G3199" t="s">
        <v>56</v>
      </c>
      <c r="H3199" s="2">
        <v>33</v>
      </c>
      <c r="I3199">
        <v>132</v>
      </c>
      <c r="J3199">
        <v>436</v>
      </c>
      <c r="K3199" s="4">
        <v>187</v>
      </c>
      <c r="L3199" t="s">
        <v>27</v>
      </c>
    </row>
    <row r="3200" spans="1:12" x14ac:dyDescent="0.35">
      <c r="A3200" t="s">
        <v>23</v>
      </c>
      <c r="B3200">
        <v>1128299</v>
      </c>
      <c r="C3200" s="1">
        <v>44453</v>
      </c>
      <c r="D3200" t="s">
        <v>13</v>
      </c>
      <c r="E3200" t="s">
        <v>57</v>
      </c>
      <c r="F3200" t="s">
        <v>58</v>
      </c>
      <c r="G3200" t="s">
        <v>70</v>
      </c>
      <c r="H3200" s="2">
        <v>36</v>
      </c>
      <c r="I3200">
        <v>132</v>
      </c>
      <c r="J3200">
        <v>475</v>
      </c>
      <c r="K3200" s="4">
        <v>176</v>
      </c>
      <c r="L3200" t="s">
        <v>27</v>
      </c>
    </row>
    <row r="3201" spans="1:12" x14ac:dyDescent="0.35">
      <c r="A3201" t="s">
        <v>42</v>
      </c>
      <c r="B3201">
        <v>1185732</v>
      </c>
      <c r="C3201" s="1">
        <v>44332</v>
      </c>
      <c r="D3201" t="s">
        <v>19</v>
      </c>
      <c r="E3201" t="s">
        <v>37</v>
      </c>
      <c r="F3201" t="s">
        <v>38</v>
      </c>
      <c r="G3201" t="s">
        <v>70</v>
      </c>
      <c r="H3201" s="2">
        <v>34</v>
      </c>
      <c r="I3201">
        <v>132</v>
      </c>
      <c r="J3201">
        <v>449</v>
      </c>
      <c r="K3201" s="4">
        <v>180</v>
      </c>
      <c r="L3201" t="s">
        <v>27</v>
      </c>
    </row>
    <row r="3202" spans="1:12" x14ac:dyDescent="0.35">
      <c r="A3202" t="s">
        <v>12</v>
      </c>
      <c r="B3202">
        <v>1185732</v>
      </c>
      <c r="C3202" s="1">
        <v>44455</v>
      </c>
      <c r="D3202" t="s">
        <v>19</v>
      </c>
      <c r="E3202" t="s">
        <v>37</v>
      </c>
      <c r="F3202" t="s">
        <v>38</v>
      </c>
      <c r="G3202" t="s">
        <v>70</v>
      </c>
      <c r="H3202" s="2">
        <v>22</v>
      </c>
      <c r="I3202">
        <v>132</v>
      </c>
      <c r="J3202">
        <v>290</v>
      </c>
      <c r="K3202" s="4">
        <v>110</v>
      </c>
      <c r="L3202" t="s">
        <v>27</v>
      </c>
    </row>
    <row r="3203" spans="1:12" x14ac:dyDescent="0.35">
      <c r="A3203" t="s">
        <v>23</v>
      </c>
      <c r="B3203">
        <v>1185732</v>
      </c>
      <c r="C3203" s="1">
        <v>44517</v>
      </c>
      <c r="D3203" t="s">
        <v>19</v>
      </c>
      <c r="E3203" t="s">
        <v>37</v>
      </c>
      <c r="F3203" t="s">
        <v>38</v>
      </c>
      <c r="G3203" t="s">
        <v>70</v>
      </c>
      <c r="H3203" s="2">
        <v>59</v>
      </c>
      <c r="I3203">
        <v>132</v>
      </c>
      <c r="J3203">
        <v>779</v>
      </c>
      <c r="K3203" s="4">
        <v>312</v>
      </c>
      <c r="L3203" t="s">
        <v>27</v>
      </c>
    </row>
    <row r="3204" spans="1:12" x14ac:dyDescent="0.35">
      <c r="A3204" t="s">
        <v>12</v>
      </c>
      <c r="B3204">
        <v>1197831</v>
      </c>
      <c r="C3204" s="1">
        <v>44428</v>
      </c>
      <c r="D3204" t="s">
        <v>19</v>
      </c>
      <c r="E3204" t="s">
        <v>54</v>
      </c>
      <c r="F3204" t="s">
        <v>55</v>
      </c>
      <c r="G3204" t="s">
        <v>56</v>
      </c>
      <c r="H3204" s="2">
        <v>29</v>
      </c>
      <c r="I3204">
        <v>132</v>
      </c>
      <c r="J3204">
        <v>383</v>
      </c>
      <c r="K3204" s="4">
        <v>172</v>
      </c>
      <c r="L3204" t="s">
        <v>27</v>
      </c>
    </row>
    <row r="3205" spans="1:12" x14ac:dyDescent="0.35">
      <c r="A3205" t="s">
        <v>12</v>
      </c>
      <c r="B3205">
        <v>1197831</v>
      </c>
      <c r="C3205" s="1">
        <v>44490</v>
      </c>
      <c r="D3205" t="s">
        <v>19</v>
      </c>
      <c r="E3205" t="s">
        <v>54</v>
      </c>
      <c r="F3205" t="s">
        <v>55</v>
      </c>
      <c r="G3205" t="s">
        <v>39</v>
      </c>
      <c r="H3205" s="2">
        <v>14</v>
      </c>
      <c r="I3205">
        <v>132</v>
      </c>
      <c r="J3205">
        <v>185</v>
      </c>
      <c r="K3205" s="4">
        <v>74</v>
      </c>
      <c r="L3205" t="s">
        <v>27</v>
      </c>
    </row>
    <row r="3206" spans="1:12" x14ac:dyDescent="0.35">
      <c r="A3206" t="s">
        <v>18</v>
      </c>
      <c r="B3206">
        <v>1197831</v>
      </c>
      <c r="C3206" s="1">
        <v>44490</v>
      </c>
      <c r="D3206" t="s">
        <v>19</v>
      </c>
      <c r="E3206" t="s">
        <v>54</v>
      </c>
      <c r="F3206" t="s">
        <v>55</v>
      </c>
      <c r="G3206" t="s">
        <v>16</v>
      </c>
      <c r="H3206" s="2">
        <v>20</v>
      </c>
      <c r="I3206">
        <v>132</v>
      </c>
      <c r="J3206">
        <v>264</v>
      </c>
      <c r="K3206" s="4">
        <v>119</v>
      </c>
      <c r="L3206" t="s">
        <v>27</v>
      </c>
    </row>
    <row r="3207" spans="1:12" x14ac:dyDescent="0.35">
      <c r="A3207" t="s">
        <v>18</v>
      </c>
      <c r="B3207">
        <v>1197831</v>
      </c>
      <c r="C3207" s="1">
        <v>44549</v>
      </c>
      <c r="D3207" t="s">
        <v>19</v>
      </c>
      <c r="E3207" t="s">
        <v>54</v>
      </c>
      <c r="F3207" t="s">
        <v>55</v>
      </c>
      <c r="G3207" t="s">
        <v>70</v>
      </c>
      <c r="H3207" s="2">
        <v>50</v>
      </c>
      <c r="I3207">
        <v>132</v>
      </c>
      <c r="J3207">
        <v>660</v>
      </c>
      <c r="K3207" s="4">
        <v>264</v>
      </c>
      <c r="L3207" t="s">
        <v>27</v>
      </c>
    </row>
    <row r="3208" spans="1:12" x14ac:dyDescent="0.35">
      <c r="A3208" t="s">
        <v>42</v>
      </c>
      <c r="B3208">
        <v>1185732</v>
      </c>
      <c r="C3208" s="1">
        <v>44293</v>
      </c>
      <c r="D3208" t="s">
        <v>43</v>
      </c>
      <c r="E3208" t="s">
        <v>110</v>
      </c>
      <c r="F3208" t="s">
        <v>111</v>
      </c>
      <c r="G3208" t="s">
        <v>26</v>
      </c>
      <c r="H3208" s="2">
        <v>28</v>
      </c>
      <c r="I3208">
        <v>132</v>
      </c>
      <c r="J3208">
        <v>370</v>
      </c>
      <c r="K3208" s="4">
        <v>155</v>
      </c>
      <c r="L3208" t="s">
        <v>27</v>
      </c>
    </row>
    <row r="3209" spans="1:12" x14ac:dyDescent="0.35">
      <c r="A3209" t="s">
        <v>23</v>
      </c>
      <c r="B3209">
        <v>1185732</v>
      </c>
      <c r="C3209" s="1">
        <v>44390</v>
      </c>
      <c r="D3209" t="s">
        <v>43</v>
      </c>
      <c r="E3209" t="s">
        <v>112</v>
      </c>
      <c r="F3209" t="s">
        <v>113</v>
      </c>
      <c r="G3209" t="s">
        <v>16</v>
      </c>
      <c r="H3209" s="2">
        <v>41</v>
      </c>
      <c r="I3209">
        <v>132</v>
      </c>
      <c r="J3209">
        <v>541</v>
      </c>
      <c r="K3209" s="4">
        <v>173</v>
      </c>
      <c r="L3209" t="s">
        <v>27</v>
      </c>
    </row>
    <row r="3210" spans="1:12" x14ac:dyDescent="0.35">
      <c r="A3210" t="s">
        <v>23</v>
      </c>
      <c r="B3210">
        <v>1185732</v>
      </c>
      <c r="C3210" s="1">
        <v>44484</v>
      </c>
      <c r="D3210" t="s">
        <v>43</v>
      </c>
      <c r="E3210" t="s">
        <v>112</v>
      </c>
      <c r="F3210" t="s">
        <v>113</v>
      </c>
      <c r="G3210" t="s">
        <v>26</v>
      </c>
      <c r="H3210" s="2">
        <v>40</v>
      </c>
      <c r="I3210">
        <v>132</v>
      </c>
      <c r="J3210">
        <v>528</v>
      </c>
      <c r="K3210" s="4">
        <v>174</v>
      </c>
      <c r="L3210" t="s">
        <v>27</v>
      </c>
    </row>
    <row r="3211" spans="1:12" x14ac:dyDescent="0.35">
      <c r="A3211" t="s">
        <v>51</v>
      </c>
      <c r="B3211">
        <v>1185732</v>
      </c>
      <c r="C3211" s="1">
        <v>44540</v>
      </c>
      <c r="D3211" t="s">
        <v>43</v>
      </c>
      <c r="E3211" t="s">
        <v>125</v>
      </c>
      <c r="F3211" t="s">
        <v>126</v>
      </c>
      <c r="G3211" t="s">
        <v>39</v>
      </c>
      <c r="H3211" s="2">
        <v>41</v>
      </c>
      <c r="I3211">
        <v>132</v>
      </c>
      <c r="J3211">
        <v>541</v>
      </c>
      <c r="K3211" s="4">
        <v>276</v>
      </c>
      <c r="L3211" t="s">
        <v>27</v>
      </c>
    </row>
    <row r="3212" spans="1:12" x14ac:dyDescent="0.35">
      <c r="A3212" t="s">
        <v>63</v>
      </c>
      <c r="B3212">
        <v>1189833</v>
      </c>
      <c r="C3212" s="1">
        <v>44303</v>
      </c>
      <c r="D3212" t="s">
        <v>48</v>
      </c>
      <c r="E3212" t="s">
        <v>66</v>
      </c>
      <c r="F3212" t="s">
        <v>76</v>
      </c>
      <c r="G3212" t="s">
        <v>70</v>
      </c>
      <c r="H3212" s="2">
        <v>45</v>
      </c>
      <c r="I3212">
        <v>131</v>
      </c>
      <c r="J3212">
        <v>590</v>
      </c>
      <c r="K3212" s="4">
        <v>383</v>
      </c>
      <c r="L3212" t="s">
        <v>17</v>
      </c>
    </row>
    <row r="3213" spans="1:12" x14ac:dyDescent="0.35">
      <c r="A3213" t="s">
        <v>23</v>
      </c>
      <c r="B3213">
        <v>1197831</v>
      </c>
      <c r="C3213" s="1">
        <v>44447</v>
      </c>
      <c r="D3213" t="s">
        <v>19</v>
      </c>
      <c r="E3213" t="s">
        <v>59</v>
      </c>
      <c r="F3213" t="s">
        <v>68</v>
      </c>
      <c r="G3213" t="s">
        <v>70</v>
      </c>
      <c r="H3213" s="2">
        <v>49</v>
      </c>
      <c r="I3213">
        <v>131</v>
      </c>
      <c r="J3213">
        <v>642</v>
      </c>
      <c r="K3213" s="4">
        <v>289</v>
      </c>
      <c r="L3213" t="s">
        <v>17</v>
      </c>
    </row>
    <row r="3214" spans="1:12" x14ac:dyDescent="0.35">
      <c r="A3214" t="s">
        <v>18</v>
      </c>
      <c r="B3214">
        <v>1128299</v>
      </c>
      <c r="C3214" s="1">
        <v>43861</v>
      </c>
      <c r="D3214" t="s">
        <v>48</v>
      </c>
      <c r="E3214" t="s">
        <v>116</v>
      </c>
      <c r="F3214" t="s">
        <v>117</v>
      </c>
      <c r="G3214" t="s">
        <v>16</v>
      </c>
      <c r="H3214" s="2">
        <v>78</v>
      </c>
      <c r="I3214">
        <v>131</v>
      </c>
      <c r="J3214" s="3">
        <v>1022</v>
      </c>
      <c r="K3214" s="4">
        <v>358</v>
      </c>
      <c r="L3214" t="s">
        <v>17</v>
      </c>
    </row>
    <row r="3215" spans="1:12" x14ac:dyDescent="0.35">
      <c r="A3215" t="s">
        <v>18</v>
      </c>
      <c r="B3215">
        <v>1128299</v>
      </c>
      <c r="C3215" s="1">
        <v>43911</v>
      </c>
      <c r="D3215" t="s">
        <v>48</v>
      </c>
      <c r="E3215" t="s">
        <v>133</v>
      </c>
      <c r="F3215" t="s">
        <v>134</v>
      </c>
      <c r="G3215" t="s">
        <v>26</v>
      </c>
      <c r="H3215" s="2">
        <v>27</v>
      </c>
      <c r="I3215">
        <v>131</v>
      </c>
      <c r="J3215">
        <v>354</v>
      </c>
      <c r="K3215" s="4">
        <v>170</v>
      </c>
      <c r="L3215" t="s">
        <v>17</v>
      </c>
    </row>
    <row r="3216" spans="1:12" x14ac:dyDescent="0.35">
      <c r="A3216" t="s">
        <v>18</v>
      </c>
      <c r="B3216">
        <v>1128299</v>
      </c>
      <c r="C3216" s="1">
        <v>43923</v>
      </c>
      <c r="D3216" t="s">
        <v>48</v>
      </c>
      <c r="E3216" t="s">
        <v>133</v>
      </c>
      <c r="F3216" t="s">
        <v>134</v>
      </c>
      <c r="G3216" t="s">
        <v>26</v>
      </c>
      <c r="H3216" s="2">
        <v>55</v>
      </c>
      <c r="I3216">
        <v>131</v>
      </c>
      <c r="J3216">
        <v>721</v>
      </c>
      <c r="K3216" s="4">
        <v>339</v>
      </c>
      <c r="L3216" t="s">
        <v>17</v>
      </c>
    </row>
    <row r="3217" spans="1:12" x14ac:dyDescent="0.35">
      <c r="A3217" t="s">
        <v>18</v>
      </c>
      <c r="B3217">
        <v>1128299</v>
      </c>
      <c r="C3217" s="1">
        <v>43929</v>
      </c>
      <c r="D3217" t="s">
        <v>48</v>
      </c>
      <c r="E3217" t="s">
        <v>133</v>
      </c>
      <c r="F3217" t="s">
        <v>134</v>
      </c>
      <c r="G3217" t="s">
        <v>26</v>
      </c>
      <c r="H3217" s="2">
        <v>55</v>
      </c>
      <c r="I3217">
        <v>131</v>
      </c>
      <c r="J3217">
        <v>721</v>
      </c>
      <c r="K3217" s="4">
        <v>440</v>
      </c>
      <c r="L3217" t="s">
        <v>17</v>
      </c>
    </row>
    <row r="3218" spans="1:12" x14ac:dyDescent="0.35">
      <c r="A3218" t="s">
        <v>18</v>
      </c>
      <c r="B3218">
        <v>1128299</v>
      </c>
      <c r="C3218" s="1">
        <v>43945</v>
      </c>
      <c r="D3218" t="s">
        <v>48</v>
      </c>
      <c r="E3218" t="s">
        <v>133</v>
      </c>
      <c r="F3218" t="s">
        <v>134</v>
      </c>
      <c r="G3218" t="s">
        <v>70</v>
      </c>
      <c r="H3218" s="2">
        <v>67</v>
      </c>
      <c r="I3218">
        <v>131</v>
      </c>
      <c r="J3218">
        <v>878</v>
      </c>
      <c r="K3218" s="4">
        <v>614</v>
      </c>
      <c r="L3218" t="s">
        <v>17</v>
      </c>
    </row>
    <row r="3219" spans="1:12" x14ac:dyDescent="0.35">
      <c r="A3219" t="s">
        <v>18</v>
      </c>
      <c r="B3219">
        <v>1128299</v>
      </c>
      <c r="C3219" s="1">
        <v>43978</v>
      </c>
      <c r="D3219" t="s">
        <v>48</v>
      </c>
      <c r="E3219" t="s">
        <v>133</v>
      </c>
      <c r="F3219" t="s">
        <v>134</v>
      </c>
      <c r="G3219" t="s">
        <v>39</v>
      </c>
      <c r="H3219" s="2">
        <v>48</v>
      </c>
      <c r="I3219">
        <v>131</v>
      </c>
      <c r="J3219">
        <v>629</v>
      </c>
      <c r="K3219" s="4">
        <v>252</v>
      </c>
      <c r="L3219" t="s">
        <v>17</v>
      </c>
    </row>
    <row r="3220" spans="1:12" x14ac:dyDescent="0.35">
      <c r="A3220" t="s">
        <v>18</v>
      </c>
      <c r="B3220">
        <v>1128299</v>
      </c>
      <c r="C3220" s="1">
        <v>43984</v>
      </c>
      <c r="D3220" t="s">
        <v>48</v>
      </c>
      <c r="E3220" t="s">
        <v>97</v>
      </c>
      <c r="F3220" t="s">
        <v>98</v>
      </c>
      <c r="G3220" t="s">
        <v>39</v>
      </c>
      <c r="H3220" s="2">
        <v>47</v>
      </c>
      <c r="I3220">
        <v>131</v>
      </c>
      <c r="J3220">
        <v>616</v>
      </c>
      <c r="K3220" s="4">
        <v>240</v>
      </c>
      <c r="L3220" t="s">
        <v>17</v>
      </c>
    </row>
    <row r="3221" spans="1:12" x14ac:dyDescent="0.35">
      <c r="A3221" t="s">
        <v>42</v>
      </c>
      <c r="B3221">
        <v>1185732</v>
      </c>
      <c r="C3221" s="1">
        <v>44121</v>
      </c>
      <c r="D3221" t="s">
        <v>13</v>
      </c>
      <c r="E3221" t="s">
        <v>14</v>
      </c>
      <c r="F3221" t="s">
        <v>73</v>
      </c>
      <c r="G3221" t="s">
        <v>26</v>
      </c>
      <c r="H3221" s="2">
        <v>33</v>
      </c>
      <c r="I3221">
        <v>131</v>
      </c>
      <c r="J3221">
        <v>432</v>
      </c>
      <c r="K3221" s="4">
        <v>195</v>
      </c>
      <c r="L3221" t="s">
        <v>17</v>
      </c>
    </row>
    <row r="3222" spans="1:12" x14ac:dyDescent="0.35">
      <c r="A3222" t="s">
        <v>23</v>
      </c>
      <c r="B3222">
        <v>1197831</v>
      </c>
      <c r="C3222" s="1">
        <v>44324</v>
      </c>
      <c r="D3222" t="s">
        <v>19</v>
      </c>
      <c r="E3222" t="s">
        <v>74</v>
      </c>
      <c r="F3222" t="s">
        <v>75</v>
      </c>
      <c r="G3222" t="s">
        <v>16</v>
      </c>
      <c r="H3222" s="2">
        <v>43</v>
      </c>
      <c r="I3222">
        <v>131</v>
      </c>
      <c r="J3222">
        <v>563</v>
      </c>
      <c r="K3222" s="4">
        <v>400</v>
      </c>
      <c r="L3222" t="s">
        <v>17</v>
      </c>
    </row>
    <row r="3223" spans="1:12" x14ac:dyDescent="0.35">
      <c r="A3223" t="s">
        <v>23</v>
      </c>
      <c r="B3223">
        <v>1197831</v>
      </c>
      <c r="C3223" s="1">
        <v>44449</v>
      </c>
      <c r="D3223" t="s">
        <v>19</v>
      </c>
      <c r="E3223" t="s">
        <v>24</v>
      </c>
      <c r="F3223" t="s">
        <v>25</v>
      </c>
      <c r="G3223" t="s">
        <v>70</v>
      </c>
      <c r="H3223" s="2">
        <v>45</v>
      </c>
      <c r="I3223">
        <v>131</v>
      </c>
      <c r="J3223">
        <v>590</v>
      </c>
      <c r="K3223" s="4">
        <v>342</v>
      </c>
      <c r="L3223" t="s">
        <v>17</v>
      </c>
    </row>
    <row r="3224" spans="1:12" x14ac:dyDescent="0.35">
      <c r="A3224" t="s">
        <v>23</v>
      </c>
      <c r="B3224">
        <v>1197831</v>
      </c>
      <c r="C3224" s="1">
        <v>44463</v>
      </c>
      <c r="D3224" t="s">
        <v>19</v>
      </c>
      <c r="E3224" t="s">
        <v>24</v>
      </c>
      <c r="F3224" t="s">
        <v>25</v>
      </c>
      <c r="G3224" t="s">
        <v>26</v>
      </c>
      <c r="H3224" s="2">
        <v>29</v>
      </c>
      <c r="I3224">
        <v>131</v>
      </c>
      <c r="J3224">
        <v>380</v>
      </c>
      <c r="K3224" s="4">
        <v>228</v>
      </c>
      <c r="L3224" t="s">
        <v>17</v>
      </c>
    </row>
    <row r="3225" spans="1:12" x14ac:dyDescent="0.35">
      <c r="A3225" t="s">
        <v>23</v>
      </c>
      <c r="B3225">
        <v>1197831</v>
      </c>
      <c r="C3225" s="1">
        <v>44472</v>
      </c>
      <c r="D3225" t="s">
        <v>19</v>
      </c>
      <c r="E3225" t="s">
        <v>24</v>
      </c>
      <c r="F3225" t="s">
        <v>25</v>
      </c>
      <c r="G3225" t="s">
        <v>56</v>
      </c>
      <c r="H3225" s="2">
        <v>44</v>
      </c>
      <c r="I3225">
        <v>131</v>
      </c>
      <c r="J3225">
        <v>576</v>
      </c>
      <c r="K3225" s="4">
        <v>421</v>
      </c>
      <c r="L3225" t="s">
        <v>17</v>
      </c>
    </row>
    <row r="3226" spans="1:12" x14ac:dyDescent="0.35">
      <c r="A3226" t="s">
        <v>51</v>
      </c>
      <c r="B3226">
        <v>1185732</v>
      </c>
      <c r="C3226" s="1">
        <v>44307</v>
      </c>
      <c r="D3226" t="s">
        <v>48</v>
      </c>
      <c r="E3226" t="s">
        <v>137</v>
      </c>
      <c r="F3226" t="s">
        <v>138</v>
      </c>
      <c r="G3226" t="s">
        <v>26</v>
      </c>
      <c r="H3226" s="2">
        <v>54</v>
      </c>
      <c r="I3226">
        <v>131</v>
      </c>
      <c r="J3226">
        <v>707</v>
      </c>
      <c r="K3226" s="4">
        <v>325</v>
      </c>
      <c r="L3226" t="s">
        <v>17</v>
      </c>
    </row>
    <row r="3227" spans="1:12" x14ac:dyDescent="0.35">
      <c r="A3227" t="s">
        <v>51</v>
      </c>
      <c r="B3227">
        <v>1185732</v>
      </c>
      <c r="C3227" s="1">
        <v>44459</v>
      </c>
      <c r="D3227" t="s">
        <v>48</v>
      </c>
      <c r="E3227" t="s">
        <v>137</v>
      </c>
      <c r="F3227" t="s">
        <v>138</v>
      </c>
      <c r="G3227" t="s">
        <v>26</v>
      </c>
      <c r="H3227" s="2">
        <v>64</v>
      </c>
      <c r="I3227">
        <v>131</v>
      </c>
      <c r="J3227">
        <v>838</v>
      </c>
      <c r="K3227" s="4">
        <v>402</v>
      </c>
      <c r="L3227" t="s">
        <v>17</v>
      </c>
    </row>
    <row r="3228" spans="1:12" x14ac:dyDescent="0.35">
      <c r="A3228" t="s">
        <v>18</v>
      </c>
      <c r="B3228">
        <v>1185732</v>
      </c>
      <c r="C3228" s="1">
        <v>44447</v>
      </c>
      <c r="D3228" t="s">
        <v>43</v>
      </c>
      <c r="E3228" t="s">
        <v>44</v>
      </c>
      <c r="F3228" t="s">
        <v>101</v>
      </c>
      <c r="G3228" t="s">
        <v>70</v>
      </c>
      <c r="H3228" s="2">
        <v>51</v>
      </c>
      <c r="I3228">
        <v>131</v>
      </c>
      <c r="J3228">
        <v>668</v>
      </c>
      <c r="K3228" s="4">
        <v>321</v>
      </c>
      <c r="L3228" t="s">
        <v>17</v>
      </c>
    </row>
    <row r="3229" spans="1:12" x14ac:dyDescent="0.35">
      <c r="A3229" t="s">
        <v>63</v>
      </c>
      <c r="B3229">
        <v>1185732</v>
      </c>
      <c r="C3229" s="1">
        <v>44210</v>
      </c>
      <c r="D3229" t="s">
        <v>43</v>
      </c>
      <c r="E3229" t="s">
        <v>44</v>
      </c>
      <c r="F3229" t="s">
        <v>101</v>
      </c>
      <c r="G3229" t="s">
        <v>56</v>
      </c>
      <c r="H3229" s="2">
        <v>34</v>
      </c>
      <c r="I3229">
        <v>131</v>
      </c>
      <c r="J3229">
        <v>445</v>
      </c>
      <c r="K3229" s="4">
        <v>209</v>
      </c>
      <c r="L3229" t="s">
        <v>17</v>
      </c>
    </row>
    <row r="3230" spans="1:12" x14ac:dyDescent="0.35">
      <c r="A3230" t="s">
        <v>63</v>
      </c>
      <c r="B3230">
        <v>1185732</v>
      </c>
      <c r="C3230" s="1">
        <v>44265</v>
      </c>
      <c r="D3230" t="s">
        <v>48</v>
      </c>
      <c r="E3230" t="s">
        <v>102</v>
      </c>
      <c r="F3230" t="s">
        <v>103</v>
      </c>
      <c r="G3230" t="s">
        <v>39</v>
      </c>
      <c r="H3230" s="2">
        <v>37</v>
      </c>
      <c r="I3230">
        <v>131</v>
      </c>
      <c r="J3230">
        <v>485</v>
      </c>
      <c r="K3230" s="4">
        <v>213</v>
      </c>
      <c r="L3230" t="s">
        <v>17</v>
      </c>
    </row>
    <row r="3231" spans="1:12" x14ac:dyDescent="0.35">
      <c r="A3231" t="s">
        <v>63</v>
      </c>
      <c r="B3231">
        <v>1185732</v>
      </c>
      <c r="C3231" s="1">
        <v>44326</v>
      </c>
      <c r="D3231" t="s">
        <v>48</v>
      </c>
      <c r="E3231" t="s">
        <v>102</v>
      </c>
      <c r="F3231" t="s">
        <v>103</v>
      </c>
      <c r="G3231" t="s">
        <v>56</v>
      </c>
      <c r="H3231" s="2">
        <v>39</v>
      </c>
      <c r="I3231">
        <v>131</v>
      </c>
      <c r="J3231">
        <v>511</v>
      </c>
      <c r="K3231" s="4">
        <v>255</v>
      </c>
      <c r="L3231" t="s">
        <v>17</v>
      </c>
    </row>
    <row r="3232" spans="1:12" x14ac:dyDescent="0.35">
      <c r="A3232" t="s">
        <v>63</v>
      </c>
      <c r="B3232">
        <v>1185732</v>
      </c>
      <c r="C3232" s="1">
        <v>44359</v>
      </c>
      <c r="D3232" t="s">
        <v>48</v>
      </c>
      <c r="E3232" t="s">
        <v>102</v>
      </c>
      <c r="F3232" t="s">
        <v>103</v>
      </c>
      <c r="G3232" t="s">
        <v>32</v>
      </c>
      <c r="H3232" s="2">
        <v>38</v>
      </c>
      <c r="I3232">
        <v>131</v>
      </c>
      <c r="J3232">
        <v>498</v>
      </c>
      <c r="K3232" s="4">
        <v>224</v>
      </c>
      <c r="L3232" t="s">
        <v>17</v>
      </c>
    </row>
    <row r="3233" spans="1:12" x14ac:dyDescent="0.35">
      <c r="A3233" t="s">
        <v>42</v>
      </c>
      <c r="B3233">
        <v>1185732</v>
      </c>
      <c r="C3233" s="1">
        <v>44487</v>
      </c>
      <c r="D3233" t="s">
        <v>33</v>
      </c>
      <c r="E3233" t="s">
        <v>34</v>
      </c>
      <c r="F3233" t="s">
        <v>35</v>
      </c>
      <c r="G3233" t="s">
        <v>26</v>
      </c>
      <c r="H3233" s="2">
        <v>34</v>
      </c>
      <c r="I3233">
        <v>131</v>
      </c>
      <c r="J3233">
        <v>445</v>
      </c>
      <c r="K3233" s="4">
        <v>227</v>
      </c>
      <c r="L3233" t="s">
        <v>17</v>
      </c>
    </row>
    <row r="3234" spans="1:12" x14ac:dyDescent="0.35">
      <c r="A3234" t="s">
        <v>18</v>
      </c>
      <c r="B3234">
        <v>1185732</v>
      </c>
      <c r="C3234" s="1">
        <v>44238</v>
      </c>
      <c r="D3234" t="s">
        <v>48</v>
      </c>
      <c r="E3234" t="s">
        <v>49</v>
      </c>
      <c r="F3234" t="s">
        <v>50</v>
      </c>
      <c r="G3234" t="s">
        <v>16</v>
      </c>
      <c r="H3234" s="2">
        <v>24</v>
      </c>
      <c r="I3234">
        <v>131</v>
      </c>
      <c r="J3234">
        <v>314</v>
      </c>
      <c r="K3234" s="4">
        <v>195</v>
      </c>
      <c r="L3234" t="s">
        <v>17</v>
      </c>
    </row>
    <row r="3235" spans="1:12" x14ac:dyDescent="0.35">
      <c r="A3235" t="s">
        <v>18</v>
      </c>
      <c r="B3235">
        <v>1185732</v>
      </c>
      <c r="C3235" s="1">
        <v>44419</v>
      </c>
      <c r="D3235" t="s">
        <v>48</v>
      </c>
      <c r="E3235" t="s">
        <v>49</v>
      </c>
      <c r="F3235" t="s">
        <v>50</v>
      </c>
      <c r="G3235" t="s">
        <v>39</v>
      </c>
      <c r="H3235" s="2">
        <v>34</v>
      </c>
      <c r="I3235">
        <v>131</v>
      </c>
      <c r="J3235">
        <v>445</v>
      </c>
      <c r="K3235" s="4">
        <v>209</v>
      </c>
      <c r="L3235" t="s">
        <v>17</v>
      </c>
    </row>
    <row r="3236" spans="1:12" x14ac:dyDescent="0.35">
      <c r="A3236" t="s">
        <v>18</v>
      </c>
      <c r="B3236">
        <v>1128299</v>
      </c>
      <c r="C3236" s="1">
        <v>44524</v>
      </c>
      <c r="D3236" t="s">
        <v>48</v>
      </c>
      <c r="E3236" t="s">
        <v>85</v>
      </c>
      <c r="F3236" t="s">
        <v>86</v>
      </c>
      <c r="G3236" t="s">
        <v>56</v>
      </c>
      <c r="H3236" s="2">
        <v>51</v>
      </c>
      <c r="I3236">
        <v>131</v>
      </c>
      <c r="J3236">
        <v>668</v>
      </c>
      <c r="K3236" s="4">
        <v>307</v>
      </c>
      <c r="L3236" t="s">
        <v>17</v>
      </c>
    </row>
    <row r="3237" spans="1:12" x14ac:dyDescent="0.35">
      <c r="A3237" t="s">
        <v>42</v>
      </c>
      <c r="B3237">
        <v>1128299</v>
      </c>
      <c r="C3237" s="1">
        <v>44546</v>
      </c>
      <c r="D3237" t="s">
        <v>19</v>
      </c>
      <c r="E3237" t="s">
        <v>20</v>
      </c>
      <c r="F3237" t="s">
        <v>21</v>
      </c>
      <c r="G3237" t="s">
        <v>70</v>
      </c>
      <c r="H3237" s="2">
        <v>82</v>
      </c>
      <c r="I3237">
        <v>131</v>
      </c>
      <c r="J3237" s="3">
        <v>1074</v>
      </c>
      <c r="K3237" s="4">
        <v>623</v>
      </c>
      <c r="L3237" t="s">
        <v>17</v>
      </c>
    </row>
    <row r="3238" spans="1:12" x14ac:dyDescent="0.35">
      <c r="A3238" t="s">
        <v>42</v>
      </c>
      <c r="B3238">
        <v>1197831</v>
      </c>
      <c r="C3238" s="1">
        <v>44231</v>
      </c>
      <c r="D3238" t="s">
        <v>48</v>
      </c>
      <c r="E3238" t="s">
        <v>79</v>
      </c>
      <c r="F3238" t="s">
        <v>80</v>
      </c>
      <c r="G3238" t="s">
        <v>16</v>
      </c>
      <c r="H3238" s="2">
        <v>34</v>
      </c>
      <c r="I3238">
        <v>131</v>
      </c>
      <c r="J3238">
        <v>445</v>
      </c>
      <c r="K3238" s="4">
        <v>245</v>
      </c>
      <c r="L3238" t="s">
        <v>17</v>
      </c>
    </row>
    <row r="3239" spans="1:12" x14ac:dyDescent="0.35">
      <c r="A3239" t="s">
        <v>18</v>
      </c>
      <c r="B3239">
        <v>1197831</v>
      </c>
      <c r="C3239" s="1">
        <v>44383</v>
      </c>
      <c r="D3239" t="s">
        <v>48</v>
      </c>
      <c r="E3239" t="s">
        <v>79</v>
      </c>
      <c r="F3239" t="s">
        <v>80</v>
      </c>
      <c r="G3239" t="s">
        <v>70</v>
      </c>
      <c r="H3239" s="2">
        <v>53</v>
      </c>
      <c r="I3239">
        <v>131</v>
      </c>
      <c r="J3239">
        <v>694</v>
      </c>
      <c r="K3239" s="4">
        <v>333</v>
      </c>
      <c r="L3239" t="s">
        <v>17</v>
      </c>
    </row>
    <row r="3240" spans="1:12" x14ac:dyDescent="0.35">
      <c r="A3240" t="s">
        <v>23</v>
      </c>
      <c r="B3240">
        <v>1197831</v>
      </c>
      <c r="C3240" s="1">
        <v>44473</v>
      </c>
      <c r="D3240" t="s">
        <v>48</v>
      </c>
      <c r="E3240" t="s">
        <v>79</v>
      </c>
      <c r="F3240" t="s">
        <v>80</v>
      </c>
      <c r="G3240" t="s">
        <v>32</v>
      </c>
      <c r="H3240" s="2">
        <v>41</v>
      </c>
      <c r="I3240">
        <v>131</v>
      </c>
      <c r="J3240">
        <v>537</v>
      </c>
      <c r="K3240" s="4">
        <v>274</v>
      </c>
      <c r="L3240" t="s">
        <v>17</v>
      </c>
    </row>
    <row r="3241" spans="1:12" x14ac:dyDescent="0.35">
      <c r="A3241" t="s">
        <v>42</v>
      </c>
      <c r="B3241">
        <v>1128299</v>
      </c>
      <c r="C3241" s="1">
        <v>44370</v>
      </c>
      <c r="D3241" t="s">
        <v>48</v>
      </c>
      <c r="E3241" t="s">
        <v>123</v>
      </c>
      <c r="F3241" t="s">
        <v>124</v>
      </c>
      <c r="G3241" t="s">
        <v>16</v>
      </c>
      <c r="H3241" s="2">
        <v>69</v>
      </c>
      <c r="I3241">
        <v>131</v>
      </c>
      <c r="J3241">
        <v>904</v>
      </c>
      <c r="K3241" s="4">
        <v>353</v>
      </c>
      <c r="L3241" t="s">
        <v>17</v>
      </c>
    </row>
    <row r="3242" spans="1:12" x14ac:dyDescent="0.35">
      <c r="A3242" t="s">
        <v>23</v>
      </c>
      <c r="B3242">
        <v>1128299</v>
      </c>
      <c r="C3242" s="1">
        <v>44555</v>
      </c>
      <c r="D3242" t="s">
        <v>48</v>
      </c>
      <c r="E3242" t="s">
        <v>114</v>
      </c>
      <c r="F3242" t="s">
        <v>115</v>
      </c>
      <c r="G3242" t="s">
        <v>16</v>
      </c>
      <c r="H3242" s="2">
        <v>72</v>
      </c>
      <c r="I3242">
        <v>131</v>
      </c>
      <c r="J3242">
        <v>943</v>
      </c>
      <c r="K3242" s="4">
        <v>330</v>
      </c>
      <c r="L3242" t="s">
        <v>17</v>
      </c>
    </row>
    <row r="3243" spans="1:12" x14ac:dyDescent="0.35">
      <c r="A3243" t="s">
        <v>23</v>
      </c>
      <c r="B3243">
        <v>1128299</v>
      </c>
      <c r="C3243" s="1">
        <v>44209</v>
      </c>
      <c r="D3243" t="s">
        <v>48</v>
      </c>
      <c r="E3243" t="s">
        <v>114</v>
      </c>
      <c r="F3243" t="s">
        <v>115</v>
      </c>
      <c r="G3243" t="s">
        <v>26</v>
      </c>
      <c r="H3243" s="2">
        <v>29</v>
      </c>
      <c r="I3243">
        <v>131</v>
      </c>
      <c r="J3243">
        <v>380</v>
      </c>
      <c r="K3243" s="4">
        <v>194</v>
      </c>
      <c r="L3243" t="s">
        <v>17</v>
      </c>
    </row>
    <row r="3244" spans="1:12" x14ac:dyDescent="0.35">
      <c r="A3244" t="s">
        <v>23</v>
      </c>
      <c r="B3244">
        <v>1128299</v>
      </c>
      <c r="C3244" s="1">
        <v>44453</v>
      </c>
      <c r="D3244" t="s">
        <v>13</v>
      </c>
      <c r="E3244" t="s">
        <v>57</v>
      </c>
      <c r="F3244" t="s">
        <v>58</v>
      </c>
      <c r="G3244" t="s">
        <v>16</v>
      </c>
      <c r="H3244" s="2">
        <v>59</v>
      </c>
      <c r="I3244">
        <v>131</v>
      </c>
      <c r="J3244">
        <v>773</v>
      </c>
      <c r="K3244" s="4">
        <v>309</v>
      </c>
      <c r="L3244" t="s">
        <v>17</v>
      </c>
    </row>
    <row r="3245" spans="1:12" x14ac:dyDescent="0.35">
      <c r="A3245" t="s">
        <v>23</v>
      </c>
      <c r="B3245">
        <v>1128299</v>
      </c>
      <c r="C3245" s="1">
        <v>44482</v>
      </c>
      <c r="D3245" t="s">
        <v>13</v>
      </c>
      <c r="E3245" t="s">
        <v>57</v>
      </c>
      <c r="F3245" t="s">
        <v>58</v>
      </c>
      <c r="G3245" t="s">
        <v>26</v>
      </c>
      <c r="H3245" s="2">
        <v>42</v>
      </c>
      <c r="I3245">
        <v>131</v>
      </c>
      <c r="J3245">
        <v>550</v>
      </c>
      <c r="K3245" s="4">
        <v>281</v>
      </c>
      <c r="L3245" t="s">
        <v>17</v>
      </c>
    </row>
    <row r="3246" spans="1:12" x14ac:dyDescent="0.35">
      <c r="A3246" t="s">
        <v>23</v>
      </c>
      <c r="B3246">
        <v>1185732</v>
      </c>
      <c r="C3246" s="1">
        <v>44289</v>
      </c>
      <c r="D3246" t="s">
        <v>13</v>
      </c>
      <c r="E3246" t="s">
        <v>77</v>
      </c>
      <c r="F3246" t="s">
        <v>78</v>
      </c>
      <c r="G3246" t="s">
        <v>70</v>
      </c>
      <c r="H3246" s="2">
        <v>42</v>
      </c>
      <c r="I3246">
        <v>131</v>
      </c>
      <c r="J3246">
        <v>550</v>
      </c>
      <c r="K3246" s="4">
        <v>275</v>
      </c>
      <c r="L3246" t="s">
        <v>17</v>
      </c>
    </row>
    <row r="3247" spans="1:12" x14ac:dyDescent="0.35">
      <c r="A3247" t="s">
        <v>42</v>
      </c>
      <c r="B3247">
        <v>1185732</v>
      </c>
      <c r="C3247" s="1">
        <v>44332</v>
      </c>
      <c r="D3247" t="s">
        <v>19</v>
      </c>
      <c r="E3247" t="s">
        <v>37</v>
      </c>
      <c r="F3247" t="s">
        <v>38</v>
      </c>
      <c r="G3247" t="s">
        <v>39</v>
      </c>
      <c r="H3247" s="2">
        <v>37</v>
      </c>
      <c r="I3247">
        <v>131</v>
      </c>
      <c r="J3247">
        <v>485</v>
      </c>
      <c r="K3247" s="4">
        <v>218</v>
      </c>
      <c r="L3247" t="s">
        <v>17</v>
      </c>
    </row>
    <row r="3248" spans="1:12" x14ac:dyDescent="0.35">
      <c r="A3248" t="s">
        <v>23</v>
      </c>
      <c r="B3248">
        <v>1197831</v>
      </c>
      <c r="C3248" s="1">
        <v>44219</v>
      </c>
      <c r="D3248" t="s">
        <v>19</v>
      </c>
      <c r="E3248" t="s">
        <v>37</v>
      </c>
      <c r="F3248" t="s">
        <v>38</v>
      </c>
      <c r="G3248" t="s">
        <v>39</v>
      </c>
      <c r="H3248" s="2">
        <v>25</v>
      </c>
      <c r="I3248">
        <v>131</v>
      </c>
      <c r="J3248">
        <v>328</v>
      </c>
      <c r="K3248" s="4">
        <v>147</v>
      </c>
      <c r="L3248" t="s">
        <v>17</v>
      </c>
    </row>
    <row r="3249" spans="1:12" x14ac:dyDescent="0.35">
      <c r="A3249" t="s">
        <v>42</v>
      </c>
      <c r="B3249">
        <v>1185732</v>
      </c>
      <c r="C3249" s="1">
        <v>44420</v>
      </c>
      <c r="D3249" t="s">
        <v>33</v>
      </c>
      <c r="E3249" t="s">
        <v>87</v>
      </c>
      <c r="F3249" t="s">
        <v>88</v>
      </c>
      <c r="G3249" t="s">
        <v>26</v>
      </c>
      <c r="H3249" s="2">
        <v>49</v>
      </c>
      <c r="I3249">
        <v>131</v>
      </c>
      <c r="J3249">
        <v>642</v>
      </c>
      <c r="K3249" s="4">
        <v>308</v>
      </c>
      <c r="L3249" t="s">
        <v>17</v>
      </c>
    </row>
    <row r="3250" spans="1:12" x14ac:dyDescent="0.35">
      <c r="A3250" t="s">
        <v>42</v>
      </c>
      <c r="B3250">
        <v>1185732</v>
      </c>
      <c r="C3250" s="1">
        <v>44414</v>
      </c>
      <c r="D3250" t="s">
        <v>33</v>
      </c>
      <c r="E3250" t="s">
        <v>91</v>
      </c>
      <c r="F3250" t="s">
        <v>92</v>
      </c>
      <c r="G3250" t="s">
        <v>26</v>
      </c>
      <c r="H3250" s="2">
        <v>49</v>
      </c>
      <c r="I3250">
        <v>131</v>
      </c>
      <c r="J3250">
        <v>642</v>
      </c>
      <c r="K3250" s="4">
        <v>270</v>
      </c>
      <c r="L3250" t="s">
        <v>17</v>
      </c>
    </row>
    <row r="3251" spans="1:12" x14ac:dyDescent="0.35">
      <c r="A3251" t="s">
        <v>18</v>
      </c>
      <c r="B3251">
        <v>1185732</v>
      </c>
      <c r="C3251" s="1">
        <v>44425</v>
      </c>
      <c r="D3251" t="s">
        <v>43</v>
      </c>
      <c r="E3251" t="s">
        <v>64</v>
      </c>
      <c r="F3251" t="s">
        <v>65</v>
      </c>
      <c r="G3251" t="s">
        <v>26</v>
      </c>
      <c r="H3251" s="2">
        <v>46</v>
      </c>
      <c r="I3251">
        <v>131</v>
      </c>
      <c r="J3251">
        <v>603</v>
      </c>
      <c r="K3251" s="4">
        <v>313</v>
      </c>
      <c r="L3251" t="s">
        <v>17</v>
      </c>
    </row>
    <row r="3252" spans="1:12" x14ac:dyDescent="0.35">
      <c r="A3252" t="s">
        <v>42</v>
      </c>
      <c r="B3252">
        <v>1185732</v>
      </c>
      <c r="C3252" s="1">
        <v>44397</v>
      </c>
      <c r="D3252" t="s">
        <v>43</v>
      </c>
      <c r="E3252" t="s">
        <v>93</v>
      </c>
      <c r="F3252" t="s">
        <v>94</v>
      </c>
      <c r="G3252" t="s">
        <v>26</v>
      </c>
      <c r="H3252" s="2">
        <v>49</v>
      </c>
      <c r="I3252">
        <v>131</v>
      </c>
      <c r="J3252">
        <v>642</v>
      </c>
      <c r="K3252" s="4">
        <v>334</v>
      </c>
      <c r="L3252" t="s">
        <v>17</v>
      </c>
    </row>
    <row r="3253" spans="1:12" x14ac:dyDescent="0.35">
      <c r="A3253" t="s">
        <v>42</v>
      </c>
      <c r="B3253">
        <v>1185732</v>
      </c>
      <c r="C3253" s="1">
        <v>44300</v>
      </c>
      <c r="D3253" t="s">
        <v>43</v>
      </c>
      <c r="E3253" t="s">
        <v>95</v>
      </c>
      <c r="F3253" t="s">
        <v>96</v>
      </c>
      <c r="G3253" t="s">
        <v>26</v>
      </c>
      <c r="H3253" s="2">
        <v>36</v>
      </c>
      <c r="I3253">
        <v>131</v>
      </c>
      <c r="J3253">
        <v>472</v>
      </c>
      <c r="K3253" s="4">
        <v>236</v>
      </c>
      <c r="L3253" t="s">
        <v>17</v>
      </c>
    </row>
    <row r="3254" spans="1:12" x14ac:dyDescent="0.35">
      <c r="A3254" t="s">
        <v>63</v>
      </c>
      <c r="B3254">
        <v>1185732</v>
      </c>
      <c r="C3254" s="1">
        <v>44383</v>
      </c>
      <c r="D3254" t="s">
        <v>43</v>
      </c>
      <c r="E3254" t="s">
        <v>83</v>
      </c>
      <c r="F3254" t="s">
        <v>84</v>
      </c>
      <c r="G3254" t="s">
        <v>16</v>
      </c>
      <c r="H3254" s="2">
        <v>54</v>
      </c>
      <c r="I3254">
        <v>131</v>
      </c>
      <c r="J3254">
        <v>707</v>
      </c>
      <c r="K3254" s="4">
        <v>375</v>
      </c>
      <c r="L3254" t="s">
        <v>17</v>
      </c>
    </row>
    <row r="3255" spans="1:12" x14ac:dyDescent="0.35">
      <c r="A3255" t="s">
        <v>51</v>
      </c>
      <c r="B3255">
        <v>1185732</v>
      </c>
      <c r="C3255" s="1">
        <v>44217</v>
      </c>
      <c r="D3255" t="s">
        <v>43</v>
      </c>
      <c r="E3255" t="s">
        <v>125</v>
      </c>
      <c r="F3255" t="s">
        <v>126</v>
      </c>
      <c r="G3255" t="s">
        <v>26</v>
      </c>
      <c r="H3255" s="2">
        <v>49</v>
      </c>
      <c r="I3255">
        <v>131</v>
      </c>
      <c r="J3255">
        <v>642</v>
      </c>
      <c r="K3255" s="4">
        <v>353</v>
      </c>
      <c r="L3255" t="s">
        <v>17</v>
      </c>
    </row>
    <row r="3256" spans="1:12" x14ac:dyDescent="0.35">
      <c r="A3256" t="s">
        <v>51</v>
      </c>
      <c r="B3256">
        <v>1185732</v>
      </c>
      <c r="C3256" s="1">
        <v>44394</v>
      </c>
      <c r="D3256" t="s">
        <v>43</v>
      </c>
      <c r="E3256" t="s">
        <v>127</v>
      </c>
      <c r="F3256" t="s">
        <v>128</v>
      </c>
      <c r="G3256" t="s">
        <v>39</v>
      </c>
      <c r="H3256" s="2">
        <v>55</v>
      </c>
      <c r="I3256">
        <v>131</v>
      </c>
      <c r="J3256">
        <v>721</v>
      </c>
      <c r="K3256" s="4">
        <v>360</v>
      </c>
      <c r="L3256" t="s">
        <v>17</v>
      </c>
    </row>
    <row r="3257" spans="1:12" x14ac:dyDescent="0.35">
      <c r="A3257" t="s">
        <v>23</v>
      </c>
      <c r="B3257">
        <v>1197831</v>
      </c>
      <c r="C3257" s="1">
        <v>44322</v>
      </c>
      <c r="D3257" t="s">
        <v>19</v>
      </c>
      <c r="E3257" t="s">
        <v>74</v>
      </c>
      <c r="F3257" t="s">
        <v>75</v>
      </c>
      <c r="G3257" t="s">
        <v>56</v>
      </c>
      <c r="H3257" s="2">
        <v>30</v>
      </c>
      <c r="I3257">
        <v>131</v>
      </c>
      <c r="J3257">
        <v>393</v>
      </c>
      <c r="K3257" s="4">
        <v>236</v>
      </c>
      <c r="L3257" t="s">
        <v>27</v>
      </c>
    </row>
    <row r="3258" spans="1:12" x14ac:dyDescent="0.35">
      <c r="A3258" t="s">
        <v>23</v>
      </c>
      <c r="B3258">
        <v>1128299</v>
      </c>
      <c r="C3258" s="1">
        <v>44271</v>
      </c>
      <c r="D3258" t="s">
        <v>13</v>
      </c>
      <c r="E3258" t="s">
        <v>14</v>
      </c>
      <c r="F3258" t="s">
        <v>15</v>
      </c>
      <c r="G3258" t="s">
        <v>16</v>
      </c>
      <c r="H3258" s="2">
        <v>48</v>
      </c>
      <c r="I3258">
        <v>131</v>
      </c>
      <c r="J3258">
        <v>629</v>
      </c>
      <c r="K3258" s="4">
        <v>296</v>
      </c>
      <c r="L3258" t="s">
        <v>27</v>
      </c>
    </row>
    <row r="3259" spans="1:12" x14ac:dyDescent="0.35">
      <c r="A3259" t="s">
        <v>18</v>
      </c>
      <c r="B3259">
        <v>1128299</v>
      </c>
      <c r="C3259" s="1">
        <v>44244</v>
      </c>
      <c r="D3259" t="s">
        <v>19</v>
      </c>
      <c r="E3259" t="s">
        <v>20</v>
      </c>
      <c r="F3259" t="s">
        <v>21</v>
      </c>
      <c r="G3259" t="s">
        <v>16</v>
      </c>
      <c r="H3259" s="2">
        <v>32</v>
      </c>
      <c r="I3259">
        <v>131</v>
      </c>
      <c r="J3259">
        <v>419</v>
      </c>
      <c r="K3259" s="4">
        <v>155</v>
      </c>
      <c r="L3259" t="s">
        <v>27</v>
      </c>
    </row>
    <row r="3260" spans="1:12" x14ac:dyDescent="0.35">
      <c r="A3260" t="s">
        <v>42</v>
      </c>
      <c r="B3260">
        <v>1128299</v>
      </c>
      <c r="C3260" s="1">
        <v>44431</v>
      </c>
      <c r="D3260" t="s">
        <v>48</v>
      </c>
      <c r="E3260" t="s">
        <v>123</v>
      </c>
      <c r="F3260" t="s">
        <v>124</v>
      </c>
      <c r="G3260" t="s">
        <v>16</v>
      </c>
      <c r="H3260" s="2">
        <v>48</v>
      </c>
      <c r="I3260">
        <v>131</v>
      </c>
      <c r="J3260">
        <v>629</v>
      </c>
      <c r="K3260" s="4">
        <v>176</v>
      </c>
      <c r="L3260" t="s">
        <v>27</v>
      </c>
    </row>
    <row r="3261" spans="1:12" x14ac:dyDescent="0.35">
      <c r="A3261" t="s">
        <v>63</v>
      </c>
      <c r="B3261">
        <v>1128299</v>
      </c>
      <c r="C3261" s="1">
        <v>44280</v>
      </c>
      <c r="D3261" t="s">
        <v>48</v>
      </c>
      <c r="E3261" t="s">
        <v>114</v>
      </c>
      <c r="F3261" t="s">
        <v>115</v>
      </c>
      <c r="G3261" t="s">
        <v>16</v>
      </c>
      <c r="H3261" s="2">
        <v>44</v>
      </c>
      <c r="I3261">
        <v>131</v>
      </c>
      <c r="J3261">
        <v>576</v>
      </c>
      <c r="K3261" s="4">
        <v>179</v>
      </c>
      <c r="L3261" t="s">
        <v>27</v>
      </c>
    </row>
    <row r="3262" spans="1:12" x14ac:dyDescent="0.35">
      <c r="A3262" t="s">
        <v>63</v>
      </c>
      <c r="B3262">
        <v>1128299</v>
      </c>
      <c r="C3262" s="1">
        <v>44495</v>
      </c>
      <c r="D3262" t="s">
        <v>48</v>
      </c>
      <c r="E3262" t="s">
        <v>114</v>
      </c>
      <c r="F3262" t="s">
        <v>115</v>
      </c>
      <c r="G3262" t="s">
        <v>16</v>
      </c>
      <c r="H3262" s="2">
        <v>57</v>
      </c>
      <c r="I3262">
        <v>131</v>
      </c>
      <c r="J3262">
        <v>747</v>
      </c>
      <c r="K3262" s="4">
        <v>231</v>
      </c>
      <c r="L3262" t="s">
        <v>27</v>
      </c>
    </row>
    <row r="3263" spans="1:12" x14ac:dyDescent="0.35">
      <c r="A3263" t="s">
        <v>63</v>
      </c>
      <c r="B3263">
        <v>1128299</v>
      </c>
      <c r="C3263" s="1">
        <v>44526</v>
      </c>
      <c r="D3263" t="s">
        <v>48</v>
      </c>
      <c r="E3263" t="s">
        <v>114</v>
      </c>
      <c r="F3263" t="s">
        <v>115</v>
      </c>
      <c r="G3263" t="s">
        <v>70</v>
      </c>
      <c r="H3263" s="2">
        <v>54</v>
      </c>
      <c r="I3263">
        <v>131</v>
      </c>
      <c r="J3263">
        <v>707</v>
      </c>
      <c r="K3263" s="4">
        <v>262</v>
      </c>
      <c r="L3263" t="s">
        <v>27</v>
      </c>
    </row>
    <row r="3264" spans="1:12" x14ac:dyDescent="0.35">
      <c r="A3264" t="s">
        <v>23</v>
      </c>
      <c r="B3264">
        <v>1128299</v>
      </c>
      <c r="C3264" s="1">
        <v>44240</v>
      </c>
      <c r="D3264" t="s">
        <v>13</v>
      </c>
      <c r="E3264" t="s">
        <v>57</v>
      </c>
      <c r="F3264" t="s">
        <v>58</v>
      </c>
      <c r="G3264" t="s">
        <v>16</v>
      </c>
      <c r="H3264" s="2">
        <v>28</v>
      </c>
      <c r="I3264">
        <v>131</v>
      </c>
      <c r="J3264">
        <v>367</v>
      </c>
      <c r="K3264" s="4">
        <v>106</v>
      </c>
      <c r="L3264" t="s">
        <v>27</v>
      </c>
    </row>
    <row r="3265" spans="1:12" x14ac:dyDescent="0.35">
      <c r="A3265" t="s">
        <v>18</v>
      </c>
      <c r="B3265">
        <v>1197831</v>
      </c>
      <c r="C3265" s="1">
        <v>44219</v>
      </c>
      <c r="D3265" t="s">
        <v>19</v>
      </c>
      <c r="E3265" t="s">
        <v>54</v>
      </c>
      <c r="F3265" t="s">
        <v>55</v>
      </c>
      <c r="G3265" t="s">
        <v>32</v>
      </c>
      <c r="H3265" s="2">
        <v>10</v>
      </c>
      <c r="I3265">
        <v>131</v>
      </c>
      <c r="J3265">
        <v>131</v>
      </c>
      <c r="K3265" s="4">
        <v>56</v>
      </c>
      <c r="L3265" t="s">
        <v>27</v>
      </c>
    </row>
    <row r="3266" spans="1:12" x14ac:dyDescent="0.35">
      <c r="A3266" t="s">
        <v>18</v>
      </c>
      <c r="B3266">
        <v>1197831</v>
      </c>
      <c r="C3266" s="1">
        <v>44396</v>
      </c>
      <c r="D3266" t="s">
        <v>19</v>
      </c>
      <c r="E3266" t="s">
        <v>61</v>
      </c>
      <c r="F3266" t="s">
        <v>62</v>
      </c>
      <c r="G3266" t="s">
        <v>32</v>
      </c>
      <c r="H3266" s="2">
        <v>33</v>
      </c>
      <c r="I3266">
        <v>131</v>
      </c>
      <c r="J3266">
        <v>432</v>
      </c>
      <c r="K3266" s="4">
        <v>186</v>
      </c>
      <c r="L3266" t="s">
        <v>27</v>
      </c>
    </row>
    <row r="3267" spans="1:12" x14ac:dyDescent="0.35">
      <c r="A3267" t="s">
        <v>63</v>
      </c>
      <c r="B3267">
        <v>1197831</v>
      </c>
      <c r="C3267" s="1">
        <v>44549</v>
      </c>
      <c r="D3267" t="s">
        <v>19</v>
      </c>
      <c r="E3267" t="s">
        <v>61</v>
      </c>
      <c r="F3267" t="s">
        <v>62</v>
      </c>
      <c r="G3267" t="s">
        <v>32</v>
      </c>
      <c r="H3267" s="2">
        <v>44</v>
      </c>
      <c r="I3267">
        <v>131</v>
      </c>
      <c r="J3267">
        <v>576</v>
      </c>
      <c r="K3267" s="4">
        <v>259</v>
      </c>
      <c r="L3267" t="s">
        <v>27</v>
      </c>
    </row>
    <row r="3268" spans="1:12" x14ac:dyDescent="0.35">
      <c r="A3268" t="s">
        <v>42</v>
      </c>
      <c r="B3268">
        <v>1185732</v>
      </c>
      <c r="C3268" s="1">
        <v>44533</v>
      </c>
      <c r="D3268" t="s">
        <v>43</v>
      </c>
      <c r="E3268" t="s">
        <v>108</v>
      </c>
      <c r="F3268" t="s">
        <v>109</v>
      </c>
      <c r="G3268" t="s">
        <v>39</v>
      </c>
      <c r="H3268" s="2">
        <v>37</v>
      </c>
      <c r="I3268">
        <v>131</v>
      </c>
      <c r="J3268">
        <v>485</v>
      </c>
      <c r="K3268" s="4">
        <v>218</v>
      </c>
      <c r="L3268" t="s">
        <v>27</v>
      </c>
    </row>
    <row r="3269" spans="1:12" x14ac:dyDescent="0.35">
      <c r="A3269" t="s">
        <v>51</v>
      </c>
      <c r="B3269">
        <v>1185732</v>
      </c>
      <c r="C3269" s="1">
        <v>44540</v>
      </c>
      <c r="D3269" t="s">
        <v>43</v>
      </c>
      <c r="E3269" t="s">
        <v>125</v>
      </c>
      <c r="F3269" t="s">
        <v>126</v>
      </c>
      <c r="G3269" t="s">
        <v>32</v>
      </c>
      <c r="H3269" s="2">
        <v>44</v>
      </c>
      <c r="I3269">
        <v>131</v>
      </c>
      <c r="J3269">
        <v>576</v>
      </c>
      <c r="K3269" s="4">
        <v>231</v>
      </c>
      <c r="L3269" t="s">
        <v>27</v>
      </c>
    </row>
    <row r="3270" spans="1:12" x14ac:dyDescent="0.35">
      <c r="A3270" t="s">
        <v>18</v>
      </c>
      <c r="B3270">
        <v>1128299</v>
      </c>
      <c r="C3270" s="1">
        <v>43872</v>
      </c>
      <c r="D3270" t="s">
        <v>48</v>
      </c>
      <c r="E3270" t="s">
        <v>116</v>
      </c>
      <c r="F3270" t="s">
        <v>117</v>
      </c>
      <c r="G3270" t="s">
        <v>70</v>
      </c>
      <c r="H3270" s="2">
        <v>60</v>
      </c>
      <c r="I3270">
        <v>130</v>
      </c>
      <c r="J3270">
        <v>780</v>
      </c>
      <c r="K3270" s="4">
        <v>546</v>
      </c>
      <c r="L3270" t="s">
        <v>17</v>
      </c>
    </row>
    <row r="3271" spans="1:12" x14ac:dyDescent="0.35">
      <c r="A3271" t="s">
        <v>18</v>
      </c>
      <c r="B3271">
        <v>1128299</v>
      </c>
      <c r="C3271" s="1">
        <v>43970</v>
      </c>
      <c r="D3271" t="s">
        <v>48</v>
      </c>
      <c r="E3271" t="s">
        <v>133</v>
      </c>
      <c r="F3271" t="s">
        <v>134</v>
      </c>
      <c r="G3271" t="s">
        <v>16</v>
      </c>
      <c r="H3271" s="2">
        <v>73</v>
      </c>
      <c r="I3271">
        <v>130</v>
      </c>
      <c r="J3271">
        <v>949</v>
      </c>
      <c r="K3271" s="4">
        <v>294</v>
      </c>
      <c r="L3271" t="s">
        <v>17</v>
      </c>
    </row>
    <row r="3272" spans="1:12" x14ac:dyDescent="0.35">
      <c r="A3272" t="s">
        <v>63</v>
      </c>
      <c r="B3272">
        <v>1189833</v>
      </c>
      <c r="C3272" s="1">
        <v>44237</v>
      </c>
      <c r="D3272" t="s">
        <v>33</v>
      </c>
      <c r="E3272" t="s">
        <v>131</v>
      </c>
      <c r="F3272" t="s">
        <v>132</v>
      </c>
      <c r="G3272" t="s">
        <v>32</v>
      </c>
      <c r="H3272" s="2">
        <v>49</v>
      </c>
      <c r="I3272">
        <v>130</v>
      </c>
      <c r="J3272">
        <v>637</v>
      </c>
      <c r="K3272" s="4">
        <v>376</v>
      </c>
      <c r="L3272" t="s">
        <v>17</v>
      </c>
    </row>
    <row r="3273" spans="1:12" x14ac:dyDescent="0.35">
      <c r="A3273" t="s">
        <v>63</v>
      </c>
      <c r="B3273">
        <v>1189833</v>
      </c>
      <c r="C3273" s="1">
        <v>44264</v>
      </c>
      <c r="D3273" t="s">
        <v>33</v>
      </c>
      <c r="E3273" t="s">
        <v>131</v>
      </c>
      <c r="F3273" t="s">
        <v>132</v>
      </c>
      <c r="G3273" t="s">
        <v>16</v>
      </c>
      <c r="H3273" s="2">
        <v>55</v>
      </c>
      <c r="I3273">
        <v>130</v>
      </c>
      <c r="J3273">
        <v>715</v>
      </c>
      <c r="K3273" s="4">
        <v>286</v>
      </c>
      <c r="L3273" t="s">
        <v>17</v>
      </c>
    </row>
    <row r="3274" spans="1:12" x14ac:dyDescent="0.35">
      <c r="A3274" t="s">
        <v>23</v>
      </c>
      <c r="B3274">
        <v>1197831</v>
      </c>
      <c r="C3274" s="1">
        <v>44267</v>
      </c>
      <c r="D3274" t="s">
        <v>33</v>
      </c>
      <c r="E3274" t="s">
        <v>131</v>
      </c>
      <c r="F3274" t="s">
        <v>132</v>
      </c>
      <c r="G3274" t="s">
        <v>32</v>
      </c>
      <c r="H3274" s="2">
        <v>27</v>
      </c>
      <c r="I3274">
        <v>130</v>
      </c>
      <c r="J3274">
        <v>351</v>
      </c>
      <c r="K3274" s="4">
        <v>158</v>
      </c>
      <c r="L3274" t="s">
        <v>17</v>
      </c>
    </row>
    <row r="3275" spans="1:12" x14ac:dyDescent="0.35">
      <c r="A3275" t="s">
        <v>51</v>
      </c>
      <c r="B3275">
        <v>1185732</v>
      </c>
      <c r="C3275" s="1">
        <v>44397</v>
      </c>
      <c r="D3275" t="s">
        <v>48</v>
      </c>
      <c r="E3275" t="s">
        <v>137</v>
      </c>
      <c r="F3275" t="s">
        <v>138</v>
      </c>
      <c r="G3275" t="s">
        <v>16</v>
      </c>
      <c r="H3275" s="2">
        <v>67</v>
      </c>
      <c r="I3275">
        <v>130</v>
      </c>
      <c r="J3275">
        <v>871</v>
      </c>
      <c r="K3275" s="4">
        <v>392</v>
      </c>
      <c r="L3275" t="s">
        <v>17</v>
      </c>
    </row>
    <row r="3276" spans="1:12" x14ac:dyDescent="0.35">
      <c r="A3276" t="s">
        <v>42</v>
      </c>
      <c r="B3276">
        <v>1128299</v>
      </c>
      <c r="C3276" s="1">
        <v>44296</v>
      </c>
      <c r="D3276" t="s">
        <v>48</v>
      </c>
      <c r="E3276" t="s">
        <v>129</v>
      </c>
      <c r="F3276" t="s">
        <v>130</v>
      </c>
      <c r="G3276" t="s">
        <v>26</v>
      </c>
      <c r="H3276" s="2">
        <v>59</v>
      </c>
      <c r="I3276">
        <v>130</v>
      </c>
      <c r="J3276">
        <v>767</v>
      </c>
      <c r="K3276" s="4">
        <v>276</v>
      </c>
      <c r="L3276" t="s">
        <v>17</v>
      </c>
    </row>
    <row r="3277" spans="1:12" x14ac:dyDescent="0.35">
      <c r="A3277" t="s">
        <v>42</v>
      </c>
      <c r="B3277">
        <v>1128299</v>
      </c>
      <c r="C3277" s="1">
        <v>44386</v>
      </c>
      <c r="D3277" t="s">
        <v>48</v>
      </c>
      <c r="E3277" t="s">
        <v>129</v>
      </c>
      <c r="F3277" t="s">
        <v>130</v>
      </c>
      <c r="G3277" t="s">
        <v>56</v>
      </c>
      <c r="H3277" s="2">
        <v>73</v>
      </c>
      <c r="I3277">
        <v>130</v>
      </c>
      <c r="J3277">
        <v>949</v>
      </c>
      <c r="K3277" s="4">
        <v>380</v>
      </c>
      <c r="L3277" t="s">
        <v>17</v>
      </c>
    </row>
    <row r="3278" spans="1:12" x14ac:dyDescent="0.35">
      <c r="A3278" t="s">
        <v>18</v>
      </c>
      <c r="B3278">
        <v>1185732</v>
      </c>
      <c r="C3278" s="1">
        <v>44324</v>
      </c>
      <c r="D3278" t="s">
        <v>43</v>
      </c>
      <c r="E3278" t="s">
        <v>44</v>
      </c>
      <c r="F3278" t="s">
        <v>101</v>
      </c>
      <c r="G3278" t="s">
        <v>56</v>
      </c>
      <c r="H3278" s="2">
        <v>47</v>
      </c>
      <c r="I3278">
        <v>130</v>
      </c>
      <c r="J3278">
        <v>611</v>
      </c>
      <c r="K3278" s="4">
        <v>244</v>
      </c>
      <c r="L3278" t="s">
        <v>17</v>
      </c>
    </row>
    <row r="3279" spans="1:12" x14ac:dyDescent="0.35">
      <c r="A3279" t="s">
        <v>42</v>
      </c>
      <c r="B3279">
        <v>1185732</v>
      </c>
      <c r="C3279" s="1">
        <v>44394</v>
      </c>
      <c r="D3279" t="s">
        <v>33</v>
      </c>
      <c r="E3279" t="s">
        <v>34</v>
      </c>
      <c r="F3279" t="s">
        <v>35</v>
      </c>
      <c r="G3279" t="s">
        <v>39</v>
      </c>
      <c r="H3279" s="2">
        <v>33</v>
      </c>
      <c r="I3279">
        <v>130</v>
      </c>
      <c r="J3279">
        <v>429</v>
      </c>
      <c r="K3279" s="4">
        <v>202</v>
      </c>
      <c r="L3279" t="s">
        <v>17</v>
      </c>
    </row>
    <row r="3280" spans="1:12" x14ac:dyDescent="0.35">
      <c r="A3280" t="s">
        <v>18</v>
      </c>
      <c r="B3280">
        <v>1197831</v>
      </c>
      <c r="C3280" s="1">
        <v>44321</v>
      </c>
      <c r="D3280" t="s">
        <v>48</v>
      </c>
      <c r="E3280" t="s">
        <v>79</v>
      </c>
      <c r="F3280" t="s">
        <v>80</v>
      </c>
      <c r="G3280" t="s">
        <v>56</v>
      </c>
      <c r="H3280" s="2">
        <v>33</v>
      </c>
      <c r="I3280">
        <v>130</v>
      </c>
      <c r="J3280">
        <v>429</v>
      </c>
      <c r="K3280" s="4">
        <v>236</v>
      </c>
      <c r="L3280" t="s">
        <v>17</v>
      </c>
    </row>
    <row r="3281" spans="1:12" x14ac:dyDescent="0.35">
      <c r="A3281" t="s">
        <v>42</v>
      </c>
      <c r="B3281">
        <v>1128299</v>
      </c>
      <c r="C3281" s="1">
        <v>44309</v>
      </c>
      <c r="D3281" t="s">
        <v>48</v>
      </c>
      <c r="E3281" t="s">
        <v>123</v>
      </c>
      <c r="F3281" t="s">
        <v>124</v>
      </c>
      <c r="G3281" t="s">
        <v>26</v>
      </c>
      <c r="H3281" s="2">
        <v>48</v>
      </c>
      <c r="I3281">
        <v>130</v>
      </c>
      <c r="J3281">
        <v>624</v>
      </c>
      <c r="K3281" s="4">
        <v>281</v>
      </c>
      <c r="L3281" t="s">
        <v>17</v>
      </c>
    </row>
    <row r="3282" spans="1:12" x14ac:dyDescent="0.35">
      <c r="A3282" t="s">
        <v>23</v>
      </c>
      <c r="B3282">
        <v>1128299</v>
      </c>
      <c r="C3282" s="1">
        <v>44555</v>
      </c>
      <c r="D3282" t="s">
        <v>48</v>
      </c>
      <c r="E3282" t="s">
        <v>114</v>
      </c>
      <c r="F3282" t="s">
        <v>115</v>
      </c>
      <c r="G3282" t="s">
        <v>32</v>
      </c>
      <c r="H3282" s="2">
        <v>59</v>
      </c>
      <c r="I3282">
        <v>130</v>
      </c>
      <c r="J3282">
        <v>767</v>
      </c>
      <c r="K3282" s="4">
        <v>376</v>
      </c>
      <c r="L3282" t="s">
        <v>17</v>
      </c>
    </row>
    <row r="3283" spans="1:12" x14ac:dyDescent="0.35">
      <c r="A3283" t="s">
        <v>12</v>
      </c>
      <c r="B3283">
        <v>1185732</v>
      </c>
      <c r="C3283" s="1">
        <v>44455</v>
      </c>
      <c r="D3283" t="s">
        <v>19</v>
      </c>
      <c r="E3283" t="s">
        <v>37</v>
      </c>
      <c r="F3283" t="s">
        <v>38</v>
      </c>
      <c r="G3283" t="s">
        <v>16</v>
      </c>
      <c r="H3283" s="2">
        <v>32</v>
      </c>
      <c r="I3283">
        <v>130</v>
      </c>
      <c r="J3283">
        <v>416</v>
      </c>
      <c r="K3283" s="4">
        <v>258</v>
      </c>
      <c r="L3283" t="s">
        <v>17</v>
      </c>
    </row>
    <row r="3284" spans="1:12" x14ac:dyDescent="0.35">
      <c r="A3284" t="s">
        <v>63</v>
      </c>
      <c r="B3284">
        <v>1185732</v>
      </c>
      <c r="C3284" s="1">
        <v>44322</v>
      </c>
      <c r="D3284" t="s">
        <v>43</v>
      </c>
      <c r="E3284" t="s">
        <v>83</v>
      </c>
      <c r="F3284" t="s">
        <v>84</v>
      </c>
      <c r="G3284" t="s">
        <v>26</v>
      </c>
      <c r="H3284" s="2">
        <v>48</v>
      </c>
      <c r="I3284">
        <v>130</v>
      </c>
      <c r="J3284">
        <v>624</v>
      </c>
      <c r="K3284" s="4">
        <v>293</v>
      </c>
      <c r="L3284" t="s">
        <v>17</v>
      </c>
    </row>
    <row r="3285" spans="1:12" x14ac:dyDescent="0.35">
      <c r="A3285" t="s">
        <v>23</v>
      </c>
      <c r="B3285">
        <v>1185732</v>
      </c>
      <c r="C3285" s="1">
        <v>44258</v>
      </c>
      <c r="D3285" t="s">
        <v>43</v>
      </c>
      <c r="E3285" t="s">
        <v>108</v>
      </c>
      <c r="F3285" t="s">
        <v>109</v>
      </c>
      <c r="G3285" t="s">
        <v>26</v>
      </c>
      <c r="H3285" s="2">
        <v>39</v>
      </c>
      <c r="I3285">
        <v>130</v>
      </c>
      <c r="J3285">
        <v>507</v>
      </c>
      <c r="K3285" s="4">
        <v>254</v>
      </c>
      <c r="L3285" t="s">
        <v>17</v>
      </c>
    </row>
    <row r="3286" spans="1:12" x14ac:dyDescent="0.35">
      <c r="A3286" t="s">
        <v>23</v>
      </c>
      <c r="B3286">
        <v>1185732</v>
      </c>
      <c r="C3286" s="1">
        <v>44326</v>
      </c>
      <c r="D3286" t="s">
        <v>33</v>
      </c>
      <c r="E3286" t="s">
        <v>89</v>
      </c>
      <c r="F3286" t="s">
        <v>90</v>
      </c>
      <c r="G3286" t="s">
        <v>26</v>
      </c>
      <c r="H3286" s="2">
        <v>55</v>
      </c>
      <c r="I3286">
        <v>129</v>
      </c>
      <c r="J3286">
        <v>710</v>
      </c>
      <c r="K3286" s="4">
        <v>341</v>
      </c>
      <c r="L3286" t="s">
        <v>17</v>
      </c>
    </row>
    <row r="3287" spans="1:12" x14ac:dyDescent="0.35">
      <c r="A3287" t="s">
        <v>23</v>
      </c>
      <c r="B3287">
        <v>1185732</v>
      </c>
      <c r="C3287" s="1">
        <v>44329</v>
      </c>
      <c r="D3287" t="s">
        <v>43</v>
      </c>
      <c r="E3287" t="s">
        <v>112</v>
      </c>
      <c r="F3287" t="s">
        <v>113</v>
      </c>
      <c r="G3287" t="s">
        <v>26</v>
      </c>
      <c r="H3287" s="2">
        <v>53</v>
      </c>
      <c r="I3287">
        <v>129</v>
      </c>
      <c r="J3287">
        <v>684</v>
      </c>
      <c r="K3287" s="4">
        <v>294</v>
      </c>
      <c r="L3287" t="s">
        <v>17</v>
      </c>
    </row>
    <row r="3288" spans="1:12" x14ac:dyDescent="0.35">
      <c r="A3288" t="s">
        <v>23</v>
      </c>
      <c r="B3288">
        <v>1197831</v>
      </c>
      <c r="C3288" s="1">
        <v>44428</v>
      </c>
      <c r="D3288" t="s">
        <v>19</v>
      </c>
      <c r="E3288" t="s">
        <v>59</v>
      </c>
      <c r="F3288" t="s">
        <v>68</v>
      </c>
      <c r="G3288" t="s">
        <v>56</v>
      </c>
      <c r="H3288" s="2">
        <v>32</v>
      </c>
      <c r="I3288">
        <v>128</v>
      </c>
      <c r="J3288">
        <v>410</v>
      </c>
      <c r="K3288" s="4">
        <v>217</v>
      </c>
      <c r="L3288" t="s">
        <v>17</v>
      </c>
    </row>
    <row r="3289" spans="1:12" x14ac:dyDescent="0.35">
      <c r="A3289" t="s">
        <v>23</v>
      </c>
      <c r="B3289">
        <v>1197831</v>
      </c>
      <c r="C3289" s="1">
        <v>44440</v>
      </c>
      <c r="D3289" t="s">
        <v>19</v>
      </c>
      <c r="E3289" t="s">
        <v>59</v>
      </c>
      <c r="F3289" t="s">
        <v>68</v>
      </c>
      <c r="G3289" t="s">
        <v>56</v>
      </c>
      <c r="H3289" s="2">
        <v>29</v>
      </c>
      <c r="I3289">
        <v>128</v>
      </c>
      <c r="J3289">
        <v>371</v>
      </c>
      <c r="K3289" s="4">
        <v>219</v>
      </c>
      <c r="L3289" t="s">
        <v>17</v>
      </c>
    </row>
    <row r="3290" spans="1:12" x14ac:dyDescent="0.35">
      <c r="A3290" t="s">
        <v>18</v>
      </c>
      <c r="B3290">
        <v>1128299</v>
      </c>
      <c r="C3290" s="1">
        <v>43837</v>
      </c>
      <c r="D3290" t="s">
        <v>48</v>
      </c>
      <c r="E3290" t="s">
        <v>116</v>
      </c>
      <c r="F3290" t="s">
        <v>117</v>
      </c>
      <c r="G3290" t="s">
        <v>16</v>
      </c>
      <c r="H3290" s="2">
        <v>41</v>
      </c>
      <c r="I3290">
        <v>128</v>
      </c>
      <c r="J3290">
        <v>525</v>
      </c>
      <c r="K3290" s="4">
        <v>157</v>
      </c>
      <c r="L3290" t="s">
        <v>17</v>
      </c>
    </row>
    <row r="3291" spans="1:12" x14ac:dyDescent="0.35">
      <c r="A3291" t="s">
        <v>18</v>
      </c>
      <c r="B3291">
        <v>1128299</v>
      </c>
      <c r="C3291" s="1">
        <v>43839</v>
      </c>
      <c r="D3291" t="s">
        <v>48</v>
      </c>
      <c r="E3291" t="s">
        <v>116</v>
      </c>
      <c r="F3291" t="s">
        <v>117</v>
      </c>
      <c r="G3291" t="s">
        <v>39</v>
      </c>
      <c r="H3291" s="2">
        <v>43</v>
      </c>
      <c r="I3291">
        <v>128</v>
      </c>
      <c r="J3291">
        <v>550</v>
      </c>
      <c r="K3291" s="4">
        <v>220</v>
      </c>
      <c r="L3291" t="s">
        <v>17</v>
      </c>
    </row>
    <row r="3292" spans="1:12" x14ac:dyDescent="0.35">
      <c r="A3292" t="s">
        <v>18</v>
      </c>
      <c r="B3292">
        <v>1128299</v>
      </c>
      <c r="C3292" s="1">
        <v>43910</v>
      </c>
      <c r="D3292" t="s">
        <v>48</v>
      </c>
      <c r="E3292" t="s">
        <v>133</v>
      </c>
      <c r="F3292" t="s">
        <v>134</v>
      </c>
      <c r="G3292" t="s">
        <v>16</v>
      </c>
      <c r="H3292" s="2">
        <v>37</v>
      </c>
      <c r="I3292">
        <v>128</v>
      </c>
      <c r="J3292">
        <v>474</v>
      </c>
      <c r="K3292" s="4">
        <v>123</v>
      </c>
      <c r="L3292" t="s">
        <v>17</v>
      </c>
    </row>
    <row r="3293" spans="1:12" x14ac:dyDescent="0.35">
      <c r="A3293" t="s">
        <v>18</v>
      </c>
      <c r="B3293">
        <v>1128299</v>
      </c>
      <c r="C3293" s="1">
        <v>43967</v>
      </c>
      <c r="D3293" t="s">
        <v>48</v>
      </c>
      <c r="E3293" t="s">
        <v>133</v>
      </c>
      <c r="F3293" t="s">
        <v>134</v>
      </c>
      <c r="G3293" t="s">
        <v>32</v>
      </c>
      <c r="H3293" s="2">
        <v>51</v>
      </c>
      <c r="I3293">
        <v>128</v>
      </c>
      <c r="J3293">
        <v>653</v>
      </c>
      <c r="K3293" s="4">
        <v>346</v>
      </c>
      <c r="L3293" t="s">
        <v>17</v>
      </c>
    </row>
    <row r="3294" spans="1:12" x14ac:dyDescent="0.35">
      <c r="A3294" t="s">
        <v>63</v>
      </c>
      <c r="B3294">
        <v>1189833</v>
      </c>
      <c r="C3294" s="1">
        <v>44194</v>
      </c>
      <c r="D3294" t="s">
        <v>33</v>
      </c>
      <c r="E3294" t="s">
        <v>104</v>
      </c>
      <c r="F3294" t="s">
        <v>105</v>
      </c>
      <c r="G3294" t="s">
        <v>39</v>
      </c>
      <c r="H3294" s="2">
        <v>43</v>
      </c>
      <c r="I3294">
        <v>128</v>
      </c>
      <c r="J3294">
        <v>550</v>
      </c>
      <c r="K3294" s="4">
        <v>231</v>
      </c>
      <c r="L3294" t="s">
        <v>17</v>
      </c>
    </row>
    <row r="3295" spans="1:12" x14ac:dyDescent="0.35">
      <c r="A3295" t="s">
        <v>63</v>
      </c>
      <c r="B3295">
        <v>1189833</v>
      </c>
      <c r="C3295" s="1">
        <v>44207</v>
      </c>
      <c r="D3295" t="s">
        <v>33</v>
      </c>
      <c r="E3295" t="s">
        <v>131</v>
      </c>
      <c r="F3295" t="s">
        <v>132</v>
      </c>
      <c r="G3295" t="s">
        <v>32</v>
      </c>
      <c r="H3295" s="2">
        <v>42</v>
      </c>
      <c r="I3295">
        <v>128</v>
      </c>
      <c r="J3295">
        <v>538</v>
      </c>
      <c r="K3295" s="4">
        <v>306</v>
      </c>
      <c r="L3295" t="s">
        <v>17</v>
      </c>
    </row>
    <row r="3296" spans="1:12" x14ac:dyDescent="0.35">
      <c r="A3296" t="s">
        <v>23</v>
      </c>
      <c r="B3296">
        <v>1197831</v>
      </c>
      <c r="C3296" s="1">
        <v>44417</v>
      </c>
      <c r="D3296" t="s">
        <v>19</v>
      </c>
      <c r="E3296" t="s">
        <v>24</v>
      </c>
      <c r="F3296" t="s">
        <v>25</v>
      </c>
      <c r="G3296" t="s">
        <v>32</v>
      </c>
      <c r="H3296" s="2">
        <v>32</v>
      </c>
      <c r="I3296">
        <v>128</v>
      </c>
      <c r="J3296">
        <v>410</v>
      </c>
      <c r="K3296" s="4">
        <v>213</v>
      </c>
      <c r="L3296" t="s">
        <v>17</v>
      </c>
    </row>
    <row r="3297" spans="1:12" x14ac:dyDescent="0.35">
      <c r="A3297" t="s">
        <v>23</v>
      </c>
      <c r="B3297">
        <v>1128299</v>
      </c>
      <c r="C3297" s="1">
        <v>44539</v>
      </c>
      <c r="D3297" t="s">
        <v>48</v>
      </c>
      <c r="E3297" t="s">
        <v>129</v>
      </c>
      <c r="F3297" t="s">
        <v>130</v>
      </c>
      <c r="G3297" t="s">
        <v>70</v>
      </c>
      <c r="H3297" s="2">
        <v>84</v>
      </c>
      <c r="I3297">
        <v>128</v>
      </c>
      <c r="J3297" s="3">
        <v>1075</v>
      </c>
      <c r="K3297" s="4">
        <v>280</v>
      </c>
      <c r="L3297" t="s">
        <v>17</v>
      </c>
    </row>
    <row r="3298" spans="1:12" x14ac:dyDescent="0.35">
      <c r="A3298" t="s">
        <v>12</v>
      </c>
      <c r="B3298">
        <v>1128299</v>
      </c>
      <c r="C3298" s="1">
        <v>44334</v>
      </c>
      <c r="D3298" t="s">
        <v>13</v>
      </c>
      <c r="E3298" t="s">
        <v>14</v>
      </c>
      <c r="F3298" t="s">
        <v>15</v>
      </c>
      <c r="G3298" t="s">
        <v>39</v>
      </c>
      <c r="H3298" s="2">
        <v>60</v>
      </c>
      <c r="I3298">
        <v>128</v>
      </c>
      <c r="J3298">
        <v>768</v>
      </c>
      <c r="K3298" s="4">
        <v>307</v>
      </c>
      <c r="L3298" t="s">
        <v>17</v>
      </c>
    </row>
    <row r="3299" spans="1:12" x14ac:dyDescent="0.35">
      <c r="A3299" t="s">
        <v>63</v>
      </c>
      <c r="B3299">
        <v>1185732</v>
      </c>
      <c r="C3299" s="1">
        <v>44481</v>
      </c>
      <c r="D3299" t="s">
        <v>48</v>
      </c>
      <c r="E3299" t="s">
        <v>102</v>
      </c>
      <c r="F3299" t="s">
        <v>103</v>
      </c>
      <c r="G3299" t="s">
        <v>70</v>
      </c>
      <c r="H3299" s="2">
        <v>54</v>
      </c>
      <c r="I3299">
        <v>128</v>
      </c>
      <c r="J3299">
        <v>691</v>
      </c>
      <c r="K3299" s="4">
        <v>304</v>
      </c>
      <c r="L3299" t="s">
        <v>17</v>
      </c>
    </row>
    <row r="3300" spans="1:12" x14ac:dyDescent="0.35">
      <c r="A3300" t="s">
        <v>23</v>
      </c>
      <c r="B3300">
        <v>1185732</v>
      </c>
      <c r="C3300" s="1">
        <v>44454</v>
      </c>
      <c r="D3300" t="s">
        <v>33</v>
      </c>
      <c r="E3300" t="s">
        <v>45</v>
      </c>
      <c r="F3300" t="s">
        <v>46</v>
      </c>
      <c r="G3300" t="s">
        <v>70</v>
      </c>
      <c r="H3300" s="2">
        <v>41</v>
      </c>
      <c r="I3300">
        <v>128</v>
      </c>
      <c r="J3300">
        <v>525</v>
      </c>
      <c r="K3300" s="4">
        <v>262</v>
      </c>
      <c r="L3300" t="s">
        <v>17</v>
      </c>
    </row>
    <row r="3301" spans="1:12" x14ac:dyDescent="0.35">
      <c r="A3301" t="s">
        <v>42</v>
      </c>
      <c r="B3301">
        <v>1185732</v>
      </c>
      <c r="C3301" s="1">
        <v>44394</v>
      </c>
      <c r="D3301" t="s">
        <v>33</v>
      </c>
      <c r="E3301" t="s">
        <v>34</v>
      </c>
      <c r="F3301" t="s">
        <v>35</v>
      </c>
      <c r="G3301" t="s">
        <v>32</v>
      </c>
      <c r="H3301" s="2">
        <v>29</v>
      </c>
      <c r="I3301">
        <v>128</v>
      </c>
      <c r="J3301">
        <v>371</v>
      </c>
      <c r="K3301" s="4">
        <v>171</v>
      </c>
      <c r="L3301" t="s">
        <v>17</v>
      </c>
    </row>
    <row r="3302" spans="1:12" x14ac:dyDescent="0.35">
      <c r="A3302" t="s">
        <v>42</v>
      </c>
      <c r="B3302">
        <v>1185732</v>
      </c>
      <c r="C3302" s="1">
        <v>44426</v>
      </c>
      <c r="D3302" t="s">
        <v>33</v>
      </c>
      <c r="E3302" t="s">
        <v>34</v>
      </c>
      <c r="F3302" t="s">
        <v>35</v>
      </c>
      <c r="G3302" t="s">
        <v>16</v>
      </c>
      <c r="H3302" s="2">
        <v>36</v>
      </c>
      <c r="I3302">
        <v>128</v>
      </c>
      <c r="J3302">
        <v>461</v>
      </c>
      <c r="K3302" s="4">
        <v>300</v>
      </c>
      <c r="L3302" t="s">
        <v>17</v>
      </c>
    </row>
    <row r="3303" spans="1:12" x14ac:dyDescent="0.35">
      <c r="A3303" t="s">
        <v>18</v>
      </c>
      <c r="B3303">
        <v>1185732</v>
      </c>
      <c r="C3303" s="1">
        <v>44387</v>
      </c>
      <c r="D3303" t="s">
        <v>48</v>
      </c>
      <c r="E3303" t="s">
        <v>49</v>
      </c>
      <c r="F3303" t="s">
        <v>50</v>
      </c>
      <c r="G3303" t="s">
        <v>70</v>
      </c>
      <c r="H3303" s="2">
        <v>32</v>
      </c>
      <c r="I3303">
        <v>128</v>
      </c>
      <c r="J3303">
        <v>410</v>
      </c>
      <c r="K3303" s="4">
        <v>188</v>
      </c>
      <c r="L3303" t="s">
        <v>17</v>
      </c>
    </row>
    <row r="3304" spans="1:12" x14ac:dyDescent="0.35">
      <c r="A3304" t="s">
        <v>18</v>
      </c>
      <c r="B3304">
        <v>1128299</v>
      </c>
      <c r="C3304" s="1">
        <v>44278</v>
      </c>
      <c r="D3304" t="s">
        <v>48</v>
      </c>
      <c r="E3304" t="s">
        <v>85</v>
      </c>
      <c r="F3304" t="s">
        <v>86</v>
      </c>
      <c r="G3304" t="s">
        <v>26</v>
      </c>
      <c r="H3304" s="2">
        <v>38</v>
      </c>
      <c r="I3304">
        <v>128</v>
      </c>
      <c r="J3304">
        <v>486</v>
      </c>
      <c r="K3304" s="4">
        <v>238</v>
      </c>
      <c r="L3304" t="s">
        <v>17</v>
      </c>
    </row>
    <row r="3305" spans="1:12" x14ac:dyDescent="0.35">
      <c r="A3305" t="s">
        <v>18</v>
      </c>
      <c r="B3305">
        <v>1128299</v>
      </c>
      <c r="C3305" s="1">
        <v>44432</v>
      </c>
      <c r="D3305" t="s">
        <v>48</v>
      </c>
      <c r="E3305" t="s">
        <v>85</v>
      </c>
      <c r="F3305" t="s">
        <v>86</v>
      </c>
      <c r="G3305" t="s">
        <v>70</v>
      </c>
      <c r="H3305" s="2">
        <v>65</v>
      </c>
      <c r="I3305">
        <v>128</v>
      </c>
      <c r="J3305">
        <v>832</v>
      </c>
      <c r="K3305" s="4">
        <v>441</v>
      </c>
      <c r="L3305" t="s">
        <v>17</v>
      </c>
    </row>
    <row r="3306" spans="1:12" x14ac:dyDescent="0.35">
      <c r="A3306" t="s">
        <v>18</v>
      </c>
      <c r="B3306">
        <v>1128299</v>
      </c>
      <c r="C3306" s="1">
        <v>44524</v>
      </c>
      <c r="D3306" t="s">
        <v>48</v>
      </c>
      <c r="E3306" t="s">
        <v>85</v>
      </c>
      <c r="F3306" t="s">
        <v>86</v>
      </c>
      <c r="G3306" t="s">
        <v>32</v>
      </c>
      <c r="H3306" s="2">
        <v>42</v>
      </c>
      <c r="I3306">
        <v>128</v>
      </c>
      <c r="J3306">
        <v>538</v>
      </c>
      <c r="K3306" s="4">
        <v>269</v>
      </c>
      <c r="L3306" t="s">
        <v>17</v>
      </c>
    </row>
    <row r="3307" spans="1:12" x14ac:dyDescent="0.35">
      <c r="A3307" t="s">
        <v>18</v>
      </c>
      <c r="B3307">
        <v>1128299</v>
      </c>
      <c r="C3307" s="1">
        <v>44425</v>
      </c>
      <c r="D3307" t="s">
        <v>19</v>
      </c>
      <c r="E3307" t="s">
        <v>20</v>
      </c>
      <c r="F3307" t="s">
        <v>21</v>
      </c>
      <c r="G3307" t="s">
        <v>56</v>
      </c>
      <c r="H3307" s="2">
        <v>74</v>
      </c>
      <c r="I3307">
        <v>128</v>
      </c>
      <c r="J3307">
        <v>947</v>
      </c>
      <c r="K3307" s="4">
        <v>502</v>
      </c>
      <c r="L3307" t="s">
        <v>17</v>
      </c>
    </row>
    <row r="3308" spans="1:12" x14ac:dyDescent="0.35">
      <c r="A3308" t="s">
        <v>42</v>
      </c>
      <c r="B3308">
        <v>1197831</v>
      </c>
      <c r="C3308" s="1">
        <v>44231</v>
      </c>
      <c r="D3308" t="s">
        <v>19</v>
      </c>
      <c r="E3308" t="s">
        <v>20</v>
      </c>
      <c r="F3308" t="s">
        <v>21</v>
      </c>
      <c r="G3308" t="s">
        <v>32</v>
      </c>
      <c r="H3308" s="2">
        <v>34</v>
      </c>
      <c r="I3308">
        <v>128</v>
      </c>
      <c r="J3308">
        <v>435</v>
      </c>
      <c r="K3308" s="4">
        <v>178</v>
      </c>
      <c r="L3308" t="s">
        <v>17</v>
      </c>
    </row>
    <row r="3309" spans="1:12" x14ac:dyDescent="0.35">
      <c r="A3309" t="s">
        <v>42</v>
      </c>
      <c r="B3309">
        <v>1128299</v>
      </c>
      <c r="C3309" s="1">
        <v>44399</v>
      </c>
      <c r="D3309" t="s">
        <v>48</v>
      </c>
      <c r="E3309" t="s">
        <v>123</v>
      </c>
      <c r="F3309" t="s">
        <v>124</v>
      </c>
      <c r="G3309" t="s">
        <v>70</v>
      </c>
      <c r="H3309" s="2">
        <v>52</v>
      </c>
      <c r="I3309">
        <v>128</v>
      </c>
      <c r="J3309">
        <v>666</v>
      </c>
      <c r="K3309" s="4">
        <v>286</v>
      </c>
      <c r="L3309" t="s">
        <v>17</v>
      </c>
    </row>
    <row r="3310" spans="1:12" x14ac:dyDescent="0.35">
      <c r="A3310" t="s">
        <v>42</v>
      </c>
      <c r="B3310">
        <v>1128299</v>
      </c>
      <c r="C3310" s="1">
        <v>44463</v>
      </c>
      <c r="D3310" t="s">
        <v>48</v>
      </c>
      <c r="E3310" t="s">
        <v>123</v>
      </c>
      <c r="F3310" t="s">
        <v>124</v>
      </c>
      <c r="G3310" t="s">
        <v>32</v>
      </c>
      <c r="H3310" s="2">
        <v>43</v>
      </c>
      <c r="I3310">
        <v>128</v>
      </c>
      <c r="J3310">
        <v>550</v>
      </c>
      <c r="K3310" s="4">
        <v>248</v>
      </c>
      <c r="L3310" t="s">
        <v>17</v>
      </c>
    </row>
    <row r="3311" spans="1:12" x14ac:dyDescent="0.35">
      <c r="A3311" t="s">
        <v>63</v>
      </c>
      <c r="B3311">
        <v>1128299</v>
      </c>
      <c r="C3311" s="1">
        <v>44222</v>
      </c>
      <c r="D3311" t="s">
        <v>48</v>
      </c>
      <c r="E3311" t="s">
        <v>123</v>
      </c>
      <c r="F3311" t="s">
        <v>124</v>
      </c>
      <c r="G3311" t="s">
        <v>16</v>
      </c>
      <c r="H3311" s="2">
        <v>42</v>
      </c>
      <c r="I3311">
        <v>128</v>
      </c>
      <c r="J3311">
        <v>538</v>
      </c>
      <c r="K3311" s="4">
        <v>194</v>
      </c>
      <c r="L3311" t="s">
        <v>17</v>
      </c>
    </row>
    <row r="3312" spans="1:12" x14ac:dyDescent="0.35">
      <c r="A3312" t="s">
        <v>23</v>
      </c>
      <c r="B3312">
        <v>1128299</v>
      </c>
      <c r="C3312" s="1">
        <v>44389</v>
      </c>
      <c r="D3312" t="s">
        <v>13</v>
      </c>
      <c r="E3312" t="s">
        <v>57</v>
      </c>
      <c r="F3312" t="s">
        <v>58</v>
      </c>
      <c r="G3312" t="s">
        <v>56</v>
      </c>
      <c r="H3312" s="2">
        <v>46</v>
      </c>
      <c r="I3312">
        <v>128</v>
      </c>
      <c r="J3312">
        <v>589</v>
      </c>
      <c r="K3312" s="4">
        <v>300</v>
      </c>
      <c r="L3312" t="s">
        <v>17</v>
      </c>
    </row>
    <row r="3313" spans="1:12" x14ac:dyDescent="0.35">
      <c r="A3313" t="s">
        <v>42</v>
      </c>
      <c r="B3313">
        <v>1128299</v>
      </c>
      <c r="C3313" s="1">
        <v>44542</v>
      </c>
      <c r="D3313" t="s">
        <v>13</v>
      </c>
      <c r="E3313" t="s">
        <v>57</v>
      </c>
      <c r="F3313" t="s">
        <v>58</v>
      </c>
      <c r="G3313" t="s">
        <v>56</v>
      </c>
      <c r="H3313" s="2">
        <v>51</v>
      </c>
      <c r="I3313">
        <v>128</v>
      </c>
      <c r="J3313">
        <v>653</v>
      </c>
      <c r="K3313" s="4">
        <v>326</v>
      </c>
      <c r="L3313" t="s">
        <v>17</v>
      </c>
    </row>
    <row r="3314" spans="1:12" x14ac:dyDescent="0.35">
      <c r="A3314" t="s">
        <v>51</v>
      </c>
      <c r="B3314">
        <v>1185732</v>
      </c>
      <c r="C3314" s="1">
        <v>44209</v>
      </c>
      <c r="D3314" t="s">
        <v>13</v>
      </c>
      <c r="E3314" t="s">
        <v>77</v>
      </c>
      <c r="F3314" t="s">
        <v>78</v>
      </c>
      <c r="G3314" t="s">
        <v>70</v>
      </c>
      <c r="H3314" s="2">
        <v>44</v>
      </c>
      <c r="I3314">
        <v>128</v>
      </c>
      <c r="J3314">
        <v>563</v>
      </c>
      <c r="K3314" s="4">
        <v>282</v>
      </c>
      <c r="L3314" t="s">
        <v>17</v>
      </c>
    </row>
    <row r="3315" spans="1:12" x14ac:dyDescent="0.35">
      <c r="A3315" t="s">
        <v>51</v>
      </c>
      <c r="B3315">
        <v>1185732</v>
      </c>
      <c r="C3315" s="1">
        <v>44264</v>
      </c>
      <c r="D3315" t="s">
        <v>33</v>
      </c>
      <c r="E3315" t="s">
        <v>52</v>
      </c>
      <c r="F3315" t="s">
        <v>53</v>
      </c>
      <c r="G3315" t="s">
        <v>16</v>
      </c>
      <c r="H3315" s="2">
        <v>28</v>
      </c>
      <c r="I3315">
        <v>128</v>
      </c>
      <c r="J3315">
        <v>358</v>
      </c>
      <c r="K3315" s="4">
        <v>219</v>
      </c>
      <c r="L3315" t="s">
        <v>17</v>
      </c>
    </row>
    <row r="3316" spans="1:12" x14ac:dyDescent="0.35">
      <c r="A3316" t="s">
        <v>42</v>
      </c>
      <c r="B3316">
        <v>1185732</v>
      </c>
      <c r="C3316" s="1">
        <v>44271</v>
      </c>
      <c r="D3316" t="s">
        <v>19</v>
      </c>
      <c r="E3316" t="s">
        <v>37</v>
      </c>
      <c r="F3316" t="s">
        <v>38</v>
      </c>
      <c r="G3316" t="s">
        <v>32</v>
      </c>
      <c r="H3316" s="2">
        <v>14</v>
      </c>
      <c r="I3316">
        <v>128</v>
      </c>
      <c r="J3316">
        <v>179</v>
      </c>
      <c r="K3316" s="4">
        <v>95</v>
      </c>
      <c r="L3316" t="s">
        <v>17</v>
      </c>
    </row>
    <row r="3317" spans="1:12" x14ac:dyDescent="0.35">
      <c r="A3317" t="s">
        <v>12</v>
      </c>
      <c r="B3317">
        <v>1185732</v>
      </c>
      <c r="C3317" s="1">
        <v>44425</v>
      </c>
      <c r="D3317" t="s">
        <v>19</v>
      </c>
      <c r="E3317" t="s">
        <v>37</v>
      </c>
      <c r="F3317" t="s">
        <v>38</v>
      </c>
      <c r="G3317" t="s">
        <v>56</v>
      </c>
      <c r="H3317" s="2">
        <v>39</v>
      </c>
      <c r="I3317">
        <v>128</v>
      </c>
      <c r="J3317">
        <v>499</v>
      </c>
      <c r="K3317" s="4">
        <v>260</v>
      </c>
      <c r="L3317" t="s">
        <v>17</v>
      </c>
    </row>
    <row r="3318" spans="1:12" x14ac:dyDescent="0.35">
      <c r="A3318" t="s">
        <v>23</v>
      </c>
      <c r="B3318">
        <v>1185732</v>
      </c>
      <c r="C3318" s="1">
        <v>44205</v>
      </c>
      <c r="D3318" t="s">
        <v>33</v>
      </c>
      <c r="E3318" t="s">
        <v>87</v>
      </c>
      <c r="F3318" t="s">
        <v>88</v>
      </c>
      <c r="G3318" t="s">
        <v>26</v>
      </c>
      <c r="H3318" s="2">
        <v>33</v>
      </c>
      <c r="I3318">
        <v>128</v>
      </c>
      <c r="J3318">
        <v>422</v>
      </c>
      <c r="K3318" s="4">
        <v>190</v>
      </c>
      <c r="L3318" t="s">
        <v>17</v>
      </c>
    </row>
    <row r="3319" spans="1:12" x14ac:dyDescent="0.35">
      <c r="A3319" t="s">
        <v>18</v>
      </c>
      <c r="B3319">
        <v>1185732</v>
      </c>
      <c r="C3319" s="1">
        <v>44307</v>
      </c>
      <c r="D3319" t="s">
        <v>43</v>
      </c>
      <c r="E3319" t="s">
        <v>93</v>
      </c>
      <c r="F3319" t="s">
        <v>94</v>
      </c>
      <c r="G3319" t="s">
        <v>26</v>
      </c>
      <c r="H3319" s="2">
        <v>33</v>
      </c>
      <c r="I3319">
        <v>128</v>
      </c>
      <c r="J3319">
        <v>422</v>
      </c>
      <c r="K3319" s="4">
        <v>215</v>
      </c>
      <c r="L3319" t="s">
        <v>17</v>
      </c>
    </row>
    <row r="3320" spans="1:12" x14ac:dyDescent="0.35">
      <c r="A3320" t="s">
        <v>23</v>
      </c>
      <c r="B3320">
        <v>1185732</v>
      </c>
      <c r="C3320" s="1">
        <v>44459</v>
      </c>
      <c r="D3320" t="s">
        <v>43</v>
      </c>
      <c r="E3320" t="s">
        <v>93</v>
      </c>
      <c r="F3320" t="s">
        <v>94</v>
      </c>
      <c r="G3320" t="s">
        <v>26</v>
      </c>
      <c r="H3320" s="2">
        <v>49</v>
      </c>
      <c r="I3320">
        <v>128</v>
      </c>
      <c r="J3320">
        <v>627</v>
      </c>
      <c r="K3320" s="4">
        <v>320</v>
      </c>
      <c r="L3320" t="s">
        <v>17</v>
      </c>
    </row>
    <row r="3321" spans="1:12" x14ac:dyDescent="0.35">
      <c r="A3321" t="s">
        <v>42</v>
      </c>
      <c r="B3321">
        <v>1185732</v>
      </c>
      <c r="C3321" s="1">
        <v>44422</v>
      </c>
      <c r="D3321" t="s">
        <v>43</v>
      </c>
      <c r="E3321" t="s">
        <v>95</v>
      </c>
      <c r="F3321" t="s">
        <v>96</v>
      </c>
      <c r="G3321" t="s">
        <v>39</v>
      </c>
      <c r="H3321" s="2">
        <v>47</v>
      </c>
      <c r="I3321">
        <v>128</v>
      </c>
      <c r="J3321">
        <v>602</v>
      </c>
      <c r="K3321" s="4">
        <v>277</v>
      </c>
      <c r="L3321" t="s">
        <v>17</v>
      </c>
    </row>
    <row r="3322" spans="1:12" x14ac:dyDescent="0.35">
      <c r="A3322" t="s">
        <v>42</v>
      </c>
      <c r="B3322">
        <v>1185732</v>
      </c>
      <c r="C3322" s="1">
        <v>44484</v>
      </c>
      <c r="D3322" t="s">
        <v>43</v>
      </c>
      <c r="E3322" t="s">
        <v>95</v>
      </c>
      <c r="F3322" t="s">
        <v>96</v>
      </c>
      <c r="G3322" t="s">
        <v>26</v>
      </c>
      <c r="H3322" s="2">
        <v>56</v>
      </c>
      <c r="I3322">
        <v>128</v>
      </c>
      <c r="J3322">
        <v>717</v>
      </c>
      <c r="K3322" s="4">
        <v>323</v>
      </c>
      <c r="L3322" t="s">
        <v>17</v>
      </c>
    </row>
    <row r="3323" spans="1:12" x14ac:dyDescent="0.35">
      <c r="A3323" t="s">
        <v>23</v>
      </c>
      <c r="B3323">
        <v>1185732</v>
      </c>
      <c r="C3323" s="1">
        <v>44390</v>
      </c>
      <c r="D3323" t="s">
        <v>43</v>
      </c>
      <c r="E3323" t="s">
        <v>112</v>
      </c>
      <c r="F3323" t="s">
        <v>113</v>
      </c>
      <c r="G3323" t="s">
        <v>16</v>
      </c>
      <c r="H3323" s="2">
        <v>55</v>
      </c>
      <c r="I3323">
        <v>128</v>
      </c>
      <c r="J3323">
        <v>704</v>
      </c>
      <c r="K3323" s="4">
        <v>296</v>
      </c>
      <c r="L3323" t="s">
        <v>17</v>
      </c>
    </row>
    <row r="3324" spans="1:12" x14ac:dyDescent="0.35">
      <c r="A3324" t="s">
        <v>63</v>
      </c>
      <c r="B3324">
        <v>1189833</v>
      </c>
      <c r="C3324" s="1">
        <v>44278</v>
      </c>
      <c r="D3324" t="s">
        <v>48</v>
      </c>
      <c r="E3324" t="s">
        <v>66</v>
      </c>
      <c r="F3324" t="s">
        <v>76</v>
      </c>
      <c r="G3324" t="s">
        <v>70</v>
      </c>
      <c r="H3324" s="2">
        <v>36</v>
      </c>
      <c r="I3324">
        <v>128</v>
      </c>
      <c r="J3324">
        <v>461</v>
      </c>
      <c r="K3324" s="4">
        <v>272</v>
      </c>
      <c r="L3324" t="s">
        <v>27</v>
      </c>
    </row>
    <row r="3325" spans="1:12" x14ac:dyDescent="0.35">
      <c r="A3325" t="s">
        <v>23</v>
      </c>
      <c r="B3325">
        <v>1197831</v>
      </c>
      <c r="C3325" s="1">
        <v>44477</v>
      </c>
      <c r="D3325" t="s">
        <v>19</v>
      </c>
      <c r="E3325" t="s">
        <v>59</v>
      </c>
      <c r="F3325" t="s">
        <v>68</v>
      </c>
      <c r="G3325" t="s">
        <v>70</v>
      </c>
      <c r="H3325" s="2">
        <v>30</v>
      </c>
      <c r="I3325">
        <v>128</v>
      </c>
      <c r="J3325">
        <v>384</v>
      </c>
      <c r="K3325" s="4">
        <v>154</v>
      </c>
      <c r="L3325" t="s">
        <v>27</v>
      </c>
    </row>
    <row r="3326" spans="1:12" x14ac:dyDescent="0.35">
      <c r="A3326" t="s">
        <v>42</v>
      </c>
      <c r="B3326">
        <v>1185732</v>
      </c>
      <c r="C3326" s="1">
        <v>44491</v>
      </c>
      <c r="D3326" t="s">
        <v>19</v>
      </c>
      <c r="E3326" t="s">
        <v>59</v>
      </c>
      <c r="F3326" t="s">
        <v>68</v>
      </c>
      <c r="G3326" t="s">
        <v>26</v>
      </c>
      <c r="H3326" s="2">
        <v>34</v>
      </c>
      <c r="I3326">
        <v>128</v>
      </c>
      <c r="J3326">
        <v>435</v>
      </c>
      <c r="K3326" s="4">
        <v>270</v>
      </c>
      <c r="L3326" t="s">
        <v>27</v>
      </c>
    </row>
    <row r="3327" spans="1:12" x14ac:dyDescent="0.35">
      <c r="A3327" t="s">
        <v>18</v>
      </c>
      <c r="B3327">
        <v>1128299</v>
      </c>
      <c r="C3327" s="1">
        <v>43846</v>
      </c>
      <c r="D3327" t="s">
        <v>48</v>
      </c>
      <c r="E3327" t="s">
        <v>116</v>
      </c>
      <c r="F3327" t="s">
        <v>117</v>
      </c>
      <c r="G3327" t="s">
        <v>32</v>
      </c>
      <c r="H3327" s="2">
        <v>43</v>
      </c>
      <c r="I3327">
        <v>128</v>
      </c>
      <c r="J3327">
        <v>550</v>
      </c>
      <c r="K3327" s="4">
        <v>259</v>
      </c>
      <c r="L3327" t="s">
        <v>27</v>
      </c>
    </row>
    <row r="3328" spans="1:12" x14ac:dyDescent="0.35">
      <c r="A3328" t="s">
        <v>18</v>
      </c>
      <c r="B3328">
        <v>1128299</v>
      </c>
      <c r="C3328" s="1">
        <v>43879</v>
      </c>
      <c r="D3328" t="s">
        <v>48</v>
      </c>
      <c r="E3328" t="s">
        <v>116</v>
      </c>
      <c r="F3328" t="s">
        <v>117</v>
      </c>
      <c r="G3328" t="s">
        <v>16</v>
      </c>
      <c r="H3328" s="2">
        <v>55</v>
      </c>
      <c r="I3328">
        <v>128</v>
      </c>
      <c r="J3328">
        <v>704</v>
      </c>
      <c r="K3328" s="4">
        <v>183</v>
      </c>
      <c r="L3328" t="s">
        <v>27</v>
      </c>
    </row>
    <row r="3329" spans="1:12" x14ac:dyDescent="0.35">
      <c r="A3329" t="s">
        <v>18</v>
      </c>
      <c r="B3329">
        <v>1128299</v>
      </c>
      <c r="C3329" s="1">
        <v>43884</v>
      </c>
      <c r="D3329" t="s">
        <v>48</v>
      </c>
      <c r="E3329" t="s">
        <v>116</v>
      </c>
      <c r="F3329" t="s">
        <v>117</v>
      </c>
      <c r="G3329" t="s">
        <v>70</v>
      </c>
      <c r="H3329" s="2">
        <v>53</v>
      </c>
      <c r="I3329">
        <v>128</v>
      </c>
      <c r="J3329">
        <v>678</v>
      </c>
      <c r="K3329" s="4">
        <v>360</v>
      </c>
      <c r="L3329" t="s">
        <v>27</v>
      </c>
    </row>
    <row r="3330" spans="1:12" x14ac:dyDescent="0.35">
      <c r="A3330" t="s">
        <v>18</v>
      </c>
      <c r="B3330">
        <v>1128299</v>
      </c>
      <c r="C3330" s="1">
        <v>43907</v>
      </c>
      <c r="D3330" t="s">
        <v>48</v>
      </c>
      <c r="E3330" t="s">
        <v>116</v>
      </c>
      <c r="F3330" t="s">
        <v>117</v>
      </c>
      <c r="G3330" t="s">
        <v>32</v>
      </c>
      <c r="H3330" s="2">
        <v>26</v>
      </c>
      <c r="I3330">
        <v>128</v>
      </c>
      <c r="J3330">
        <v>333</v>
      </c>
      <c r="K3330" s="4">
        <v>140</v>
      </c>
      <c r="L3330" t="s">
        <v>27</v>
      </c>
    </row>
    <row r="3331" spans="1:12" x14ac:dyDescent="0.35">
      <c r="A3331" t="s">
        <v>23</v>
      </c>
      <c r="B3331">
        <v>1197831</v>
      </c>
      <c r="C3331" s="1">
        <v>44274</v>
      </c>
      <c r="D3331" t="s">
        <v>19</v>
      </c>
      <c r="E3331" t="s">
        <v>74</v>
      </c>
      <c r="F3331" t="s">
        <v>75</v>
      </c>
      <c r="G3331" t="s">
        <v>56</v>
      </c>
      <c r="H3331" s="2">
        <v>28</v>
      </c>
      <c r="I3331">
        <v>128</v>
      </c>
      <c r="J3331">
        <v>358</v>
      </c>
      <c r="K3331" s="4">
        <v>176</v>
      </c>
      <c r="L3331" t="s">
        <v>27</v>
      </c>
    </row>
    <row r="3332" spans="1:12" x14ac:dyDescent="0.35">
      <c r="A3332" t="s">
        <v>23</v>
      </c>
      <c r="B3332">
        <v>1197831</v>
      </c>
      <c r="C3332" s="1">
        <v>44286</v>
      </c>
      <c r="D3332" t="s">
        <v>19</v>
      </c>
      <c r="E3332" t="s">
        <v>74</v>
      </c>
      <c r="F3332" t="s">
        <v>75</v>
      </c>
      <c r="G3332" t="s">
        <v>56</v>
      </c>
      <c r="H3332" s="2">
        <v>20</v>
      </c>
      <c r="I3332">
        <v>128</v>
      </c>
      <c r="J3332">
        <v>256</v>
      </c>
      <c r="K3332" s="4">
        <v>143</v>
      </c>
      <c r="L3332" t="s">
        <v>27</v>
      </c>
    </row>
    <row r="3333" spans="1:12" x14ac:dyDescent="0.35">
      <c r="A3333" t="s">
        <v>12</v>
      </c>
      <c r="B3333">
        <v>1128299</v>
      </c>
      <c r="C3333" s="1">
        <v>44486</v>
      </c>
      <c r="D3333" t="s">
        <v>13</v>
      </c>
      <c r="E3333" t="s">
        <v>14</v>
      </c>
      <c r="F3333" t="s">
        <v>15</v>
      </c>
      <c r="G3333" t="s">
        <v>32</v>
      </c>
      <c r="H3333" s="2">
        <v>43</v>
      </c>
      <c r="I3333">
        <v>128</v>
      </c>
      <c r="J3333">
        <v>550</v>
      </c>
      <c r="K3333" s="4">
        <v>187</v>
      </c>
      <c r="L3333" t="s">
        <v>27</v>
      </c>
    </row>
    <row r="3334" spans="1:12" x14ac:dyDescent="0.35">
      <c r="A3334" t="s">
        <v>42</v>
      </c>
      <c r="B3334">
        <v>1128299</v>
      </c>
      <c r="C3334" s="1">
        <v>44371</v>
      </c>
      <c r="D3334" t="s">
        <v>13</v>
      </c>
      <c r="E3334" t="s">
        <v>99</v>
      </c>
      <c r="F3334" t="s">
        <v>100</v>
      </c>
      <c r="G3334" t="s">
        <v>70</v>
      </c>
      <c r="H3334" s="2">
        <v>68</v>
      </c>
      <c r="I3334">
        <v>128</v>
      </c>
      <c r="J3334">
        <v>870</v>
      </c>
      <c r="K3334" s="4">
        <v>400</v>
      </c>
      <c r="L3334" t="s">
        <v>27</v>
      </c>
    </row>
    <row r="3335" spans="1:12" x14ac:dyDescent="0.35">
      <c r="A3335" t="s">
        <v>18</v>
      </c>
      <c r="B3335">
        <v>1185732</v>
      </c>
      <c r="C3335" s="1">
        <v>44328</v>
      </c>
      <c r="D3335" t="s">
        <v>48</v>
      </c>
      <c r="E3335" t="s">
        <v>49</v>
      </c>
      <c r="F3335" t="s">
        <v>50</v>
      </c>
      <c r="G3335" t="s">
        <v>39</v>
      </c>
      <c r="H3335" s="2">
        <v>22</v>
      </c>
      <c r="I3335">
        <v>128</v>
      </c>
      <c r="J3335">
        <v>282</v>
      </c>
      <c r="K3335" s="4">
        <v>118</v>
      </c>
      <c r="L3335" t="s">
        <v>27</v>
      </c>
    </row>
    <row r="3336" spans="1:12" x14ac:dyDescent="0.35">
      <c r="A3336" t="s">
        <v>18</v>
      </c>
      <c r="B3336">
        <v>1185732</v>
      </c>
      <c r="C3336" s="1">
        <v>44328</v>
      </c>
      <c r="D3336" t="s">
        <v>48</v>
      </c>
      <c r="E3336" t="s">
        <v>49</v>
      </c>
      <c r="F3336" t="s">
        <v>50</v>
      </c>
      <c r="G3336" t="s">
        <v>16</v>
      </c>
      <c r="H3336" s="2">
        <v>32</v>
      </c>
      <c r="I3336">
        <v>128</v>
      </c>
      <c r="J3336">
        <v>410</v>
      </c>
      <c r="K3336" s="4">
        <v>233</v>
      </c>
      <c r="L3336" t="s">
        <v>27</v>
      </c>
    </row>
    <row r="3337" spans="1:12" x14ac:dyDescent="0.35">
      <c r="A3337" t="s">
        <v>18</v>
      </c>
      <c r="B3337">
        <v>1185732</v>
      </c>
      <c r="C3337" s="1">
        <v>44358</v>
      </c>
      <c r="D3337" t="s">
        <v>48</v>
      </c>
      <c r="E3337" t="s">
        <v>49</v>
      </c>
      <c r="F3337" t="s">
        <v>50</v>
      </c>
      <c r="G3337" t="s">
        <v>32</v>
      </c>
      <c r="H3337" s="2">
        <v>13</v>
      </c>
      <c r="I3337">
        <v>128</v>
      </c>
      <c r="J3337">
        <v>166</v>
      </c>
      <c r="K3337" s="4">
        <v>62</v>
      </c>
      <c r="L3337" t="s">
        <v>27</v>
      </c>
    </row>
    <row r="3338" spans="1:12" x14ac:dyDescent="0.35">
      <c r="A3338" t="s">
        <v>18</v>
      </c>
      <c r="B3338">
        <v>1185732</v>
      </c>
      <c r="C3338" s="1">
        <v>44387</v>
      </c>
      <c r="D3338" t="s">
        <v>48</v>
      </c>
      <c r="E3338" t="s">
        <v>49</v>
      </c>
      <c r="F3338" t="s">
        <v>50</v>
      </c>
      <c r="G3338" t="s">
        <v>56</v>
      </c>
      <c r="H3338" s="2">
        <v>16</v>
      </c>
      <c r="I3338">
        <v>128</v>
      </c>
      <c r="J3338">
        <v>205</v>
      </c>
      <c r="K3338" s="4">
        <v>96</v>
      </c>
      <c r="L3338" t="s">
        <v>27</v>
      </c>
    </row>
    <row r="3339" spans="1:12" x14ac:dyDescent="0.35">
      <c r="A3339" t="s">
        <v>18</v>
      </c>
      <c r="B3339">
        <v>1128299</v>
      </c>
      <c r="C3339" s="1">
        <v>44432</v>
      </c>
      <c r="D3339" t="s">
        <v>48</v>
      </c>
      <c r="E3339" t="s">
        <v>85</v>
      </c>
      <c r="F3339" t="s">
        <v>86</v>
      </c>
      <c r="G3339" t="s">
        <v>56</v>
      </c>
      <c r="H3339" s="2">
        <v>50</v>
      </c>
      <c r="I3339">
        <v>128</v>
      </c>
      <c r="J3339">
        <v>640</v>
      </c>
      <c r="K3339" s="4">
        <v>243</v>
      </c>
      <c r="L3339" t="s">
        <v>27</v>
      </c>
    </row>
    <row r="3340" spans="1:12" x14ac:dyDescent="0.35">
      <c r="A3340" t="s">
        <v>18</v>
      </c>
      <c r="B3340">
        <v>1128299</v>
      </c>
      <c r="C3340" s="1">
        <v>44213</v>
      </c>
      <c r="D3340" t="s">
        <v>48</v>
      </c>
      <c r="E3340" t="s">
        <v>85</v>
      </c>
      <c r="F3340" t="s">
        <v>86</v>
      </c>
      <c r="G3340" t="s">
        <v>32</v>
      </c>
      <c r="H3340" s="2">
        <v>33</v>
      </c>
      <c r="I3340">
        <v>128</v>
      </c>
      <c r="J3340">
        <v>422</v>
      </c>
      <c r="K3340" s="4">
        <v>182</v>
      </c>
      <c r="L3340" t="s">
        <v>27</v>
      </c>
    </row>
    <row r="3341" spans="1:12" x14ac:dyDescent="0.35">
      <c r="A3341" t="s">
        <v>18</v>
      </c>
      <c r="B3341">
        <v>1128299</v>
      </c>
      <c r="C3341" s="1">
        <v>44334</v>
      </c>
      <c r="D3341" t="s">
        <v>19</v>
      </c>
      <c r="E3341" t="s">
        <v>20</v>
      </c>
      <c r="F3341" t="s">
        <v>21</v>
      </c>
      <c r="G3341" t="s">
        <v>39</v>
      </c>
      <c r="H3341" s="2">
        <v>40</v>
      </c>
      <c r="I3341">
        <v>128</v>
      </c>
      <c r="J3341">
        <v>512</v>
      </c>
      <c r="K3341" s="4">
        <v>225</v>
      </c>
      <c r="L3341" t="s">
        <v>27</v>
      </c>
    </row>
    <row r="3342" spans="1:12" x14ac:dyDescent="0.35">
      <c r="A3342" t="s">
        <v>18</v>
      </c>
      <c r="B3342">
        <v>1128299</v>
      </c>
      <c r="C3342" s="1">
        <v>44486</v>
      </c>
      <c r="D3342" t="s">
        <v>19</v>
      </c>
      <c r="E3342" t="s">
        <v>20</v>
      </c>
      <c r="F3342" t="s">
        <v>21</v>
      </c>
      <c r="G3342" t="s">
        <v>32</v>
      </c>
      <c r="H3342" s="2">
        <v>33</v>
      </c>
      <c r="I3342">
        <v>128</v>
      </c>
      <c r="J3342">
        <v>422</v>
      </c>
      <c r="K3342" s="4">
        <v>190</v>
      </c>
      <c r="L3342" t="s">
        <v>27</v>
      </c>
    </row>
    <row r="3343" spans="1:12" x14ac:dyDescent="0.35">
      <c r="A3343" t="s">
        <v>42</v>
      </c>
      <c r="B3343">
        <v>1197831</v>
      </c>
      <c r="C3343" s="1">
        <v>44231</v>
      </c>
      <c r="D3343" t="s">
        <v>19</v>
      </c>
      <c r="E3343" t="s">
        <v>20</v>
      </c>
      <c r="F3343" t="s">
        <v>21</v>
      </c>
      <c r="G3343" t="s">
        <v>32</v>
      </c>
      <c r="H3343" s="2">
        <v>28</v>
      </c>
      <c r="I3343">
        <v>128</v>
      </c>
      <c r="J3343">
        <v>358</v>
      </c>
      <c r="K3343" s="4">
        <v>125</v>
      </c>
      <c r="L3343" t="s">
        <v>27</v>
      </c>
    </row>
    <row r="3344" spans="1:12" x14ac:dyDescent="0.35">
      <c r="A3344" t="s">
        <v>42</v>
      </c>
      <c r="B3344">
        <v>1128299</v>
      </c>
      <c r="C3344" s="1">
        <v>44250</v>
      </c>
      <c r="D3344" t="s">
        <v>48</v>
      </c>
      <c r="E3344" t="s">
        <v>79</v>
      </c>
      <c r="F3344" t="s">
        <v>80</v>
      </c>
      <c r="G3344" t="s">
        <v>39</v>
      </c>
      <c r="H3344" s="2">
        <v>28</v>
      </c>
      <c r="I3344">
        <v>128</v>
      </c>
      <c r="J3344">
        <v>358</v>
      </c>
      <c r="K3344" s="4">
        <v>154</v>
      </c>
      <c r="L3344" t="s">
        <v>27</v>
      </c>
    </row>
    <row r="3345" spans="1:12" x14ac:dyDescent="0.35">
      <c r="A3345" t="s">
        <v>42</v>
      </c>
      <c r="B3345">
        <v>1128299</v>
      </c>
      <c r="C3345" s="1">
        <v>44463</v>
      </c>
      <c r="D3345" t="s">
        <v>48</v>
      </c>
      <c r="E3345" t="s">
        <v>123</v>
      </c>
      <c r="F3345" t="s">
        <v>124</v>
      </c>
      <c r="G3345" t="s">
        <v>70</v>
      </c>
      <c r="H3345" s="2">
        <v>41</v>
      </c>
      <c r="I3345">
        <v>128</v>
      </c>
      <c r="J3345">
        <v>525</v>
      </c>
      <c r="K3345" s="4">
        <v>173</v>
      </c>
      <c r="L3345" t="s">
        <v>27</v>
      </c>
    </row>
    <row r="3346" spans="1:12" x14ac:dyDescent="0.35">
      <c r="A3346" t="s">
        <v>63</v>
      </c>
      <c r="B3346">
        <v>1128299</v>
      </c>
      <c r="C3346" s="1">
        <v>44552</v>
      </c>
      <c r="D3346" t="s">
        <v>48</v>
      </c>
      <c r="E3346" t="s">
        <v>123</v>
      </c>
      <c r="F3346" t="s">
        <v>124</v>
      </c>
      <c r="G3346" t="s">
        <v>56</v>
      </c>
      <c r="H3346" s="2">
        <v>32</v>
      </c>
      <c r="I3346">
        <v>128</v>
      </c>
      <c r="J3346">
        <v>410</v>
      </c>
      <c r="K3346" s="4">
        <v>168</v>
      </c>
      <c r="L3346" t="s">
        <v>27</v>
      </c>
    </row>
    <row r="3347" spans="1:12" x14ac:dyDescent="0.35">
      <c r="A3347" t="s">
        <v>63</v>
      </c>
      <c r="B3347">
        <v>1128299</v>
      </c>
      <c r="C3347" s="1">
        <v>44373</v>
      </c>
      <c r="D3347" t="s">
        <v>48</v>
      </c>
      <c r="E3347" t="s">
        <v>114</v>
      </c>
      <c r="F3347" t="s">
        <v>115</v>
      </c>
      <c r="G3347" t="s">
        <v>56</v>
      </c>
      <c r="H3347" s="2">
        <v>37</v>
      </c>
      <c r="I3347">
        <v>128</v>
      </c>
      <c r="J3347">
        <v>474</v>
      </c>
      <c r="K3347" s="4">
        <v>189</v>
      </c>
      <c r="L3347" t="s">
        <v>27</v>
      </c>
    </row>
    <row r="3348" spans="1:12" x14ac:dyDescent="0.35">
      <c r="A3348" t="s">
        <v>23</v>
      </c>
      <c r="B3348">
        <v>1128299</v>
      </c>
      <c r="C3348" s="1">
        <v>44555</v>
      </c>
      <c r="D3348" t="s">
        <v>48</v>
      </c>
      <c r="E3348" t="s">
        <v>114</v>
      </c>
      <c r="F3348" t="s">
        <v>115</v>
      </c>
      <c r="G3348" t="s">
        <v>70</v>
      </c>
      <c r="H3348" s="2">
        <v>55</v>
      </c>
      <c r="I3348">
        <v>128</v>
      </c>
      <c r="J3348">
        <v>704</v>
      </c>
      <c r="K3348" s="4">
        <v>232</v>
      </c>
      <c r="L3348" t="s">
        <v>27</v>
      </c>
    </row>
    <row r="3349" spans="1:12" x14ac:dyDescent="0.35">
      <c r="A3349" t="s">
        <v>23</v>
      </c>
      <c r="B3349">
        <v>1128299</v>
      </c>
      <c r="C3349" s="1">
        <v>44389</v>
      </c>
      <c r="D3349" t="s">
        <v>13</v>
      </c>
      <c r="E3349" t="s">
        <v>57</v>
      </c>
      <c r="F3349" t="s">
        <v>58</v>
      </c>
      <c r="G3349" t="s">
        <v>56</v>
      </c>
      <c r="H3349" s="2">
        <v>39</v>
      </c>
      <c r="I3349">
        <v>128</v>
      </c>
      <c r="J3349">
        <v>499</v>
      </c>
      <c r="K3349" s="4">
        <v>225</v>
      </c>
      <c r="L3349" t="s">
        <v>27</v>
      </c>
    </row>
    <row r="3350" spans="1:12" x14ac:dyDescent="0.35">
      <c r="A3350" t="s">
        <v>23</v>
      </c>
      <c r="B3350">
        <v>1128299</v>
      </c>
      <c r="C3350" s="1">
        <v>44421</v>
      </c>
      <c r="D3350" t="s">
        <v>13</v>
      </c>
      <c r="E3350" t="s">
        <v>57</v>
      </c>
      <c r="F3350" t="s">
        <v>58</v>
      </c>
      <c r="G3350" t="s">
        <v>16</v>
      </c>
      <c r="H3350" s="2">
        <v>50</v>
      </c>
      <c r="I3350">
        <v>128</v>
      </c>
      <c r="J3350">
        <v>640</v>
      </c>
      <c r="K3350" s="4">
        <v>186</v>
      </c>
      <c r="L3350" t="s">
        <v>27</v>
      </c>
    </row>
    <row r="3351" spans="1:12" x14ac:dyDescent="0.35">
      <c r="A3351" t="s">
        <v>42</v>
      </c>
      <c r="B3351">
        <v>1185732</v>
      </c>
      <c r="C3351" s="1">
        <v>44271</v>
      </c>
      <c r="D3351" t="s">
        <v>19</v>
      </c>
      <c r="E3351" t="s">
        <v>37</v>
      </c>
      <c r="F3351" t="s">
        <v>38</v>
      </c>
      <c r="G3351" t="s">
        <v>39</v>
      </c>
      <c r="H3351" s="2">
        <v>20</v>
      </c>
      <c r="I3351">
        <v>128</v>
      </c>
      <c r="J3351">
        <v>256</v>
      </c>
      <c r="K3351" s="4">
        <v>100</v>
      </c>
      <c r="L3351" t="s">
        <v>27</v>
      </c>
    </row>
    <row r="3352" spans="1:12" x14ac:dyDescent="0.35">
      <c r="A3352" t="s">
        <v>18</v>
      </c>
      <c r="B3352">
        <v>1197831</v>
      </c>
      <c r="C3352" s="1">
        <v>44520</v>
      </c>
      <c r="D3352" t="s">
        <v>19</v>
      </c>
      <c r="E3352" t="s">
        <v>54</v>
      </c>
      <c r="F3352" t="s">
        <v>55</v>
      </c>
      <c r="G3352" t="s">
        <v>56</v>
      </c>
      <c r="H3352" s="2">
        <v>41</v>
      </c>
      <c r="I3352">
        <v>128</v>
      </c>
      <c r="J3352">
        <v>525</v>
      </c>
      <c r="K3352" s="4">
        <v>231</v>
      </c>
      <c r="L3352" t="s">
        <v>27</v>
      </c>
    </row>
    <row r="3353" spans="1:12" x14ac:dyDescent="0.35">
      <c r="A3353" t="s">
        <v>18</v>
      </c>
      <c r="B3353">
        <v>1197831</v>
      </c>
      <c r="C3353" s="1">
        <v>44458</v>
      </c>
      <c r="D3353" t="s">
        <v>19</v>
      </c>
      <c r="E3353" t="s">
        <v>61</v>
      </c>
      <c r="F3353" t="s">
        <v>62</v>
      </c>
      <c r="G3353" t="s">
        <v>39</v>
      </c>
      <c r="H3353" s="2">
        <v>28</v>
      </c>
      <c r="I3353">
        <v>128</v>
      </c>
      <c r="J3353">
        <v>358</v>
      </c>
      <c r="K3353" s="4">
        <v>147</v>
      </c>
      <c r="L3353" t="s">
        <v>27</v>
      </c>
    </row>
    <row r="3354" spans="1:12" x14ac:dyDescent="0.35">
      <c r="A3354" t="s">
        <v>63</v>
      </c>
      <c r="B3354">
        <v>1197831</v>
      </c>
      <c r="C3354" s="1">
        <v>44520</v>
      </c>
      <c r="D3354" t="s">
        <v>19</v>
      </c>
      <c r="E3354" t="s">
        <v>61</v>
      </c>
      <c r="F3354" t="s">
        <v>62</v>
      </c>
      <c r="G3354" t="s">
        <v>16</v>
      </c>
      <c r="H3354" s="2">
        <v>60</v>
      </c>
      <c r="I3354">
        <v>128</v>
      </c>
      <c r="J3354">
        <v>768</v>
      </c>
      <c r="K3354" s="4">
        <v>330</v>
      </c>
      <c r="L3354" t="s">
        <v>27</v>
      </c>
    </row>
    <row r="3355" spans="1:12" x14ac:dyDescent="0.35">
      <c r="A3355" t="s">
        <v>63</v>
      </c>
      <c r="B3355">
        <v>1197831</v>
      </c>
      <c r="C3355" s="1">
        <v>44549</v>
      </c>
      <c r="D3355" t="s">
        <v>19</v>
      </c>
      <c r="E3355" t="s">
        <v>61</v>
      </c>
      <c r="F3355" t="s">
        <v>62</v>
      </c>
      <c r="G3355" t="s">
        <v>16</v>
      </c>
      <c r="H3355" s="2">
        <v>51</v>
      </c>
      <c r="I3355">
        <v>128</v>
      </c>
      <c r="J3355">
        <v>653</v>
      </c>
      <c r="K3355" s="4">
        <v>281</v>
      </c>
      <c r="L3355" t="s">
        <v>27</v>
      </c>
    </row>
    <row r="3356" spans="1:12" x14ac:dyDescent="0.35">
      <c r="A3356" t="s">
        <v>23</v>
      </c>
      <c r="B3356">
        <v>1185732</v>
      </c>
      <c r="C3356" s="1">
        <v>44319</v>
      </c>
      <c r="D3356" t="s">
        <v>43</v>
      </c>
      <c r="E3356" t="s">
        <v>108</v>
      </c>
      <c r="F3356" t="s">
        <v>109</v>
      </c>
      <c r="G3356" t="s">
        <v>16</v>
      </c>
      <c r="H3356" s="2">
        <v>41</v>
      </c>
      <c r="I3356">
        <v>128</v>
      </c>
      <c r="J3356">
        <v>525</v>
      </c>
      <c r="K3356" s="4">
        <v>220</v>
      </c>
      <c r="L3356" t="s">
        <v>27</v>
      </c>
    </row>
    <row r="3357" spans="1:12" x14ac:dyDescent="0.35">
      <c r="A3357" t="s">
        <v>23</v>
      </c>
      <c r="B3357">
        <v>1185732</v>
      </c>
      <c r="C3357" s="1">
        <v>44352</v>
      </c>
      <c r="D3357" t="s">
        <v>43</v>
      </c>
      <c r="E3357" t="s">
        <v>108</v>
      </c>
      <c r="F3357" t="s">
        <v>109</v>
      </c>
      <c r="G3357" t="s">
        <v>16</v>
      </c>
      <c r="H3357" s="2">
        <v>39</v>
      </c>
      <c r="I3357">
        <v>128</v>
      </c>
      <c r="J3357">
        <v>499</v>
      </c>
      <c r="K3357" s="4">
        <v>195</v>
      </c>
      <c r="L3357" t="s">
        <v>27</v>
      </c>
    </row>
    <row r="3358" spans="1:12" x14ac:dyDescent="0.35">
      <c r="A3358" t="s">
        <v>23</v>
      </c>
      <c r="B3358">
        <v>1185732</v>
      </c>
      <c r="C3358" s="1">
        <v>44412</v>
      </c>
      <c r="D3358" t="s">
        <v>43</v>
      </c>
      <c r="E3358" t="s">
        <v>108</v>
      </c>
      <c r="F3358" t="s">
        <v>109</v>
      </c>
      <c r="G3358" t="s">
        <v>39</v>
      </c>
      <c r="H3358" s="2">
        <v>34</v>
      </c>
      <c r="I3358">
        <v>128</v>
      </c>
      <c r="J3358">
        <v>435</v>
      </c>
      <c r="K3358" s="4">
        <v>187</v>
      </c>
      <c r="L3358" t="s">
        <v>27</v>
      </c>
    </row>
    <row r="3359" spans="1:12" x14ac:dyDescent="0.35">
      <c r="A3359" t="s">
        <v>42</v>
      </c>
      <c r="B3359">
        <v>1185732</v>
      </c>
      <c r="C3359" s="1">
        <v>44445</v>
      </c>
      <c r="D3359" t="s">
        <v>43</v>
      </c>
      <c r="E3359" t="s">
        <v>110</v>
      </c>
      <c r="F3359" t="s">
        <v>111</v>
      </c>
      <c r="G3359" t="s">
        <v>26</v>
      </c>
      <c r="H3359" s="2">
        <v>39</v>
      </c>
      <c r="I3359">
        <v>128</v>
      </c>
      <c r="J3359">
        <v>499</v>
      </c>
      <c r="K3359" s="4">
        <v>210</v>
      </c>
      <c r="L3359" t="s">
        <v>27</v>
      </c>
    </row>
    <row r="3360" spans="1:12" x14ac:dyDescent="0.35">
      <c r="A3360" t="s">
        <v>51</v>
      </c>
      <c r="B3360">
        <v>1185732</v>
      </c>
      <c r="C3360" s="1">
        <v>44543</v>
      </c>
      <c r="D3360" t="s">
        <v>43</v>
      </c>
      <c r="E3360" t="s">
        <v>112</v>
      </c>
      <c r="F3360" t="s">
        <v>113</v>
      </c>
      <c r="G3360" t="s">
        <v>16</v>
      </c>
      <c r="H3360" s="2">
        <v>51</v>
      </c>
      <c r="I3360">
        <v>128</v>
      </c>
      <c r="J3360">
        <v>653</v>
      </c>
      <c r="K3360" s="4">
        <v>215</v>
      </c>
      <c r="L3360" t="s">
        <v>27</v>
      </c>
    </row>
    <row r="3361" spans="1:12" x14ac:dyDescent="0.35">
      <c r="A3361" t="s">
        <v>51</v>
      </c>
      <c r="B3361">
        <v>1185732</v>
      </c>
      <c r="C3361" s="1">
        <v>44511</v>
      </c>
      <c r="D3361" t="s">
        <v>43</v>
      </c>
      <c r="E3361" t="s">
        <v>125</v>
      </c>
      <c r="F3361" t="s">
        <v>126</v>
      </c>
      <c r="G3361" t="s">
        <v>16</v>
      </c>
      <c r="H3361" s="2">
        <v>57</v>
      </c>
      <c r="I3361">
        <v>128</v>
      </c>
      <c r="J3361">
        <v>730</v>
      </c>
      <c r="K3361" s="4">
        <v>343</v>
      </c>
      <c r="L3361" t="s">
        <v>27</v>
      </c>
    </row>
    <row r="3362" spans="1:12" x14ac:dyDescent="0.35">
      <c r="A3362" t="s">
        <v>51</v>
      </c>
      <c r="B3362">
        <v>1185732</v>
      </c>
      <c r="C3362" s="1">
        <v>44394</v>
      </c>
      <c r="D3362" t="s">
        <v>43</v>
      </c>
      <c r="E3362" t="s">
        <v>127</v>
      </c>
      <c r="F3362" t="s">
        <v>128</v>
      </c>
      <c r="G3362" t="s">
        <v>32</v>
      </c>
      <c r="H3362" s="2">
        <v>37</v>
      </c>
      <c r="I3362">
        <v>128</v>
      </c>
      <c r="J3362">
        <v>474</v>
      </c>
      <c r="K3362" s="4">
        <v>170</v>
      </c>
      <c r="L3362" t="s">
        <v>27</v>
      </c>
    </row>
    <row r="3363" spans="1:12" x14ac:dyDescent="0.35">
      <c r="A3363" t="s">
        <v>42</v>
      </c>
      <c r="B3363">
        <v>1185732</v>
      </c>
      <c r="C3363" s="1">
        <v>44547</v>
      </c>
      <c r="D3363" t="s">
        <v>43</v>
      </c>
      <c r="E3363" t="s">
        <v>127</v>
      </c>
      <c r="F3363" t="s">
        <v>128</v>
      </c>
      <c r="G3363" t="s">
        <v>39</v>
      </c>
      <c r="H3363" s="2">
        <v>49</v>
      </c>
      <c r="I3363">
        <v>128</v>
      </c>
      <c r="J3363">
        <v>627</v>
      </c>
      <c r="K3363" s="4">
        <v>263</v>
      </c>
      <c r="L3363" t="s">
        <v>27</v>
      </c>
    </row>
    <row r="3364" spans="1:12" x14ac:dyDescent="0.35">
      <c r="A3364" t="s">
        <v>42</v>
      </c>
      <c r="B3364">
        <v>1185732</v>
      </c>
      <c r="C3364" s="1">
        <v>44547</v>
      </c>
      <c r="D3364" t="s">
        <v>43</v>
      </c>
      <c r="E3364" t="s">
        <v>127</v>
      </c>
      <c r="F3364" t="s">
        <v>128</v>
      </c>
      <c r="G3364" t="s">
        <v>32</v>
      </c>
      <c r="H3364" s="2">
        <v>47</v>
      </c>
      <c r="I3364">
        <v>128</v>
      </c>
      <c r="J3364">
        <v>602</v>
      </c>
      <c r="K3364" s="4">
        <v>217</v>
      </c>
      <c r="L3364" t="s">
        <v>27</v>
      </c>
    </row>
    <row r="3365" spans="1:12" x14ac:dyDescent="0.35">
      <c r="A3365" t="s">
        <v>51</v>
      </c>
      <c r="B3365">
        <v>1185732</v>
      </c>
      <c r="C3365" s="1">
        <v>44493</v>
      </c>
      <c r="D3365" t="s">
        <v>43</v>
      </c>
      <c r="E3365" t="s">
        <v>122</v>
      </c>
      <c r="F3365" t="s">
        <v>86</v>
      </c>
      <c r="G3365" t="s">
        <v>26</v>
      </c>
      <c r="H3365" s="2">
        <v>39</v>
      </c>
      <c r="I3365">
        <v>127</v>
      </c>
      <c r="J3365">
        <v>495</v>
      </c>
      <c r="K3365" s="4">
        <v>243</v>
      </c>
      <c r="L3365" t="s">
        <v>17</v>
      </c>
    </row>
    <row r="3366" spans="1:12" x14ac:dyDescent="0.35">
      <c r="A3366" t="s">
        <v>23</v>
      </c>
      <c r="B3366">
        <v>1185732</v>
      </c>
      <c r="C3366" s="1">
        <v>44268</v>
      </c>
      <c r="D3366" t="s">
        <v>43</v>
      </c>
      <c r="E3366" t="s">
        <v>112</v>
      </c>
      <c r="F3366" t="s">
        <v>113</v>
      </c>
      <c r="G3366" t="s">
        <v>26</v>
      </c>
      <c r="H3366" s="2">
        <v>38</v>
      </c>
      <c r="I3366">
        <v>127</v>
      </c>
      <c r="J3366">
        <v>483</v>
      </c>
      <c r="K3366" s="4">
        <v>212</v>
      </c>
      <c r="L3366" t="s">
        <v>17</v>
      </c>
    </row>
    <row r="3367" spans="1:12" x14ac:dyDescent="0.35">
      <c r="A3367" t="s">
        <v>23</v>
      </c>
      <c r="B3367">
        <v>1197831</v>
      </c>
      <c r="C3367" s="1">
        <v>44470</v>
      </c>
      <c r="D3367" t="s">
        <v>19</v>
      </c>
      <c r="E3367" t="s">
        <v>59</v>
      </c>
      <c r="F3367" t="s">
        <v>68</v>
      </c>
      <c r="G3367" t="s">
        <v>56</v>
      </c>
      <c r="H3367" s="2">
        <v>56</v>
      </c>
      <c r="I3367">
        <v>126</v>
      </c>
      <c r="J3367">
        <v>706</v>
      </c>
      <c r="K3367" s="4">
        <v>459</v>
      </c>
      <c r="L3367" t="s">
        <v>17</v>
      </c>
    </row>
    <row r="3368" spans="1:12" x14ac:dyDescent="0.35">
      <c r="A3368" t="s">
        <v>23</v>
      </c>
      <c r="B3368">
        <v>1197831</v>
      </c>
      <c r="C3368" s="1">
        <v>44420</v>
      </c>
      <c r="D3368" t="s">
        <v>19</v>
      </c>
      <c r="E3368" t="s">
        <v>24</v>
      </c>
      <c r="F3368" t="s">
        <v>25</v>
      </c>
      <c r="G3368" t="s">
        <v>16</v>
      </c>
      <c r="H3368" s="2">
        <v>33</v>
      </c>
      <c r="I3368">
        <v>126</v>
      </c>
      <c r="J3368">
        <v>416</v>
      </c>
      <c r="K3368" s="4">
        <v>279</v>
      </c>
      <c r="L3368" t="s">
        <v>17</v>
      </c>
    </row>
    <row r="3369" spans="1:12" x14ac:dyDescent="0.35">
      <c r="A3369" t="s">
        <v>51</v>
      </c>
      <c r="B3369">
        <v>1185732</v>
      </c>
      <c r="C3369" s="1">
        <v>44369</v>
      </c>
      <c r="D3369" t="s">
        <v>48</v>
      </c>
      <c r="E3369" t="s">
        <v>137</v>
      </c>
      <c r="F3369" t="s">
        <v>138</v>
      </c>
      <c r="G3369" t="s">
        <v>16</v>
      </c>
      <c r="H3369" s="2">
        <v>67</v>
      </c>
      <c r="I3369">
        <v>126</v>
      </c>
      <c r="J3369">
        <v>844</v>
      </c>
      <c r="K3369" s="4">
        <v>355</v>
      </c>
      <c r="L3369" t="s">
        <v>17</v>
      </c>
    </row>
    <row r="3370" spans="1:12" x14ac:dyDescent="0.35">
      <c r="A3370" t="s">
        <v>12</v>
      </c>
      <c r="B3370">
        <v>1128299</v>
      </c>
      <c r="C3370" s="1">
        <v>44364</v>
      </c>
      <c r="D3370" t="s">
        <v>13</v>
      </c>
      <c r="E3370" t="s">
        <v>14</v>
      </c>
      <c r="F3370" t="s">
        <v>15</v>
      </c>
      <c r="G3370" t="s">
        <v>70</v>
      </c>
      <c r="H3370" s="2">
        <v>89</v>
      </c>
      <c r="I3370">
        <v>126</v>
      </c>
      <c r="J3370" s="3">
        <v>1121</v>
      </c>
      <c r="K3370" s="4">
        <v>359</v>
      </c>
      <c r="L3370" t="s">
        <v>17</v>
      </c>
    </row>
    <row r="3371" spans="1:12" x14ac:dyDescent="0.35">
      <c r="A3371" t="s">
        <v>63</v>
      </c>
      <c r="B3371">
        <v>1185732</v>
      </c>
      <c r="C3371" s="1">
        <v>44265</v>
      </c>
      <c r="D3371" t="s">
        <v>48</v>
      </c>
      <c r="E3371" t="s">
        <v>102</v>
      </c>
      <c r="F3371" t="s">
        <v>103</v>
      </c>
      <c r="G3371" t="s">
        <v>70</v>
      </c>
      <c r="H3371" s="2">
        <v>47</v>
      </c>
      <c r="I3371">
        <v>126</v>
      </c>
      <c r="J3371">
        <v>592</v>
      </c>
      <c r="K3371" s="4">
        <v>266</v>
      </c>
      <c r="L3371" t="s">
        <v>17</v>
      </c>
    </row>
    <row r="3372" spans="1:12" x14ac:dyDescent="0.35">
      <c r="A3372" t="s">
        <v>23</v>
      </c>
      <c r="B3372">
        <v>1185732</v>
      </c>
      <c r="C3372" s="1">
        <v>44244</v>
      </c>
      <c r="D3372" t="s">
        <v>33</v>
      </c>
      <c r="E3372" t="s">
        <v>45</v>
      </c>
      <c r="F3372" t="s">
        <v>46</v>
      </c>
      <c r="G3372" t="s">
        <v>70</v>
      </c>
      <c r="H3372" s="2">
        <v>41</v>
      </c>
      <c r="I3372">
        <v>126</v>
      </c>
      <c r="J3372">
        <v>517</v>
      </c>
      <c r="K3372" s="4">
        <v>284</v>
      </c>
      <c r="L3372" t="s">
        <v>17</v>
      </c>
    </row>
    <row r="3373" spans="1:12" x14ac:dyDescent="0.35">
      <c r="A3373" t="s">
        <v>23</v>
      </c>
      <c r="B3373">
        <v>1185732</v>
      </c>
      <c r="C3373" s="1">
        <v>44270</v>
      </c>
      <c r="D3373" t="s">
        <v>33</v>
      </c>
      <c r="E3373" t="s">
        <v>45</v>
      </c>
      <c r="F3373" t="s">
        <v>46</v>
      </c>
      <c r="G3373" t="s">
        <v>39</v>
      </c>
      <c r="H3373" s="2">
        <v>32</v>
      </c>
      <c r="I3373">
        <v>126</v>
      </c>
      <c r="J3373">
        <v>403</v>
      </c>
      <c r="K3373" s="4">
        <v>218</v>
      </c>
      <c r="L3373" t="s">
        <v>17</v>
      </c>
    </row>
    <row r="3374" spans="1:12" x14ac:dyDescent="0.35">
      <c r="A3374" t="s">
        <v>23</v>
      </c>
      <c r="B3374">
        <v>1185732</v>
      </c>
      <c r="C3374" s="1">
        <v>44331</v>
      </c>
      <c r="D3374" t="s">
        <v>33</v>
      </c>
      <c r="E3374" t="s">
        <v>45</v>
      </c>
      <c r="F3374" t="s">
        <v>46</v>
      </c>
      <c r="G3374" t="s">
        <v>56</v>
      </c>
      <c r="H3374" s="2">
        <v>42</v>
      </c>
      <c r="I3374">
        <v>126</v>
      </c>
      <c r="J3374">
        <v>529</v>
      </c>
      <c r="K3374" s="4">
        <v>265</v>
      </c>
      <c r="L3374" t="s">
        <v>17</v>
      </c>
    </row>
    <row r="3375" spans="1:12" x14ac:dyDescent="0.35">
      <c r="A3375" t="s">
        <v>23</v>
      </c>
      <c r="B3375">
        <v>1185732</v>
      </c>
      <c r="C3375" s="1">
        <v>44516</v>
      </c>
      <c r="D3375" t="s">
        <v>33</v>
      </c>
      <c r="E3375" t="s">
        <v>45</v>
      </c>
      <c r="F3375" t="s">
        <v>46</v>
      </c>
      <c r="G3375" t="s">
        <v>70</v>
      </c>
      <c r="H3375" s="2">
        <v>59</v>
      </c>
      <c r="I3375">
        <v>126</v>
      </c>
      <c r="J3375">
        <v>743</v>
      </c>
      <c r="K3375" s="4">
        <v>409</v>
      </c>
      <c r="L3375" t="s">
        <v>17</v>
      </c>
    </row>
    <row r="3376" spans="1:12" x14ac:dyDescent="0.35">
      <c r="A3376" t="s">
        <v>18</v>
      </c>
      <c r="B3376">
        <v>1185732</v>
      </c>
      <c r="C3376" s="1">
        <v>44547</v>
      </c>
      <c r="D3376" t="s">
        <v>33</v>
      </c>
      <c r="E3376" t="s">
        <v>34</v>
      </c>
      <c r="F3376" t="s">
        <v>35</v>
      </c>
      <c r="G3376" t="s">
        <v>16</v>
      </c>
      <c r="H3376" s="2">
        <v>47</v>
      </c>
      <c r="I3376">
        <v>126</v>
      </c>
      <c r="J3376">
        <v>592</v>
      </c>
      <c r="K3376" s="4">
        <v>361</v>
      </c>
      <c r="L3376" t="s">
        <v>17</v>
      </c>
    </row>
    <row r="3377" spans="1:12" x14ac:dyDescent="0.35">
      <c r="A3377" t="s">
        <v>63</v>
      </c>
      <c r="B3377">
        <v>1128299</v>
      </c>
      <c r="C3377" s="1">
        <v>44343</v>
      </c>
      <c r="D3377" t="s">
        <v>48</v>
      </c>
      <c r="E3377" t="s">
        <v>114</v>
      </c>
      <c r="F3377" t="s">
        <v>115</v>
      </c>
      <c r="G3377" t="s">
        <v>32</v>
      </c>
      <c r="H3377" s="2">
        <v>56</v>
      </c>
      <c r="I3377">
        <v>126</v>
      </c>
      <c r="J3377">
        <v>706</v>
      </c>
      <c r="K3377" s="4">
        <v>332</v>
      </c>
      <c r="L3377" t="s">
        <v>17</v>
      </c>
    </row>
    <row r="3378" spans="1:12" x14ac:dyDescent="0.35">
      <c r="A3378" t="s">
        <v>63</v>
      </c>
      <c r="B3378">
        <v>1128299</v>
      </c>
      <c r="C3378" s="1">
        <v>44434</v>
      </c>
      <c r="D3378" t="s">
        <v>48</v>
      </c>
      <c r="E3378" t="s">
        <v>114</v>
      </c>
      <c r="F3378" t="s">
        <v>115</v>
      </c>
      <c r="G3378" t="s">
        <v>16</v>
      </c>
      <c r="H3378" s="2">
        <v>70</v>
      </c>
      <c r="I3378">
        <v>126</v>
      </c>
      <c r="J3378">
        <v>882</v>
      </c>
      <c r="K3378" s="4">
        <v>335</v>
      </c>
      <c r="L3378" t="s">
        <v>17</v>
      </c>
    </row>
    <row r="3379" spans="1:12" x14ac:dyDescent="0.35">
      <c r="A3379" t="s">
        <v>23</v>
      </c>
      <c r="B3379">
        <v>1128299</v>
      </c>
      <c r="C3379" s="1">
        <v>44209</v>
      </c>
      <c r="D3379" t="s">
        <v>48</v>
      </c>
      <c r="E3379" t="s">
        <v>114</v>
      </c>
      <c r="F3379" t="s">
        <v>115</v>
      </c>
      <c r="G3379" t="s">
        <v>32</v>
      </c>
      <c r="H3379" s="2">
        <v>38</v>
      </c>
      <c r="I3379">
        <v>126</v>
      </c>
      <c r="J3379">
        <v>479</v>
      </c>
      <c r="K3379" s="4">
        <v>215</v>
      </c>
      <c r="L3379" t="s">
        <v>17</v>
      </c>
    </row>
    <row r="3380" spans="1:12" x14ac:dyDescent="0.35">
      <c r="A3380" t="s">
        <v>23</v>
      </c>
      <c r="B3380">
        <v>1128299</v>
      </c>
      <c r="C3380" s="1">
        <v>44421</v>
      </c>
      <c r="D3380" t="s">
        <v>13</v>
      </c>
      <c r="E3380" t="s">
        <v>57</v>
      </c>
      <c r="F3380" t="s">
        <v>58</v>
      </c>
      <c r="G3380" t="s">
        <v>70</v>
      </c>
      <c r="H3380" s="2">
        <v>60</v>
      </c>
      <c r="I3380">
        <v>126</v>
      </c>
      <c r="J3380">
        <v>756</v>
      </c>
      <c r="K3380" s="4">
        <v>363</v>
      </c>
      <c r="L3380" t="s">
        <v>17</v>
      </c>
    </row>
    <row r="3381" spans="1:12" x14ac:dyDescent="0.35">
      <c r="A3381" t="s">
        <v>51</v>
      </c>
      <c r="B3381">
        <v>1185732</v>
      </c>
      <c r="C3381" s="1">
        <v>44264</v>
      </c>
      <c r="D3381" t="s">
        <v>33</v>
      </c>
      <c r="E3381" t="s">
        <v>52</v>
      </c>
      <c r="F3381" t="s">
        <v>53</v>
      </c>
      <c r="G3381" t="s">
        <v>39</v>
      </c>
      <c r="H3381" s="2">
        <v>27</v>
      </c>
      <c r="I3381">
        <v>126</v>
      </c>
      <c r="J3381">
        <v>340</v>
      </c>
      <c r="K3381" s="4">
        <v>153</v>
      </c>
      <c r="L3381" t="s">
        <v>17</v>
      </c>
    </row>
    <row r="3382" spans="1:12" x14ac:dyDescent="0.35">
      <c r="A3382" t="s">
        <v>51</v>
      </c>
      <c r="B3382">
        <v>1185732</v>
      </c>
      <c r="C3382" s="1">
        <v>44325</v>
      </c>
      <c r="D3382" t="s">
        <v>33</v>
      </c>
      <c r="E3382" t="s">
        <v>52</v>
      </c>
      <c r="F3382" t="s">
        <v>53</v>
      </c>
      <c r="G3382" t="s">
        <v>70</v>
      </c>
      <c r="H3382" s="2">
        <v>49</v>
      </c>
      <c r="I3382">
        <v>126</v>
      </c>
      <c r="J3382">
        <v>617</v>
      </c>
      <c r="K3382" s="4">
        <v>284</v>
      </c>
      <c r="L3382" t="s">
        <v>17</v>
      </c>
    </row>
    <row r="3383" spans="1:12" x14ac:dyDescent="0.35">
      <c r="A3383" t="s">
        <v>51</v>
      </c>
      <c r="B3383">
        <v>1185732</v>
      </c>
      <c r="C3383" s="1">
        <v>44491</v>
      </c>
      <c r="D3383" t="s">
        <v>13</v>
      </c>
      <c r="E3383" t="s">
        <v>106</v>
      </c>
      <c r="F3383" t="s">
        <v>107</v>
      </c>
      <c r="G3383" t="s">
        <v>26</v>
      </c>
      <c r="H3383" s="2">
        <v>53</v>
      </c>
      <c r="I3383">
        <v>126</v>
      </c>
      <c r="J3383">
        <v>668</v>
      </c>
      <c r="K3383" s="4">
        <v>367</v>
      </c>
      <c r="L3383" t="s">
        <v>17</v>
      </c>
    </row>
    <row r="3384" spans="1:12" x14ac:dyDescent="0.35">
      <c r="A3384" t="s">
        <v>12</v>
      </c>
      <c r="B3384">
        <v>1197831</v>
      </c>
      <c r="C3384" s="1">
        <v>44396</v>
      </c>
      <c r="D3384" t="s">
        <v>19</v>
      </c>
      <c r="E3384" t="s">
        <v>54</v>
      </c>
      <c r="F3384" t="s">
        <v>55</v>
      </c>
      <c r="G3384" t="s">
        <v>32</v>
      </c>
      <c r="H3384" s="2">
        <v>43</v>
      </c>
      <c r="I3384">
        <v>126</v>
      </c>
      <c r="J3384">
        <v>542</v>
      </c>
      <c r="K3384" s="4">
        <v>276</v>
      </c>
      <c r="L3384" t="s">
        <v>17</v>
      </c>
    </row>
    <row r="3385" spans="1:12" x14ac:dyDescent="0.35">
      <c r="A3385" t="s">
        <v>12</v>
      </c>
      <c r="B3385">
        <v>1197831</v>
      </c>
      <c r="C3385" s="1">
        <v>44428</v>
      </c>
      <c r="D3385" t="s">
        <v>19</v>
      </c>
      <c r="E3385" t="s">
        <v>54</v>
      </c>
      <c r="F3385" t="s">
        <v>55</v>
      </c>
      <c r="G3385" t="s">
        <v>32</v>
      </c>
      <c r="H3385" s="2">
        <v>47</v>
      </c>
      <c r="I3385">
        <v>126</v>
      </c>
      <c r="J3385">
        <v>592</v>
      </c>
      <c r="K3385" s="4">
        <v>308</v>
      </c>
      <c r="L3385" t="s">
        <v>17</v>
      </c>
    </row>
    <row r="3386" spans="1:12" x14ac:dyDescent="0.35">
      <c r="A3386" t="s">
        <v>12</v>
      </c>
      <c r="B3386">
        <v>1197831</v>
      </c>
      <c r="C3386" s="1">
        <v>44458</v>
      </c>
      <c r="D3386" t="s">
        <v>19</v>
      </c>
      <c r="E3386" t="s">
        <v>54</v>
      </c>
      <c r="F3386" t="s">
        <v>55</v>
      </c>
      <c r="G3386" t="s">
        <v>39</v>
      </c>
      <c r="H3386" s="2">
        <v>39</v>
      </c>
      <c r="I3386">
        <v>126</v>
      </c>
      <c r="J3386">
        <v>491</v>
      </c>
      <c r="K3386" s="4">
        <v>236</v>
      </c>
      <c r="L3386" t="s">
        <v>17</v>
      </c>
    </row>
    <row r="3387" spans="1:12" x14ac:dyDescent="0.35">
      <c r="A3387" t="s">
        <v>18</v>
      </c>
      <c r="B3387">
        <v>1197831</v>
      </c>
      <c r="C3387" s="1">
        <v>44549</v>
      </c>
      <c r="D3387" t="s">
        <v>19</v>
      </c>
      <c r="E3387" t="s">
        <v>54</v>
      </c>
      <c r="F3387" t="s">
        <v>55</v>
      </c>
      <c r="G3387" t="s">
        <v>32</v>
      </c>
      <c r="H3387" s="2">
        <v>55</v>
      </c>
      <c r="I3387">
        <v>126</v>
      </c>
      <c r="J3387">
        <v>693</v>
      </c>
      <c r="K3387" s="4">
        <v>374</v>
      </c>
      <c r="L3387" t="s">
        <v>17</v>
      </c>
    </row>
    <row r="3388" spans="1:12" x14ac:dyDescent="0.35">
      <c r="A3388" t="s">
        <v>18</v>
      </c>
      <c r="B3388">
        <v>1185732</v>
      </c>
      <c r="C3388" s="1">
        <v>44199</v>
      </c>
      <c r="D3388" t="s">
        <v>33</v>
      </c>
      <c r="E3388" t="s">
        <v>91</v>
      </c>
      <c r="F3388" t="s">
        <v>92</v>
      </c>
      <c r="G3388" t="s">
        <v>26</v>
      </c>
      <c r="H3388" s="2">
        <v>28</v>
      </c>
      <c r="I3388">
        <v>126</v>
      </c>
      <c r="J3388">
        <v>353</v>
      </c>
      <c r="K3388" s="4">
        <v>159</v>
      </c>
      <c r="L3388" t="s">
        <v>17</v>
      </c>
    </row>
    <row r="3389" spans="1:12" x14ac:dyDescent="0.35">
      <c r="A3389" t="s">
        <v>23</v>
      </c>
      <c r="B3389">
        <v>1185732</v>
      </c>
      <c r="C3389" s="1">
        <v>44213</v>
      </c>
      <c r="D3389" t="s">
        <v>43</v>
      </c>
      <c r="E3389" t="s">
        <v>110</v>
      </c>
      <c r="F3389" t="s">
        <v>111</v>
      </c>
      <c r="G3389" t="s">
        <v>26</v>
      </c>
      <c r="H3389" s="2">
        <v>38</v>
      </c>
      <c r="I3389">
        <v>126</v>
      </c>
      <c r="J3389">
        <v>479</v>
      </c>
      <c r="K3389" s="4">
        <v>206</v>
      </c>
      <c r="L3389" t="s">
        <v>17</v>
      </c>
    </row>
    <row r="3390" spans="1:12" x14ac:dyDescent="0.35">
      <c r="A3390" t="s">
        <v>18</v>
      </c>
      <c r="B3390">
        <v>1185732</v>
      </c>
      <c r="C3390" s="1">
        <v>44511</v>
      </c>
      <c r="D3390" t="s">
        <v>43</v>
      </c>
      <c r="E3390" t="s">
        <v>125</v>
      </c>
      <c r="F3390" t="s">
        <v>126</v>
      </c>
      <c r="G3390" t="s">
        <v>26</v>
      </c>
      <c r="H3390" s="2">
        <v>64</v>
      </c>
      <c r="I3390">
        <v>126</v>
      </c>
      <c r="J3390">
        <v>806</v>
      </c>
      <c r="K3390" s="4">
        <v>484</v>
      </c>
      <c r="L3390" t="s">
        <v>17</v>
      </c>
    </row>
    <row r="3391" spans="1:12" x14ac:dyDescent="0.35">
      <c r="A3391" t="s">
        <v>42</v>
      </c>
      <c r="B3391">
        <v>1185732</v>
      </c>
      <c r="C3391" s="1">
        <v>44350</v>
      </c>
      <c r="D3391" t="s">
        <v>48</v>
      </c>
      <c r="E3391" t="s">
        <v>66</v>
      </c>
      <c r="F3391" t="s">
        <v>76</v>
      </c>
      <c r="G3391" t="s">
        <v>56</v>
      </c>
      <c r="H3391" s="2">
        <v>40</v>
      </c>
      <c r="I3391">
        <v>125</v>
      </c>
      <c r="J3391" s="3">
        <v>5000</v>
      </c>
      <c r="K3391" s="4">
        <v>2000</v>
      </c>
      <c r="L3391" t="s">
        <v>27</v>
      </c>
    </row>
    <row r="3392" spans="1:12" x14ac:dyDescent="0.35">
      <c r="A3392" t="s">
        <v>42</v>
      </c>
      <c r="B3392">
        <v>1185732</v>
      </c>
      <c r="C3392" s="1">
        <v>44363</v>
      </c>
      <c r="D3392" t="s">
        <v>33</v>
      </c>
      <c r="E3392" t="s">
        <v>118</v>
      </c>
      <c r="F3392" t="s">
        <v>119</v>
      </c>
      <c r="G3392" t="s">
        <v>70</v>
      </c>
      <c r="H3392" s="2">
        <v>60</v>
      </c>
      <c r="I3392">
        <v>125</v>
      </c>
      <c r="J3392" s="3">
        <v>7500</v>
      </c>
      <c r="K3392" s="4">
        <v>2625</v>
      </c>
      <c r="L3392" t="s">
        <v>27</v>
      </c>
    </row>
    <row r="3393" spans="1:12" x14ac:dyDescent="0.35">
      <c r="A3393" t="s">
        <v>42</v>
      </c>
      <c r="B3393">
        <v>1185732</v>
      </c>
      <c r="C3393" s="1">
        <v>44375</v>
      </c>
      <c r="D3393" t="s">
        <v>33</v>
      </c>
      <c r="E3393" t="s">
        <v>118</v>
      </c>
      <c r="F3393" t="s">
        <v>119</v>
      </c>
      <c r="G3393" t="s">
        <v>70</v>
      </c>
      <c r="H3393" s="2">
        <v>60</v>
      </c>
      <c r="I3393">
        <v>125</v>
      </c>
      <c r="J3393" s="3">
        <v>7500</v>
      </c>
      <c r="K3393" s="4">
        <v>2625</v>
      </c>
      <c r="L3393" t="s">
        <v>27</v>
      </c>
    </row>
    <row r="3394" spans="1:12" x14ac:dyDescent="0.35">
      <c r="A3394" t="s">
        <v>42</v>
      </c>
      <c r="B3394">
        <v>1185732</v>
      </c>
      <c r="C3394" s="1">
        <v>44404</v>
      </c>
      <c r="D3394" t="s">
        <v>33</v>
      </c>
      <c r="E3394" t="s">
        <v>118</v>
      </c>
      <c r="F3394" t="s">
        <v>119</v>
      </c>
      <c r="G3394" t="s">
        <v>56</v>
      </c>
      <c r="H3394" s="2">
        <v>50</v>
      </c>
      <c r="I3394">
        <v>125</v>
      </c>
      <c r="J3394" s="3">
        <v>6250</v>
      </c>
      <c r="K3394" s="4">
        <v>2500</v>
      </c>
      <c r="L3394" t="s">
        <v>27</v>
      </c>
    </row>
    <row r="3395" spans="1:12" x14ac:dyDescent="0.35">
      <c r="A3395" t="s">
        <v>42</v>
      </c>
      <c r="B3395">
        <v>1185732</v>
      </c>
      <c r="C3395" s="1">
        <v>44405</v>
      </c>
      <c r="D3395" t="s">
        <v>33</v>
      </c>
      <c r="E3395" t="s">
        <v>118</v>
      </c>
      <c r="F3395" t="s">
        <v>119</v>
      </c>
      <c r="G3395" t="s">
        <v>70</v>
      </c>
      <c r="H3395" s="2">
        <v>60</v>
      </c>
      <c r="I3395">
        <v>125</v>
      </c>
      <c r="J3395" s="3">
        <v>7500</v>
      </c>
      <c r="K3395" s="4">
        <v>2625</v>
      </c>
      <c r="L3395" t="s">
        <v>27</v>
      </c>
    </row>
    <row r="3396" spans="1:12" x14ac:dyDescent="0.35">
      <c r="A3396" t="s">
        <v>42</v>
      </c>
      <c r="B3396">
        <v>1185732</v>
      </c>
      <c r="C3396" s="1">
        <v>44495</v>
      </c>
      <c r="D3396" t="s">
        <v>43</v>
      </c>
      <c r="E3396" t="s">
        <v>135</v>
      </c>
      <c r="F3396" t="s">
        <v>136</v>
      </c>
      <c r="G3396" t="s">
        <v>70</v>
      </c>
      <c r="H3396" s="2">
        <v>55</v>
      </c>
      <c r="I3396">
        <v>125</v>
      </c>
      <c r="J3396" s="3">
        <v>6875</v>
      </c>
      <c r="K3396" s="4">
        <v>2406</v>
      </c>
      <c r="L3396" t="s">
        <v>27</v>
      </c>
    </row>
    <row r="3397" spans="1:12" x14ac:dyDescent="0.35">
      <c r="A3397" t="s">
        <v>42</v>
      </c>
      <c r="B3397">
        <v>1185732</v>
      </c>
      <c r="C3397" s="1">
        <v>44498</v>
      </c>
      <c r="D3397" t="s">
        <v>43</v>
      </c>
      <c r="E3397" t="s">
        <v>135</v>
      </c>
      <c r="F3397" t="s">
        <v>136</v>
      </c>
      <c r="G3397" t="s">
        <v>39</v>
      </c>
      <c r="H3397" s="2">
        <v>45</v>
      </c>
      <c r="I3397">
        <v>125</v>
      </c>
      <c r="J3397" s="3">
        <v>5625</v>
      </c>
      <c r="K3397" s="4">
        <v>1969</v>
      </c>
      <c r="L3397" t="s">
        <v>27</v>
      </c>
    </row>
    <row r="3398" spans="1:12" x14ac:dyDescent="0.35">
      <c r="A3398" t="s">
        <v>42</v>
      </c>
      <c r="B3398">
        <v>1185732</v>
      </c>
      <c r="C3398" s="1">
        <v>44501</v>
      </c>
      <c r="D3398" t="s">
        <v>43</v>
      </c>
      <c r="E3398" t="s">
        <v>135</v>
      </c>
      <c r="F3398" t="s">
        <v>136</v>
      </c>
      <c r="G3398" t="s">
        <v>70</v>
      </c>
      <c r="H3398" s="2">
        <v>55</v>
      </c>
      <c r="I3398">
        <v>125</v>
      </c>
      <c r="J3398" s="3">
        <v>6875</v>
      </c>
      <c r="K3398" s="4">
        <v>2406</v>
      </c>
      <c r="L3398" t="s">
        <v>27</v>
      </c>
    </row>
    <row r="3399" spans="1:12" x14ac:dyDescent="0.35">
      <c r="A3399" t="s">
        <v>42</v>
      </c>
      <c r="B3399">
        <v>1185732</v>
      </c>
      <c r="C3399" s="1">
        <v>44519</v>
      </c>
      <c r="D3399" t="s">
        <v>43</v>
      </c>
      <c r="E3399" t="s">
        <v>135</v>
      </c>
      <c r="F3399" t="s">
        <v>136</v>
      </c>
      <c r="G3399" t="s">
        <v>70</v>
      </c>
      <c r="H3399" s="2">
        <v>65</v>
      </c>
      <c r="I3399">
        <v>125</v>
      </c>
      <c r="J3399" s="3">
        <v>8125</v>
      </c>
      <c r="K3399" s="4">
        <v>2438</v>
      </c>
      <c r="L3399" t="s">
        <v>27</v>
      </c>
    </row>
    <row r="3400" spans="1:12" x14ac:dyDescent="0.35">
      <c r="A3400" t="s">
        <v>42</v>
      </c>
      <c r="B3400">
        <v>1185732</v>
      </c>
      <c r="C3400" s="1">
        <v>44543</v>
      </c>
      <c r="D3400" t="s">
        <v>43</v>
      </c>
      <c r="E3400" t="s">
        <v>135</v>
      </c>
      <c r="F3400" t="s">
        <v>136</v>
      </c>
      <c r="G3400" t="s">
        <v>70</v>
      </c>
      <c r="H3400" s="2">
        <v>55</v>
      </c>
      <c r="I3400">
        <v>125</v>
      </c>
      <c r="J3400" s="3">
        <v>6875</v>
      </c>
      <c r="K3400" s="4">
        <v>2063</v>
      </c>
      <c r="L3400" t="s">
        <v>27</v>
      </c>
    </row>
    <row r="3401" spans="1:12" x14ac:dyDescent="0.35">
      <c r="A3401" t="s">
        <v>42</v>
      </c>
      <c r="B3401">
        <v>1185732</v>
      </c>
      <c r="C3401" s="1">
        <v>44547</v>
      </c>
      <c r="D3401" t="s">
        <v>43</v>
      </c>
      <c r="E3401" t="s">
        <v>135</v>
      </c>
      <c r="F3401" t="s">
        <v>136</v>
      </c>
      <c r="G3401" t="s">
        <v>32</v>
      </c>
      <c r="H3401" s="2">
        <v>50</v>
      </c>
      <c r="I3401">
        <v>125</v>
      </c>
      <c r="J3401" s="3">
        <v>6250</v>
      </c>
      <c r="K3401" s="4">
        <v>2188</v>
      </c>
      <c r="L3401" t="s">
        <v>27</v>
      </c>
    </row>
    <row r="3402" spans="1:12" x14ac:dyDescent="0.35">
      <c r="A3402" t="s">
        <v>42</v>
      </c>
      <c r="B3402">
        <v>1185732</v>
      </c>
      <c r="C3402" s="1">
        <v>44134</v>
      </c>
      <c r="D3402" t="s">
        <v>33</v>
      </c>
      <c r="E3402" t="s">
        <v>104</v>
      </c>
      <c r="F3402" t="s">
        <v>105</v>
      </c>
      <c r="G3402" t="s">
        <v>39</v>
      </c>
      <c r="H3402" s="2">
        <v>40</v>
      </c>
      <c r="I3402">
        <v>125</v>
      </c>
      <c r="J3402" s="3">
        <v>5000</v>
      </c>
      <c r="K3402" s="4">
        <v>1500</v>
      </c>
      <c r="L3402" t="s">
        <v>36</v>
      </c>
    </row>
    <row r="3403" spans="1:12" x14ac:dyDescent="0.35">
      <c r="A3403" t="s">
        <v>42</v>
      </c>
      <c r="B3403">
        <v>1185732</v>
      </c>
      <c r="C3403" s="1">
        <v>44147</v>
      </c>
      <c r="D3403" t="s">
        <v>33</v>
      </c>
      <c r="E3403" t="s">
        <v>104</v>
      </c>
      <c r="F3403" t="s">
        <v>105</v>
      </c>
      <c r="G3403" t="s">
        <v>32</v>
      </c>
      <c r="H3403" s="2">
        <v>40</v>
      </c>
      <c r="I3403">
        <v>125</v>
      </c>
      <c r="J3403" s="3">
        <v>5000</v>
      </c>
      <c r="K3403" s="4">
        <v>1500</v>
      </c>
      <c r="L3403" t="s">
        <v>36</v>
      </c>
    </row>
    <row r="3404" spans="1:12" x14ac:dyDescent="0.35">
      <c r="A3404" t="s">
        <v>42</v>
      </c>
      <c r="B3404">
        <v>1185732</v>
      </c>
      <c r="C3404" s="1">
        <v>44172</v>
      </c>
      <c r="D3404" t="s">
        <v>33</v>
      </c>
      <c r="E3404" t="s">
        <v>104</v>
      </c>
      <c r="F3404" t="s">
        <v>105</v>
      </c>
      <c r="G3404" t="s">
        <v>56</v>
      </c>
      <c r="H3404" s="2">
        <v>25</v>
      </c>
      <c r="I3404">
        <v>125</v>
      </c>
      <c r="J3404" s="3">
        <v>3125</v>
      </c>
      <c r="K3404" s="4">
        <v>1094</v>
      </c>
      <c r="L3404" t="s">
        <v>27</v>
      </c>
    </row>
    <row r="3405" spans="1:12" x14ac:dyDescent="0.35">
      <c r="A3405" t="s">
        <v>42</v>
      </c>
      <c r="B3405">
        <v>1185732</v>
      </c>
      <c r="C3405" s="1">
        <v>44173</v>
      </c>
      <c r="D3405" t="s">
        <v>33</v>
      </c>
      <c r="E3405" t="s">
        <v>104</v>
      </c>
      <c r="F3405" t="s">
        <v>105</v>
      </c>
      <c r="G3405" t="s">
        <v>70</v>
      </c>
      <c r="H3405" s="2">
        <v>35</v>
      </c>
      <c r="I3405">
        <v>125</v>
      </c>
      <c r="J3405" s="3">
        <v>4375</v>
      </c>
      <c r="K3405" s="4">
        <v>1313</v>
      </c>
      <c r="L3405" t="s">
        <v>27</v>
      </c>
    </row>
    <row r="3406" spans="1:12" x14ac:dyDescent="0.35">
      <c r="A3406" t="s">
        <v>42</v>
      </c>
      <c r="B3406">
        <v>1185732</v>
      </c>
      <c r="C3406" s="1">
        <v>44185</v>
      </c>
      <c r="D3406" t="s">
        <v>33</v>
      </c>
      <c r="E3406" t="s">
        <v>104</v>
      </c>
      <c r="F3406" t="s">
        <v>105</v>
      </c>
      <c r="G3406" t="s">
        <v>70</v>
      </c>
      <c r="H3406" s="2">
        <v>55</v>
      </c>
      <c r="I3406">
        <v>125</v>
      </c>
      <c r="J3406" s="3">
        <v>6875</v>
      </c>
      <c r="K3406" s="4">
        <v>2063</v>
      </c>
      <c r="L3406" t="s">
        <v>27</v>
      </c>
    </row>
    <row r="3407" spans="1:12" x14ac:dyDescent="0.35">
      <c r="A3407" t="s">
        <v>42</v>
      </c>
      <c r="B3407">
        <v>1185732</v>
      </c>
      <c r="C3407" s="1">
        <v>44341</v>
      </c>
      <c r="D3407" t="s">
        <v>33</v>
      </c>
      <c r="E3407" t="s">
        <v>120</v>
      </c>
      <c r="F3407" t="s">
        <v>121</v>
      </c>
      <c r="G3407" t="s">
        <v>70</v>
      </c>
      <c r="H3407" s="2">
        <v>45</v>
      </c>
      <c r="I3407">
        <v>125</v>
      </c>
      <c r="J3407" s="3">
        <v>5625</v>
      </c>
      <c r="K3407" s="4">
        <v>1969</v>
      </c>
      <c r="L3407" t="s">
        <v>27</v>
      </c>
    </row>
    <row r="3408" spans="1:12" x14ac:dyDescent="0.35">
      <c r="A3408" t="s">
        <v>42</v>
      </c>
      <c r="B3408">
        <v>1185732</v>
      </c>
      <c r="C3408" s="1">
        <v>44344</v>
      </c>
      <c r="D3408" t="s">
        <v>33</v>
      </c>
      <c r="E3408" t="s">
        <v>120</v>
      </c>
      <c r="F3408" t="s">
        <v>121</v>
      </c>
      <c r="G3408" t="s">
        <v>39</v>
      </c>
      <c r="H3408" s="2">
        <v>35</v>
      </c>
      <c r="I3408">
        <v>125</v>
      </c>
      <c r="J3408" s="3">
        <v>4375</v>
      </c>
      <c r="K3408" s="4">
        <v>1531</v>
      </c>
      <c r="L3408" t="s">
        <v>27</v>
      </c>
    </row>
    <row r="3409" spans="1:12" x14ac:dyDescent="0.35">
      <c r="A3409" t="s">
        <v>42</v>
      </c>
      <c r="B3409">
        <v>1185732</v>
      </c>
      <c r="C3409" s="1">
        <v>44347</v>
      </c>
      <c r="D3409" t="s">
        <v>33</v>
      </c>
      <c r="E3409" t="s">
        <v>120</v>
      </c>
      <c r="F3409" t="s">
        <v>121</v>
      </c>
      <c r="G3409" t="s">
        <v>70</v>
      </c>
      <c r="H3409" s="2">
        <v>45</v>
      </c>
      <c r="I3409">
        <v>125</v>
      </c>
      <c r="J3409" s="3">
        <v>5625</v>
      </c>
      <c r="K3409" s="4">
        <v>1969</v>
      </c>
      <c r="L3409" t="s">
        <v>27</v>
      </c>
    </row>
    <row r="3410" spans="1:12" x14ac:dyDescent="0.35">
      <c r="A3410" t="s">
        <v>42</v>
      </c>
      <c r="B3410">
        <v>1185732</v>
      </c>
      <c r="C3410" s="1">
        <v>44362</v>
      </c>
      <c r="D3410" t="s">
        <v>33</v>
      </c>
      <c r="E3410" t="s">
        <v>120</v>
      </c>
      <c r="F3410" t="s">
        <v>121</v>
      </c>
      <c r="G3410" t="s">
        <v>39</v>
      </c>
      <c r="H3410" s="2">
        <v>40</v>
      </c>
      <c r="I3410">
        <v>125</v>
      </c>
      <c r="J3410" s="3">
        <v>5000</v>
      </c>
      <c r="K3410" s="4">
        <v>1750</v>
      </c>
      <c r="L3410" t="s">
        <v>27</v>
      </c>
    </row>
    <row r="3411" spans="1:12" x14ac:dyDescent="0.35">
      <c r="A3411" t="s">
        <v>42</v>
      </c>
      <c r="B3411">
        <v>1185732</v>
      </c>
      <c r="C3411" s="1">
        <v>44382</v>
      </c>
      <c r="D3411" t="s">
        <v>33</v>
      </c>
      <c r="E3411" t="s">
        <v>120</v>
      </c>
      <c r="F3411" t="s">
        <v>121</v>
      </c>
      <c r="G3411" t="s">
        <v>56</v>
      </c>
      <c r="H3411" s="2">
        <v>30</v>
      </c>
      <c r="I3411">
        <v>125</v>
      </c>
      <c r="J3411" s="3">
        <v>3750</v>
      </c>
      <c r="K3411" s="4">
        <v>1500</v>
      </c>
      <c r="L3411" t="s">
        <v>27</v>
      </c>
    </row>
    <row r="3412" spans="1:12" x14ac:dyDescent="0.35">
      <c r="A3412" t="s">
        <v>42</v>
      </c>
      <c r="B3412">
        <v>1185732</v>
      </c>
      <c r="C3412" s="1">
        <v>44400</v>
      </c>
      <c r="D3412" t="s">
        <v>33</v>
      </c>
      <c r="E3412" t="s">
        <v>120</v>
      </c>
      <c r="F3412" t="s">
        <v>121</v>
      </c>
      <c r="G3412" t="s">
        <v>56</v>
      </c>
      <c r="H3412" s="2">
        <v>30</v>
      </c>
      <c r="I3412">
        <v>125</v>
      </c>
      <c r="J3412" s="3">
        <v>3750</v>
      </c>
      <c r="K3412" s="4">
        <v>1500</v>
      </c>
      <c r="L3412" t="s">
        <v>27</v>
      </c>
    </row>
    <row r="3413" spans="1:12" x14ac:dyDescent="0.35">
      <c r="A3413" t="s">
        <v>51</v>
      </c>
      <c r="B3413">
        <v>1185732</v>
      </c>
      <c r="C3413" s="1">
        <v>44508</v>
      </c>
      <c r="D3413" t="s">
        <v>43</v>
      </c>
      <c r="E3413" t="s">
        <v>122</v>
      </c>
      <c r="F3413" t="s">
        <v>86</v>
      </c>
      <c r="G3413" t="s">
        <v>56</v>
      </c>
      <c r="H3413" s="2">
        <v>45</v>
      </c>
      <c r="I3413">
        <v>125</v>
      </c>
      <c r="J3413" s="3">
        <v>5625</v>
      </c>
      <c r="K3413" s="4">
        <v>1688</v>
      </c>
      <c r="L3413" t="s">
        <v>27</v>
      </c>
    </row>
    <row r="3414" spans="1:12" x14ac:dyDescent="0.35">
      <c r="A3414" t="s">
        <v>51</v>
      </c>
      <c r="B3414">
        <v>1185732</v>
      </c>
      <c r="C3414" s="1">
        <v>44560</v>
      </c>
      <c r="D3414" t="s">
        <v>43</v>
      </c>
      <c r="E3414" t="s">
        <v>122</v>
      </c>
      <c r="F3414" t="s">
        <v>86</v>
      </c>
      <c r="G3414" t="s">
        <v>56</v>
      </c>
      <c r="H3414" s="2">
        <v>45</v>
      </c>
      <c r="I3414">
        <v>125</v>
      </c>
      <c r="J3414" s="3">
        <v>5625</v>
      </c>
      <c r="K3414" s="4">
        <v>1688</v>
      </c>
      <c r="L3414" t="s">
        <v>27</v>
      </c>
    </row>
    <row r="3415" spans="1:12" x14ac:dyDescent="0.35">
      <c r="A3415" t="s">
        <v>51</v>
      </c>
      <c r="B3415">
        <v>1185732</v>
      </c>
      <c r="C3415" s="1">
        <v>44561</v>
      </c>
      <c r="D3415" t="s">
        <v>43</v>
      </c>
      <c r="E3415" t="s">
        <v>122</v>
      </c>
      <c r="F3415" t="s">
        <v>86</v>
      </c>
      <c r="G3415" t="s">
        <v>70</v>
      </c>
      <c r="H3415" s="2">
        <v>55</v>
      </c>
      <c r="I3415">
        <v>125</v>
      </c>
      <c r="J3415" s="3">
        <v>6875</v>
      </c>
      <c r="K3415" s="4">
        <v>1719</v>
      </c>
      <c r="L3415" t="s">
        <v>27</v>
      </c>
    </row>
    <row r="3416" spans="1:12" x14ac:dyDescent="0.35">
      <c r="A3416" t="s">
        <v>51</v>
      </c>
      <c r="B3416">
        <v>1185732</v>
      </c>
      <c r="C3416" s="1">
        <v>44488</v>
      </c>
      <c r="D3416" t="s">
        <v>43</v>
      </c>
      <c r="E3416" t="s">
        <v>122</v>
      </c>
      <c r="F3416" t="s">
        <v>86</v>
      </c>
      <c r="G3416" t="s">
        <v>32</v>
      </c>
      <c r="H3416" s="2">
        <v>55</v>
      </c>
      <c r="I3416">
        <v>125</v>
      </c>
      <c r="J3416" s="3">
        <v>6875</v>
      </c>
      <c r="K3416" s="4">
        <v>2750</v>
      </c>
      <c r="L3416" t="s">
        <v>27</v>
      </c>
    </row>
    <row r="3417" spans="1:12" x14ac:dyDescent="0.35">
      <c r="A3417" t="s">
        <v>51</v>
      </c>
      <c r="B3417">
        <v>1185732</v>
      </c>
      <c r="C3417" s="1">
        <v>44275</v>
      </c>
      <c r="D3417" t="s">
        <v>48</v>
      </c>
      <c r="E3417" t="s">
        <v>137</v>
      </c>
      <c r="F3417" t="s">
        <v>138</v>
      </c>
      <c r="G3417" t="s">
        <v>56</v>
      </c>
      <c r="H3417" s="2">
        <v>50</v>
      </c>
      <c r="I3417">
        <v>125</v>
      </c>
      <c r="J3417" s="3">
        <v>6250</v>
      </c>
      <c r="K3417" s="4">
        <v>1563</v>
      </c>
      <c r="L3417" t="s">
        <v>27</v>
      </c>
    </row>
    <row r="3418" spans="1:12" x14ac:dyDescent="0.35">
      <c r="A3418" t="s">
        <v>42</v>
      </c>
      <c r="B3418">
        <v>1128299</v>
      </c>
      <c r="C3418" s="1">
        <v>44264</v>
      </c>
      <c r="D3418" t="s">
        <v>48</v>
      </c>
      <c r="E3418" t="s">
        <v>129</v>
      </c>
      <c r="F3418" t="s">
        <v>130</v>
      </c>
      <c r="G3418" t="s">
        <v>70</v>
      </c>
      <c r="H3418" s="2">
        <v>60</v>
      </c>
      <c r="I3418">
        <v>125</v>
      </c>
      <c r="J3418" s="3">
        <v>7500</v>
      </c>
      <c r="K3418" s="4">
        <v>1125</v>
      </c>
      <c r="L3418" t="s">
        <v>27</v>
      </c>
    </row>
    <row r="3419" spans="1:12" x14ac:dyDescent="0.35">
      <c r="A3419" t="s">
        <v>42</v>
      </c>
      <c r="B3419">
        <v>1128299</v>
      </c>
      <c r="C3419" s="1">
        <v>44251</v>
      </c>
      <c r="D3419" t="s">
        <v>13</v>
      </c>
      <c r="E3419" t="s">
        <v>99</v>
      </c>
      <c r="F3419" t="s">
        <v>100</v>
      </c>
      <c r="G3419" t="s">
        <v>70</v>
      </c>
      <c r="H3419" s="2">
        <v>45</v>
      </c>
      <c r="I3419">
        <v>125</v>
      </c>
      <c r="J3419" s="3">
        <v>5625</v>
      </c>
      <c r="K3419" s="4">
        <v>2250</v>
      </c>
      <c r="L3419" t="s">
        <v>36</v>
      </c>
    </row>
    <row r="3420" spans="1:12" x14ac:dyDescent="0.35">
      <c r="A3420" t="s">
        <v>42</v>
      </c>
      <c r="B3420">
        <v>1128299</v>
      </c>
      <c r="C3420" s="1">
        <v>44310</v>
      </c>
      <c r="D3420" t="s">
        <v>13</v>
      </c>
      <c r="E3420" t="s">
        <v>99</v>
      </c>
      <c r="F3420" t="s">
        <v>100</v>
      </c>
      <c r="G3420" t="s">
        <v>70</v>
      </c>
      <c r="H3420" s="2">
        <v>50</v>
      </c>
      <c r="I3420">
        <v>125</v>
      </c>
      <c r="J3420" s="3">
        <v>6250</v>
      </c>
      <c r="K3420" s="4">
        <v>2500</v>
      </c>
      <c r="L3420" t="s">
        <v>36</v>
      </c>
    </row>
    <row r="3421" spans="1:12" x14ac:dyDescent="0.35">
      <c r="A3421" t="s">
        <v>18</v>
      </c>
      <c r="B3421">
        <v>1128299</v>
      </c>
      <c r="C3421" s="1">
        <v>44251</v>
      </c>
      <c r="D3421" t="s">
        <v>48</v>
      </c>
      <c r="E3421" t="s">
        <v>85</v>
      </c>
      <c r="F3421" t="s">
        <v>86</v>
      </c>
      <c r="G3421" t="s">
        <v>70</v>
      </c>
      <c r="H3421" s="2">
        <v>45</v>
      </c>
      <c r="I3421">
        <v>125</v>
      </c>
      <c r="J3421" s="3">
        <v>5625</v>
      </c>
      <c r="K3421" s="4">
        <v>2250</v>
      </c>
      <c r="L3421" t="s">
        <v>36</v>
      </c>
    </row>
    <row r="3422" spans="1:12" x14ac:dyDescent="0.35">
      <c r="A3422" t="s">
        <v>18</v>
      </c>
      <c r="B3422">
        <v>1128299</v>
      </c>
      <c r="C3422" s="1">
        <v>44310</v>
      </c>
      <c r="D3422" t="s">
        <v>48</v>
      </c>
      <c r="E3422" t="s">
        <v>85</v>
      </c>
      <c r="F3422" t="s">
        <v>86</v>
      </c>
      <c r="G3422" t="s">
        <v>70</v>
      </c>
      <c r="H3422" s="2">
        <v>50</v>
      </c>
      <c r="I3422">
        <v>125</v>
      </c>
      <c r="J3422" s="3">
        <v>6250</v>
      </c>
      <c r="K3422" s="4">
        <v>2500</v>
      </c>
      <c r="L3422" t="s">
        <v>36</v>
      </c>
    </row>
    <row r="3423" spans="1:12" x14ac:dyDescent="0.35">
      <c r="A3423" t="s">
        <v>42</v>
      </c>
      <c r="B3423">
        <v>1128299</v>
      </c>
      <c r="C3423" s="1">
        <v>44277</v>
      </c>
      <c r="D3423" t="s">
        <v>48</v>
      </c>
      <c r="E3423" t="s">
        <v>123</v>
      </c>
      <c r="F3423" t="s">
        <v>124</v>
      </c>
      <c r="G3423" t="s">
        <v>70</v>
      </c>
      <c r="H3423" s="2">
        <v>55</v>
      </c>
      <c r="I3423">
        <v>125</v>
      </c>
      <c r="J3423" s="3">
        <v>6875</v>
      </c>
      <c r="K3423" s="4">
        <v>2063</v>
      </c>
      <c r="L3423" t="s">
        <v>17</v>
      </c>
    </row>
    <row r="3424" spans="1:12" x14ac:dyDescent="0.35">
      <c r="A3424" t="s">
        <v>51</v>
      </c>
      <c r="B3424">
        <v>1185732</v>
      </c>
      <c r="C3424" s="1">
        <v>44249</v>
      </c>
      <c r="D3424" t="s">
        <v>13</v>
      </c>
      <c r="E3424" t="s">
        <v>106</v>
      </c>
      <c r="F3424" t="s">
        <v>107</v>
      </c>
      <c r="G3424" t="s">
        <v>56</v>
      </c>
      <c r="H3424" s="2">
        <v>35</v>
      </c>
      <c r="I3424">
        <v>125</v>
      </c>
      <c r="J3424" s="3">
        <v>4375</v>
      </c>
      <c r="K3424" s="4">
        <v>1750</v>
      </c>
      <c r="L3424" t="s">
        <v>17</v>
      </c>
    </row>
    <row r="3425" spans="1:12" x14ac:dyDescent="0.35">
      <c r="A3425" t="s">
        <v>51</v>
      </c>
      <c r="B3425">
        <v>1185732</v>
      </c>
      <c r="C3425" s="1">
        <v>44308</v>
      </c>
      <c r="D3425" t="s">
        <v>13</v>
      </c>
      <c r="E3425" t="s">
        <v>106</v>
      </c>
      <c r="F3425" t="s">
        <v>107</v>
      </c>
      <c r="G3425" t="s">
        <v>70</v>
      </c>
      <c r="H3425" s="2">
        <v>50</v>
      </c>
      <c r="I3425">
        <v>125</v>
      </c>
      <c r="J3425" s="3">
        <v>6250</v>
      </c>
      <c r="K3425" s="4">
        <v>2188</v>
      </c>
      <c r="L3425" t="s">
        <v>17</v>
      </c>
    </row>
    <row r="3426" spans="1:12" x14ac:dyDescent="0.35">
      <c r="A3426" t="s">
        <v>51</v>
      </c>
      <c r="B3426">
        <v>1185732</v>
      </c>
      <c r="C3426" s="1">
        <v>44339</v>
      </c>
      <c r="D3426" t="s">
        <v>13</v>
      </c>
      <c r="E3426" t="s">
        <v>106</v>
      </c>
      <c r="F3426" t="s">
        <v>107</v>
      </c>
      <c r="G3426" t="s">
        <v>56</v>
      </c>
      <c r="H3426" s="2">
        <v>40</v>
      </c>
      <c r="I3426">
        <v>125</v>
      </c>
      <c r="J3426" s="3">
        <v>5000</v>
      </c>
      <c r="K3426" s="4">
        <v>2000</v>
      </c>
      <c r="L3426" t="s">
        <v>17</v>
      </c>
    </row>
    <row r="3427" spans="1:12" x14ac:dyDescent="0.35">
      <c r="A3427" t="s">
        <v>18</v>
      </c>
      <c r="B3427">
        <v>1197831</v>
      </c>
      <c r="C3427" s="1">
        <v>44274</v>
      </c>
      <c r="D3427" t="s">
        <v>19</v>
      </c>
      <c r="E3427" t="s">
        <v>61</v>
      </c>
      <c r="F3427" t="s">
        <v>62</v>
      </c>
      <c r="G3427" t="s">
        <v>56</v>
      </c>
      <c r="H3427" s="2">
        <v>20</v>
      </c>
      <c r="I3427">
        <v>125</v>
      </c>
      <c r="J3427" s="3">
        <v>2500</v>
      </c>
      <c r="K3427" s="4">
        <v>1000</v>
      </c>
      <c r="L3427" t="s">
        <v>17</v>
      </c>
    </row>
    <row r="3428" spans="1:12" x14ac:dyDescent="0.35">
      <c r="A3428" t="s">
        <v>63</v>
      </c>
      <c r="B3428">
        <v>1197831</v>
      </c>
      <c r="C3428" s="1">
        <v>44299</v>
      </c>
      <c r="D3428" t="s">
        <v>33</v>
      </c>
      <c r="E3428" t="s">
        <v>71</v>
      </c>
      <c r="F3428" t="s">
        <v>72</v>
      </c>
      <c r="G3428" t="s">
        <v>56</v>
      </c>
      <c r="H3428" s="2">
        <v>20</v>
      </c>
      <c r="I3428">
        <v>125</v>
      </c>
      <c r="J3428" s="3">
        <v>2500</v>
      </c>
      <c r="K3428" s="4">
        <v>875</v>
      </c>
      <c r="L3428" t="s">
        <v>17</v>
      </c>
    </row>
    <row r="3429" spans="1:12" x14ac:dyDescent="0.35">
      <c r="A3429" t="s">
        <v>42</v>
      </c>
      <c r="B3429">
        <v>1185732</v>
      </c>
      <c r="C3429" s="1">
        <v>44208</v>
      </c>
      <c r="D3429" t="s">
        <v>33</v>
      </c>
      <c r="E3429" t="s">
        <v>71</v>
      </c>
      <c r="F3429" t="s">
        <v>72</v>
      </c>
      <c r="G3429" t="s">
        <v>56</v>
      </c>
      <c r="H3429" s="2">
        <v>35</v>
      </c>
      <c r="I3429">
        <v>125</v>
      </c>
      <c r="J3429" s="3">
        <v>4375</v>
      </c>
      <c r="K3429" s="4">
        <v>1313</v>
      </c>
      <c r="L3429" t="s">
        <v>17</v>
      </c>
    </row>
    <row r="3430" spans="1:12" x14ac:dyDescent="0.35">
      <c r="A3430" t="s">
        <v>42</v>
      </c>
      <c r="B3430">
        <v>1185732</v>
      </c>
      <c r="C3430" s="1">
        <v>44266</v>
      </c>
      <c r="D3430" t="s">
        <v>33</v>
      </c>
      <c r="E3430" t="s">
        <v>87</v>
      </c>
      <c r="F3430" t="s">
        <v>88</v>
      </c>
      <c r="G3430" t="s">
        <v>70</v>
      </c>
      <c r="H3430" s="2">
        <v>50</v>
      </c>
      <c r="I3430">
        <v>125</v>
      </c>
      <c r="J3430" s="3">
        <v>6250</v>
      </c>
      <c r="K3430" s="4">
        <v>2188</v>
      </c>
      <c r="L3430" t="s">
        <v>17</v>
      </c>
    </row>
    <row r="3431" spans="1:12" x14ac:dyDescent="0.35">
      <c r="A3431" t="s">
        <v>42</v>
      </c>
      <c r="B3431">
        <v>1185732</v>
      </c>
      <c r="C3431" s="1">
        <v>44329</v>
      </c>
      <c r="D3431" t="s">
        <v>33</v>
      </c>
      <c r="E3431" t="s">
        <v>87</v>
      </c>
      <c r="F3431" t="s">
        <v>88</v>
      </c>
      <c r="G3431" t="s">
        <v>70</v>
      </c>
      <c r="H3431" s="2">
        <v>55</v>
      </c>
      <c r="I3431">
        <v>125</v>
      </c>
      <c r="J3431" s="3">
        <v>6875</v>
      </c>
      <c r="K3431" s="4">
        <v>2406</v>
      </c>
      <c r="L3431" t="s">
        <v>17</v>
      </c>
    </row>
    <row r="3432" spans="1:12" x14ac:dyDescent="0.35">
      <c r="A3432" t="s">
        <v>42</v>
      </c>
      <c r="B3432">
        <v>1185732</v>
      </c>
      <c r="C3432" s="1">
        <v>44481</v>
      </c>
      <c r="D3432" t="s">
        <v>33</v>
      </c>
      <c r="E3432" t="s">
        <v>87</v>
      </c>
      <c r="F3432" t="s">
        <v>88</v>
      </c>
      <c r="G3432" t="s">
        <v>56</v>
      </c>
      <c r="H3432" s="2">
        <v>45</v>
      </c>
      <c r="I3432">
        <v>125</v>
      </c>
      <c r="J3432" s="3">
        <v>5625</v>
      </c>
      <c r="K3432" s="4">
        <v>1688</v>
      </c>
      <c r="L3432" t="s">
        <v>17</v>
      </c>
    </row>
    <row r="3433" spans="1:12" x14ac:dyDescent="0.35">
      <c r="A3433" t="s">
        <v>42</v>
      </c>
      <c r="B3433">
        <v>1185732</v>
      </c>
      <c r="C3433" s="1">
        <v>44481</v>
      </c>
      <c r="D3433" t="s">
        <v>33</v>
      </c>
      <c r="E3433" t="s">
        <v>87</v>
      </c>
      <c r="F3433" t="s">
        <v>88</v>
      </c>
      <c r="G3433" t="s">
        <v>70</v>
      </c>
      <c r="H3433" s="2">
        <v>55</v>
      </c>
      <c r="I3433">
        <v>125</v>
      </c>
      <c r="J3433" s="3">
        <v>6875</v>
      </c>
      <c r="K3433" s="4">
        <v>2406</v>
      </c>
      <c r="L3433" t="s">
        <v>17</v>
      </c>
    </row>
    <row r="3434" spans="1:12" x14ac:dyDescent="0.35">
      <c r="A3434" t="s">
        <v>23</v>
      </c>
      <c r="B3434">
        <v>1185732</v>
      </c>
      <c r="C3434" s="1">
        <v>44205</v>
      </c>
      <c r="D3434" t="s">
        <v>33</v>
      </c>
      <c r="E3434" t="s">
        <v>87</v>
      </c>
      <c r="F3434" t="s">
        <v>88</v>
      </c>
      <c r="G3434" t="s">
        <v>56</v>
      </c>
      <c r="H3434" s="2">
        <v>30</v>
      </c>
      <c r="I3434">
        <v>125</v>
      </c>
      <c r="J3434" s="3">
        <v>3750</v>
      </c>
      <c r="K3434" s="4">
        <v>1125</v>
      </c>
      <c r="L3434" t="s">
        <v>17</v>
      </c>
    </row>
    <row r="3435" spans="1:12" x14ac:dyDescent="0.35">
      <c r="A3435" t="s">
        <v>23</v>
      </c>
      <c r="B3435">
        <v>1185732</v>
      </c>
      <c r="C3435" s="1">
        <v>44263</v>
      </c>
      <c r="D3435" t="s">
        <v>33</v>
      </c>
      <c r="E3435" t="s">
        <v>89</v>
      </c>
      <c r="F3435" t="s">
        <v>90</v>
      </c>
      <c r="G3435" t="s">
        <v>70</v>
      </c>
      <c r="H3435" s="2">
        <v>40</v>
      </c>
      <c r="I3435">
        <v>125</v>
      </c>
      <c r="J3435" s="3">
        <v>5000</v>
      </c>
      <c r="K3435" s="4">
        <v>1750</v>
      </c>
      <c r="L3435" t="s">
        <v>17</v>
      </c>
    </row>
    <row r="3436" spans="1:12" x14ac:dyDescent="0.35">
      <c r="A3436" t="s">
        <v>23</v>
      </c>
      <c r="B3436">
        <v>1185732</v>
      </c>
      <c r="C3436" s="1">
        <v>44326</v>
      </c>
      <c r="D3436" t="s">
        <v>33</v>
      </c>
      <c r="E3436" t="s">
        <v>89</v>
      </c>
      <c r="F3436" t="s">
        <v>90</v>
      </c>
      <c r="G3436" t="s">
        <v>70</v>
      </c>
      <c r="H3436" s="2">
        <v>50</v>
      </c>
      <c r="I3436">
        <v>125</v>
      </c>
      <c r="J3436" s="3">
        <v>6250</v>
      </c>
      <c r="K3436" s="4">
        <v>2188</v>
      </c>
      <c r="L3436" t="s">
        <v>36</v>
      </c>
    </row>
    <row r="3437" spans="1:12" x14ac:dyDescent="0.35">
      <c r="A3437" t="s">
        <v>23</v>
      </c>
      <c r="B3437">
        <v>1185732</v>
      </c>
      <c r="C3437" s="1">
        <v>44478</v>
      </c>
      <c r="D3437" t="s">
        <v>33</v>
      </c>
      <c r="E3437" t="s">
        <v>89</v>
      </c>
      <c r="F3437" t="s">
        <v>90</v>
      </c>
      <c r="G3437" t="s">
        <v>56</v>
      </c>
      <c r="H3437" s="2">
        <v>40</v>
      </c>
      <c r="I3437">
        <v>125</v>
      </c>
      <c r="J3437" s="3">
        <v>5000</v>
      </c>
      <c r="K3437" s="4">
        <v>1500</v>
      </c>
      <c r="L3437" t="s">
        <v>36</v>
      </c>
    </row>
    <row r="3438" spans="1:12" x14ac:dyDescent="0.35">
      <c r="A3438" t="s">
        <v>23</v>
      </c>
      <c r="B3438">
        <v>1185732</v>
      </c>
      <c r="C3438" s="1">
        <v>44478</v>
      </c>
      <c r="D3438" t="s">
        <v>33</v>
      </c>
      <c r="E3438" t="s">
        <v>89</v>
      </c>
      <c r="F3438" t="s">
        <v>90</v>
      </c>
      <c r="G3438" t="s">
        <v>70</v>
      </c>
      <c r="H3438" s="2">
        <v>50</v>
      </c>
      <c r="I3438">
        <v>125</v>
      </c>
      <c r="J3438" s="3">
        <v>6250</v>
      </c>
      <c r="K3438" s="4">
        <v>2188</v>
      </c>
      <c r="L3438" t="s">
        <v>36</v>
      </c>
    </row>
    <row r="3439" spans="1:12" x14ac:dyDescent="0.35">
      <c r="A3439" t="s">
        <v>42</v>
      </c>
      <c r="B3439">
        <v>1185732</v>
      </c>
      <c r="C3439" s="1">
        <v>44292</v>
      </c>
      <c r="D3439" t="s">
        <v>33</v>
      </c>
      <c r="E3439" t="s">
        <v>91</v>
      </c>
      <c r="F3439" t="s">
        <v>92</v>
      </c>
      <c r="G3439" t="s">
        <v>70</v>
      </c>
      <c r="H3439" s="2">
        <v>60</v>
      </c>
      <c r="I3439">
        <v>125</v>
      </c>
      <c r="J3439" s="3">
        <v>7500</v>
      </c>
      <c r="K3439" s="4">
        <v>3750</v>
      </c>
      <c r="L3439" t="s">
        <v>36</v>
      </c>
    </row>
    <row r="3440" spans="1:12" x14ac:dyDescent="0.35">
      <c r="A3440" t="s">
        <v>42</v>
      </c>
      <c r="B3440">
        <v>1185732</v>
      </c>
      <c r="C3440" s="1">
        <v>44323</v>
      </c>
      <c r="D3440" t="s">
        <v>33</v>
      </c>
      <c r="E3440" t="s">
        <v>91</v>
      </c>
      <c r="F3440" t="s">
        <v>92</v>
      </c>
      <c r="G3440" t="s">
        <v>56</v>
      </c>
      <c r="H3440" s="2">
        <v>35</v>
      </c>
      <c r="I3440">
        <v>125</v>
      </c>
      <c r="J3440" s="3">
        <v>4375</v>
      </c>
      <c r="K3440" s="4">
        <v>1313</v>
      </c>
      <c r="L3440" t="s">
        <v>36</v>
      </c>
    </row>
    <row r="3441" spans="1:12" x14ac:dyDescent="0.35">
      <c r="A3441" t="s">
        <v>42</v>
      </c>
      <c r="B3441">
        <v>1185732</v>
      </c>
      <c r="C3441" s="1">
        <v>44475</v>
      </c>
      <c r="D3441" t="s">
        <v>33</v>
      </c>
      <c r="E3441" t="s">
        <v>91</v>
      </c>
      <c r="F3441" t="s">
        <v>92</v>
      </c>
      <c r="G3441" t="s">
        <v>56</v>
      </c>
      <c r="H3441" s="2">
        <v>35</v>
      </c>
      <c r="I3441">
        <v>125</v>
      </c>
      <c r="J3441" s="3">
        <v>4375</v>
      </c>
      <c r="K3441" s="4">
        <v>1313</v>
      </c>
      <c r="L3441" t="s">
        <v>36</v>
      </c>
    </row>
    <row r="3442" spans="1:12" x14ac:dyDescent="0.35">
      <c r="A3442" t="s">
        <v>42</v>
      </c>
      <c r="B3442">
        <v>1185732</v>
      </c>
      <c r="C3442" s="1">
        <v>44475</v>
      </c>
      <c r="D3442" t="s">
        <v>33</v>
      </c>
      <c r="E3442" t="s">
        <v>91</v>
      </c>
      <c r="F3442" t="s">
        <v>92</v>
      </c>
      <c r="G3442" t="s">
        <v>70</v>
      </c>
      <c r="H3442" s="2">
        <v>45</v>
      </c>
      <c r="I3442">
        <v>125</v>
      </c>
      <c r="J3442" s="3">
        <v>5625</v>
      </c>
      <c r="K3442" s="4">
        <v>2813</v>
      </c>
      <c r="L3442" t="s">
        <v>36</v>
      </c>
    </row>
    <row r="3443" spans="1:12" x14ac:dyDescent="0.35">
      <c r="A3443" t="s">
        <v>18</v>
      </c>
      <c r="B3443">
        <v>1185732</v>
      </c>
      <c r="C3443" s="1">
        <v>44257</v>
      </c>
      <c r="D3443" t="s">
        <v>33</v>
      </c>
      <c r="E3443" t="s">
        <v>40</v>
      </c>
      <c r="F3443" t="s">
        <v>41</v>
      </c>
      <c r="G3443" t="s">
        <v>70</v>
      </c>
      <c r="H3443" s="2">
        <v>30</v>
      </c>
      <c r="I3443">
        <v>125</v>
      </c>
      <c r="J3443" s="3">
        <v>3750</v>
      </c>
      <c r="K3443" s="4">
        <v>1875</v>
      </c>
      <c r="L3443" t="s">
        <v>36</v>
      </c>
    </row>
    <row r="3444" spans="1:12" x14ac:dyDescent="0.35">
      <c r="A3444" t="s">
        <v>18</v>
      </c>
      <c r="B3444">
        <v>1185732</v>
      </c>
      <c r="C3444" s="1">
        <v>44443</v>
      </c>
      <c r="D3444" t="s">
        <v>33</v>
      </c>
      <c r="E3444" t="s">
        <v>40</v>
      </c>
      <c r="F3444" t="s">
        <v>41</v>
      </c>
      <c r="G3444" t="s">
        <v>56</v>
      </c>
      <c r="H3444" s="2">
        <v>25</v>
      </c>
      <c r="I3444">
        <v>125</v>
      </c>
      <c r="J3444" s="3">
        <v>3125</v>
      </c>
      <c r="K3444" s="4">
        <v>938</v>
      </c>
      <c r="L3444" t="s">
        <v>36</v>
      </c>
    </row>
    <row r="3445" spans="1:12" x14ac:dyDescent="0.35">
      <c r="A3445" t="s">
        <v>18</v>
      </c>
      <c r="B3445">
        <v>1185732</v>
      </c>
      <c r="C3445" s="1">
        <v>44443</v>
      </c>
      <c r="D3445" t="s">
        <v>33</v>
      </c>
      <c r="E3445" t="s">
        <v>40</v>
      </c>
      <c r="F3445" t="s">
        <v>41</v>
      </c>
      <c r="G3445" t="s">
        <v>70</v>
      </c>
      <c r="H3445" s="2">
        <v>35</v>
      </c>
      <c r="I3445">
        <v>125</v>
      </c>
      <c r="J3445" s="3">
        <v>4375</v>
      </c>
      <c r="K3445" s="4">
        <v>2188</v>
      </c>
      <c r="L3445" t="s">
        <v>36</v>
      </c>
    </row>
    <row r="3446" spans="1:12" x14ac:dyDescent="0.35">
      <c r="A3446" t="s">
        <v>18</v>
      </c>
      <c r="B3446">
        <v>1185732</v>
      </c>
      <c r="C3446" s="1">
        <v>44472</v>
      </c>
      <c r="D3446" t="s">
        <v>33</v>
      </c>
      <c r="E3446" t="s">
        <v>40</v>
      </c>
      <c r="F3446" t="s">
        <v>41</v>
      </c>
      <c r="G3446" t="s">
        <v>32</v>
      </c>
      <c r="H3446" s="2">
        <v>35</v>
      </c>
      <c r="I3446">
        <v>125</v>
      </c>
      <c r="J3446" s="3">
        <v>4375</v>
      </c>
      <c r="K3446" s="4">
        <v>1313</v>
      </c>
      <c r="L3446" t="s">
        <v>36</v>
      </c>
    </row>
    <row r="3447" spans="1:12" x14ac:dyDescent="0.35">
      <c r="A3447" t="s">
        <v>18</v>
      </c>
      <c r="B3447">
        <v>1185732</v>
      </c>
      <c r="C3447" s="1">
        <v>44472</v>
      </c>
      <c r="D3447" t="s">
        <v>33</v>
      </c>
      <c r="E3447" t="s">
        <v>40</v>
      </c>
      <c r="F3447" t="s">
        <v>41</v>
      </c>
      <c r="G3447" t="s">
        <v>56</v>
      </c>
      <c r="H3447" s="2">
        <v>35</v>
      </c>
      <c r="I3447">
        <v>125</v>
      </c>
      <c r="J3447" s="3">
        <v>4375</v>
      </c>
      <c r="K3447" s="4">
        <v>1313</v>
      </c>
      <c r="L3447" t="s">
        <v>36</v>
      </c>
    </row>
    <row r="3448" spans="1:12" x14ac:dyDescent="0.35">
      <c r="A3448" t="s">
        <v>18</v>
      </c>
      <c r="B3448">
        <v>1185732</v>
      </c>
      <c r="C3448" s="1">
        <v>44472</v>
      </c>
      <c r="D3448" t="s">
        <v>33</v>
      </c>
      <c r="E3448" t="s">
        <v>40</v>
      </c>
      <c r="F3448" t="s">
        <v>41</v>
      </c>
      <c r="G3448" t="s">
        <v>70</v>
      </c>
      <c r="H3448" s="2">
        <v>45</v>
      </c>
      <c r="I3448">
        <v>125</v>
      </c>
      <c r="J3448" s="3">
        <v>5625</v>
      </c>
      <c r="K3448" s="4">
        <v>2813</v>
      </c>
      <c r="L3448" t="s">
        <v>36</v>
      </c>
    </row>
    <row r="3449" spans="1:12" x14ac:dyDescent="0.35">
      <c r="A3449" t="s">
        <v>18</v>
      </c>
      <c r="B3449">
        <v>1185732</v>
      </c>
      <c r="C3449" s="1">
        <v>44237</v>
      </c>
      <c r="D3449" t="s">
        <v>33</v>
      </c>
      <c r="E3449" t="s">
        <v>81</v>
      </c>
      <c r="F3449" t="s">
        <v>82</v>
      </c>
      <c r="G3449" t="s">
        <v>56</v>
      </c>
      <c r="H3449" s="2">
        <v>30</v>
      </c>
      <c r="I3449">
        <v>125</v>
      </c>
      <c r="J3449" s="3">
        <v>3750</v>
      </c>
      <c r="K3449" s="4">
        <v>1313</v>
      </c>
      <c r="L3449" t="s">
        <v>36</v>
      </c>
    </row>
    <row r="3450" spans="1:12" x14ac:dyDescent="0.35">
      <c r="A3450" t="s">
        <v>18</v>
      </c>
      <c r="B3450">
        <v>1185732</v>
      </c>
      <c r="C3450" s="1">
        <v>44264</v>
      </c>
      <c r="D3450" t="s">
        <v>33</v>
      </c>
      <c r="E3450" t="s">
        <v>81</v>
      </c>
      <c r="F3450" t="s">
        <v>82</v>
      </c>
      <c r="G3450" t="s">
        <v>56</v>
      </c>
      <c r="H3450" s="2">
        <v>20</v>
      </c>
      <c r="I3450">
        <v>125</v>
      </c>
      <c r="J3450" s="3">
        <v>2500</v>
      </c>
      <c r="K3450" s="4">
        <v>875</v>
      </c>
      <c r="L3450" t="s">
        <v>36</v>
      </c>
    </row>
    <row r="3451" spans="1:12" x14ac:dyDescent="0.35">
      <c r="A3451" t="s">
        <v>18</v>
      </c>
      <c r="B3451">
        <v>1185732</v>
      </c>
      <c r="C3451" s="1">
        <v>44296</v>
      </c>
      <c r="D3451" t="s">
        <v>33</v>
      </c>
      <c r="E3451" t="s">
        <v>81</v>
      </c>
      <c r="F3451" t="s">
        <v>82</v>
      </c>
      <c r="G3451" t="s">
        <v>56</v>
      </c>
      <c r="H3451" s="2">
        <v>20</v>
      </c>
      <c r="I3451">
        <v>125</v>
      </c>
      <c r="J3451" s="3">
        <v>2500</v>
      </c>
      <c r="K3451" s="4">
        <v>875</v>
      </c>
      <c r="L3451" t="s">
        <v>36</v>
      </c>
    </row>
    <row r="3452" spans="1:12" x14ac:dyDescent="0.35">
      <c r="A3452" t="s">
        <v>42</v>
      </c>
      <c r="B3452">
        <v>1185732</v>
      </c>
      <c r="C3452" s="1">
        <v>44220</v>
      </c>
      <c r="D3452" t="s">
        <v>43</v>
      </c>
      <c r="E3452" t="s">
        <v>64</v>
      </c>
      <c r="F3452" t="s">
        <v>65</v>
      </c>
      <c r="G3452" t="s">
        <v>70</v>
      </c>
      <c r="H3452" s="2">
        <v>45</v>
      </c>
      <c r="I3452">
        <v>125</v>
      </c>
      <c r="J3452" s="3">
        <v>5625</v>
      </c>
      <c r="K3452" s="4">
        <v>1688</v>
      </c>
      <c r="L3452" t="s">
        <v>36</v>
      </c>
    </row>
    <row r="3453" spans="1:12" x14ac:dyDescent="0.35">
      <c r="A3453" t="s">
        <v>18</v>
      </c>
      <c r="B3453">
        <v>1185732</v>
      </c>
      <c r="C3453" s="1">
        <v>44249</v>
      </c>
      <c r="D3453" t="s">
        <v>43</v>
      </c>
      <c r="E3453" t="s">
        <v>64</v>
      </c>
      <c r="F3453" t="s">
        <v>65</v>
      </c>
      <c r="G3453" t="s">
        <v>39</v>
      </c>
      <c r="H3453" s="2">
        <v>35</v>
      </c>
      <c r="I3453">
        <v>125</v>
      </c>
      <c r="J3453" s="3">
        <v>4375</v>
      </c>
      <c r="K3453" s="4">
        <v>1531</v>
      </c>
      <c r="L3453" t="s">
        <v>36</v>
      </c>
    </row>
    <row r="3454" spans="1:12" x14ac:dyDescent="0.35">
      <c r="A3454" t="s">
        <v>18</v>
      </c>
      <c r="B3454">
        <v>1185732</v>
      </c>
      <c r="C3454" s="1">
        <v>44249</v>
      </c>
      <c r="D3454" t="s">
        <v>43</v>
      </c>
      <c r="E3454" t="s">
        <v>93</v>
      </c>
      <c r="F3454" t="s">
        <v>94</v>
      </c>
      <c r="G3454" t="s">
        <v>70</v>
      </c>
      <c r="H3454" s="2">
        <v>45</v>
      </c>
      <c r="I3454">
        <v>125</v>
      </c>
      <c r="J3454" s="3">
        <v>5625</v>
      </c>
      <c r="K3454" s="4">
        <v>1688</v>
      </c>
      <c r="L3454" t="s">
        <v>36</v>
      </c>
    </row>
    <row r="3455" spans="1:12" x14ac:dyDescent="0.35">
      <c r="A3455" t="s">
        <v>18</v>
      </c>
      <c r="B3455">
        <v>1185732</v>
      </c>
      <c r="C3455" s="1">
        <v>44307</v>
      </c>
      <c r="D3455" t="s">
        <v>43</v>
      </c>
      <c r="E3455" t="s">
        <v>93</v>
      </c>
      <c r="F3455" t="s">
        <v>94</v>
      </c>
      <c r="G3455" t="s">
        <v>39</v>
      </c>
      <c r="H3455" s="2">
        <v>35</v>
      </c>
      <c r="I3455">
        <v>125</v>
      </c>
      <c r="J3455" s="3">
        <v>4375</v>
      </c>
      <c r="K3455" s="4">
        <v>1531</v>
      </c>
      <c r="L3455" t="s">
        <v>36</v>
      </c>
    </row>
    <row r="3456" spans="1:12" x14ac:dyDescent="0.35">
      <c r="A3456" t="s">
        <v>18</v>
      </c>
      <c r="B3456">
        <v>1185732</v>
      </c>
      <c r="C3456" s="1">
        <v>44307</v>
      </c>
      <c r="D3456" t="s">
        <v>43</v>
      </c>
      <c r="E3456" t="s">
        <v>93</v>
      </c>
      <c r="F3456" t="s">
        <v>94</v>
      </c>
      <c r="G3456" t="s">
        <v>32</v>
      </c>
      <c r="H3456" s="2">
        <v>25</v>
      </c>
      <c r="I3456">
        <v>125</v>
      </c>
      <c r="J3456" s="3">
        <v>3125</v>
      </c>
      <c r="K3456" s="4">
        <v>1094</v>
      </c>
      <c r="L3456" t="s">
        <v>36</v>
      </c>
    </row>
    <row r="3457" spans="1:12" x14ac:dyDescent="0.35">
      <c r="A3457" t="s">
        <v>18</v>
      </c>
      <c r="B3457">
        <v>1185732</v>
      </c>
      <c r="C3457" s="1">
        <v>44336</v>
      </c>
      <c r="D3457" t="s">
        <v>43</v>
      </c>
      <c r="E3457" t="s">
        <v>93</v>
      </c>
      <c r="F3457" t="s">
        <v>94</v>
      </c>
      <c r="G3457" t="s">
        <v>70</v>
      </c>
      <c r="H3457" s="2">
        <v>50</v>
      </c>
      <c r="I3457">
        <v>125</v>
      </c>
      <c r="J3457" s="3">
        <v>6250</v>
      </c>
      <c r="K3457" s="4">
        <v>1875</v>
      </c>
      <c r="L3457" t="s">
        <v>36</v>
      </c>
    </row>
    <row r="3458" spans="1:12" x14ac:dyDescent="0.35">
      <c r="A3458" t="s">
        <v>23</v>
      </c>
      <c r="B3458">
        <v>1185732</v>
      </c>
      <c r="C3458" s="1">
        <v>44429</v>
      </c>
      <c r="D3458" t="s">
        <v>43</v>
      </c>
      <c r="E3458" t="s">
        <v>93</v>
      </c>
      <c r="F3458" t="s">
        <v>94</v>
      </c>
      <c r="G3458" t="s">
        <v>70</v>
      </c>
      <c r="H3458" s="2">
        <v>50</v>
      </c>
      <c r="I3458">
        <v>125</v>
      </c>
      <c r="J3458" s="3">
        <v>6250</v>
      </c>
      <c r="K3458" s="4">
        <v>1875</v>
      </c>
      <c r="L3458" t="s">
        <v>36</v>
      </c>
    </row>
    <row r="3459" spans="1:12" x14ac:dyDescent="0.35">
      <c r="A3459" t="s">
        <v>23</v>
      </c>
      <c r="B3459">
        <v>1185732</v>
      </c>
      <c r="C3459" s="1">
        <v>44459</v>
      </c>
      <c r="D3459" t="s">
        <v>43</v>
      </c>
      <c r="E3459" t="s">
        <v>93</v>
      </c>
      <c r="F3459" t="s">
        <v>94</v>
      </c>
      <c r="G3459" t="s">
        <v>32</v>
      </c>
      <c r="H3459" s="2">
        <v>40</v>
      </c>
      <c r="I3459">
        <v>125</v>
      </c>
      <c r="J3459" s="3">
        <v>5000</v>
      </c>
      <c r="K3459" s="4">
        <v>1750</v>
      </c>
      <c r="L3459" t="s">
        <v>36</v>
      </c>
    </row>
    <row r="3460" spans="1:12" x14ac:dyDescent="0.35">
      <c r="A3460" t="s">
        <v>42</v>
      </c>
      <c r="B3460">
        <v>1185732</v>
      </c>
      <c r="C3460" s="1">
        <v>44521</v>
      </c>
      <c r="D3460" t="s">
        <v>43</v>
      </c>
      <c r="E3460" t="s">
        <v>93</v>
      </c>
      <c r="F3460" t="s">
        <v>94</v>
      </c>
      <c r="G3460" t="s">
        <v>70</v>
      </c>
      <c r="H3460" s="2">
        <v>60</v>
      </c>
      <c r="I3460">
        <v>125</v>
      </c>
      <c r="J3460" s="3">
        <v>7500</v>
      </c>
      <c r="K3460" s="4">
        <v>2250</v>
      </c>
      <c r="L3460" t="s">
        <v>36</v>
      </c>
    </row>
    <row r="3461" spans="1:12" x14ac:dyDescent="0.35">
      <c r="A3461" t="s">
        <v>42</v>
      </c>
      <c r="B3461">
        <v>1185732</v>
      </c>
      <c r="C3461" s="1">
        <v>44268</v>
      </c>
      <c r="D3461" t="s">
        <v>43</v>
      </c>
      <c r="E3461" t="s">
        <v>95</v>
      </c>
      <c r="F3461" t="s">
        <v>96</v>
      </c>
      <c r="G3461" t="s">
        <v>56</v>
      </c>
      <c r="H3461" s="2">
        <v>35</v>
      </c>
      <c r="I3461">
        <v>125</v>
      </c>
      <c r="J3461" s="3">
        <v>4375</v>
      </c>
      <c r="K3461" s="4">
        <v>1750</v>
      </c>
      <c r="L3461" t="s">
        <v>36</v>
      </c>
    </row>
    <row r="3462" spans="1:12" x14ac:dyDescent="0.35">
      <c r="A3462" t="s">
        <v>63</v>
      </c>
      <c r="B3462">
        <v>1185732</v>
      </c>
      <c r="C3462" s="1">
        <v>44206</v>
      </c>
      <c r="D3462" t="s">
        <v>43</v>
      </c>
      <c r="E3462" t="s">
        <v>95</v>
      </c>
      <c r="F3462" t="s">
        <v>96</v>
      </c>
      <c r="G3462" t="s">
        <v>56</v>
      </c>
      <c r="H3462" s="2">
        <v>30</v>
      </c>
      <c r="I3462">
        <v>125</v>
      </c>
      <c r="J3462" s="3">
        <v>3750</v>
      </c>
      <c r="K3462" s="4">
        <v>1500</v>
      </c>
      <c r="L3462" t="s">
        <v>36</v>
      </c>
    </row>
    <row r="3463" spans="1:12" x14ac:dyDescent="0.35">
      <c r="A3463" t="s">
        <v>63</v>
      </c>
      <c r="B3463">
        <v>1185732</v>
      </c>
      <c r="C3463" s="1">
        <v>44261</v>
      </c>
      <c r="D3463" t="s">
        <v>43</v>
      </c>
      <c r="E3463" t="s">
        <v>83</v>
      </c>
      <c r="F3463" t="s">
        <v>84</v>
      </c>
      <c r="G3463" t="s">
        <v>70</v>
      </c>
      <c r="H3463" s="2">
        <v>45</v>
      </c>
      <c r="I3463">
        <v>125</v>
      </c>
      <c r="J3463" s="3">
        <v>5625</v>
      </c>
      <c r="K3463" s="4">
        <v>1688</v>
      </c>
      <c r="L3463" t="s">
        <v>36</v>
      </c>
    </row>
    <row r="3464" spans="1:12" x14ac:dyDescent="0.35">
      <c r="A3464" t="s">
        <v>63</v>
      </c>
      <c r="B3464">
        <v>1185732</v>
      </c>
      <c r="C3464" s="1">
        <v>44477</v>
      </c>
      <c r="D3464" t="s">
        <v>43</v>
      </c>
      <c r="E3464" t="s">
        <v>83</v>
      </c>
      <c r="F3464" t="s">
        <v>84</v>
      </c>
      <c r="G3464" t="s">
        <v>56</v>
      </c>
      <c r="H3464" s="2">
        <v>50</v>
      </c>
      <c r="I3464">
        <v>125</v>
      </c>
      <c r="J3464" s="3">
        <v>6250</v>
      </c>
      <c r="K3464" s="4">
        <v>2500</v>
      </c>
      <c r="L3464" t="s">
        <v>36</v>
      </c>
    </row>
    <row r="3465" spans="1:12" x14ac:dyDescent="0.35">
      <c r="A3465" t="s">
        <v>63</v>
      </c>
      <c r="B3465">
        <v>1185732</v>
      </c>
      <c r="C3465" s="1">
        <v>44477</v>
      </c>
      <c r="D3465" t="s">
        <v>43</v>
      </c>
      <c r="E3465" t="s">
        <v>83</v>
      </c>
      <c r="F3465" t="s">
        <v>84</v>
      </c>
      <c r="G3465" t="s">
        <v>70</v>
      </c>
      <c r="H3465" s="2">
        <v>60</v>
      </c>
      <c r="I3465">
        <v>125</v>
      </c>
      <c r="J3465" s="3">
        <v>7500</v>
      </c>
      <c r="K3465" s="4">
        <v>2250</v>
      </c>
      <c r="L3465" t="s">
        <v>36</v>
      </c>
    </row>
    <row r="3466" spans="1:12" x14ac:dyDescent="0.35">
      <c r="A3466" t="s">
        <v>23</v>
      </c>
      <c r="B3466">
        <v>1185732</v>
      </c>
      <c r="C3466" s="1">
        <v>44232</v>
      </c>
      <c r="D3466" t="s">
        <v>43</v>
      </c>
      <c r="E3466" t="s">
        <v>108</v>
      </c>
      <c r="F3466" t="s">
        <v>109</v>
      </c>
      <c r="G3466" t="s">
        <v>56</v>
      </c>
      <c r="H3466" s="2">
        <v>35</v>
      </c>
      <c r="I3466">
        <v>125</v>
      </c>
      <c r="J3466" s="3">
        <v>4375</v>
      </c>
      <c r="K3466" s="4">
        <v>1313</v>
      </c>
      <c r="L3466" t="s">
        <v>36</v>
      </c>
    </row>
    <row r="3467" spans="1:12" x14ac:dyDescent="0.35">
      <c r="A3467" t="s">
        <v>23</v>
      </c>
      <c r="B3467">
        <v>1185732</v>
      </c>
      <c r="C3467" s="1">
        <v>44290</v>
      </c>
      <c r="D3467" t="s">
        <v>43</v>
      </c>
      <c r="E3467" t="s">
        <v>108</v>
      </c>
      <c r="F3467" t="s">
        <v>109</v>
      </c>
      <c r="G3467" t="s">
        <v>56</v>
      </c>
      <c r="H3467" s="2">
        <v>35</v>
      </c>
      <c r="I3467">
        <v>125</v>
      </c>
      <c r="J3467" s="3">
        <v>4375</v>
      </c>
      <c r="K3467" s="4">
        <v>1313</v>
      </c>
      <c r="L3467" t="s">
        <v>36</v>
      </c>
    </row>
    <row r="3468" spans="1:12" x14ac:dyDescent="0.35">
      <c r="A3468" t="s">
        <v>23</v>
      </c>
      <c r="B3468">
        <v>1185732</v>
      </c>
      <c r="C3468" s="1">
        <v>44290</v>
      </c>
      <c r="D3468" t="s">
        <v>43</v>
      </c>
      <c r="E3468" t="s">
        <v>108</v>
      </c>
      <c r="F3468" t="s">
        <v>109</v>
      </c>
      <c r="G3468" t="s">
        <v>70</v>
      </c>
      <c r="H3468" s="2">
        <v>50</v>
      </c>
      <c r="I3468">
        <v>125</v>
      </c>
      <c r="J3468" s="3">
        <v>6250</v>
      </c>
      <c r="K3468" s="4">
        <v>1875</v>
      </c>
      <c r="L3468" t="s">
        <v>36</v>
      </c>
    </row>
    <row r="3469" spans="1:12" x14ac:dyDescent="0.35">
      <c r="A3469" t="s">
        <v>42</v>
      </c>
      <c r="B3469">
        <v>1185732</v>
      </c>
      <c r="C3469" s="1">
        <v>44206</v>
      </c>
      <c r="D3469" t="s">
        <v>43</v>
      </c>
      <c r="E3469" t="s">
        <v>108</v>
      </c>
      <c r="F3469" t="s">
        <v>109</v>
      </c>
      <c r="G3469" t="s">
        <v>70</v>
      </c>
      <c r="H3469" s="2">
        <v>45</v>
      </c>
      <c r="I3469">
        <v>125</v>
      </c>
      <c r="J3469" s="3">
        <v>5625</v>
      </c>
      <c r="K3469" s="4">
        <v>1688</v>
      </c>
      <c r="L3469" t="s">
        <v>36</v>
      </c>
    </row>
    <row r="3470" spans="1:12" x14ac:dyDescent="0.35">
      <c r="A3470" t="s">
        <v>42</v>
      </c>
      <c r="B3470">
        <v>1185732</v>
      </c>
      <c r="C3470" s="1">
        <v>44235</v>
      </c>
      <c r="D3470" t="s">
        <v>43</v>
      </c>
      <c r="E3470" t="s">
        <v>108</v>
      </c>
      <c r="F3470" t="s">
        <v>109</v>
      </c>
      <c r="G3470" t="s">
        <v>39</v>
      </c>
      <c r="H3470" s="2">
        <v>35</v>
      </c>
      <c r="I3470">
        <v>125</v>
      </c>
      <c r="J3470" s="3">
        <v>4375</v>
      </c>
      <c r="K3470" s="4">
        <v>1531</v>
      </c>
      <c r="L3470" t="s">
        <v>36</v>
      </c>
    </row>
    <row r="3471" spans="1:12" x14ac:dyDescent="0.35">
      <c r="A3471" t="s">
        <v>42</v>
      </c>
      <c r="B3471">
        <v>1185732</v>
      </c>
      <c r="C3471" s="1">
        <v>44235</v>
      </c>
      <c r="D3471" t="s">
        <v>43</v>
      </c>
      <c r="E3471" t="s">
        <v>110</v>
      </c>
      <c r="F3471" t="s">
        <v>111</v>
      </c>
      <c r="G3471" t="s">
        <v>70</v>
      </c>
      <c r="H3471" s="2">
        <v>45</v>
      </c>
      <c r="I3471">
        <v>125</v>
      </c>
      <c r="J3471" s="3">
        <v>5625</v>
      </c>
      <c r="K3471" s="4">
        <v>1688</v>
      </c>
      <c r="L3471" t="s">
        <v>36</v>
      </c>
    </row>
    <row r="3472" spans="1:12" x14ac:dyDescent="0.35">
      <c r="A3472" t="s">
        <v>42</v>
      </c>
      <c r="B3472">
        <v>1185732</v>
      </c>
      <c r="C3472" s="1">
        <v>44293</v>
      </c>
      <c r="D3472" t="s">
        <v>43</v>
      </c>
      <c r="E3472" t="s">
        <v>110</v>
      </c>
      <c r="F3472" t="s">
        <v>111</v>
      </c>
      <c r="G3472" t="s">
        <v>39</v>
      </c>
      <c r="H3472" s="2">
        <v>35</v>
      </c>
      <c r="I3472">
        <v>125</v>
      </c>
      <c r="J3472" s="3">
        <v>4375</v>
      </c>
      <c r="K3472" s="4">
        <v>1531</v>
      </c>
      <c r="L3472" t="s">
        <v>36</v>
      </c>
    </row>
    <row r="3473" spans="1:12" x14ac:dyDescent="0.35">
      <c r="A3473" t="s">
        <v>42</v>
      </c>
      <c r="B3473">
        <v>1185732</v>
      </c>
      <c r="C3473" s="1">
        <v>44293</v>
      </c>
      <c r="D3473" t="s">
        <v>43</v>
      </c>
      <c r="E3473" t="s">
        <v>110</v>
      </c>
      <c r="F3473" t="s">
        <v>111</v>
      </c>
      <c r="G3473" t="s">
        <v>32</v>
      </c>
      <c r="H3473" s="2">
        <v>25</v>
      </c>
      <c r="I3473">
        <v>125</v>
      </c>
      <c r="J3473" s="3">
        <v>3125</v>
      </c>
      <c r="K3473" s="4">
        <v>1250</v>
      </c>
      <c r="L3473" t="s">
        <v>36</v>
      </c>
    </row>
    <row r="3474" spans="1:12" x14ac:dyDescent="0.35">
      <c r="A3474" t="s">
        <v>42</v>
      </c>
      <c r="B3474">
        <v>1185732</v>
      </c>
      <c r="C3474" s="1">
        <v>44415</v>
      </c>
      <c r="D3474" t="s">
        <v>43</v>
      </c>
      <c r="E3474" t="s">
        <v>110</v>
      </c>
      <c r="F3474" t="s">
        <v>111</v>
      </c>
      <c r="G3474" t="s">
        <v>70</v>
      </c>
      <c r="H3474" s="2">
        <v>50</v>
      </c>
      <c r="I3474">
        <v>125</v>
      </c>
      <c r="J3474" s="3">
        <v>6250</v>
      </c>
      <c r="K3474" s="4">
        <v>1875</v>
      </c>
      <c r="L3474" t="s">
        <v>36</v>
      </c>
    </row>
    <row r="3475" spans="1:12" x14ac:dyDescent="0.35">
      <c r="A3475" t="s">
        <v>42</v>
      </c>
      <c r="B3475">
        <v>1185732</v>
      </c>
      <c r="C3475" s="1">
        <v>44445</v>
      </c>
      <c r="D3475" t="s">
        <v>43</v>
      </c>
      <c r="E3475" t="s">
        <v>110</v>
      </c>
      <c r="F3475" t="s">
        <v>111</v>
      </c>
      <c r="G3475" t="s">
        <v>32</v>
      </c>
      <c r="H3475" s="2">
        <v>40</v>
      </c>
      <c r="I3475">
        <v>125</v>
      </c>
      <c r="J3475" s="3">
        <v>5000</v>
      </c>
      <c r="K3475" s="4">
        <v>2000</v>
      </c>
      <c r="L3475" t="s">
        <v>36</v>
      </c>
    </row>
    <row r="3476" spans="1:12" x14ac:dyDescent="0.35">
      <c r="A3476" t="s">
        <v>23</v>
      </c>
      <c r="B3476">
        <v>1185732</v>
      </c>
      <c r="C3476" s="1">
        <v>44300</v>
      </c>
      <c r="D3476" t="s">
        <v>43</v>
      </c>
      <c r="E3476" t="s">
        <v>112</v>
      </c>
      <c r="F3476" t="s">
        <v>113</v>
      </c>
      <c r="G3476" t="s">
        <v>56</v>
      </c>
      <c r="H3476" s="2">
        <v>35</v>
      </c>
      <c r="I3476">
        <v>125</v>
      </c>
      <c r="J3476" s="3">
        <v>4375</v>
      </c>
      <c r="K3476" s="4">
        <v>1094</v>
      </c>
      <c r="L3476" t="s">
        <v>36</v>
      </c>
    </row>
    <row r="3477" spans="1:12" x14ac:dyDescent="0.35">
      <c r="A3477" t="s">
        <v>23</v>
      </c>
      <c r="B3477">
        <v>1185732</v>
      </c>
      <c r="C3477" s="1">
        <v>44300</v>
      </c>
      <c r="D3477" t="s">
        <v>43</v>
      </c>
      <c r="E3477" t="s">
        <v>112</v>
      </c>
      <c r="F3477" t="s">
        <v>113</v>
      </c>
      <c r="G3477" t="s">
        <v>70</v>
      </c>
      <c r="H3477" s="2">
        <v>50</v>
      </c>
      <c r="I3477">
        <v>125</v>
      </c>
      <c r="J3477" s="3">
        <v>6250</v>
      </c>
      <c r="K3477" s="4">
        <v>1563</v>
      </c>
      <c r="L3477" t="s">
        <v>36</v>
      </c>
    </row>
    <row r="3478" spans="1:12" x14ac:dyDescent="0.35">
      <c r="A3478" t="s">
        <v>23</v>
      </c>
      <c r="B3478">
        <v>1185732</v>
      </c>
      <c r="C3478" s="1">
        <v>44452</v>
      </c>
      <c r="D3478" t="s">
        <v>43</v>
      </c>
      <c r="E3478" t="s">
        <v>112</v>
      </c>
      <c r="F3478" t="s">
        <v>113</v>
      </c>
      <c r="G3478" t="s">
        <v>56</v>
      </c>
      <c r="H3478" s="2">
        <v>45</v>
      </c>
      <c r="I3478">
        <v>125</v>
      </c>
      <c r="J3478" s="3">
        <v>5625</v>
      </c>
      <c r="K3478" s="4">
        <v>1406</v>
      </c>
      <c r="L3478" t="s">
        <v>36</v>
      </c>
    </row>
    <row r="3479" spans="1:12" x14ac:dyDescent="0.35">
      <c r="A3479" t="s">
        <v>23</v>
      </c>
      <c r="B3479">
        <v>1185732</v>
      </c>
      <c r="C3479" s="1">
        <v>44452</v>
      </c>
      <c r="D3479" t="s">
        <v>43</v>
      </c>
      <c r="E3479" t="s">
        <v>112</v>
      </c>
      <c r="F3479" t="s">
        <v>113</v>
      </c>
      <c r="G3479" t="s">
        <v>70</v>
      </c>
      <c r="H3479" s="2">
        <v>55</v>
      </c>
      <c r="I3479">
        <v>125</v>
      </c>
      <c r="J3479" s="3">
        <v>6875</v>
      </c>
      <c r="K3479" s="4">
        <v>1719</v>
      </c>
      <c r="L3479" t="s">
        <v>36</v>
      </c>
    </row>
    <row r="3480" spans="1:12" x14ac:dyDescent="0.35">
      <c r="A3480" t="s">
        <v>23</v>
      </c>
      <c r="B3480">
        <v>1185732</v>
      </c>
      <c r="C3480" s="1">
        <v>44484</v>
      </c>
      <c r="D3480" t="s">
        <v>43</v>
      </c>
      <c r="E3480" t="s">
        <v>112</v>
      </c>
      <c r="F3480" t="s">
        <v>113</v>
      </c>
      <c r="G3480" t="s">
        <v>32</v>
      </c>
      <c r="H3480" s="2">
        <v>55</v>
      </c>
      <c r="I3480">
        <v>125</v>
      </c>
      <c r="J3480" s="3">
        <v>6875</v>
      </c>
      <c r="K3480" s="4">
        <v>1719</v>
      </c>
      <c r="L3480" t="s">
        <v>36</v>
      </c>
    </row>
    <row r="3481" spans="1:12" x14ac:dyDescent="0.35">
      <c r="A3481" t="s">
        <v>51</v>
      </c>
      <c r="B3481">
        <v>1185732</v>
      </c>
      <c r="C3481" s="1">
        <v>44265</v>
      </c>
      <c r="D3481" t="s">
        <v>43</v>
      </c>
      <c r="E3481" t="s">
        <v>125</v>
      </c>
      <c r="F3481" t="s">
        <v>126</v>
      </c>
      <c r="G3481" t="s">
        <v>56</v>
      </c>
      <c r="H3481" s="2">
        <v>40</v>
      </c>
      <c r="I3481">
        <v>125</v>
      </c>
      <c r="J3481" s="3">
        <v>5000</v>
      </c>
      <c r="K3481" s="4">
        <v>1750</v>
      </c>
      <c r="L3481" t="s">
        <v>36</v>
      </c>
    </row>
    <row r="3482" spans="1:12" x14ac:dyDescent="0.35">
      <c r="A3482" t="s">
        <v>23</v>
      </c>
      <c r="B3482">
        <v>1197831</v>
      </c>
      <c r="C3482" s="1">
        <v>44041</v>
      </c>
      <c r="D3482" t="s">
        <v>19</v>
      </c>
      <c r="E3482" t="s">
        <v>59</v>
      </c>
      <c r="F3482" t="s">
        <v>60</v>
      </c>
      <c r="G3482" t="s">
        <v>70</v>
      </c>
      <c r="H3482" s="2">
        <v>38</v>
      </c>
      <c r="I3482">
        <v>125</v>
      </c>
      <c r="J3482">
        <v>475</v>
      </c>
      <c r="K3482" s="4">
        <v>214</v>
      </c>
      <c r="L3482" t="s">
        <v>17</v>
      </c>
    </row>
    <row r="3483" spans="1:12" x14ac:dyDescent="0.35">
      <c r="A3483" t="s">
        <v>23</v>
      </c>
      <c r="B3483">
        <v>1197831</v>
      </c>
      <c r="C3483" s="1">
        <v>44047</v>
      </c>
      <c r="D3483" t="s">
        <v>19</v>
      </c>
      <c r="E3483" t="s">
        <v>59</v>
      </c>
      <c r="F3483" t="s">
        <v>60</v>
      </c>
      <c r="G3483" t="s">
        <v>70</v>
      </c>
      <c r="H3483" s="2">
        <v>41</v>
      </c>
      <c r="I3483">
        <v>125</v>
      </c>
      <c r="J3483">
        <v>513</v>
      </c>
      <c r="K3483" s="4">
        <v>205</v>
      </c>
      <c r="L3483" t="s">
        <v>17</v>
      </c>
    </row>
    <row r="3484" spans="1:12" x14ac:dyDescent="0.35">
      <c r="A3484" t="s">
        <v>63</v>
      </c>
      <c r="B3484">
        <v>1189833</v>
      </c>
      <c r="C3484" s="1">
        <v>44309</v>
      </c>
      <c r="D3484" t="s">
        <v>48</v>
      </c>
      <c r="E3484" t="s">
        <v>66</v>
      </c>
      <c r="F3484" t="s">
        <v>76</v>
      </c>
      <c r="G3484" t="s">
        <v>70</v>
      </c>
      <c r="H3484" s="2">
        <v>45</v>
      </c>
      <c r="I3484">
        <v>125</v>
      </c>
      <c r="J3484">
        <v>563</v>
      </c>
      <c r="K3484" s="4">
        <v>388</v>
      </c>
      <c r="L3484" t="s">
        <v>17</v>
      </c>
    </row>
    <row r="3485" spans="1:12" x14ac:dyDescent="0.35">
      <c r="A3485" t="s">
        <v>18</v>
      </c>
      <c r="B3485">
        <v>1128299</v>
      </c>
      <c r="C3485" s="1">
        <v>43973</v>
      </c>
      <c r="D3485" t="s">
        <v>48</v>
      </c>
      <c r="E3485" t="s">
        <v>133</v>
      </c>
      <c r="F3485" t="s">
        <v>134</v>
      </c>
      <c r="G3485" t="s">
        <v>32</v>
      </c>
      <c r="H3485" s="2">
        <v>60</v>
      </c>
      <c r="I3485">
        <v>125</v>
      </c>
      <c r="J3485">
        <v>750</v>
      </c>
      <c r="K3485" s="4">
        <v>413</v>
      </c>
      <c r="L3485" t="s">
        <v>17</v>
      </c>
    </row>
    <row r="3486" spans="1:12" x14ac:dyDescent="0.35">
      <c r="A3486" t="s">
        <v>18</v>
      </c>
      <c r="B3486">
        <v>1128299</v>
      </c>
      <c r="C3486" s="1">
        <v>43974</v>
      </c>
      <c r="D3486" t="s">
        <v>48</v>
      </c>
      <c r="E3486" t="s">
        <v>133</v>
      </c>
      <c r="F3486" t="s">
        <v>134</v>
      </c>
      <c r="G3486" t="s">
        <v>56</v>
      </c>
      <c r="H3486" s="2">
        <v>63</v>
      </c>
      <c r="I3486">
        <v>125</v>
      </c>
      <c r="J3486">
        <v>788</v>
      </c>
      <c r="K3486" s="4">
        <v>354</v>
      </c>
      <c r="L3486" t="s">
        <v>17</v>
      </c>
    </row>
    <row r="3487" spans="1:12" x14ac:dyDescent="0.35">
      <c r="A3487" t="s">
        <v>18</v>
      </c>
      <c r="B3487">
        <v>1128299</v>
      </c>
      <c r="C3487" s="1">
        <v>43982</v>
      </c>
      <c r="D3487" t="s">
        <v>48</v>
      </c>
      <c r="E3487" t="s">
        <v>97</v>
      </c>
      <c r="F3487" t="s">
        <v>98</v>
      </c>
      <c r="G3487" t="s">
        <v>16</v>
      </c>
      <c r="H3487" s="2">
        <v>46</v>
      </c>
      <c r="I3487">
        <v>125</v>
      </c>
      <c r="J3487">
        <v>575</v>
      </c>
      <c r="K3487" s="4">
        <v>178</v>
      </c>
      <c r="L3487" t="s">
        <v>17</v>
      </c>
    </row>
    <row r="3488" spans="1:12" x14ac:dyDescent="0.35">
      <c r="A3488" t="s">
        <v>18</v>
      </c>
      <c r="B3488">
        <v>1128299</v>
      </c>
      <c r="C3488" s="1">
        <v>44006</v>
      </c>
      <c r="D3488" t="s">
        <v>48</v>
      </c>
      <c r="E3488" t="s">
        <v>97</v>
      </c>
      <c r="F3488" t="s">
        <v>98</v>
      </c>
      <c r="G3488" t="s">
        <v>16</v>
      </c>
      <c r="H3488" s="2">
        <v>75</v>
      </c>
      <c r="I3488">
        <v>125</v>
      </c>
      <c r="J3488">
        <v>938</v>
      </c>
      <c r="K3488" s="4">
        <v>309</v>
      </c>
      <c r="L3488" t="s">
        <v>17</v>
      </c>
    </row>
    <row r="3489" spans="1:12" x14ac:dyDescent="0.35">
      <c r="A3489" t="s">
        <v>18</v>
      </c>
      <c r="B3489">
        <v>1128299</v>
      </c>
      <c r="C3489" s="1">
        <v>44010</v>
      </c>
      <c r="D3489" t="s">
        <v>48</v>
      </c>
      <c r="E3489" t="s">
        <v>97</v>
      </c>
      <c r="F3489" t="s">
        <v>98</v>
      </c>
      <c r="G3489" t="s">
        <v>56</v>
      </c>
      <c r="H3489" s="2">
        <v>75</v>
      </c>
      <c r="I3489">
        <v>125</v>
      </c>
      <c r="J3489">
        <v>938</v>
      </c>
      <c r="K3489" s="4">
        <v>375</v>
      </c>
      <c r="L3489" t="s">
        <v>17</v>
      </c>
    </row>
    <row r="3490" spans="1:12" x14ac:dyDescent="0.35">
      <c r="A3490" t="s">
        <v>23</v>
      </c>
      <c r="B3490">
        <v>1197831</v>
      </c>
      <c r="C3490" s="1">
        <v>44270</v>
      </c>
      <c r="D3490" t="s">
        <v>19</v>
      </c>
      <c r="E3490" t="s">
        <v>74</v>
      </c>
      <c r="F3490" t="s">
        <v>75</v>
      </c>
      <c r="G3490" t="s">
        <v>16</v>
      </c>
      <c r="H3490" s="2">
        <v>33</v>
      </c>
      <c r="I3490">
        <v>125</v>
      </c>
      <c r="J3490">
        <v>413</v>
      </c>
      <c r="K3490" s="4">
        <v>268</v>
      </c>
      <c r="L3490" t="s">
        <v>17</v>
      </c>
    </row>
    <row r="3491" spans="1:12" x14ac:dyDescent="0.35">
      <c r="A3491" t="s">
        <v>63</v>
      </c>
      <c r="B3491">
        <v>1185732</v>
      </c>
      <c r="C3491" s="1">
        <v>44449</v>
      </c>
      <c r="D3491" t="s">
        <v>48</v>
      </c>
      <c r="E3491" t="s">
        <v>102</v>
      </c>
      <c r="F3491" t="s">
        <v>103</v>
      </c>
      <c r="G3491" t="s">
        <v>70</v>
      </c>
      <c r="H3491" s="2">
        <v>48</v>
      </c>
      <c r="I3491">
        <v>125</v>
      </c>
      <c r="J3491">
        <v>600</v>
      </c>
      <c r="K3491" s="4">
        <v>258</v>
      </c>
      <c r="L3491" t="s">
        <v>17</v>
      </c>
    </row>
    <row r="3492" spans="1:12" x14ac:dyDescent="0.35">
      <c r="A3492" t="s">
        <v>63</v>
      </c>
      <c r="B3492">
        <v>1185732</v>
      </c>
      <c r="C3492" s="1">
        <v>44481</v>
      </c>
      <c r="D3492" t="s">
        <v>48</v>
      </c>
      <c r="E3492" t="s">
        <v>102</v>
      </c>
      <c r="F3492" t="s">
        <v>103</v>
      </c>
      <c r="G3492" t="s">
        <v>32</v>
      </c>
      <c r="H3492" s="2">
        <v>42</v>
      </c>
      <c r="I3492">
        <v>125</v>
      </c>
      <c r="J3492">
        <v>525</v>
      </c>
      <c r="K3492" s="4">
        <v>242</v>
      </c>
      <c r="L3492" t="s">
        <v>17</v>
      </c>
    </row>
    <row r="3493" spans="1:12" x14ac:dyDescent="0.35">
      <c r="A3493" t="s">
        <v>42</v>
      </c>
      <c r="B3493">
        <v>1128299</v>
      </c>
      <c r="C3493" s="1">
        <v>44341</v>
      </c>
      <c r="D3493" t="s">
        <v>13</v>
      </c>
      <c r="E3493" t="s">
        <v>99</v>
      </c>
      <c r="F3493" t="s">
        <v>100</v>
      </c>
      <c r="G3493" t="s">
        <v>26</v>
      </c>
      <c r="H3493" s="2">
        <v>46</v>
      </c>
      <c r="I3493">
        <v>125</v>
      </c>
      <c r="J3493">
        <v>575</v>
      </c>
      <c r="K3493" s="4">
        <v>265</v>
      </c>
      <c r="L3493" t="s">
        <v>17</v>
      </c>
    </row>
    <row r="3494" spans="1:12" x14ac:dyDescent="0.35">
      <c r="A3494" t="s">
        <v>18</v>
      </c>
      <c r="B3494">
        <v>1185732</v>
      </c>
      <c r="C3494" s="1">
        <v>44540</v>
      </c>
      <c r="D3494" t="s">
        <v>48</v>
      </c>
      <c r="E3494" t="s">
        <v>49</v>
      </c>
      <c r="F3494" t="s">
        <v>50</v>
      </c>
      <c r="G3494" t="s">
        <v>16</v>
      </c>
      <c r="H3494" s="2">
        <v>42</v>
      </c>
      <c r="I3494">
        <v>125</v>
      </c>
      <c r="J3494">
        <v>525</v>
      </c>
      <c r="K3494" s="4">
        <v>320</v>
      </c>
      <c r="L3494" t="s">
        <v>17</v>
      </c>
    </row>
    <row r="3495" spans="1:12" x14ac:dyDescent="0.35">
      <c r="A3495" t="s">
        <v>18</v>
      </c>
      <c r="B3495">
        <v>1128299</v>
      </c>
      <c r="C3495" s="1">
        <v>44457</v>
      </c>
      <c r="D3495" t="s">
        <v>19</v>
      </c>
      <c r="E3495" t="s">
        <v>20</v>
      </c>
      <c r="F3495" t="s">
        <v>21</v>
      </c>
      <c r="G3495" t="s">
        <v>39</v>
      </c>
      <c r="H3495" s="2">
        <v>46</v>
      </c>
      <c r="I3495">
        <v>125</v>
      </c>
      <c r="J3495">
        <v>575</v>
      </c>
      <c r="K3495" s="4">
        <v>293</v>
      </c>
      <c r="L3495" t="s">
        <v>17</v>
      </c>
    </row>
    <row r="3496" spans="1:12" x14ac:dyDescent="0.35">
      <c r="A3496" t="s">
        <v>18</v>
      </c>
      <c r="B3496">
        <v>1128299</v>
      </c>
      <c r="C3496" s="1">
        <v>44517</v>
      </c>
      <c r="D3496" t="s">
        <v>19</v>
      </c>
      <c r="E3496" t="s">
        <v>20</v>
      </c>
      <c r="F3496" t="s">
        <v>21</v>
      </c>
      <c r="G3496" t="s">
        <v>56</v>
      </c>
      <c r="H3496" s="2">
        <v>48</v>
      </c>
      <c r="I3496">
        <v>125</v>
      </c>
      <c r="J3496">
        <v>600</v>
      </c>
      <c r="K3496" s="4">
        <v>300</v>
      </c>
      <c r="L3496" t="s">
        <v>17</v>
      </c>
    </row>
    <row r="3497" spans="1:12" x14ac:dyDescent="0.35">
      <c r="A3497" t="s">
        <v>42</v>
      </c>
      <c r="B3497">
        <v>1185732</v>
      </c>
      <c r="C3497" s="1">
        <v>44245</v>
      </c>
      <c r="D3497" t="s">
        <v>19</v>
      </c>
      <c r="E3497" t="s">
        <v>37</v>
      </c>
      <c r="F3497" t="s">
        <v>38</v>
      </c>
      <c r="G3497" t="s">
        <v>16</v>
      </c>
      <c r="H3497" s="2">
        <v>24</v>
      </c>
      <c r="I3497">
        <v>125</v>
      </c>
      <c r="J3497">
        <v>300</v>
      </c>
      <c r="K3497" s="4">
        <v>180</v>
      </c>
      <c r="L3497" t="s">
        <v>17</v>
      </c>
    </row>
    <row r="3498" spans="1:12" x14ac:dyDescent="0.35">
      <c r="A3498" t="s">
        <v>42</v>
      </c>
      <c r="B3498">
        <v>1185732</v>
      </c>
      <c r="C3498" s="1">
        <v>44365</v>
      </c>
      <c r="D3498" t="s">
        <v>19</v>
      </c>
      <c r="E3498" t="s">
        <v>37</v>
      </c>
      <c r="F3498" t="s">
        <v>38</v>
      </c>
      <c r="G3498" t="s">
        <v>39</v>
      </c>
      <c r="H3498" s="2">
        <v>37</v>
      </c>
      <c r="I3498">
        <v>125</v>
      </c>
      <c r="J3498">
        <v>463</v>
      </c>
      <c r="K3498" s="4">
        <v>217</v>
      </c>
      <c r="L3498" t="s">
        <v>17</v>
      </c>
    </row>
    <row r="3499" spans="1:12" x14ac:dyDescent="0.35">
      <c r="A3499" t="s">
        <v>23</v>
      </c>
      <c r="B3499">
        <v>1185732</v>
      </c>
      <c r="C3499" s="1">
        <v>44356</v>
      </c>
      <c r="D3499" t="s">
        <v>33</v>
      </c>
      <c r="E3499" t="s">
        <v>89</v>
      </c>
      <c r="F3499" t="s">
        <v>90</v>
      </c>
      <c r="G3499" t="s">
        <v>26</v>
      </c>
      <c r="H3499" s="2">
        <v>36</v>
      </c>
      <c r="I3499">
        <v>125</v>
      </c>
      <c r="J3499">
        <v>450</v>
      </c>
      <c r="K3499" s="4">
        <v>203</v>
      </c>
      <c r="L3499" t="s">
        <v>17</v>
      </c>
    </row>
    <row r="3500" spans="1:12" x14ac:dyDescent="0.35">
      <c r="A3500" t="s">
        <v>18</v>
      </c>
      <c r="B3500">
        <v>1185732</v>
      </c>
      <c r="C3500" s="1">
        <v>44296</v>
      </c>
      <c r="D3500" t="s">
        <v>33</v>
      </c>
      <c r="E3500" t="s">
        <v>81</v>
      </c>
      <c r="F3500" t="s">
        <v>82</v>
      </c>
      <c r="G3500" t="s">
        <v>26</v>
      </c>
      <c r="H3500" s="2">
        <v>23</v>
      </c>
      <c r="I3500">
        <v>125</v>
      </c>
      <c r="J3500">
        <v>288</v>
      </c>
      <c r="K3500" s="4">
        <v>158</v>
      </c>
      <c r="L3500" t="s">
        <v>17</v>
      </c>
    </row>
    <row r="3501" spans="1:12" x14ac:dyDescent="0.35">
      <c r="A3501" t="s">
        <v>18</v>
      </c>
      <c r="B3501">
        <v>1185732</v>
      </c>
      <c r="C3501" s="1">
        <v>44213</v>
      </c>
      <c r="D3501" t="s">
        <v>33</v>
      </c>
      <c r="E3501" t="s">
        <v>81</v>
      </c>
      <c r="F3501" t="s">
        <v>82</v>
      </c>
      <c r="G3501" t="s">
        <v>26</v>
      </c>
      <c r="H3501" s="2">
        <v>32</v>
      </c>
      <c r="I3501">
        <v>125</v>
      </c>
      <c r="J3501">
        <v>400</v>
      </c>
      <c r="K3501" s="4">
        <v>208</v>
      </c>
      <c r="L3501" t="s">
        <v>17</v>
      </c>
    </row>
    <row r="3502" spans="1:12" x14ac:dyDescent="0.35">
      <c r="A3502" t="s">
        <v>18</v>
      </c>
      <c r="B3502">
        <v>1185732</v>
      </c>
      <c r="C3502" s="1">
        <v>44275</v>
      </c>
      <c r="D3502" t="s">
        <v>43</v>
      </c>
      <c r="E3502" t="s">
        <v>93</v>
      </c>
      <c r="F3502" t="s">
        <v>94</v>
      </c>
      <c r="G3502" t="s">
        <v>26</v>
      </c>
      <c r="H3502" s="2">
        <v>32</v>
      </c>
      <c r="I3502">
        <v>125</v>
      </c>
      <c r="J3502">
        <v>400</v>
      </c>
      <c r="K3502" s="4">
        <v>212</v>
      </c>
      <c r="L3502" t="s">
        <v>17</v>
      </c>
    </row>
    <row r="3503" spans="1:12" x14ac:dyDescent="0.35">
      <c r="A3503" t="s">
        <v>18</v>
      </c>
      <c r="B3503">
        <v>1185732</v>
      </c>
      <c r="C3503" s="1">
        <v>44369</v>
      </c>
      <c r="D3503" t="s">
        <v>43</v>
      </c>
      <c r="E3503" t="s">
        <v>93</v>
      </c>
      <c r="F3503" t="s">
        <v>94</v>
      </c>
      <c r="G3503" t="s">
        <v>26</v>
      </c>
      <c r="H3503" s="2">
        <v>47</v>
      </c>
      <c r="I3503">
        <v>125</v>
      </c>
      <c r="J3503">
        <v>588</v>
      </c>
      <c r="K3503" s="4">
        <v>294</v>
      </c>
      <c r="L3503" t="s">
        <v>17</v>
      </c>
    </row>
    <row r="3504" spans="1:12" x14ac:dyDescent="0.35">
      <c r="A3504" t="s">
        <v>23</v>
      </c>
      <c r="B3504">
        <v>1185732</v>
      </c>
      <c r="C3504" s="1">
        <v>44203</v>
      </c>
      <c r="D3504" t="s">
        <v>43</v>
      </c>
      <c r="E3504" t="s">
        <v>83</v>
      </c>
      <c r="F3504" t="s">
        <v>84</v>
      </c>
      <c r="G3504" t="s">
        <v>26</v>
      </c>
      <c r="H3504" s="2">
        <v>38</v>
      </c>
      <c r="I3504">
        <v>125</v>
      </c>
      <c r="J3504">
        <v>475</v>
      </c>
      <c r="K3504" s="4">
        <v>242</v>
      </c>
      <c r="L3504" t="s">
        <v>17</v>
      </c>
    </row>
    <row r="3505" spans="1:12" x14ac:dyDescent="0.35">
      <c r="A3505" t="s">
        <v>23</v>
      </c>
      <c r="B3505">
        <v>1185732</v>
      </c>
      <c r="C3505" s="1">
        <v>44442</v>
      </c>
      <c r="D3505" t="s">
        <v>43</v>
      </c>
      <c r="E3505" t="s">
        <v>108</v>
      </c>
      <c r="F3505" t="s">
        <v>109</v>
      </c>
      <c r="G3505" t="s">
        <v>26</v>
      </c>
      <c r="H3505" s="2">
        <v>52</v>
      </c>
      <c r="I3505">
        <v>125</v>
      </c>
      <c r="J3505">
        <v>650</v>
      </c>
      <c r="K3505" s="4">
        <v>351</v>
      </c>
      <c r="L3505" t="s">
        <v>17</v>
      </c>
    </row>
    <row r="3506" spans="1:12" x14ac:dyDescent="0.35">
      <c r="A3506" t="s">
        <v>51</v>
      </c>
      <c r="B3506">
        <v>1185732</v>
      </c>
      <c r="C3506" s="1">
        <v>44387</v>
      </c>
      <c r="D3506" t="s">
        <v>43</v>
      </c>
      <c r="E3506" t="s">
        <v>125</v>
      </c>
      <c r="F3506" t="s">
        <v>126</v>
      </c>
      <c r="G3506" t="s">
        <v>16</v>
      </c>
      <c r="H3506" s="2">
        <v>61</v>
      </c>
      <c r="I3506">
        <v>125</v>
      </c>
      <c r="J3506">
        <v>763</v>
      </c>
      <c r="K3506" s="4">
        <v>397</v>
      </c>
      <c r="L3506" t="s">
        <v>17</v>
      </c>
    </row>
    <row r="3507" spans="1:12" x14ac:dyDescent="0.35">
      <c r="A3507" t="s">
        <v>42</v>
      </c>
      <c r="B3507">
        <v>1185732</v>
      </c>
      <c r="C3507" s="1">
        <v>44347</v>
      </c>
      <c r="D3507" t="s">
        <v>48</v>
      </c>
      <c r="E3507" t="s">
        <v>66</v>
      </c>
      <c r="F3507" t="s">
        <v>76</v>
      </c>
      <c r="G3507" t="s">
        <v>26</v>
      </c>
      <c r="H3507" s="2">
        <v>44</v>
      </c>
      <c r="I3507">
        <v>124</v>
      </c>
      <c r="J3507">
        <v>546</v>
      </c>
      <c r="K3507" s="4">
        <v>284</v>
      </c>
      <c r="L3507" t="s">
        <v>17</v>
      </c>
    </row>
    <row r="3508" spans="1:12" x14ac:dyDescent="0.35">
      <c r="A3508" t="s">
        <v>42</v>
      </c>
      <c r="B3508">
        <v>1185732</v>
      </c>
      <c r="C3508" s="1">
        <v>44557</v>
      </c>
      <c r="D3508" t="s">
        <v>43</v>
      </c>
      <c r="E3508" t="s">
        <v>135</v>
      </c>
      <c r="F3508" t="s">
        <v>136</v>
      </c>
      <c r="G3508" t="s">
        <v>26</v>
      </c>
      <c r="H3508" s="2">
        <v>67</v>
      </c>
      <c r="I3508">
        <v>124</v>
      </c>
      <c r="J3508">
        <v>831</v>
      </c>
      <c r="K3508" s="4">
        <v>573</v>
      </c>
      <c r="L3508" t="s">
        <v>17</v>
      </c>
    </row>
    <row r="3509" spans="1:12" x14ac:dyDescent="0.35">
      <c r="A3509" t="s">
        <v>18</v>
      </c>
      <c r="B3509">
        <v>1128299</v>
      </c>
      <c r="C3509" s="1">
        <v>43877</v>
      </c>
      <c r="D3509" t="s">
        <v>48</v>
      </c>
      <c r="E3509" t="s">
        <v>116</v>
      </c>
      <c r="F3509" t="s">
        <v>117</v>
      </c>
      <c r="G3509" t="s">
        <v>56</v>
      </c>
      <c r="H3509" s="2">
        <v>64</v>
      </c>
      <c r="I3509">
        <v>124</v>
      </c>
      <c r="J3509">
        <v>794</v>
      </c>
      <c r="K3509" s="4">
        <v>373</v>
      </c>
      <c r="L3509" t="s">
        <v>17</v>
      </c>
    </row>
    <row r="3510" spans="1:12" x14ac:dyDescent="0.35">
      <c r="A3510" t="s">
        <v>18</v>
      </c>
      <c r="B3510">
        <v>1128299</v>
      </c>
      <c r="C3510" s="1">
        <v>44039</v>
      </c>
      <c r="D3510" t="s">
        <v>48</v>
      </c>
      <c r="E3510" t="s">
        <v>97</v>
      </c>
      <c r="F3510" t="s">
        <v>98</v>
      </c>
      <c r="G3510" t="s">
        <v>32</v>
      </c>
      <c r="H3510" s="2">
        <v>54</v>
      </c>
      <c r="I3510">
        <v>124</v>
      </c>
      <c r="J3510">
        <v>670</v>
      </c>
      <c r="K3510" s="4">
        <v>248</v>
      </c>
      <c r="L3510" t="s">
        <v>17</v>
      </c>
    </row>
    <row r="3511" spans="1:12" x14ac:dyDescent="0.35">
      <c r="A3511" t="s">
        <v>42</v>
      </c>
      <c r="B3511">
        <v>1185732</v>
      </c>
      <c r="C3511" s="1">
        <v>44187</v>
      </c>
      <c r="D3511" t="s">
        <v>33</v>
      </c>
      <c r="E3511" t="s">
        <v>104</v>
      </c>
      <c r="F3511" t="s">
        <v>105</v>
      </c>
      <c r="G3511" t="s">
        <v>26</v>
      </c>
      <c r="H3511" s="2">
        <v>50</v>
      </c>
      <c r="I3511">
        <v>124</v>
      </c>
      <c r="J3511">
        <v>620</v>
      </c>
      <c r="K3511" s="4">
        <v>310</v>
      </c>
      <c r="L3511" t="s">
        <v>17</v>
      </c>
    </row>
    <row r="3512" spans="1:12" x14ac:dyDescent="0.35">
      <c r="A3512" t="s">
        <v>63</v>
      </c>
      <c r="B3512">
        <v>1189833</v>
      </c>
      <c r="C3512" s="1">
        <v>44233</v>
      </c>
      <c r="D3512" t="s">
        <v>33</v>
      </c>
      <c r="E3512" t="s">
        <v>131</v>
      </c>
      <c r="F3512" t="s">
        <v>132</v>
      </c>
      <c r="G3512" t="s">
        <v>70</v>
      </c>
      <c r="H3512" s="2">
        <v>42</v>
      </c>
      <c r="I3512">
        <v>124</v>
      </c>
      <c r="J3512">
        <v>521</v>
      </c>
      <c r="K3512" s="4">
        <v>365</v>
      </c>
      <c r="L3512" t="s">
        <v>17</v>
      </c>
    </row>
    <row r="3513" spans="1:12" x14ac:dyDescent="0.35">
      <c r="A3513" t="s">
        <v>23</v>
      </c>
      <c r="B3513">
        <v>1197831</v>
      </c>
      <c r="C3513" s="1">
        <v>44279</v>
      </c>
      <c r="D3513" t="s">
        <v>19</v>
      </c>
      <c r="E3513" t="s">
        <v>74</v>
      </c>
      <c r="F3513" t="s">
        <v>75</v>
      </c>
      <c r="G3513" t="s">
        <v>32</v>
      </c>
      <c r="H3513" s="2">
        <v>28</v>
      </c>
      <c r="I3513">
        <v>124</v>
      </c>
      <c r="J3513">
        <v>347</v>
      </c>
      <c r="K3513" s="4">
        <v>191</v>
      </c>
      <c r="L3513" t="s">
        <v>17</v>
      </c>
    </row>
    <row r="3514" spans="1:12" x14ac:dyDescent="0.35">
      <c r="A3514" t="s">
        <v>23</v>
      </c>
      <c r="B3514">
        <v>1197831</v>
      </c>
      <c r="C3514" s="1">
        <v>44465</v>
      </c>
      <c r="D3514" t="s">
        <v>19</v>
      </c>
      <c r="E3514" t="s">
        <v>24</v>
      </c>
      <c r="F3514" t="s">
        <v>25</v>
      </c>
      <c r="G3514" t="s">
        <v>32</v>
      </c>
      <c r="H3514" s="2">
        <v>32</v>
      </c>
      <c r="I3514">
        <v>124</v>
      </c>
      <c r="J3514">
        <v>397</v>
      </c>
      <c r="K3514" s="4">
        <v>238</v>
      </c>
      <c r="L3514" t="s">
        <v>17</v>
      </c>
    </row>
    <row r="3515" spans="1:12" x14ac:dyDescent="0.35">
      <c r="A3515" t="s">
        <v>12</v>
      </c>
      <c r="B3515">
        <v>1128299</v>
      </c>
      <c r="C3515" s="1">
        <v>44479</v>
      </c>
      <c r="D3515" t="s">
        <v>48</v>
      </c>
      <c r="E3515" t="s">
        <v>129</v>
      </c>
      <c r="F3515" t="s">
        <v>130</v>
      </c>
      <c r="G3515" t="s">
        <v>26</v>
      </c>
      <c r="H3515" s="2">
        <v>52</v>
      </c>
      <c r="I3515">
        <v>124</v>
      </c>
      <c r="J3515">
        <v>645</v>
      </c>
      <c r="K3515" s="4">
        <v>258</v>
      </c>
      <c r="L3515" t="s">
        <v>17</v>
      </c>
    </row>
    <row r="3516" spans="1:12" x14ac:dyDescent="0.35">
      <c r="A3516" t="s">
        <v>23</v>
      </c>
      <c r="B3516">
        <v>1128299</v>
      </c>
      <c r="C3516" s="1">
        <v>44213</v>
      </c>
      <c r="D3516" t="s">
        <v>48</v>
      </c>
      <c r="E3516" t="s">
        <v>129</v>
      </c>
      <c r="F3516" t="s">
        <v>130</v>
      </c>
      <c r="G3516" t="s">
        <v>16</v>
      </c>
      <c r="H3516" s="2">
        <v>49</v>
      </c>
      <c r="I3516">
        <v>124</v>
      </c>
      <c r="J3516">
        <v>608</v>
      </c>
      <c r="K3516" s="4">
        <v>358</v>
      </c>
      <c r="L3516" t="s">
        <v>17</v>
      </c>
    </row>
    <row r="3517" spans="1:12" x14ac:dyDescent="0.35">
      <c r="A3517" t="s">
        <v>12</v>
      </c>
      <c r="B3517">
        <v>1128299</v>
      </c>
      <c r="C3517" s="1">
        <v>44517</v>
      </c>
      <c r="D3517" t="s">
        <v>13</v>
      </c>
      <c r="E3517" t="s">
        <v>14</v>
      </c>
      <c r="F3517" t="s">
        <v>15</v>
      </c>
      <c r="G3517" t="s">
        <v>70</v>
      </c>
      <c r="H3517" s="2">
        <v>77</v>
      </c>
      <c r="I3517">
        <v>124</v>
      </c>
      <c r="J3517">
        <v>955</v>
      </c>
      <c r="K3517" s="4">
        <v>286</v>
      </c>
      <c r="L3517" t="s">
        <v>17</v>
      </c>
    </row>
    <row r="3518" spans="1:12" x14ac:dyDescent="0.35">
      <c r="A3518" t="s">
        <v>18</v>
      </c>
      <c r="B3518">
        <v>1185732</v>
      </c>
      <c r="C3518" s="1">
        <v>44295</v>
      </c>
      <c r="D3518" t="s">
        <v>43</v>
      </c>
      <c r="E3518" t="s">
        <v>44</v>
      </c>
      <c r="F3518" t="s">
        <v>101</v>
      </c>
      <c r="G3518" t="s">
        <v>70</v>
      </c>
      <c r="H3518" s="2">
        <v>50</v>
      </c>
      <c r="I3518">
        <v>124</v>
      </c>
      <c r="J3518">
        <v>620</v>
      </c>
      <c r="K3518" s="4">
        <v>291</v>
      </c>
      <c r="L3518" t="s">
        <v>17</v>
      </c>
    </row>
    <row r="3519" spans="1:12" x14ac:dyDescent="0.35">
      <c r="A3519" t="s">
        <v>42</v>
      </c>
      <c r="B3519">
        <v>1128299</v>
      </c>
      <c r="C3519" s="1">
        <v>44310</v>
      </c>
      <c r="D3519" t="s">
        <v>13</v>
      </c>
      <c r="E3519" t="s">
        <v>99</v>
      </c>
      <c r="F3519" t="s">
        <v>100</v>
      </c>
      <c r="G3519" t="s">
        <v>26</v>
      </c>
      <c r="H3519" s="2">
        <v>52</v>
      </c>
      <c r="I3519">
        <v>124</v>
      </c>
      <c r="J3519">
        <v>645</v>
      </c>
      <c r="K3519" s="4">
        <v>310</v>
      </c>
      <c r="L3519" t="s">
        <v>17</v>
      </c>
    </row>
    <row r="3520" spans="1:12" x14ac:dyDescent="0.35">
      <c r="A3520" t="s">
        <v>23</v>
      </c>
      <c r="B3520">
        <v>1185732</v>
      </c>
      <c r="C3520" s="1">
        <v>44270</v>
      </c>
      <c r="D3520" t="s">
        <v>33</v>
      </c>
      <c r="E3520" t="s">
        <v>45</v>
      </c>
      <c r="F3520" t="s">
        <v>46</v>
      </c>
      <c r="G3520" t="s">
        <v>32</v>
      </c>
      <c r="H3520" s="2">
        <v>25</v>
      </c>
      <c r="I3520">
        <v>124</v>
      </c>
      <c r="J3520">
        <v>310</v>
      </c>
      <c r="K3520" s="4">
        <v>124</v>
      </c>
      <c r="L3520" t="s">
        <v>17</v>
      </c>
    </row>
    <row r="3521" spans="1:12" x14ac:dyDescent="0.35">
      <c r="A3521" t="s">
        <v>23</v>
      </c>
      <c r="B3521">
        <v>1185732</v>
      </c>
      <c r="C3521" s="1">
        <v>44331</v>
      </c>
      <c r="D3521" t="s">
        <v>33</v>
      </c>
      <c r="E3521" t="s">
        <v>45</v>
      </c>
      <c r="F3521" t="s">
        <v>46</v>
      </c>
      <c r="G3521" t="s">
        <v>70</v>
      </c>
      <c r="H3521" s="2">
        <v>52</v>
      </c>
      <c r="I3521">
        <v>124</v>
      </c>
      <c r="J3521">
        <v>645</v>
      </c>
      <c r="K3521" s="4">
        <v>342</v>
      </c>
      <c r="L3521" t="s">
        <v>17</v>
      </c>
    </row>
    <row r="3522" spans="1:12" x14ac:dyDescent="0.35">
      <c r="A3522" t="s">
        <v>18</v>
      </c>
      <c r="B3522">
        <v>1128299</v>
      </c>
      <c r="C3522" s="1">
        <v>44310</v>
      </c>
      <c r="D3522" t="s">
        <v>48</v>
      </c>
      <c r="E3522" t="s">
        <v>85</v>
      </c>
      <c r="F3522" t="s">
        <v>86</v>
      </c>
      <c r="G3522" t="s">
        <v>26</v>
      </c>
      <c r="H3522" s="2">
        <v>51</v>
      </c>
      <c r="I3522">
        <v>124</v>
      </c>
      <c r="J3522">
        <v>632</v>
      </c>
      <c r="K3522" s="4">
        <v>291</v>
      </c>
      <c r="L3522" t="s">
        <v>17</v>
      </c>
    </row>
    <row r="3523" spans="1:12" x14ac:dyDescent="0.35">
      <c r="A3523" t="s">
        <v>42</v>
      </c>
      <c r="B3523">
        <v>1197831</v>
      </c>
      <c r="C3523" s="1">
        <v>44416</v>
      </c>
      <c r="D3523" t="s">
        <v>48</v>
      </c>
      <c r="E3523" t="s">
        <v>79</v>
      </c>
      <c r="F3523" t="s">
        <v>80</v>
      </c>
      <c r="G3523" t="s">
        <v>56</v>
      </c>
      <c r="H3523" s="2">
        <v>48</v>
      </c>
      <c r="I3523">
        <v>124</v>
      </c>
      <c r="J3523">
        <v>595</v>
      </c>
      <c r="K3523" s="4">
        <v>387</v>
      </c>
      <c r="L3523" t="s">
        <v>17</v>
      </c>
    </row>
    <row r="3524" spans="1:12" x14ac:dyDescent="0.35">
      <c r="A3524" t="s">
        <v>63</v>
      </c>
      <c r="B3524">
        <v>1128299</v>
      </c>
      <c r="C3524" s="1">
        <v>44434</v>
      </c>
      <c r="D3524" t="s">
        <v>48</v>
      </c>
      <c r="E3524" t="s">
        <v>114</v>
      </c>
      <c r="F3524" t="s">
        <v>115</v>
      </c>
      <c r="G3524" t="s">
        <v>70</v>
      </c>
      <c r="H3524" s="2">
        <v>67</v>
      </c>
      <c r="I3524">
        <v>124</v>
      </c>
      <c r="J3524">
        <v>831</v>
      </c>
      <c r="K3524" s="4">
        <v>332</v>
      </c>
      <c r="L3524" t="s">
        <v>17</v>
      </c>
    </row>
    <row r="3525" spans="1:12" x14ac:dyDescent="0.35">
      <c r="A3525" t="s">
        <v>23</v>
      </c>
      <c r="B3525">
        <v>1128299</v>
      </c>
      <c r="C3525" s="1">
        <v>44513</v>
      </c>
      <c r="D3525" t="s">
        <v>13</v>
      </c>
      <c r="E3525" t="s">
        <v>57</v>
      </c>
      <c r="F3525" t="s">
        <v>58</v>
      </c>
      <c r="G3525" t="s">
        <v>16</v>
      </c>
      <c r="H3525" s="2">
        <v>65</v>
      </c>
      <c r="I3525">
        <v>124</v>
      </c>
      <c r="J3525">
        <v>806</v>
      </c>
      <c r="K3525" s="4">
        <v>282</v>
      </c>
      <c r="L3525" t="s">
        <v>17</v>
      </c>
    </row>
    <row r="3526" spans="1:12" x14ac:dyDescent="0.35">
      <c r="A3526" t="s">
        <v>23</v>
      </c>
      <c r="B3526">
        <v>1185732</v>
      </c>
      <c r="C3526" s="1">
        <v>44257</v>
      </c>
      <c r="D3526" t="s">
        <v>13</v>
      </c>
      <c r="E3526" t="s">
        <v>77</v>
      </c>
      <c r="F3526" t="s">
        <v>78</v>
      </c>
      <c r="G3526" t="s">
        <v>56</v>
      </c>
      <c r="H3526" s="2">
        <v>25</v>
      </c>
      <c r="I3526">
        <v>124</v>
      </c>
      <c r="J3526">
        <v>310</v>
      </c>
      <c r="K3526" s="4">
        <v>167</v>
      </c>
      <c r="L3526" t="s">
        <v>17</v>
      </c>
    </row>
    <row r="3527" spans="1:12" x14ac:dyDescent="0.35">
      <c r="A3527" t="s">
        <v>51</v>
      </c>
      <c r="B3527">
        <v>1185732</v>
      </c>
      <c r="C3527" s="1">
        <v>44264</v>
      </c>
      <c r="D3527" t="s">
        <v>33</v>
      </c>
      <c r="E3527" t="s">
        <v>52</v>
      </c>
      <c r="F3527" t="s">
        <v>53</v>
      </c>
      <c r="G3527" t="s">
        <v>32</v>
      </c>
      <c r="H3527" s="2">
        <v>20</v>
      </c>
      <c r="I3527">
        <v>124</v>
      </c>
      <c r="J3527">
        <v>248</v>
      </c>
      <c r="K3527" s="4">
        <v>131</v>
      </c>
      <c r="L3527" t="s">
        <v>17</v>
      </c>
    </row>
    <row r="3528" spans="1:12" x14ac:dyDescent="0.35">
      <c r="A3528" t="s">
        <v>42</v>
      </c>
      <c r="B3528">
        <v>1185732</v>
      </c>
      <c r="C3528" s="1">
        <v>44245</v>
      </c>
      <c r="D3528" t="s">
        <v>13</v>
      </c>
      <c r="E3528" t="s">
        <v>106</v>
      </c>
      <c r="F3528" t="s">
        <v>107</v>
      </c>
      <c r="G3528" t="s">
        <v>32</v>
      </c>
      <c r="H3528" s="2">
        <v>18</v>
      </c>
      <c r="I3528">
        <v>124</v>
      </c>
      <c r="J3528">
        <v>223</v>
      </c>
      <c r="K3528" s="4">
        <v>123</v>
      </c>
      <c r="L3528" t="s">
        <v>17</v>
      </c>
    </row>
    <row r="3529" spans="1:12" x14ac:dyDescent="0.35">
      <c r="A3529" t="s">
        <v>42</v>
      </c>
      <c r="B3529">
        <v>1185732</v>
      </c>
      <c r="C3529" s="1">
        <v>44303</v>
      </c>
      <c r="D3529" t="s">
        <v>19</v>
      </c>
      <c r="E3529" t="s">
        <v>37</v>
      </c>
      <c r="F3529" t="s">
        <v>38</v>
      </c>
      <c r="G3529" t="s">
        <v>16</v>
      </c>
      <c r="H3529" s="2">
        <v>28</v>
      </c>
      <c r="I3529">
        <v>124</v>
      </c>
      <c r="J3529">
        <v>347</v>
      </c>
      <c r="K3529" s="4">
        <v>212</v>
      </c>
      <c r="L3529" t="s">
        <v>17</v>
      </c>
    </row>
    <row r="3530" spans="1:12" x14ac:dyDescent="0.35">
      <c r="A3530" t="s">
        <v>12</v>
      </c>
      <c r="B3530">
        <v>1185732</v>
      </c>
      <c r="C3530" s="1">
        <v>44393</v>
      </c>
      <c r="D3530" t="s">
        <v>19</v>
      </c>
      <c r="E3530" t="s">
        <v>37</v>
      </c>
      <c r="F3530" t="s">
        <v>38</v>
      </c>
      <c r="G3530" t="s">
        <v>56</v>
      </c>
      <c r="H3530" s="2">
        <v>48</v>
      </c>
      <c r="I3530">
        <v>124</v>
      </c>
      <c r="J3530">
        <v>595</v>
      </c>
      <c r="K3530" s="4">
        <v>315</v>
      </c>
      <c r="L3530" t="s">
        <v>17</v>
      </c>
    </row>
    <row r="3531" spans="1:12" x14ac:dyDescent="0.35">
      <c r="A3531" t="s">
        <v>23</v>
      </c>
      <c r="B3531">
        <v>1185732</v>
      </c>
      <c r="C3531" s="1">
        <v>44487</v>
      </c>
      <c r="D3531" t="s">
        <v>19</v>
      </c>
      <c r="E3531" t="s">
        <v>37</v>
      </c>
      <c r="F3531" t="s">
        <v>38</v>
      </c>
      <c r="G3531" t="s">
        <v>16</v>
      </c>
      <c r="H3531" s="2">
        <v>33</v>
      </c>
      <c r="I3531">
        <v>124</v>
      </c>
      <c r="J3531">
        <v>409</v>
      </c>
      <c r="K3531" s="4">
        <v>262</v>
      </c>
      <c r="L3531" t="s">
        <v>17</v>
      </c>
    </row>
    <row r="3532" spans="1:12" x14ac:dyDescent="0.35">
      <c r="A3532" t="s">
        <v>23</v>
      </c>
      <c r="B3532">
        <v>1185732</v>
      </c>
      <c r="C3532" s="1">
        <v>44546</v>
      </c>
      <c r="D3532" t="s">
        <v>19</v>
      </c>
      <c r="E3532" t="s">
        <v>37</v>
      </c>
      <c r="F3532" t="s">
        <v>38</v>
      </c>
      <c r="G3532" t="s">
        <v>70</v>
      </c>
      <c r="H3532" s="2">
        <v>65</v>
      </c>
      <c r="I3532">
        <v>124</v>
      </c>
      <c r="J3532">
        <v>806</v>
      </c>
      <c r="K3532" s="4">
        <v>403</v>
      </c>
      <c r="L3532" t="s">
        <v>17</v>
      </c>
    </row>
    <row r="3533" spans="1:12" x14ac:dyDescent="0.35">
      <c r="A3533" t="s">
        <v>18</v>
      </c>
      <c r="B3533">
        <v>1197831</v>
      </c>
      <c r="C3533" s="1">
        <v>44368</v>
      </c>
      <c r="D3533" t="s">
        <v>19</v>
      </c>
      <c r="E3533" t="s">
        <v>61</v>
      </c>
      <c r="F3533" t="s">
        <v>62</v>
      </c>
      <c r="G3533" t="s">
        <v>16</v>
      </c>
      <c r="H3533" s="2">
        <v>55</v>
      </c>
      <c r="I3533">
        <v>124</v>
      </c>
      <c r="J3533">
        <v>682</v>
      </c>
      <c r="K3533" s="4">
        <v>348</v>
      </c>
      <c r="L3533" t="s">
        <v>17</v>
      </c>
    </row>
    <row r="3534" spans="1:12" x14ac:dyDescent="0.35">
      <c r="A3534" t="s">
        <v>18</v>
      </c>
      <c r="B3534">
        <v>1197831</v>
      </c>
      <c r="C3534" s="1">
        <v>44428</v>
      </c>
      <c r="D3534" t="s">
        <v>19</v>
      </c>
      <c r="E3534" t="s">
        <v>61</v>
      </c>
      <c r="F3534" t="s">
        <v>62</v>
      </c>
      <c r="G3534" t="s">
        <v>16</v>
      </c>
      <c r="H3534" s="2">
        <v>50</v>
      </c>
      <c r="I3534">
        <v>124</v>
      </c>
      <c r="J3534">
        <v>620</v>
      </c>
      <c r="K3534" s="4">
        <v>322</v>
      </c>
      <c r="L3534" t="s">
        <v>17</v>
      </c>
    </row>
    <row r="3535" spans="1:12" x14ac:dyDescent="0.35">
      <c r="A3535" t="s">
        <v>42</v>
      </c>
      <c r="B3535">
        <v>1185732</v>
      </c>
      <c r="C3535" s="1">
        <v>44266</v>
      </c>
      <c r="D3535" t="s">
        <v>33</v>
      </c>
      <c r="E3535" t="s">
        <v>87</v>
      </c>
      <c r="F3535" t="s">
        <v>88</v>
      </c>
      <c r="G3535" t="s">
        <v>26</v>
      </c>
      <c r="H3535" s="2">
        <v>39</v>
      </c>
      <c r="I3535">
        <v>124</v>
      </c>
      <c r="J3535">
        <v>484</v>
      </c>
      <c r="K3535" s="4">
        <v>237</v>
      </c>
      <c r="L3535" t="s">
        <v>17</v>
      </c>
    </row>
    <row r="3536" spans="1:12" x14ac:dyDescent="0.35">
      <c r="A3536" t="s">
        <v>42</v>
      </c>
      <c r="B3536">
        <v>1185732</v>
      </c>
      <c r="C3536" s="1">
        <v>44292</v>
      </c>
      <c r="D3536" t="s">
        <v>33</v>
      </c>
      <c r="E3536" t="s">
        <v>91</v>
      </c>
      <c r="F3536" t="s">
        <v>92</v>
      </c>
      <c r="G3536" t="s">
        <v>26</v>
      </c>
      <c r="H3536" s="2">
        <v>20</v>
      </c>
      <c r="I3536">
        <v>124</v>
      </c>
      <c r="J3536">
        <v>248</v>
      </c>
      <c r="K3536" s="4">
        <v>112</v>
      </c>
      <c r="L3536" t="s">
        <v>17</v>
      </c>
    </row>
    <row r="3537" spans="1:12" x14ac:dyDescent="0.35">
      <c r="A3537" t="s">
        <v>63</v>
      </c>
      <c r="B3537">
        <v>1185732</v>
      </c>
      <c r="C3537" s="1">
        <v>44445</v>
      </c>
      <c r="D3537" t="s">
        <v>43</v>
      </c>
      <c r="E3537" t="s">
        <v>83</v>
      </c>
      <c r="F3537" t="s">
        <v>84</v>
      </c>
      <c r="G3537" t="s">
        <v>26</v>
      </c>
      <c r="H3537" s="2">
        <v>46</v>
      </c>
      <c r="I3537">
        <v>124</v>
      </c>
      <c r="J3537">
        <v>570</v>
      </c>
      <c r="K3537" s="4">
        <v>279</v>
      </c>
      <c r="L3537" t="s">
        <v>17</v>
      </c>
    </row>
    <row r="3538" spans="1:12" x14ac:dyDescent="0.35">
      <c r="A3538" t="s">
        <v>42</v>
      </c>
      <c r="B3538">
        <v>1185732</v>
      </c>
      <c r="C3538" s="1">
        <v>44545</v>
      </c>
      <c r="D3538" t="s">
        <v>43</v>
      </c>
      <c r="E3538" t="s">
        <v>135</v>
      </c>
      <c r="F3538" t="s">
        <v>136</v>
      </c>
      <c r="G3538" t="s">
        <v>26</v>
      </c>
      <c r="H3538" s="2">
        <v>47</v>
      </c>
      <c r="I3538">
        <v>124</v>
      </c>
      <c r="J3538">
        <v>583</v>
      </c>
      <c r="K3538" s="4">
        <v>309</v>
      </c>
      <c r="L3538" t="s">
        <v>27</v>
      </c>
    </row>
    <row r="3539" spans="1:12" x14ac:dyDescent="0.35">
      <c r="A3539" t="s">
        <v>42</v>
      </c>
      <c r="B3539">
        <v>1185732</v>
      </c>
      <c r="C3539" s="1">
        <v>44551</v>
      </c>
      <c r="D3539" t="s">
        <v>43</v>
      </c>
      <c r="E3539" t="s">
        <v>135</v>
      </c>
      <c r="F3539" t="s">
        <v>136</v>
      </c>
      <c r="G3539" t="s">
        <v>26</v>
      </c>
      <c r="H3539" s="2">
        <v>48</v>
      </c>
      <c r="I3539">
        <v>124</v>
      </c>
      <c r="J3539">
        <v>595</v>
      </c>
      <c r="K3539" s="4">
        <v>357</v>
      </c>
      <c r="L3539" t="s">
        <v>27</v>
      </c>
    </row>
    <row r="3540" spans="1:12" x14ac:dyDescent="0.35">
      <c r="A3540" t="s">
        <v>18</v>
      </c>
      <c r="B3540">
        <v>1128299</v>
      </c>
      <c r="C3540" s="1">
        <v>43845</v>
      </c>
      <c r="D3540" t="s">
        <v>48</v>
      </c>
      <c r="E3540" t="s">
        <v>116</v>
      </c>
      <c r="F3540" t="s">
        <v>117</v>
      </c>
      <c r="G3540" t="s">
        <v>39</v>
      </c>
      <c r="H3540" s="2">
        <v>42</v>
      </c>
      <c r="I3540">
        <v>124</v>
      </c>
      <c r="J3540">
        <v>521</v>
      </c>
      <c r="K3540" s="4">
        <v>167</v>
      </c>
      <c r="L3540" t="s">
        <v>27</v>
      </c>
    </row>
    <row r="3541" spans="1:12" x14ac:dyDescent="0.35">
      <c r="A3541" t="s">
        <v>18</v>
      </c>
      <c r="B3541">
        <v>1128299</v>
      </c>
      <c r="C3541" s="1">
        <v>43849</v>
      </c>
      <c r="D3541" t="s">
        <v>48</v>
      </c>
      <c r="E3541" t="s">
        <v>116</v>
      </c>
      <c r="F3541" t="s">
        <v>117</v>
      </c>
      <c r="G3541" t="s">
        <v>16</v>
      </c>
      <c r="H3541" s="2">
        <v>39</v>
      </c>
      <c r="I3541">
        <v>124</v>
      </c>
      <c r="J3541">
        <v>484</v>
      </c>
      <c r="K3541" s="4">
        <v>126</v>
      </c>
      <c r="L3541" t="s">
        <v>27</v>
      </c>
    </row>
    <row r="3542" spans="1:12" x14ac:dyDescent="0.35">
      <c r="A3542" t="s">
        <v>18</v>
      </c>
      <c r="B3542">
        <v>1128299</v>
      </c>
      <c r="C3542" s="1">
        <v>43883</v>
      </c>
      <c r="D3542" t="s">
        <v>48</v>
      </c>
      <c r="E3542" t="s">
        <v>116</v>
      </c>
      <c r="F3542" t="s">
        <v>117</v>
      </c>
      <c r="G3542" t="s">
        <v>56</v>
      </c>
      <c r="H3542" s="2">
        <v>43</v>
      </c>
      <c r="I3542">
        <v>124</v>
      </c>
      <c r="J3542">
        <v>533</v>
      </c>
      <c r="K3542" s="4">
        <v>187</v>
      </c>
      <c r="L3542" t="s">
        <v>27</v>
      </c>
    </row>
    <row r="3543" spans="1:12" x14ac:dyDescent="0.35">
      <c r="A3543" t="s">
        <v>23</v>
      </c>
      <c r="B3543">
        <v>1197831</v>
      </c>
      <c r="C3543" s="1">
        <v>44280</v>
      </c>
      <c r="D3543" t="s">
        <v>19</v>
      </c>
      <c r="E3543" t="s">
        <v>74</v>
      </c>
      <c r="F3543" t="s">
        <v>75</v>
      </c>
      <c r="G3543" t="s">
        <v>56</v>
      </c>
      <c r="H3543" s="2">
        <v>25</v>
      </c>
      <c r="I3543">
        <v>124</v>
      </c>
      <c r="J3543">
        <v>310</v>
      </c>
      <c r="K3543" s="4">
        <v>174</v>
      </c>
      <c r="L3543" t="s">
        <v>27</v>
      </c>
    </row>
    <row r="3544" spans="1:12" x14ac:dyDescent="0.35">
      <c r="A3544" t="s">
        <v>23</v>
      </c>
      <c r="B3544">
        <v>1128299</v>
      </c>
      <c r="C3544" s="1">
        <v>44244</v>
      </c>
      <c r="D3544" t="s">
        <v>13</v>
      </c>
      <c r="E3544" t="s">
        <v>14</v>
      </c>
      <c r="F3544" t="s">
        <v>15</v>
      </c>
      <c r="G3544" t="s">
        <v>16</v>
      </c>
      <c r="H3544" s="2">
        <v>33</v>
      </c>
      <c r="I3544">
        <v>124</v>
      </c>
      <c r="J3544">
        <v>409</v>
      </c>
      <c r="K3544" s="4">
        <v>209</v>
      </c>
      <c r="L3544" t="s">
        <v>27</v>
      </c>
    </row>
    <row r="3545" spans="1:12" x14ac:dyDescent="0.35">
      <c r="A3545" t="s">
        <v>23</v>
      </c>
      <c r="B3545">
        <v>1128299</v>
      </c>
      <c r="C3545" s="1">
        <v>44271</v>
      </c>
      <c r="D3545" t="s">
        <v>13</v>
      </c>
      <c r="E3545" t="s">
        <v>14</v>
      </c>
      <c r="F3545" t="s">
        <v>15</v>
      </c>
      <c r="G3545" t="s">
        <v>39</v>
      </c>
      <c r="H3545" s="2">
        <v>44</v>
      </c>
      <c r="I3545">
        <v>124</v>
      </c>
      <c r="J3545">
        <v>546</v>
      </c>
      <c r="K3545" s="4">
        <v>169</v>
      </c>
      <c r="L3545" t="s">
        <v>27</v>
      </c>
    </row>
    <row r="3546" spans="1:12" x14ac:dyDescent="0.35">
      <c r="A3546" t="s">
        <v>18</v>
      </c>
      <c r="B3546">
        <v>1185732</v>
      </c>
      <c r="C3546" s="1">
        <v>44419</v>
      </c>
      <c r="D3546" t="s">
        <v>48</v>
      </c>
      <c r="E3546" t="s">
        <v>49</v>
      </c>
      <c r="F3546" t="s">
        <v>50</v>
      </c>
      <c r="G3546" t="s">
        <v>56</v>
      </c>
      <c r="H3546" s="2">
        <v>14</v>
      </c>
      <c r="I3546">
        <v>124</v>
      </c>
      <c r="J3546">
        <v>174</v>
      </c>
      <c r="K3546" s="4">
        <v>82</v>
      </c>
      <c r="L3546" t="s">
        <v>27</v>
      </c>
    </row>
    <row r="3547" spans="1:12" x14ac:dyDescent="0.35">
      <c r="A3547" t="s">
        <v>18</v>
      </c>
      <c r="B3547">
        <v>1185732</v>
      </c>
      <c r="C3547" s="1">
        <v>44511</v>
      </c>
      <c r="D3547" t="s">
        <v>48</v>
      </c>
      <c r="E3547" t="s">
        <v>49</v>
      </c>
      <c r="F3547" t="s">
        <v>50</v>
      </c>
      <c r="G3547" t="s">
        <v>56</v>
      </c>
      <c r="H3547" s="2">
        <v>15</v>
      </c>
      <c r="I3547">
        <v>124</v>
      </c>
      <c r="J3547">
        <v>186</v>
      </c>
      <c r="K3547" s="4">
        <v>78</v>
      </c>
      <c r="L3547" t="s">
        <v>27</v>
      </c>
    </row>
    <row r="3548" spans="1:12" x14ac:dyDescent="0.35">
      <c r="A3548" t="s">
        <v>18</v>
      </c>
      <c r="B3548">
        <v>1185732</v>
      </c>
      <c r="C3548" s="1">
        <v>44540</v>
      </c>
      <c r="D3548" t="s">
        <v>48</v>
      </c>
      <c r="E3548" t="s">
        <v>49</v>
      </c>
      <c r="F3548" t="s">
        <v>50</v>
      </c>
      <c r="G3548" t="s">
        <v>70</v>
      </c>
      <c r="H3548" s="2">
        <v>27</v>
      </c>
      <c r="I3548">
        <v>124</v>
      </c>
      <c r="J3548">
        <v>335</v>
      </c>
      <c r="K3548" s="4">
        <v>137</v>
      </c>
      <c r="L3548" t="s">
        <v>27</v>
      </c>
    </row>
    <row r="3549" spans="1:12" x14ac:dyDescent="0.35">
      <c r="A3549" t="s">
        <v>18</v>
      </c>
      <c r="B3549">
        <v>1128299</v>
      </c>
      <c r="C3549" s="1">
        <v>44213</v>
      </c>
      <c r="D3549" t="s">
        <v>48</v>
      </c>
      <c r="E3549" t="s">
        <v>85</v>
      </c>
      <c r="F3549" t="s">
        <v>86</v>
      </c>
      <c r="G3549" t="s">
        <v>39</v>
      </c>
      <c r="H3549" s="2">
        <v>31</v>
      </c>
      <c r="I3549">
        <v>124</v>
      </c>
      <c r="J3549">
        <v>384</v>
      </c>
      <c r="K3549" s="4">
        <v>169</v>
      </c>
      <c r="L3549" t="s">
        <v>27</v>
      </c>
    </row>
    <row r="3550" spans="1:12" x14ac:dyDescent="0.35">
      <c r="A3550" t="s">
        <v>18</v>
      </c>
      <c r="B3550">
        <v>1128299</v>
      </c>
      <c r="C3550" s="1">
        <v>44244</v>
      </c>
      <c r="D3550" t="s">
        <v>48</v>
      </c>
      <c r="E3550" t="s">
        <v>85</v>
      </c>
      <c r="F3550" t="s">
        <v>86</v>
      </c>
      <c r="G3550" t="s">
        <v>39</v>
      </c>
      <c r="H3550" s="2">
        <v>31</v>
      </c>
      <c r="I3550">
        <v>124</v>
      </c>
      <c r="J3550">
        <v>384</v>
      </c>
      <c r="K3550" s="4">
        <v>165</v>
      </c>
      <c r="L3550" t="s">
        <v>27</v>
      </c>
    </row>
    <row r="3551" spans="1:12" x14ac:dyDescent="0.35">
      <c r="A3551" t="s">
        <v>18</v>
      </c>
      <c r="B3551">
        <v>1128299</v>
      </c>
      <c r="C3551" s="1">
        <v>44486</v>
      </c>
      <c r="D3551" t="s">
        <v>19</v>
      </c>
      <c r="E3551" t="s">
        <v>20</v>
      </c>
      <c r="F3551" t="s">
        <v>21</v>
      </c>
      <c r="G3551" t="s">
        <v>26</v>
      </c>
      <c r="H3551" s="2">
        <v>25</v>
      </c>
      <c r="I3551">
        <v>124</v>
      </c>
      <c r="J3551">
        <v>310</v>
      </c>
      <c r="K3551" s="4">
        <v>133</v>
      </c>
      <c r="L3551" t="s">
        <v>27</v>
      </c>
    </row>
    <row r="3552" spans="1:12" x14ac:dyDescent="0.35">
      <c r="A3552" t="s">
        <v>18</v>
      </c>
      <c r="B3552">
        <v>1197831</v>
      </c>
      <c r="C3552" s="1">
        <v>44261</v>
      </c>
      <c r="D3552" t="s">
        <v>48</v>
      </c>
      <c r="E3552" t="s">
        <v>79</v>
      </c>
      <c r="F3552" t="s">
        <v>80</v>
      </c>
      <c r="G3552" t="s">
        <v>16</v>
      </c>
      <c r="H3552" s="2">
        <v>25</v>
      </c>
      <c r="I3552">
        <v>124</v>
      </c>
      <c r="J3552">
        <v>310</v>
      </c>
      <c r="K3552" s="4">
        <v>164</v>
      </c>
      <c r="L3552" t="s">
        <v>27</v>
      </c>
    </row>
    <row r="3553" spans="1:12" x14ac:dyDescent="0.35">
      <c r="A3553" t="s">
        <v>42</v>
      </c>
      <c r="B3553">
        <v>1128299</v>
      </c>
      <c r="C3553" s="1">
        <v>44250</v>
      </c>
      <c r="D3553" t="s">
        <v>48</v>
      </c>
      <c r="E3553" t="s">
        <v>79</v>
      </c>
      <c r="F3553" t="s">
        <v>80</v>
      </c>
      <c r="G3553" t="s">
        <v>32</v>
      </c>
      <c r="H3553" s="2">
        <v>28</v>
      </c>
      <c r="I3553">
        <v>124</v>
      </c>
      <c r="J3553">
        <v>347</v>
      </c>
      <c r="K3553" s="4">
        <v>146</v>
      </c>
      <c r="L3553" t="s">
        <v>27</v>
      </c>
    </row>
    <row r="3554" spans="1:12" x14ac:dyDescent="0.35">
      <c r="A3554" t="s">
        <v>42</v>
      </c>
      <c r="B3554">
        <v>1128299</v>
      </c>
      <c r="C3554" s="1">
        <v>44340</v>
      </c>
      <c r="D3554" t="s">
        <v>48</v>
      </c>
      <c r="E3554" t="s">
        <v>123</v>
      </c>
      <c r="F3554" t="s">
        <v>124</v>
      </c>
      <c r="G3554" t="s">
        <v>16</v>
      </c>
      <c r="H3554" s="2">
        <v>53</v>
      </c>
      <c r="I3554">
        <v>124</v>
      </c>
      <c r="J3554">
        <v>657</v>
      </c>
      <c r="K3554" s="4">
        <v>191</v>
      </c>
      <c r="L3554" t="s">
        <v>27</v>
      </c>
    </row>
    <row r="3555" spans="1:12" x14ac:dyDescent="0.35">
      <c r="A3555" t="s">
        <v>42</v>
      </c>
      <c r="B3555">
        <v>1128299</v>
      </c>
      <c r="C3555" s="1">
        <v>44463</v>
      </c>
      <c r="D3555" t="s">
        <v>48</v>
      </c>
      <c r="E3555" t="s">
        <v>123</v>
      </c>
      <c r="F3555" t="s">
        <v>124</v>
      </c>
      <c r="G3555" t="s">
        <v>56</v>
      </c>
      <c r="H3555" s="2">
        <v>33</v>
      </c>
      <c r="I3555">
        <v>124</v>
      </c>
      <c r="J3555">
        <v>409</v>
      </c>
      <c r="K3555" s="4">
        <v>151</v>
      </c>
      <c r="L3555" t="s">
        <v>27</v>
      </c>
    </row>
    <row r="3556" spans="1:12" x14ac:dyDescent="0.35">
      <c r="A3556" t="s">
        <v>42</v>
      </c>
      <c r="B3556">
        <v>1128299</v>
      </c>
      <c r="C3556" s="1">
        <v>44523</v>
      </c>
      <c r="D3556" t="s">
        <v>48</v>
      </c>
      <c r="E3556" t="s">
        <v>123</v>
      </c>
      <c r="F3556" t="s">
        <v>124</v>
      </c>
      <c r="G3556" t="s">
        <v>32</v>
      </c>
      <c r="H3556" s="2">
        <v>33</v>
      </c>
      <c r="I3556">
        <v>124</v>
      </c>
      <c r="J3556">
        <v>409</v>
      </c>
      <c r="K3556" s="4">
        <v>160</v>
      </c>
      <c r="L3556" t="s">
        <v>27</v>
      </c>
    </row>
    <row r="3557" spans="1:12" x14ac:dyDescent="0.35">
      <c r="A3557" t="s">
        <v>63</v>
      </c>
      <c r="B3557">
        <v>1128299</v>
      </c>
      <c r="C3557" s="1">
        <v>44280</v>
      </c>
      <c r="D3557" t="s">
        <v>48</v>
      </c>
      <c r="E3557" t="s">
        <v>114</v>
      </c>
      <c r="F3557" t="s">
        <v>115</v>
      </c>
      <c r="G3557" t="s">
        <v>32</v>
      </c>
      <c r="H3557" s="2">
        <v>44</v>
      </c>
      <c r="I3557">
        <v>124</v>
      </c>
      <c r="J3557">
        <v>546</v>
      </c>
      <c r="K3557" s="4">
        <v>207</v>
      </c>
      <c r="L3557" t="s">
        <v>27</v>
      </c>
    </row>
    <row r="3558" spans="1:12" x14ac:dyDescent="0.35">
      <c r="A3558" t="s">
        <v>23</v>
      </c>
      <c r="B3558">
        <v>1128299</v>
      </c>
      <c r="C3558" s="1">
        <v>44240</v>
      </c>
      <c r="D3558" t="s">
        <v>48</v>
      </c>
      <c r="E3558" t="s">
        <v>114</v>
      </c>
      <c r="F3558" t="s">
        <v>115</v>
      </c>
      <c r="G3558" t="s">
        <v>39</v>
      </c>
      <c r="H3558" s="2">
        <v>27</v>
      </c>
      <c r="I3558">
        <v>124</v>
      </c>
      <c r="J3558">
        <v>335</v>
      </c>
      <c r="K3558" s="4">
        <v>154</v>
      </c>
      <c r="L3558" t="s">
        <v>27</v>
      </c>
    </row>
    <row r="3559" spans="1:12" x14ac:dyDescent="0.35">
      <c r="A3559" t="s">
        <v>23</v>
      </c>
      <c r="B3559">
        <v>1128299</v>
      </c>
      <c r="C3559" s="1">
        <v>44267</v>
      </c>
      <c r="D3559" t="s">
        <v>13</v>
      </c>
      <c r="E3559" t="s">
        <v>57</v>
      </c>
      <c r="F3559" t="s">
        <v>58</v>
      </c>
      <c r="G3559" t="s">
        <v>32</v>
      </c>
      <c r="H3559" s="2">
        <v>39</v>
      </c>
      <c r="I3559">
        <v>124</v>
      </c>
      <c r="J3559">
        <v>484</v>
      </c>
      <c r="K3559" s="4">
        <v>184</v>
      </c>
      <c r="L3559" t="s">
        <v>27</v>
      </c>
    </row>
    <row r="3560" spans="1:12" x14ac:dyDescent="0.35">
      <c r="A3560" t="s">
        <v>23</v>
      </c>
      <c r="B3560">
        <v>1128299</v>
      </c>
      <c r="C3560" s="1">
        <v>44330</v>
      </c>
      <c r="D3560" t="s">
        <v>13</v>
      </c>
      <c r="E3560" t="s">
        <v>57</v>
      </c>
      <c r="F3560" t="s">
        <v>58</v>
      </c>
      <c r="G3560" t="s">
        <v>16</v>
      </c>
      <c r="H3560" s="2">
        <v>53</v>
      </c>
      <c r="I3560">
        <v>124</v>
      </c>
      <c r="J3560">
        <v>657</v>
      </c>
      <c r="K3560" s="4">
        <v>204</v>
      </c>
      <c r="L3560" t="s">
        <v>27</v>
      </c>
    </row>
    <row r="3561" spans="1:12" x14ac:dyDescent="0.35">
      <c r="A3561" t="s">
        <v>42</v>
      </c>
      <c r="B3561">
        <v>1185732</v>
      </c>
      <c r="C3561" s="1">
        <v>44303</v>
      </c>
      <c r="D3561" t="s">
        <v>19</v>
      </c>
      <c r="E3561" t="s">
        <v>37</v>
      </c>
      <c r="F3561" t="s">
        <v>38</v>
      </c>
      <c r="G3561" t="s">
        <v>32</v>
      </c>
      <c r="H3561" s="2">
        <v>11</v>
      </c>
      <c r="I3561">
        <v>124</v>
      </c>
      <c r="J3561">
        <v>136</v>
      </c>
      <c r="K3561" s="4">
        <v>61</v>
      </c>
      <c r="L3561" t="s">
        <v>27</v>
      </c>
    </row>
    <row r="3562" spans="1:12" x14ac:dyDescent="0.35">
      <c r="A3562" t="s">
        <v>12</v>
      </c>
      <c r="B3562">
        <v>1197831</v>
      </c>
      <c r="C3562" s="1">
        <v>44368</v>
      </c>
      <c r="D3562" t="s">
        <v>19</v>
      </c>
      <c r="E3562" t="s">
        <v>54</v>
      </c>
      <c r="F3562" t="s">
        <v>55</v>
      </c>
      <c r="G3562" t="s">
        <v>32</v>
      </c>
      <c r="H3562" s="2">
        <v>28</v>
      </c>
      <c r="I3562">
        <v>124</v>
      </c>
      <c r="J3562">
        <v>347</v>
      </c>
      <c r="K3562" s="4">
        <v>156</v>
      </c>
      <c r="L3562" t="s">
        <v>27</v>
      </c>
    </row>
    <row r="3563" spans="1:12" x14ac:dyDescent="0.35">
      <c r="A3563" t="s">
        <v>12</v>
      </c>
      <c r="B3563">
        <v>1197831</v>
      </c>
      <c r="C3563" s="1">
        <v>44368</v>
      </c>
      <c r="D3563" t="s">
        <v>19</v>
      </c>
      <c r="E3563" t="s">
        <v>54</v>
      </c>
      <c r="F3563" t="s">
        <v>55</v>
      </c>
      <c r="G3563" t="s">
        <v>56</v>
      </c>
      <c r="H3563" s="2">
        <v>29</v>
      </c>
      <c r="I3563">
        <v>124</v>
      </c>
      <c r="J3563">
        <v>360</v>
      </c>
      <c r="K3563" s="4">
        <v>158</v>
      </c>
      <c r="L3563" t="s">
        <v>27</v>
      </c>
    </row>
    <row r="3564" spans="1:12" x14ac:dyDescent="0.35">
      <c r="A3564" t="s">
        <v>18</v>
      </c>
      <c r="B3564">
        <v>1197831</v>
      </c>
      <c r="C3564" s="1">
        <v>44549</v>
      </c>
      <c r="D3564" t="s">
        <v>19</v>
      </c>
      <c r="E3564" t="s">
        <v>54</v>
      </c>
      <c r="F3564" t="s">
        <v>55</v>
      </c>
      <c r="G3564" t="s">
        <v>56</v>
      </c>
      <c r="H3564" s="2">
        <v>40</v>
      </c>
      <c r="I3564">
        <v>124</v>
      </c>
      <c r="J3564">
        <v>496</v>
      </c>
      <c r="K3564" s="4">
        <v>228</v>
      </c>
      <c r="L3564" t="s">
        <v>27</v>
      </c>
    </row>
    <row r="3565" spans="1:12" x14ac:dyDescent="0.35">
      <c r="A3565" t="s">
        <v>18</v>
      </c>
      <c r="B3565">
        <v>1197831</v>
      </c>
      <c r="C3565" s="1">
        <v>44219</v>
      </c>
      <c r="D3565" t="s">
        <v>19</v>
      </c>
      <c r="E3565" t="s">
        <v>54</v>
      </c>
      <c r="F3565" t="s">
        <v>55</v>
      </c>
      <c r="G3565" t="s">
        <v>39</v>
      </c>
      <c r="H3565" s="2">
        <v>18</v>
      </c>
      <c r="I3565">
        <v>124</v>
      </c>
      <c r="J3565">
        <v>223</v>
      </c>
      <c r="K3565" s="4">
        <v>85</v>
      </c>
      <c r="L3565" t="s">
        <v>27</v>
      </c>
    </row>
    <row r="3566" spans="1:12" x14ac:dyDescent="0.35">
      <c r="A3566" t="s">
        <v>18</v>
      </c>
      <c r="B3566">
        <v>1197831</v>
      </c>
      <c r="C3566" s="1">
        <v>44219</v>
      </c>
      <c r="D3566" t="s">
        <v>19</v>
      </c>
      <c r="E3566" t="s">
        <v>54</v>
      </c>
      <c r="F3566" t="s">
        <v>55</v>
      </c>
      <c r="G3566" t="s">
        <v>16</v>
      </c>
      <c r="H3566" s="2">
        <v>18</v>
      </c>
      <c r="I3566">
        <v>124</v>
      </c>
      <c r="J3566">
        <v>223</v>
      </c>
      <c r="K3566" s="4">
        <v>100</v>
      </c>
      <c r="L3566" t="s">
        <v>27</v>
      </c>
    </row>
    <row r="3567" spans="1:12" x14ac:dyDescent="0.35">
      <c r="A3567" t="s">
        <v>23</v>
      </c>
      <c r="B3567">
        <v>1185732</v>
      </c>
      <c r="C3567" s="1">
        <v>44352</v>
      </c>
      <c r="D3567" t="s">
        <v>43</v>
      </c>
      <c r="E3567" t="s">
        <v>108</v>
      </c>
      <c r="F3567" t="s">
        <v>109</v>
      </c>
      <c r="G3567" t="s">
        <v>39</v>
      </c>
      <c r="H3567" s="2">
        <v>38</v>
      </c>
      <c r="I3567">
        <v>124</v>
      </c>
      <c r="J3567">
        <v>471</v>
      </c>
      <c r="K3567" s="4">
        <v>221</v>
      </c>
      <c r="L3567" t="s">
        <v>27</v>
      </c>
    </row>
    <row r="3568" spans="1:12" x14ac:dyDescent="0.35">
      <c r="A3568" t="s">
        <v>23</v>
      </c>
      <c r="B3568">
        <v>1185732</v>
      </c>
      <c r="C3568" s="1">
        <v>44412</v>
      </c>
      <c r="D3568" t="s">
        <v>43</v>
      </c>
      <c r="E3568" t="s">
        <v>108</v>
      </c>
      <c r="F3568" t="s">
        <v>109</v>
      </c>
      <c r="G3568" t="s">
        <v>16</v>
      </c>
      <c r="H3568" s="2">
        <v>44</v>
      </c>
      <c r="I3568">
        <v>124</v>
      </c>
      <c r="J3568">
        <v>546</v>
      </c>
      <c r="K3568" s="4">
        <v>207</v>
      </c>
      <c r="L3568" t="s">
        <v>27</v>
      </c>
    </row>
    <row r="3569" spans="1:12" x14ac:dyDescent="0.35">
      <c r="A3569" t="s">
        <v>51</v>
      </c>
      <c r="B3569">
        <v>1185732</v>
      </c>
      <c r="C3569" s="1">
        <v>44246</v>
      </c>
      <c r="D3569" t="s">
        <v>43</v>
      </c>
      <c r="E3569" t="s">
        <v>127</v>
      </c>
      <c r="F3569" t="s">
        <v>128</v>
      </c>
      <c r="G3569" t="s">
        <v>16</v>
      </c>
      <c r="H3569" s="2">
        <v>36</v>
      </c>
      <c r="I3569">
        <v>124</v>
      </c>
      <c r="J3569">
        <v>446</v>
      </c>
      <c r="K3569" s="4">
        <v>179</v>
      </c>
      <c r="L3569" t="s">
        <v>27</v>
      </c>
    </row>
    <row r="3570" spans="1:12" x14ac:dyDescent="0.35">
      <c r="A3570" t="s">
        <v>18</v>
      </c>
      <c r="B3570">
        <v>1128299</v>
      </c>
      <c r="C3570" s="1">
        <v>43905</v>
      </c>
      <c r="D3570" t="s">
        <v>48</v>
      </c>
      <c r="E3570" t="s">
        <v>116</v>
      </c>
      <c r="F3570" t="s">
        <v>117</v>
      </c>
      <c r="G3570" t="s">
        <v>26</v>
      </c>
      <c r="H3570" s="2">
        <v>28</v>
      </c>
      <c r="I3570">
        <v>123</v>
      </c>
      <c r="J3570">
        <v>344</v>
      </c>
      <c r="K3570" s="4">
        <v>172</v>
      </c>
      <c r="L3570" t="s">
        <v>17</v>
      </c>
    </row>
    <row r="3571" spans="1:12" x14ac:dyDescent="0.35">
      <c r="A3571" t="s">
        <v>18</v>
      </c>
      <c r="B3571">
        <v>1128299</v>
      </c>
      <c r="C3571" s="1">
        <v>43906</v>
      </c>
      <c r="D3571" t="s">
        <v>48</v>
      </c>
      <c r="E3571" t="s">
        <v>116</v>
      </c>
      <c r="F3571" t="s">
        <v>117</v>
      </c>
      <c r="G3571" t="s">
        <v>39</v>
      </c>
      <c r="H3571" s="2">
        <v>38</v>
      </c>
      <c r="I3571">
        <v>123</v>
      </c>
      <c r="J3571">
        <v>467</v>
      </c>
      <c r="K3571" s="4">
        <v>154</v>
      </c>
      <c r="L3571" t="s">
        <v>17</v>
      </c>
    </row>
    <row r="3572" spans="1:12" x14ac:dyDescent="0.35">
      <c r="A3572" t="s">
        <v>18</v>
      </c>
      <c r="B3572">
        <v>1128299</v>
      </c>
      <c r="C3572" s="1">
        <v>43913</v>
      </c>
      <c r="D3572" t="s">
        <v>48</v>
      </c>
      <c r="E3572" t="s">
        <v>133</v>
      </c>
      <c r="F3572" t="s">
        <v>134</v>
      </c>
      <c r="G3572" t="s">
        <v>32</v>
      </c>
      <c r="H3572" s="2">
        <v>38</v>
      </c>
      <c r="I3572">
        <v>123</v>
      </c>
      <c r="J3572">
        <v>467</v>
      </c>
      <c r="K3572" s="4">
        <v>234</v>
      </c>
      <c r="L3572" t="s">
        <v>17</v>
      </c>
    </row>
    <row r="3573" spans="1:12" x14ac:dyDescent="0.35">
      <c r="A3573" t="s">
        <v>18</v>
      </c>
      <c r="B3573">
        <v>1128299</v>
      </c>
      <c r="C3573" s="1">
        <v>43988</v>
      </c>
      <c r="D3573" t="s">
        <v>48</v>
      </c>
      <c r="E3573" t="s">
        <v>97</v>
      </c>
      <c r="F3573" t="s">
        <v>98</v>
      </c>
      <c r="G3573" t="s">
        <v>16</v>
      </c>
      <c r="H3573" s="2">
        <v>46</v>
      </c>
      <c r="I3573">
        <v>123</v>
      </c>
      <c r="J3573">
        <v>566</v>
      </c>
      <c r="K3573" s="4">
        <v>175</v>
      </c>
      <c r="L3573" t="s">
        <v>17</v>
      </c>
    </row>
    <row r="3574" spans="1:12" x14ac:dyDescent="0.35">
      <c r="A3574" t="s">
        <v>63</v>
      </c>
      <c r="B3574">
        <v>1189833</v>
      </c>
      <c r="C3574" s="1">
        <v>44200</v>
      </c>
      <c r="D3574" t="s">
        <v>33</v>
      </c>
      <c r="E3574" t="s">
        <v>131</v>
      </c>
      <c r="F3574" t="s">
        <v>132</v>
      </c>
      <c r="G3574" t="s">
        <v>39</v>
      </c>
      <c r="H3574" s="2">
        <v>42</v>
      </c>
      <c r="I3574">
        <v>123</v>
      </c>
      <c r="J3574">
        <v>517</v>
      </c>
      <c r="K3574" s="4">
        <v>232</v>
      </c>
      <c r="L3574" t="s">
        <v>17</v>
      </c>
    </row>
    <row r="3575" spans="1:12" x14ac:dyDescent="0.35">
      <c r="A3575" t="s">
        <v>63</v>
      </c>
      <c r="B3575">
        <v>1189833</v>
      </c>
      <c r="C3575" s="1">
        <v>44255</v>
      </c>
      <c r="D3575" t="s">
        <v>33</v>
      </c>
      <c r="E3575" t="s">
        <v>131</v>
      </c>
      <c r="F3575" t="s">
        <v>132</v>
      </c>
      <c r="G3575" t="s">
        <v>32</v>
      </c>
      <c r="H3575" s="2">
        <v>37</v>
      </c>
      <c r="I3575">
        <v>123</v>
      </c>
      <c r="J3575">
        <v>455</v>
      </c>
      <c r="K3575" s="4">
        <v>259</v>
      </c>
      <c r="L3575" t="s">
        <v>17</v>
      </c>
    </row>
    <row r="3576" spans="1:12" x14ac:dyDescent="0.35">
      <c r="A3576" t="s">
        <v>23</v>
      </c>
      <c r="B3576">
        <v>1197831</v>
      </c>
      <c r="C3576" s="1">
        <v>44455</v>
      </c>
      <c r="D3576" t="s">
        <v>19</v>
      </c>
      <c r="E3576" t="s">
        <v>24</v>
      </c>
      <c r="F3576" t="s">
        <v>25</v>
      </c>
      <c r="G3576" t="s">
        <v>70</v>
      </c>
      <c r="H3576" s="2">
        <v>50</v>
      </c>
      <c r="I3576">
        <v>123</v>
      </c>
      <c r="J3576">
        <v>615</v>
      </c>
      <c r="K3576" s="4">
        <v>363</v>
      </c>
      <c r="L3576" t="s">
        <v>17</v>
      </c>
    </row>
    <row r="3577" spans="1:12" x14ac:dyDescent="0.35">
      <c r="A3577" t="s">
        <v>51</v>
      </c>
      <c r="B3577">
        <v>1185732</v>
      </c>
      <c r="C3577" s="1">
        <v>44521</v>
      </c>
      <c r="D3577" t="s">
        <v>48</v>
      </c>
      <c r="E3577" t="s">
        <v>137</v>
      </c>
      <c r="F3577" t="s">
        <v>138</v>
      </c>
      <c r="G3577" t="s">
        <v>26</v>
      </c>
      <c r="H3577" s="2">
        <v>68</v>
      </c>
      <c r="I3577">
        <v>123</v>
      </c>
      <c r="J3577">
        <v>836</v>
      </c>
      <c r="K3577" s="4">
        <v>401</v>
      </c>
      <c r="L3577" t="s">
        <v>17</v>
      </c>
    </row>
    <row r="3578" spans="1:12" x14ac:dyDescent="0.35">
      <c r="A3578" t="s">
        <v>42</v>
      </c>
      <c r="B3578">
        <v>1128299</v>
      </c>
      <c r="C3578" s="1">
        <v>44206</v>
      </c>
      <c r="D3578" t="s">
        <v>48</v>
      </c>
      <c r="E3578" t="s">
        <v>137</v>
      </c>
      <c r="F3578" t="s">
        <v>138</v>
      </c>
      <c r="G3578" t="s">
        <v>16</v>
      </c>
      <c r="H3578" s="2">
        <v>42</v>
      </c>
      <c r="I3578">
        <v>123</v>
      </c>
      <c r="J3578">
        <v>517</v>
      </c>
      <c r="K3578" s="4">
        <v>279</v>
      </c>
      <c r="L3578" t="s">
        <v>17</v>
      </c>
    </row>
    <row r="3579" spans="1:12" x14ac:dyDescent="0.35">
      <c r="A3579" t="s">
        <v>12</v>
      </c>
      <c r="B3579">
        <v>1128299</v>
      </c>
      <c r="C3579" s="1">
        <v>44510</v>
      </c>
      <c r="D3579" t="s">
        <v>48</v>
      </c>
      <c r="E3579" t="s">
        <v>129</v>
      </c>
      <c r="F3579" t="s">
        <v>130</v>
      </c>
      <c r="G3579" t="s">
        <v>32</v>
      </c>
      <c r="H3579" s="2">
        <v>50</v>
      </c>
      <c r="I3579">
        <v>123</v>
      </c>
      <c r="J3579">
        <v>615</v>
      </c>
      <c r="K3579" s="4">
        <v>246</v>
      </c>
      <c r="L3579" t="s">
        <v>17</v>
      </c>
    </row>
    <row r="3580" spans="1:12" x14ac:dyDescent="0.35">
      <c r="A3580" t="s">
        <v>23</v>
      </c>
      <c r="B3580">
        <v>1128299</v>
      </c>
      <c r="C3580" s="1">
        <v>44213</v>
      </c>
      <c r="D3580" t="s">
        <v>48</v>
      </c>
      <c r="E3580" t="s">
        <v>129</v>
      </c>
      <c r="F3580" t="s">
        <v>130</v>
      </c>
      <c r="G3580" t="s">
        <v>39</v>
      </c>
      <c r="H3580" s="2">
        <v>48</v>
      </c>
      <c r="I3580">
        <v>123</v>
      </c>
      <c r="J3580">
        <v>590</v>
      </c>
      <c r="K3580" s="4">
        <v>207</v>
      </c>
      <c r="L3580" t="s">
        <v>17</v>
      </c>
    </row>
    <row r="3581" spans="1:12" x14ac:dyDescent="0.35">
      <c r="A3581" t="s">
        <v>23</v>
      </c>
      <c r="B3581">
        <v>1128299</v>
      </c>
      <c r="C3581" s="1">
        <v>44213</v>
      </c>
      <c r="D3581" t="s">
        <v>48</v>
      </c>
      <c r="E3581" t="s">
        <v>129</v>
      </c>
      <c r="F3581" t="s">
        <v>130</v>
      </c>
      <c r="G3581" t="s">
        <v>32</v>
      </c>
      <c r="H3581" s="2">
        <v>45</v>
      </c>
      <c r="I3581">
        <v>123</v>
      </c>
      <c r="J3581">
        <v>554</v>
      </c>
      <c r="K3581" s="4">
        <v>227</v>
      </c>
      <c r="L3581" t="s">
        <v>17</v>
      </c>
    </row>
    <row r="3582" spans="1:12" x14ac:dyDescent="0.35">
      <c r="A3582" t="s">
        <v>63</v>
      </c>
      <c r="B3582">
        <v>1185732</v>
      </c>
      <c r="C3582" s="1">
        <v>44239</v>
      </c>
      <c r="D3582" t="s">
        <v>48</v>
      </c>
      <c r="E3582" t="s">
        <v>102</v>
      </c>
      <c r="F3582" t="s">
        <v>103</v>
      </c>
      <c r="G3582" t="s">
        <v>56</v>
      </c>
      <c r="H3582" s="2">
        <v>32</v>
      </c>
      <c r="I3582">
        <v>123</v>
      </c>
      <c r="J3582">
        <v>394</v>
      </c>
      <c r="K3582" s="4">
        <v>189</v>
      </c>
      <c r="L3582" t="s">
        <v>17</v>
      </c>
    </row>
    <row r="3583" spans="1:12" x14ac:dyDescent="0.35">
      <c r="A3583" t="s">
        <v>23</v>
      </c>
      <c r="B3583">
        <v>1185732</v>
      </c>
      <c r="C3583" s="1">
        <v>44486</v>
      </c>
      <c r="D3583" t="s">
        <v>33</v>
      </c>
      <c r="E3583" t="s">
        <v>45</v>
      </c>
      <c r="F3583" t="s">
        <v>46</v>
      </c>
      <c r="G3583" t="s">
        <v>32</v>
      </c>
      <c r="H3583" s="2">
        <v>37</v>
      </c>
      <c r="I3583">
        <v>123</v>
      </c>
      <c r="J3583">
        <v>455</v>
      </c>
      <c r="K3583" s="4">
        <v>205</v>
      </c>
      <c r="L3583" t="s">
        <v>17</v>
      </c>
    </row>
    <row r="3584" spans="1:12" x14ac:dyDescent="0.35">
      <c r="A3584" t="s">
        <v>42</v>
      </c>
      <c r="B3584">
        <v>1185732</v>
      </c>
      <c r="C3584" s="1">
        <v>44214</v>
      </c>
      <c r="D3584" t="s">
        <v>33</v>
      </c>
      <c r="E3584" t="s">
        <v>45</v>
      </c>
      <c r="F3584" t="s">
        <v>46</v>
      </c>
      <c r="G3584" t="s">
        <v>39</v>
      </c>
      <c r="H3584" s="2">
        <v>29</v>
      </c>
      <c r="I3584">
        <v>123</v>
      </c>
      <c r="J3584">
        <v>357</v>
      </c>
      <c r="K3584" s="4">
        <v>168</v>
      </c>
      <c r="L3584" t="s">
        <v>17</v>
      </c>
    </row>
    <row r="3585" spans="1:12" x14ac:dyDescent="0.35">
      <c r="A3585" t="s">
        <v>42</v>
      </c>
      <c r="B3585">
        <v>1185732</v>
      </c>
      <c r="C3585" s="1">
        <v>44214</v>
      </c>
      <c r="D3585" t="s">
        <v>33</v>
      </c>
      <c r="E3585" t="s">
        <v>45</v>
      </c>
      <c r="F3585" t="s">
        <v>46</v>
      </c>
      <c r="G3585" t="s">
        <v>32</v>
      </c>
      <c r="H3585" s="2">
        <v>19</v>
      </c>
      <c r="I3585">
        <v>123</v>
      </c>
      <c r="J3585">
        <v>234</v>
      </c>
      <c r="K3585" s="4">
        <v>105</v>
      </c>
      <c r="L3585" t="s">
        <v>17</v>
      </c>
    </row>
    <row r="3586" spans="1:12" x14ac:dyDescent="0.35">
      <c r="A3586" t="s">
        <v>42</v>
      </c>
      <c r="B3586">
        <v>1185732</v>
      </c>
      <c r="C3586" s="1">
        <v>44214</v>
      </c>
      <c r="D3586" t="s">
        <v>33</v>
      </c>
      <c r="E3586" t="s">
        <v>45</v>
      </c>
      <c r="F3586" t="s">
        <v>46</v>
      </c>
      <c r="G3586" t="s">
        <v>16</v>
      </c>
      <c r="H3586" s="2">
        <v>29</v>
      </c>
      <c r="I3586">
        <v>123</v>
      </c>
      <c r="J3586">
        <v>357</v>
      </c>
      <c r="K3586" s="4">
        <v>225</v>
      </c>
      <c r="L3586" t="s">
        <v>17</v>
      </c>
    </row>
    <row r="3587" spans="1:12" x14ac:dyDescent="0.35">
      <c r="A3587" t="s">
        <v>42</v>
      </c>
      <c r="B3587">
        <v>1128299</v>
      </c>
      <c r="C3587" s="1">
        <v>44399</v>
      </c>
      <c r="D3587" t="s">
        <v>48</v>
      </c>
      <c r="E3587" t="s">
        <v>123</v>
      </c>
      <c r="F3587" t="s">
        <v>124</v>
      </c>
      <c r="G3587" t="s">
        <v>16</v>
      </c>
      <c r="H3587" s="2">
        <v>67</v>
      </c>
      <c r="I3587">
        <v>123</v>
      </c>
      <c r="J3587">
        <v>824</v>
      </c>
      <c r="K3587" s="4">
        <v>313</v>
      </c>
      <c r="L3587" t="s">
        <v>17</v>
      </c>
    </row>
    <row r="3588" spans="1:12" x14ac:dyDescent="0.35">
      <c r="A3588" t="s">
        <v>63</v>
      </c>
      <c r="B3588">
        <v>1128299</v>
      </c>
      <c r="C3588" s="1">
        <v>44552</v>
      </c>
      <c r="D3588" t="s">
        <v>48</v>
      </c>
      <c r="E3588" t="s">
        <v>123</v>
      </c>
      <c r="F3588" t="s">
        <v>124</v>
      </c>
      <c r="G3588" t="s">
        <v>32</v>
      </c>
      <c r="H3588" s="2">
        <v>43</v>
      </c>
      <c r="I3588">
        <v>123</v>
      </c>
      <c r="J3588">
        <v>529</v>
      </c>
      <c r="K3588" s="4">
        <v>254</v>
      </c>
      <c r="L3588" t="s">
        <v>17</v>
      </c>
    </row>
    <row r="3589" spans="1:12" x14ac:dyDescent="0.35">
      <c r="A3589" t="s">
        <v>63</v>
      </c>
      <c r="B3589">
        <v>1128299</v>
      </c>
      <c r="C3589" s="1">
        <v>44466</v>
      </c>
      <c r="D3589" t="s">
        <v>48</v>
      </c>
      <c r="E3589" t="s">
        <v>114</v>
      </c>
      <c r="F3589" t="s">
        <v>115</v>
      </c>
      <c r="G3589" t="s">
        <v>56</v>
      </c>
      <c r="H3589" s="2">
        <v>49</v>
      </c>
      <c r="I3589">
        <v>123</v>
      </c>
      <c r="J3589">
        <v>603</v>
      </c>
      <c r="K3589" s="4">
        <v>283</v>
      </c>
      <c r="L3589" t="s">
        <v>17</v>
      </c>
    </row>
    <row r="3590" spans="1:12" x14ac:dyDescent="0.35">
      <c r="A3590" t="s">
        <v>23</v>
      </c>
      <c r="B3590">
        <v>1128299</v>
      </c>
      <c r="C3590" s="1">
        <v>44330</v>
      </c>
      <c r="D3590" t="s">
        <v>13</v>
      </c>
      <c r="E3590" t="s">
        <v>57</v>
      </c>
      <c r="F3590" t="s">
        <v>58</v>
      </c>
      <c r="G3590" t="s">
        <v>32</v>
      </c>
      <c r="H3590" s="2">
        <v>52</v>
      </c>
      <c r="I3590">
        <v>123</v>
      </c>
      <c r="J3590">
        <v>640</v>
      </c>
      <c r="K3590" s="4">
        <v>320</v>
      </c>
      <c r="L3590" t="s">
        <v>17</v>
      </c>
    </row>
    <row r="3591" spans="1:12" x14ac:dyDescent="0.35">
      <c r="A3591" t="s">
        <v>51</v>
      </c>
      <c r="B3591">
        <v>1185732</v>
      </c>
      <c r="C3591" s="1">
        <v>44209</v>
      </c>
      <c r="D3591" t="s">
        <v>13</v>
      </c>
      <c r="E3591" t="s">
        <v>77</v>
      </c>
      <c r="F3591" t="s">
        <v>78</v>
      </c>
      <c r="G3591" t="s">
        <v>56</v>
      </c>
      <c r="H3591" s="2">
        <v>29</v>
      </c>
      <c r="I3591">
        <v>123</v>
      </c>
      <c r="J3591">
        <v>357</v>
      </c>
      <c r="K3591" s="4">
        <v>185</v>
      </c>
      <c r="L3591" t="s">
        <v>17</v>
      </c>
    </row>
    <row r="3592" spans="1:12" x14ac:dyDescent="0.35">
      <c r="A3592" t="s">
        <v>51</v>
      </c>
      <c r="B3592">
        <v>1185732</v>
      </c>
      <c r="C3592" s="1">
        <v>44325</v>
      </c>
      <c r="D3592" t="s">
        <v>33</v>
      </c>
      <c r="E3592" t="s">
        <v>52</v>
      </c>
      <c r="F3592" t="s">
        <v>53</v>
      </c>
      <c r="G3592" t="s">
        <v>56</v>
      </c>
      <c r="H3592" s="2">
        <v>38</v>
      </c>
      <c r="I3592">
        <v>123</v>
      </c>
      <c r="J3592">
        <v>467</v>
      </c>
      <c r="K3592" s="4">
        <v>257</v>
      </c>
      <c r="L3592" t="s">
        <v>17</v>
      </c>
    </row>
    <row r="3593" spans="1:12" x14ac:dyDescent="0.35">
      <c r="A3593" t="s">
        <v>51</v>
      </c>
      <c r="B3593">
        <v>1185732</v>
      </c>
      <c r="C3593" s="1">
        <v>44522</v>
      </c>
      <c r="D3593" t="s">
        <v>13</v>
      </c>
      <c r="E3593" t="s">
        <v>106</v>
      </c>
      <c r="F3593" t="s">
        <v>107</v>
      </c>
      <c r="G3593" t="s">
        <v>26</v>
      </c>
      <c r="H3593" s="2">
        <v>48</v>
      </c>
      <c r="I3593">
        <v>123</v>
      </c>
      <c r="J3593">
        <v>590</v>
      </c>
      <c r="K3593" s="4">
        <v>307</v>
      </c>
      <c r="L3593" t="s">
        <v>17</v>
      </c>
    </row>
    <row r="3594" spans="1:12" x14ac:dyDescent="0.35">
      <c r="A3594" t="s">
        <v>42</v>
      </c>
      <c r="B3594">
        <v>1185732</v>
      </c>
      <c r="C3594" s="1">
        <v>44271</v>
      </c>
      <c r="D3594" t="s">
        <v>19</v>
      </c>
      <c r="E3594" t="s">
        <v>37</v>
      </c>
      <c r="F3594" t="s">
        <v>38</v>
      </c>
      <c r="G3594" t="s">
        <v>16</v>
      </c>
      <c r="H3594" s="2">
        <v>24</v>
      </c>
      <c r="I3594">
        <v>123</v>
      </c>
      <c r="J3594">
        <v>295</v>
      </c>
      <c r="K3594" s="4">
        <v>183</v>
      </c>
      <c r="L3594" t="s">
        <v>17</v>
      </c>
    </row>
    <row r="3595" spans="1:12" x14ac:dyDescent="0.35">
      <c r="A3595" t="s">
        <v>12</v>
      </c>
      <c r="B3595">
        <v>1185732</v>
      </c>
      <c r="C3595" s="1">
        <v>44455</v>
      </c>
      <c r="D3595" t="s">
        <v>19</v>
      </c>
      <c r="E3595" t="s">
        <v>37</v>
      </c>
      <c r="F3595" t="s">
        <v>38</v>
      </c>
      <c r="G3595" t="s">
        <v>32</v>
      </c>
      <c r="H3595" s="2">
        <v>19</v>
      </c>
      <c r="I3595">
        <v>123</v>
      </c>
      <c r="J3595">
        <v>234</v>
      </c>
      <c r="K3595" s="4">
        <v>117</v>
      </c>
      <c r="L3595" t="s">
        <v>17</v>
      </c>
    </row>
    <row r="3596" spans="1:12" x14ac:dyDescent="0.35">
      <c r="A3596" t="s">
        <v>23</v>
      </c>
      <c r="B3596">
        <v>1185732</v>
      </c>
      <c r="C3596" s="1">
        <v>44517</v>
      </c>
      <c r="D3596" t="s">
        <v>19</v>
      </c>
      <c r="E3596" t="s">
        <v>37</v>
      </c>
      <c r="F3596" t="s">
        <v>38</v>
      </c>
      <c r="G3596" t="s">
        <v>70</v>
      </c>
      <c r="H3596" s="2">
        <v>71</v>
      </c>
      <c r="I3596">
        <v>123</v>
      </c>
      <c r="J3596">
        <v>873</v>
      </c>
      <c r="K3596" s="4">
        <v>393</v>
      </c>
      <c r="L3596" t="s">
        <v>17</v>
      </c>
    </row>
    <row r="3597" spans="1:12" x14ac:dyDescent="0.35">
      <c r="A3597" t="s">
        <v>63</v>
      </c>
      <c r="B3597">
        <v>1197831</v>
      </c>
      <c r="C3597" s="1">
        <v>44549</v>
      </c>
      <c r="D3597" t="s">
        <v>19</v>
      </c>
      <c r="E3597" t="s">
        <v>61</v>
      </c>
      <c r="F3597" t="s">
        <v>62</v>
      </c>
      <c r="G3597" t="s">
        <v>16</v>
      </c>
      <c r="H3597" s="2">
        <v>68</v>
      </c>
      <c r="I3597">
        <v>123</v>
      </c>
      <c r="J3597">
        <v>836</v>
      </c>
      <c r="K3597" s="4">
        <v>418</v>
      </c>
      <c r="L3597" t="s">
        <v>17</v>
      </c>
    </row>
    <row r="3598" spans="1:12" x14ac:dyDescent="0.35">
      <c r="A3598" t="s">
        <v>18</v>
      </c>
      <c r="B3598">
        <v>1185732</v>
      </c>
      <c r="C3598" s="1">
        <v>44510</v>
      </c>
      <c r="D3598" t="s">
        <v>33</v>
      </c>
      <c r="E3598" t="s">
        <v>81</v>
      </c>
      <c r="F3598" t="s">
        <v>82</v>
      </c>
      <c r="G3598" t="s">
        <v>26</v>
      </c>
      <c r="H3598" s="2">
        <v>41</v>
      </c>
      <c r="I3598">
        <v>123</v>
      </c>
      <c r="J3598">
        <v>504</v>
      </c>
      <c r="K3598" s="4">
        <v>257</v>
      </c>
      <c r="L3598" t="s">
        <v>17</v>
      </c>
    </row>
    <row r="3599" spans="1:12" x14ac:dyDescent="0.35">
      <c r="A3599" t="s">
        <v>63</v>
      </c>
      <c r="B3599">
        <v>1185732</v>
      </c>
      <c r="C3599" s="1">
        <v>44543</v>
      </c>
      <c r="D3599" t="s">
        <v>43</v>
      </c>
      <c r="E3599" t="s">
        <v>95</v>
      </c>
      <c r="F3599" t="s">
        <v>96</v>
      </c>
      <c r="G3599" t="s">
        <v>16</v>
      </c>
      <c r="H3599" s="2">
        <v>65</v>
      </c>
      <c r="I3599">
        <v>123</v>
      </c>
      <c r="J3599">
        <v>800</v>
      </c>
      <c r="K3599" s="4">
        <v>400</v>
      </c>
      <c r="L3599" t="s">
        <v>17</v>
      </c>
    </row>
    <row r="3600" spans="1:12" x14ac:dyDescent="0.35">
      <c r="A3600" t="s">
        <v>23</v>
      </c>
      <c r="B3600">
        <v>1185732</v>
      </c>
      <c r="C3600" s="1">
        <v>44352</v>
      </c>
      <c r="D3600" t="s">
        <v>43</v>
      </c>
      <c r="E3600" t="s">
        <v>108</v>
      </c>
      <c r="F3600" t="s">
        <v>109</v>
      </c>
      <c r="G3600" t="s">
        <v>16</v>
      </c>
      <c r="H3600" s="2">
        <v>56</v>
      </c>
      <c r="I3600">
        <v>123</v>
      </c>
      <c r="J3600">
        <v>689</v>
      </c>
      <c r="K3600" s="4">
        <v>338</v>
      </c>
      <c r="L3600" t="s">
        <v>17</v>
      </c>
    </row>
    <row r="3601" spans="1:12" x14ac:dyDescent="0.35">
      <c r="A3601" t="s">
        <v>51</v>
      </c>
      <c r="B3601">
        <v>1185732</v>
      </c>
      <c r="C3601" s="1">
        <v>44366</v>
      </c>
      <c r="D3601" t="s">
        <v>43</v>
      </c>
      <c r="E3601" t="s">
        <v>127</v>
      </c>
      <c r="F3601" t="s">
        <v>128</v>
      </c>
      <c r="G3601" t="s">
        <v>39</v>
      </c>
      <c r="H3601" s="2">
        <v>56</v>
      </c>
      <c r="I3601">
        <v>123</v>
      </c>
      <c r="J3601">
        <v>689</v>
      </c>
      <c r="K3601" s="4">
        <v>351</v>
      </c>
      <c r="L3601" t="s">
        <v>17</v>
      </c>
    </row>
    <row r="3602" spans="1:12" x14ac:dyDescent="0.35">
      <c r="A3602" t="s">
        <v>42</v>
      </c>
      <c r="B3602">
        <v>1185732</v>
      </c>
      <c r="C3602" s="1">
        <v>44538</v>
      </c>
      <c r="D3602" t="s">
        <v>43</v>
      </c>
      <c r="E3602" t="s">
        <v>135</v>
      </c>
      <c r="F3602" t="s">
        <v>136</v>
      </c>
      <c r="G3602" t="s">
        <v>16</v>
      </c>
      <c r="H3602" s="2">
        <v>49</v>
      </c>
      <c r="I3602">
        <v>123</v>
      </c>
      <c r="J3602">
        <v>603</v>
      </c>
      <c r="K3602" s="4">
        <v>217</v>
      </c>
      <c r="L3602" t="s">
        <v>27</v>
      </c>
    </row>
    <row r="3603" spans="1:12" x14ac:dyDescent="0.35">
      <c r="A3603" t="s">
        <v>18</v>
      </c>
      <c r="B3603">
        <v>1128299</v>
      </c>
      <c r="C3603" s="1">
        <v>43855</v>
      </c>
      <c r="D3603" t="s">
        <v>48</v>
      </c>
      <c r="E3603" t="s">
        <v>116</v>
      </c>
      <c r="F3603" t="s">
        <v>117</v>
      </c>
      <c r="G3603" t="s">
        <v>16</v>
      </c>
      <c r="H3603" s="2">
        <v>54</v>
      </c>
      <c r="I3603">
        <v>123</v>
      </c>
      <c r="J3603">
        <v>664</v>
      </c>
      <c r="K3603" s="4">
        <v>179</v>
      </c>
      <c r="L3603" t="s">
        <v>27</v>
      </c>
    </row>
    <row r="3604" spans="1:12" x14ac:dyDescent="0.35">
      <c r="A3604" t="s">
        <v>23</v>
      </c>
      <c r="B3604">
        <v>1197831</v>
      </c>
      <c r="C3604" s="1">
        <v>44269</v>
      </c>
      <c r="D3604" t="s">
        <v>19</v>
      </c>
      <c r="E3604" t="s">
        <v>74</v>
      </c>
      <c r="F3604" t="s">
        <v>75</v>
      </c>
      <c r="G3604" t="s">
        <v>70</v>
      </c>
      <c r="H3604" s="2">
        <v>30</v>
      </c>
      <c r="I3604">
        <v>123</v>
      </c>
      <c r="J3604">
        <v>369</v>
      </c>
      <c r="K3604" s="4">
        <v>125</v>
      </c>
      <c r="L3604" t="s">
        <v>27</v>
      </c>
    </row>
    <row r="3605" spans="1:12" x14ac:dyDescent="0.35">
      <c r="A3605" t="s">
        <v>18</v>
      </c>
      <c r="B3605">
        <v>1185732</v>
      </c>
      <c r="C3605" s="1">
        <v>44511</v>
      </c>
      <c r="D3605" t="s">
        <v>48</v>
      </c>
      <c r="E3605" t="s">
        <v>49</v>
      </c>
      <c r="F3605" t="s">
        <v>50</v>
      </c>
      <c r="G3605" t="s">
        <v>70</v>
      </c>
      <c r="H3605" s="2">
        <v>28</v>
      </c>
      <c r="I3605">
        <v>123</v>
      </c>
      <c r="J3605">
        <v>344</v>
      </c>
      <c r="K3605" s="4">
        <v>131</v>
      </c>
      <c r="L3605" t="s">
        <v>27</v>
      </c>
    </row>
    <row r="3606" spans="1:12" x14ac:dyDescent="0.35">
      <c r="A3606" t="s">
        <v>18</v>
      </c>
      <c r="B3606">
        <v>1128299</v>
      </c>
      <c r="C3606" s="1">
        <v>44220</v>
      </c>
      <c r="D3606" t="s">
        <v>48</v>
      </c>
      <c r="E3606" t="s">
        <v>49</v>
      </c>
      <c r="F3606" t="s">
        <v>50</v>
      </c>
      <c r="G3606" t="s">
        <v>39</v>
      </c>
      <c r="H3606" s="2">
        <v>29</v>
      </c>
      <c r="I3606">
        <v>123</v>
      </c>
      <c r="J3606">
        <v>357</v>
      </c>
      <c r="K3606" s="4">
        <v>143</v>
      </c>
      <c r="L3606" t="s">
        <v>27</v>
      </c>
    </row>
    <row r="3607" spans="1:12" x14ac:dyDescent="0.35">
      <c r="A3607" t="s">
        <v>18</v>
      </c>
      <c r="B3607">
        <v>1128299</v>
      </c>
      <c r="C3607" s="1">
        <v>44251</v>
      </c>
      <c r="D3607" t="s">
        <v>48</v>
      </c>
      <c r="E3607" t="s">
        <v>49</v>
      </c>
      <c r="F3607" t="s">
        <v>50</v>
      </c>
      <c r="G3607" t="s">
        <v>39</v>
      </c>
      <c r="H3607" s="2">
        <v>29</v>
      </c>
      <c r="I3607">
        <v>123</v>
      </c>
      <c r="J3607">
        <v>357</v>
      </c>
      <c r="K3607" s="4">
        <v>150</v>
      </c>
      <c r="L3607" t="s">
        <v>27</v>
      </c>
    </row>
    <row r="3608" spans="1:12" x14ac:dyDescent="0.35">
      <c r="A3608" t="s">
        <v>18</v>
      </c>
      <c r="B3608">
        <v>1128299</v>
      </c>
      <c r="C3608" s="1">
        <v>44251</v>
      </c>
      <c r="D3608" t="s">
        <v>48</v>
      </c>
      <c r="E3608" t="s">
        <v>49</v>
      </c>
      <c r="F3608" t="s">
        <v>50</v>
      </c>
      <c r="G3608" t="s">
        <v>32</v>
      </c>
      <c r="H3608" s="2">
        <v>28</v>
      </c>
      <c r="I3608">
        <v>123</v>
      </c>
      <c r="J3608">
        <v>344</v>
      </c>
      <c r="K3608" s="4">
        <v>127</v>
      </c>
      <c r="L3608" t="s">
        <v>27</v>
      </c>
    </row>
    <row r="3609" spans="1:12" x14ac:dyDescent="0.35">
      <c r="A3609" t="s">
        <v>18</v>
      </c>
      <c r="B3609">
        <v>1128299</v>
      </c>
      <c r="C3609" s="1">
        <v>44493</v>
      </c>
      <c r="D3609" t="s">
        <v>48</v>
      </c>
      <c r="E3609" t="s">
        <v>85</v>
      </c>
      <c r="F3609" t="s">
        <v>86</v>
      </c>
      <c r="G3609" t="s">
        <v>16</v>
      </c>
      <c r="H3609" s="2">
        <v>41</v>
      </c>
      <c r="I3609">
        <v>123</v>
      </c>
      <c r="J3609">
        <v>504</v>
      </c>
      <c r="K3609" s="4">
        <v>187</v>
      </c>
      <c r="L3609" t="s">
        <v>27</v>
      </c>
    </row>
    <row r="3610" spans="1:12" x14ac:dyDescent="0.35">
      <c r="A3610" t="s">
        <v>18</v>
      </c>
      <c r="B3610">
        <v>1128299</v>
      </c>
      <c r="C3610" s="1">
        <v>44303</v>
      </c>
      <c r="D3610" t="s">
        <v>19</v>
      </c>
      <c r="E3610" t="s">
        <v>20</v>
      </c>
      <c r="F3610" t="s">
        <v>21</v>
      </c>
      <c r="G3610" t="s">
        <v>16</v>
      </c>
      <c r="H3610" s="2">
        <v>39</v>
      </c>
      <c r="I3610">
        <v>123</v>
      </c>
      <c r="J3610">
        <v>480</v>
      </c>
      <c r="K3610" s="4">
        <v>177</v>
      </c>
      <c r="L3610" t="s">
        <v>27</v>
      </c>
    </row>
    <row r="3611" spans="1:12" x14ac:dyDescent="0.35">
      <c r="A3611" t="s">
        <v>23</v>
      </c>
      <c r="B3611">
        <v>1197831</v>
      </c>
      <c r="C3611" s="1">
        <v>44473</v>
      </c>
      <c r="D3611" t="s">
        <v>48</v>
      </c>
      <c r="E3611" t="s">
        <v>79</v>
      </c>
      <c r="F3611" t="s">
        <v>80</v>
      </c>
      <c r="G3611" t="s">
        <v>70</v>
      </c>
      <c r="H3611" s="2">
        <v>25</v>
      </c>
      <c r="I3611">
        <v>123</v>
      </c>
      <c r="J3611">
        <v>308</v>
      </c>
      <c r="K3611" s="4">
        <v>120</v>
      </c>
      <c r="L3611" t="s">
        <v>27</v>
      </c>
    </row>
    <row r="3612" spans="1:12" x14ac:dyDescent="0.35">
      <c r="A3612" t="s">
        <v>42</v>
      </c>
      <c r="B3612">
        <v>1128299</v>
      </c>
      <c r="C3612" s="1">
        <v>44309</v>
      </c>
      <c r="D3612" t="s">
        <v>48</v>
      </c>
      <c r="E3612" t="s">
        <v>123</v>
      </c>
      <c r="F3612" t="s">
        <v>124</v>
      </c>
      <c r="G3612" t="s">
        <v>32</v>
      </c>
      <c r="H3612" s="2">
        <v>42</v>
      </c>
      <c r="I3612">
        <v>123</v>
      </c>
      <c r="J3612">
        <v>517</v>
      </c>
      <c r="K3612" s="4">
        <v>191</v>
      </c>
      <c r="L3612" t="s">
        <v>27</v>
      </c>
    </row>
    <row r="3613" spans="1:12" x14ac:dyDescent="0.35">
      <c r="A3613" t="s">
        <v>23</v>
      </c>
      <c r="B3613">
        <v>1128299</v>
      </c>
      <c r="C3613" s="1">
        <v>44482</v>
      </c>
      <c r="D3613" t="s">
        <v>13</v>
      </c>
      <c r="E3613" t="s">
        <v>57</v>
      </c>
      <c r="F3613" t="s">
        <v>58</v>
      </c>
      <c r="G3613" t="s">
        <v>32</v>
      </c>
      <c r="H3613" s="2">
        <v>32</v>
      </c>
      <c r="I3613">
        <v>123</v>
      </c>
      <c r="J3613">
        <v>394</v>
      </c>
      <c r="K3613" s="4">
        <v>150</v>
      </c>
      <c r="L3613" t="s">
        <v>27</v>
      </c>
    </row>
    <row r="3614" spans="1:12" x14ac:dyDescent="0.35">
      <c r="A3614" t="s">
        <v>23</v>
      </c>
      <c r="B3614">
        <v>1197831</v>
      </c>
      <c r="C3614" s="1">
        <v>44219</v>
      </c>
      <c r="D3614" t="s">
        <v>19</v>
      </c>
      <c r="E3614" t="s">
        <v>37</v>
      </c>
      <c r="F3614" t="s">
        <v>38</v>
      </c>
      <c r="G3614" t="s">
        <v>70</v>
      </c>
      <c r="H3614" s="2">
        <v>26</v>
      </c>
      <c r="I3614">
        <v>123</v>
      </c>
      <c r="J3614">
        <v>320</v>
      </c>
      <c r="K3614" s="4">
        <v>122</v>
      </c>
      <c r="L3614" t="s">
        <v>27</v>
      </c>
    </row>
    <row r="3615" spans="1:12" x14ac:dyDescent="0.35">
      <c r="A3615" t="s">
        <v>12</v>
      </c>
      <c r="B3615">
        <v>1197831</v>
      </c>
      <c r="C3615" s="1">
        <v>44458</v>
      </c>
      <c r="D3615" t="s">
        <v>19</v>
      </c>
      <c r="E3615" t="s">
        <v>54</v>
      </c>
      <c r="F3615" t="s">
        <v>55</v>
      </c>
      <c r="G3615" t="s">
        <v>32</v>
      </c>
      <c r="H3615" s="2">
        <v>11</v>
      </c>
      <c r="I3615">
        <v>123</v>
      </c>
      <c r="J3615">
        <v>135</v>
      </c>
      <c r="K3615" s="4">
        <v>64</v>
      </c>
      <c r="L3615" t="s">
        <v>27</v>
      </c>
    </row>
    <row r="3616" spans="1:12" x14ac:dyDescent="0.35">
      <c r="A3616" t="s">
        <v>18</v>
      </c>
      <c r="B3616">
        <v>1197831</v>
      </c>
      <c r="C3616" s="1">
        <v>44368</v>
      </c>
      <c r="D3616" t="s">
        <v>19</v>
      </c>
      <c r="E3616" t="s">
        <v>61</v>
      </c>
      <c r="F3616" t="s">
        <v>62</v>
      </c>
      <c r="G3616" t="s">
        <v>39</v>
      </c>
      <c r="H3616" s="2">
        <v>25</v>
      </c>
      <c r="I3616">
        <v>123</v>
      </c>
      <c r="J3616">
        <v>308</v>
      </c>
      <c r="K3616" s="4">
        <v>120</v>
      </c>
      <c r="L3616" t="s">
        <v>27</v>
      </c>
    </row>
    <row r="3617" spans="1:12" x14ac:dyDescent="0.35">
      <c r="A3617" t="s">
        <v>51</v>
      </c>
      <c r="B3617">
        <v>1185732</v>
      </c>
      <c r="C3617" s="1">
        <v>44514</v>
      </c>
      <c r="D3617" t="s">
        <v>43</v>
      </c>
      <c r="E3617" t="s">
        <v>112</v>
      </c>
      <c r="F3617" t="s">
        <v>113</v>
      </c>
      <c r="G3617" t="s">
        <v>16</v>
      </c>
      <c r="H3617" s="2">
        <v>48</v>
      </c>
      <c r="I3617">
        <v>123</v>
      </c>
      <c r="J3617">
        <v>590</v>
      </c>
      <c r="K3617" s="4">
        <v>207</v>
      </c>
      <c r="L3617" t="s">
        <v>27</v>
      </c>
    </row>
    <row r="3618" spans="1:12" x14ac:dyDescent="0.35">
      <c r="A3618" t="s">
        <v>42</v>
      </c>
      <c r="B3618">
        <v>1185732</v>
      </c>
      <c r="C3618" s="1">
        <v>44547</v>
      </c>
      <c r="D3618" t="s">
        <v>43</v>
      </c>
      <c r="E3618" t="s">
        <v>127</v>
      </c>
      <c r="F3618" t="s">
        <v>128</v>
      </c>
      <c r="G3618" t="s">
        <v>70</v>
      </c>
      <c r="H3618" s="2">
        <v>50</v>
      </c>
      <c r="I3618">
        <v>123</v>
      </c>
      <c r="J3618">
        <v>615</v>
      </c>
      <c r="K3618" s="4">
        <v>228</v>
      </c>
      <c r="L3618" t="s">
        <v>27</v>
      </c>
    </row>
    <row r="3619" spans="1:12" x14ac:dyDescent="0.35">
      <c r="A3619" t="s">
        <v>42</v>
      </c>
      <c r="B3619">
        <v>1185732</v>
      </c>
      <c r="C3619" s="1">
        <v>44365</v>
      </c>
      <c r="D3619" t="s">
        <v>33</v>
      </c>
      <c r="E3619" t="s">
        <v>118</v>
      </c>
      <c r="F3619" t="s">
        <v>119</v>
      </c>
      <c r="G3619" t="s">
        <v>26</v>
      </c>
      <c r="H3619" s="2">
        <v>48</v>
      </c>
      <c r="I3619">
        <v>122</v>
      </c>
      <c r="J3619">
        <v>586</v>
      </c>
      <c r="K3619" s="4">
        <v>305</v>
      </c>
      <c r="L3619" t="s">
        <v>17</v>
      </c>
    </row>
    <row r="3620" spans="1:12" x14ac:dyDescent="0.35">
      <c r="A3620" t="s">
        <v>42</v>
      </c>
      <c r="B3620">
        <v>1185732</v>
      </c>
      <c r="C3620" s="1">
        <v>44509</v>
      </c>
      <c r="D3620" t="s">
        <v>43</v>
      </c>
      <c r="E3620" t="s">
        <v>135</v>
      </c>
      <c r="F3620" t="s">
        <v>136</v>
      </c>
      <c r="G3620" t="s">
        <v>26</v>
      </c>
      <c r="H3620" s="2">
        <v>46</v>
      </c>
      <c r="I3620">
        <v>122</v>
      </c>
      <c r="J3620">
        <v>561</v>
      </c>
      <c r="K3620" s="4">
        <v>354</v>
      </c>
      <c r="L3620" t="s">
        <v>17</v>
      </c>
    </row>
    <row r="3621" spans="1:12" x14ac:dyDescent="0.35">
      <c r="A3621" t="s">
        <v>18</v>
      </c>
      <c r="B3621">
        <v>1128299</v>
      </c>
      <c r="C3621" s="1">
        <v>43832</v>
      </c>
      <c r="D3621" t="s">
        <v>43</v>
      </c>
      <c r="E3621" t="s">
        <v>135</v>
      </c>
      <c r="F3621" t="s">
        <v>136</v>
      </c>
      <c r="G3621" t="s">
        <v>26</v>
      </c>
      <c r="H3621" s="2">
        <v>32</v>
      </c>
      <c r="I3621">
        <v>122</v>
      </c>
      <c r="J3621">
        <v>390</v>
      </c>
      <c r="K3621" s="4">
        <v>199</v>
      </c>
      <c r="L3621" t="s">
        <v>17</v>
      </c>
    </row>
    <row r="3622" spans="1:12" x14ac:dyDescent="0.35">
      <c r="A3622" t="s">
        <v>18</v>
      </c>
      <c r="B3622">
        <v>1128299</v>
      </c>
      <c r="C3622" s="1">
        <v>43985</v>
      </c>
      <c r="D3622" t="s">
        <v>48</v>
      </c>
      <c r="E3622" t="s">
        <v>97</v>
      </c>
      <c r="F3622" t="s">
        <v>98</v>
      </c>
      <c r="G3622" t="s">
        <v>32</v>
      </c>
      <c r="H3622" s="2">
        <v>47</v>
      </c>
      <c r="I3622">
        <v>122</v>
      </c>
      <c r="J3622">
        <v>573</v>
      </c>
      <c r="K3622" s="4">
        <v>224</v>
      </c>
      <c r="L3622" t="s">
        <v>17</v>
      </c>
    </row>
    <row r="3623" spans="1:12" x14ac:dyDescent="0.35">
      <c r="A3623" t="s">
        <v>63</v>
      </c>
      <c r="B3623">
        <v>1189833</v>
      </c>
      <c r="C3623" s="1">
        <v>44201</v>
      </c>
      <c r="D3623" t="s">
        <v>33</v>
      </c>
      <c r="E3623" t="s">
        <v>131</v>
      </c>
      <c r="F3623" t="s">
        <v>132</v>
      </c>
      <c r="G3623" t="s">
        <v>32</v>
      </c>
      <c r="H3623" s="2">
        <v>43</v>
      </c>
      <c r="I3623">
        <v>122</v>
      </c>
      <c r="J3623">
        <v>525</v>
      </c>
      <c r="K3623" s="4">
        <v>299</v>
      </c>
      <c r="L3623" t="s">
        <v>17</v>
      </c>
    </row>
    <row r="3624" spans="1:12" x14ac:dyDescent="0.35">
      <c r="A3624" t="s">
        <v>63</v>
      </c>
      <c r="B3624">
        <v>1189833</v>
      </c>
      <c r="C3624" s="1">
        <v>44246</v>
      </c>
      <c r="D3624" t="s">
        <v>33</v>
      </c>
      <c r="E3624" t="s">
        <v>131</v>
      </c>
      <c r="F3624" t="s">
        <v>132</v>
      </c>
      <c r="G3624" t="s">
        <v>16</v>
      </c>
      <c r="H3624" s="2">
        <v>59</v>
      </c>
      <c r="I3624">
        <v>122</v>
      </c>
      <c r="J3624">
        <v>720</v>
      </c>
      <c r="K3624" s="4">
        <v>288</v>
      </c>
      <c r="L3624" t="s">
        <v>17</v>
      </c>
    </row>
    <row r="3625" spans="1:12" x14ac:dyDescent="0.35">
      <c r="A3625" t="s">
        <v>23</v>
      </c>
      <c r="B3625">
        <v>1197831</v>
      </c>
      <c r="C3625" s="1">
        <v>44273</v>
      </c>
      <c r="D3625" t="s">
        <v>19</v>
      </c>
      <c r="E3625" t="s">
        <v>74</v>
      </c>
      <c r="F3625" t="s">
        <v>75</v>
      </c>
      <c r="G3625" t="s">
        <v>32</v>
      </c>
      <c r="H3625" s="2">
        <v>32</v>
      </c>
      <c r="I3625">
        <v>122</v>
      </c>
      <c r="J3625">
        <v>390</v>
      </c>
      <c r="K3625" s="4">
        <v>187</v>
      </c>
      <c r="L3625" t="s">
        <v>17</v>
      </c>
    </row>
    <row r="3626" spans="1:12" x14ac:dyDescent="0.35">
      <c r="A3626" t="s">
        <v>42</v>
      </c>
      <c r="B3626">
        <v>1185732</v>
      </c>
      <c r="C3626" s="1">
        <v>44349</v>
      </c>
      <c r="D3626" t="s">
        <v>33</v>
      </c>
      <c r="E3626" t="s">
        <v>120</v>
      </c>
      <c r="F3626" t="s">
        <v>121</v>
      </c>
      <c r="G3626" t="s">
        <v>26</v>
      </c>
      <c r="H3626" s="2">
        <v>38</v>
      </c>
      <c r="I3626">
        <v>122</v>
      </c>
      <c r="J3626">
        <v>464</v>
      </c>
      <c r="K3626" s="4">
        <v>250</v>
      </c>
      <c r="L3626" t="s">
        <v>17</v>
      </c>
    </row>
    <row r="3627" spans="1:12" x14ac:dyDescent="0.35">
      <c r="A3627" t="s">
        <v>51</v>
      </c>
      <c r="B3627">
        <v>1185732</v>
      </c>
      <c r="C3627" s="1">
        <v>44499</v>
      </c>
      <c r="D3627" t="s">
        <v>43</v>
      </c>
      <c r="E3627" t="s">
        <v>122</v>
      </c>
      <c r="F3627" t="s">
        <v>86</v>
      </c>
      <c r="G3627" t="s">
        <v>26</v>
      </c>
      <c r="H3627" s="2">
        <v>37</v>
      </c>
      <c r="I3627">
        <v>122</v>
      </c>
      <c r="J3627">
        <v>451</v>
      </c>
      <c r="K3627" s="4">
        <v>217</v>
      </c>
      <c r="L3627" t="s">
        <v>17</v>
      </c>
    </row>
    <row r="3628" spans="1:12" x14ac:dyDescent="0.35">
      <c r="A3628" t="s">
        <v>51</v>
      </c>
      <c r="B3628">
        <v>1185732</v>
      </c>
      <c r="C3628" s="1">
        <v>44557</v>
      </c>
      <c r="D3628" t="s">
        <v>43</v>
      </c>
      <c r="E3628" t="s">
        <v>122</v>
      </c>
      <c r="F3628" t="s">
        <v>86</v>
      </c>
      <c r="G3628" t="s">
        <v>26</v>
      </c>
      <c r="H3628" s="2">
        <v>53</v>
      </c>
      <c r="I3628">
        <v>122</v>
      </c>
      <c r="J3628">
        <v>647</v>
      </c>
      <c r="K3628" s="4">
        <v>310</v>
      </c>
      <c r="L3628" t="s">
        <v>17</v>
      </c>
    </row>
    <row r="3629" spans="1:12" x14ac:dyDescent="0.35">
      <c r="A3629" t="s">
        <v>23</v>
      </c>
      <c r="B3629">
        <v>1185732</v>
      </c>
      <c r="C3629" s="1">
        <v>44215</v>
      </c>
      <c r="D3629" t="s">
        <v>13</v>
      </c>
      <c r="E3629" t="s">
        <v>99</v>
      </c>
      <c r="F3629" t="s">
        <v>100</v>
      </c>
      <c r="G3629" t="s">
        <v>70</v>
      </c>
      <c r="H3629" s="2">
        <v>43</v>
      </c>
      <c r="I3629">
        <v>122</v>
      </c>
      <c r="J3629">
        <v>525</v>
      </c>
      <c r="K3629" s="4">
        <v>273</v>
      </c>
      <c r="L3629" t="s">
        <v>17</v>
      </c>
    </row>
    <row r="3630" spans="1:12" x14ac:dyDescent="0.35">
      <c r="A3630" t="s">
        <v>18</v>
      </c>
      <c r="B3630">
        <v>1185732</v>
      </c>
      <c r="C3630" s="1">
        <v>44451</v>
      </c>
      <c r="D3630" t="s">
        <v>48</v>
      </c>
      <c r="E3630" t="s">
        <v>49</v>
      </c>
      <c r="F3630" t="s">
        <v>50</v>
      </c>
      <c r="G3630" t="s">
        <v>39</v>
      </c>
      <c r="H3630" s="2">
        <v>23</v>
      </c>
      <c r="I3630">
        <v>122</v>
      </c>
      <c r="J3630">
        <v>281</v>
      </c>
      <c r="K3630" s="4">
        <v>126</v>
      </c>
      <c r="L3630" t="s">
        <v>17</v>
      </c>
    </row>
    <row r="3631" spans="1:12" x14ac:dyDescent="0.35">
      <c r="A3631" t="s">
        <v>18</v>
      </c>
      <c r="B3631">
        <v>1128299</v>
      </c>
      <c r="C3631" s="1">
        <v>44464</v>
      </c>
      <c r="D3631" t="s">
        <v>48</v>
      </c>
      <c r="E3631" t="s">
        <v>85</v>
      </c>
      <c r="F3631" t="s">
        <v>86</v>
      </c>
      <c r="G3631" t="s">
        <v>26</v>
      </c>
      <c r="H3631" s="2">
        <v>46</v>
      </c>
      <c r="I3631">
        <v>122</v>
      </c>
      <c r="J3631">
        <v>561</v>
      </c>
      <c r="K3631" s="4">
        <v>253</v>
      </c>
      <c r="L3631" t="s">
        <v>17</v>
      </c>
    </row>
    <row r="3632" spans="1:12" x14ac:dyDescent="0.35">
      <c r="A3632" t="s">
        <v>18</v>
      </c>
      <c r="B3632">
        <v>1128299</v>
      </c>
      <c r="C3632" s="1">
        <v>44464</v>
      </c>
      <c r="D3632" t="s">
        <v>48</v>
      </c>
      <c r="E3632" t="s">
        <v>85</v>
      </c>
      <c r="F3632" t="s">
        <v>86</v>
      </c>
      <c r="G3632" t="s">
        <v>39</v>
      </c>
      <c r="H3632" s="2">
        <v>51</v>
      </c>
      <c r="I3632">
        <v>122</v>
      </c>
      <c r="J3632">
        <v>622</v>
      </c>
      <c r="K3632" s="4">
        <v>286</v>
      </c>
      <c r="L3632" t="s">
        <v>17</v>
      </c>
    </row>
    <row r="3633" spans="1:12" x14ac:dyDescent="0.35">
      <c r="A3633" t="s">
        <v>18</v>
      </c>
      <c r="B3633">
        <v>1128299</v>
      </c>
      <c r="C3633" s="1">
        <v>44213</v>
      </c>
      <c r="D3633" t="s">
        <v>48</v>
      </c>
      <c r="E3633" t="s">
        <v>85</v>
      </c>
      <c r="F3633" t="s">
        <v>86</v>
      </c>
      <c r="G3633" t="s">
        <v>16</v>
      </c>
      <c r="H3633" s="2">
        <v>41</v>
      </c>
      <c r="I3633">
        <v>122</v>
      </c>
      <c r="J3633">
        <v>500</v>
      </c>
      <c r="K3633" s="4">
        <v>240</v>
      </c>
      <c r="L3633" t="s">
        <v>17</v>
      </c>
    </row>
    <row r="3634" spans="1:12" x14ac:dyDescent="0.35">
      <c r="A3634" t="s">
        <v>23</v>
      </c>
      <c r="B3634">
        <v>1197831</v>
      </c>
      <c r="C3634" s="1">
        <v>44505</v>
      </c>
      <c r="D3634" t="s">
        <v>48</v>
      </c>
      <c r="E3634" t="s">
        <v>79</v>
      </c>
      <c r="F3634" t="s">
        <v>80</v>
      </c>
      <c r="G3634" t="s">
        <v>56</v>
      </c>
      <c r="H3634" s="2">
        <v>54</v>
      </c>
      <c r="I3634">
        <v>122</v>
      </c>
      <c r="J3634">
        <v>659</v>
      </c>
      <c r="K3634" s="4">
        <v>402</v>
      </c>
      <c r="L3634" t="s">
        <v>17</v>
      </c>
    </row>
    <row r="3635" spans="1:12" x14ac:dyDescent="0.35">
      <c r="A3635" t="s">
        <v>51</v>
      </c>
      <c r="B3635">
        <v>1185732</v>
      </c>
      <c r="C3635" s="1">
        <v>44238</v>
      </c>
      <c r="D3635" t="s">
        <v>33</v>
      </c>
      <c r="E3635" t="s">
        <v>52</v>
      </c>
      <c r="F3635" t="s">
        <v>53</v>
      </c>
      <c r="G3635" t="s">
        <v>70</v>
      </c>
      <c r="H3635" s="2">
        <v>41</v>
      </c>
      <c r="I3635">
        <v>122</v>
      </c>
      <c r="J3635">
        <v>500</v>
      </c>
      <c r="K3635" s="4">
        <v>230</v>
      </c>
      <c r="L3635" t="s">
        <v>17</v>
      </c>
    </row>
    <row r="3636" spans="1:12" x14ac:dyDescent="0.35">
      <c r="A3636" t="s">
        <v>51</v>
      </c>
      <c r="B3636">
        <v>1185732</v>
      </c>
      <c r="C3636" s="1">
        <v>44448</v>
      </c>
      <c r="D3636" t="s">
        <v>33</v>
      </c>
      <c r="E3636" t="s">
        <v>52</v>
      </c>
      <c r="F3636" t="s">
        <v>53</v>
      </c>
      <c r="G3636" t="s">
        <v>70</v>
      </c>
      <c r="H3636" s="2">
        <v>32</v>
      </c>
      <c r="I3636">
        <v>122</v>
      </c>
      <c r="J3636">
        <v>390</v>
      </c>
      <c r="K3636" s="4">
        <v>187</v>
      </c>
      <c r="L3636" t="s">
        <v>17</v>
      </c>
    </row>
    <row r="3637" spans="1:12" x14ac:dyDescent="0.35">
      <c r="A3637" t="s">
        <v>12</v>
      </c>
      <c r="B3637">
        <v>1185732</v>
      </c>
      <c r="C3637" s="1">
        <v>44425</v>
      </c>
      <c r="D3637" t="s">
        <v>19</v>
      </c>
      <c r="E3637" t="s">
        <v>37</v>
      </c>
      <c r="F3637" t="s">
        <v>38</v>
      </c>
      <c r="G3637" t="s">
        <v>70</v>
      </c>
      <c r="H3637" s="2">
        <v>46</v>
      </c>
      <c r="I3637">
        <v>122</v>
      </c>
      <c r="J3637">
        <v>561</v>
      </c>
      <c r="K3637" s="4">
        <v>253</v>
      </c>
      <c r="L3637" t="s">
        <v>17</v>
      </c>
    </row>
    <row r="3638" spans="1:12" x14ac:dyDescent="0.35">
      <c r="A3638" t="s">
        <v>23</v>
      </c>
      <c r="B3638">
        <v>1197831</v>
      </c>
      <c r="C3638" s="1">
        <v>44219</v>
      </c>
      <c r="D3638" t="s">
        <v>19</v>
      </c>
      <c r="E3638" t="s">
        <v>37</v>
      </c>
      <c r="F3638" t="s">
        <v>38</v>
      </c>
      <c r="G3638" t="s">
        <v>16</v>
      </c>
      <c r="H3638" s="2">
        <v>23</v>
      </c>
      <c r="I3638">
        <v>122</v>
      </c>
      <c r="J3638">
        <v>281</v>
      </c>
      <c r="K3638" s="4">
        <v>146</v>
      </c>
      <c r="L3638" t="s">
        <v>17</v>
      </c>
    </row>
    <row r="3639" spans="1:12" x14ac:dyDescent="0.35">
      <c r="A3639" t="s">
        <v>42</v>
      </c>
      <c r="B3639">
        <v>1197831</v>
      </c>
      <c r="C3639" s="1">
        <v>44513</v>
      </c>
      <c r="D3639" t="s">
        <v>33</v>
      </c>
      <c r="E3639" t="s">
        <v>71</v>
      </c>
      <c r="F3639" t="s">
        <v>72</v>
      </c>
      <c r="G3639" t="s">
        <v>26</v>
      </c>
      <c r="H3639" s="2">
        <v>23</v>
      </c>
      <c r="I3639">
        <v>122</v>
      </c>
      <c r="J3639">
        <v>281</v>
      </c>
      <c r="K3639" s="4">
        <v>132</v>
      </c>
      <c r="L3639" t="s">
        <v>17</v>
      </c>
    </row>
    <row r="3640" spans="1:12" x14ac:dyDescent="0.35">
      <c r="A3640" t="s">
        <v>18</v>
      </c>
      <c r="B3640">
        <v>1185732</v>
      </c>
      <c r="C3640" s="1">
        <v>44289</v>
      </c>
      <c r="D3640" t="s">
        <v>33</v>
      </c>
      <c r="E3640" t="s">
        <v>40</v>
      </c>
      <c r="F3640" t="s">
        <v>41</v>
      </c>
      <c r="G3640" t="s">
        <v>26</v>
      </c>
      <c r="H3640" s="2">
        <v>18</v>
      </c>
      <c r="I3640">
        <v>122</v>
      </c>
      <c r="J3640">
        <v>220</v>
      </c>
      <c r="K3640" s="4">
        <v>90</v>
      </c>
      <c r="L3640" t="s">
        <v>17</v>
      </c>
    </row>
    <row r="3641" spans="1:12" x14ac:dyDescent="0.35">
      <c r="A3641" t="s">
        <v>42</v>
      </c>
      <c r="B3641">
        <v>1185732</v>
      </c>
      <c r="C3641" s="1">
        <v>44546</v>
      </c>
      <c r="D3641" t="s">
        <v>43</v>
      </c>
      <c r="E3641" t="s">
        <v>64</v>
      </c>
      <c r="F3641" t="s">
        <v>65</v>
      </c>
      <c r="G3641" t="s">
        <v>16</v>
      </c>
      <c r="H3641" s="2">
        <v>68</v>
      </c>
      <c r="I3641">
        <v>122</v>
      </c>
      <c r="J3641">
        <v>830</v>
      </c>
      <c r="K3641" s="4">
        <v>456</v>
      </c>
      <c r="L3641" t="s">
        <v>17</v>
      </c>
    </row>
    <row r="3642" spans="1:12" x14ac:dyDescent="0.35">
      <c r="A3642" t="s">
        <v>42</v>
      </c>
      <c r="B3642">
        <v>1185732</v>
      </c>
      <c r="C3642" s="1">
        <v>44550</v>
      </c>
      <c r="D3642" t="s">
        <v>43</v>
      </c>
      <c r="E3642" t="s">
        <v>93</v>
      </c>
      <c r="F3642" t="s">
        <v>94</v>
      </c>
      <c r="G3642" t="s">
        <v>26</v>
      </c>
      <c r="H3642" s="2">
        <v>57</v>
      </c>
      <c r="I3642">
        <v>122</v>
      </c>
      <c r="J3642">
        <v>695</v>
      </c>
      <c r="K3642" s="4">
        <v>348</v>
      </c>
      <c r="L3642" t="s">
        <v>17</v>
      </c>
    </row>
    <row r="3643" spans="1:12" x14ac:dyDescent="0.35">
      <c r="A3643" t="s">
        <v>42</v>
      </c>
      <c r="B3643">
        <v>1185732</v>
      </c>
      <c r="C3643" s="1">
        <v>44322</v>
      </c>
      <c r="D3643" t="s">
        <v>43</v>
      </c>
      <c r="E3643" t="s">
        <v>110</v>
      </c>
      <c r="F3643" t="s">
        <v>111</v>
      </c>
      <c r="G3643" t="s">
        <v>26</v>
      </c>
      <c r="H3643" s="2">
        <v>49</v>
      </c>
      <c r="I3643">
        <v>122</v>
      </c>
      <c r="J3643">
        <v>598</v>
      </c>
      <c r="K3643" s="4">
        <v>299</v>
      </c>
      <c r="L3643" t="s">
        <v>17</v>
      </c>
    </row>
    <row r="3644" spans="1:12" x14ac:dyDescent="0.35">
      <c r="A3644" t="s">
        <v>42</v>
      </c>
      <c r="B3644">
        <v>1185732</v>
      </c>
      <c r="C3644" s="1">
        <v>44388</v>
      </c>
      <c r="D3644" t="s">
        <v>33</v>
      </c>
      <c r="E3644" t="s">
        <v>118</v>
      </c>
      <c r="F3644" t="s">
        <v>119</v>
      </c>
      <c r="G3644" t="s">
        <v>16</v>
      </c>
      <c r="H3644" s="2">
        <v>54</v>
      </c>
      <c r="I3644">
        <v>120</v>
      </c>
      <c r="J3644">
        <v>648</v>
      </c>
      <c r="K3644" s="4">
        <v>395</v>
      </c>
      <c r="L3644" t="s">
        <v>17</v>
      </c>
    </row>
    <row r="3645" spans="1:12" x14ac:dyDescent="0.35">
      <c r="A3645" t="s">
        <v>42</v>
      </c>
      <c r="B3645">
        <v>1185732</v>
      </c>
      <c r="C3645" s="1">
        <v>44503</v>
      </c>
      <c r="D3645" t="s">
        <v>43</v>
      </c>
      <c r="E3645" t="s">
        <v>135</v>
      </c>
      <c r="F3645" t="s">
        <v>136</v>
      </c>
      <c r="G3645" t="s">
        <v>26</v>
      </c>
      <c r="H3645" s="2">
        <v>49</v>
      </c>
      <c r="I3645">
        <v>120</v>
      </c>
      <c r="J3645">
        <v>588</v>
      </c>
      <c r="K3645" s="4">
        <v>412</v>
      </c>
      <c r="L3645" t="s">
        <v>17</v>
      </c>
    </row>
    <row r="3646" spans="1:12" x14ac:dyDescent="0.35">
      <c r="A3646" t="s">
        <v>18</v>
      </c>
      <c r="B3646">
        <v>1128299</v>
      </c>
      <c r="C3646" s="1">
        <v>43845</v>
      </c>
      <c r="D3646" t="s">
        <v>48</v>
      </c>
      <c r="E3646" t="s">
        <v>116</v>
      </c>
      <c r="F3646" t="s">
        <v>117</v>
      </c>
      <c r="G3646" t="s">
        <v>39</v>
      </c>
      <c r="H3646" s="2">
        <v>50</v>
      </c>
      <c r="I3646">
        <v>120</v>
      </c>
      <c r="J3646">
        <v>600</v>
      </c>
      <c r="K3646" s="4">
        <v>240</v>
      </c>
      <c r="L3646" t="s">
        <v>17</v>
      </c>
    </row>
    <row r="3647" spans="1:12" x14ac:dyDescent="0.35">
      <c r="A3647" t="s">
        <v>18</v>
      </c>
      <c r="B3647">
        <v>1128299</v>
      </c>
      <c r="C3647" s="1">
        <v>43852</v>
      </c>
      <c r="D3647" t="s">
        <v>48</v>
      </c>
      <c r="E3647" t="s">
        <v>116</v>
      </c>
      <c r="F3647" t="s">
        <v>117</v>
      </c>
      <c r="G3647" t="s">
        <v>32</v>
      </c>
      <c r="H3647" s="2">
        <v>61</v>
      </c>
      <c r="I3647">
        <v>120</v>
      </c>
      <c r="J3647">
        <v>732</v>
      </c>
      <c r="K3647" s="4">
        <v>388</v>
      </c>
      <c r="L3647" t="s">
        <v>17</v>
      </c>
    </row>
    <row r="3648" spans="1:12" x14ac:dyDescent="0.35">
      <c r="A3648" t="s">
        <v>18</v>
      </c>
      <c r="B3648">
        <v>1128299</v>
      </c>
      <c r="C3648" s="1">
        <v>43884</v>
      </c>
      <c r="D3648" t="s">
        <v>48</v>
      </c>
      <c r="E3648" t="s">
        <v>116</v>
      </c>
      <c r="F3648" t="s">
        <v>117</v>
      </c>
      <c r="G3648" t="s">
        <v>70</v>
      </c>
      <c r="H3648" s="2">
        <v>67</v>
      </c>
      <c r="I3648">
        <v>120</v>
      </c>
      <c r="J3648">
        <v>804</v>
      </c>
      <c r="K3648" s="4">
        <v>490</v>
      </c>
      <c r="L3648" t="s">
        <v>17</v>
      </c>
    </row>
    <row r="3649" spans="1:12" x14ac:dyDescent="0.35">
      <c r="A3649" t="s">
        <v>18</v>
      </c>
      <c r="B3649">
        <v>1128299</v>
      </c>
      <c r="C3649" s="1">
        <v>43957</v>
      </c>
      <c r="D3649" t="s">
        <v>48</v>
      </c>
      <c r="E3649" t="s">
        <v>133</v>
      </c>
      <c r="F3649" t="s">
        <v>134</v>
      </c>
      <c r="G3649" t="s">
        <v>70</v>
      </c>
      <c r="H3649" s="2">
        <v>74</v>
      </c>
      <c r="I3649">
        <v>120</v>
      </c>
      <c r="J3649">
        <v>888</v>
      </c>
      <c r="K3649" s="4">
        <v>613</v>
      </c>
      <c r="L3649" t="s">
        <v>17</v>
      </c>
    </row>
    <row r="3650" spans="1:12" x14ac:dyDescent="0.35">
      <c r="A3650" t="s">
        <v>18</v>
      </c>
      <c r="B3650">
        <v>1128299</v>
      </c>
      <c r="C3650" s="1">
        <v>43997</v>
      </c>
      <c r="D3650" t="s">
        <v>48</v>
      </c>
      <c r="E3650" t="s">
        <v>97</v>
      </c>
      <c r="F3650" t="s">
        <v>98</v>
      </c>
      <c r="G3650" t="s">
        <v>32</v>
      </c>
      <c r="H3650" s="2">
        <v>74</v>
      </c>
      <c r="I3650">
        <v>120</v>
      </c>
      <c r="J3650">
        <v>888</v>
      </c>
      <c r="K3650" s="4">
        <v>346</v>
      </c>
      <c r="L3650" t="s">
        <v>17</v>
      </c>
    </row>
    <row r="3651" spans="1:12" x14ac:dyDescent="0.35">
      <c r="A3651" t="s">
        <v>18</v>
      </c>
      <c r="B3651">
        <v>1128299</v>
      </c>
      <c r="C3651" s="1">
        <v>44003</v>
      </c>
      <c r="D3651" t="s">
        <v>48</v>
      </c>
      <c r="E3651" t="s">
        <v>97</v>
      </c>
      <c r="F3651" t="s">
        <v>98</v>
      </c>
      <c r="G3651" t="s">
        <v>32</v>
      </c>
      <c r="H3651" s="2">
        <v>61</v>
      </c>
      <c r="I3651">
        <v>120</v>
      </c>
      <c r="J3651">
        <v>732</v>
      </c>
      <c r="K3651" s="4">
        <v>278</v>
      </c>
      <c r="L3651" t="s">
        <v>17</v>
      </c>
    </row>
    <row r="3652" spans="1:12" x14ac:dyDescent="0.35">
      <c r="A3652" t="s">
        <v>42</v>
      </c>
      <c r="B3652">
        <v>1185732</v>
      </c>
      <c r="C3652" s="1">
        <v>44139</v>
      </c>
      <c r="D3652" t="s">
        <v>33</v>
      </c>
      <c r="E3652" t="s">
        <v>104</v>
      </c>
      <c r="F3652" t="s">
        <v>105</v>
      </c>
      <c r="G3652" t="s">
        <v>26</v>
      </c>
      <c r="H3652" s="2">
        <v>36</v>
      </c>
      <c r="I3652">
        <v>120</v>
      </c>
      <c r="J3652">
        <v>432</v>
      </c>
      <c r="K3652" s="4">
        <v>203</v>
      </c>
      <c r="L3652" t="s">
        <v>17</v>
      </c>
    </row>
    <row r="3653" spans="1:12" x14ac:dyDescent="0.35">
      <c r="A3653" t="s">
        <v>63</v>
      </c>
      <c r="B3653">
        <v>1189833</v>
      </c>
      <c r="C3653" s="1">
        <v>44213</v>
      </c>
      <c r="D3653" t="s">
        <v>33</v>
      </c>
      <c r="E3653" t="s">
        <v>131</v>
      </c>
      <c r="F3653" t="s">
        <v>132</v>
      </c>
      <c r="G3653" t="s">
        <v>32</v>
      </c>
      <c r="H3653" s="2">
        <v>44</v>
      </c>
      <c r="I3653">
        <v>120</v>
      </c>
      <c r="J3653">
        <v>528</v>
      </c>
      <c r="K3653" s="4">
        <v>317</v>
      </c>
      <c r="L3653" t="s">
        <v>17</v>
      </c>
    </row>
    <row r="3654" spans="1:12" x14ac:dyDescent="0.35">
      <c r="A3654" t="s">
        <v>63</v>
      </c>
      <c r="B3654">
        <v>1189833</v>
      </c>
      <c r="C3654" s="1">
        <v>44263</v>
      </c>
      <c r="D3654" t="s">
        <v>33</v>
      </c>
      <c r="E3654" t="s">
        <v>131</v>
      </c>
      <c r="F3654" t="s">
        <v>132</v>
      </c>
      <c r="G3654" t="s">
        <v>70</v>
      </c>
      <c r="H3654" s="2">
        <v>53</v>
      </c>
      <c r="I3654">
        <v>120</v>
      </c>
      <c r="J3654">
        <v>636</v>
      </c>
      <c r="K3654" s="4">
        <v>464</v>
      </c>
      <c r="L3654" t="s">
        <v>17</v>
      </c>
    </row>
    <row r="3655" spans="1:12" x14ac:dyDescent="0.35">
      <c r="A3655" t="s">
        <v>23</v>
      </c>
      <c r="B3655">
        <v>1197831</v>
      </c>
      <c r="C3655" s="1">
        <v>44317</v>
      </c>
      <c r="D3655" t="s">
        <v>19</v>
      </c>
      <c r="E3655" t="s">
        <v>74</v>
      </c>
      <c r="F3655" t="s">
        <v>75</v>
      </c>
      <c r="G3655" t="s">
        <v>70</v>
      </c>
      <c r="H3655" s="2">
        <v>47</v>
      </c>
      <c r="I3655">
        <v>120</v>
      </c>
      <c r="J3655">
        <v>564</v>
      </c>
      <c r="K3655" s="4">
        <v>288</v>
      </c>
      <c r="L3655" t="s">
        <v>17</v>
      </c>
    </row>
    <row r="3656" spans="1:12" x14ac:dyDescent="0.35">
      <c r="A3656" t="s">
        <v>42</v>
      </c>
      <c r="B3656">
        <v>1185732</v>
      </c>
      <c r="C3656" s="1">
        <v>44367</v>
      </c>
      <c r="D3656" t="s">
        <v>33</v>
      </c>
      <c r="E3656" t="s">
        <v>120</v>
      </c>
      <c r="F3656" t="s">
        <v>121</v>
      </c>
      <c r="G3656" t="s">
        <v>26</v>
      </c>
      <c r="H3656" s="2">
        <v>36</v>
      </c>
      <c r="I3656">
        <v>120</v>
      </c>
      <c r="J3656">
        <v>432</v>
      </c>
      <c r="K3656" s="4">
        <v>229</v>
      </c>
      <c r="L3656" t="s">
        <v>17</v>
      </c>
    </row>
    <row r="3657" spans="1:12" x14ac:dyDescent="0.35">
      <c r="A3657" t="s">
        <v>23</v>
      </c>
      <c r="B3657">
        <v>1197831</v>
      </c>
      <c r="C3657" s="1">
        <v>44437</v>
      </c>
      <c r="D3657" t="s">
        <v>19</v>
      </c>
      <c r="E3657" t="s">
        <v>24</v>
      </c>
      <c r="F3657" t="s">
        <v>25</v>
      </c>
      <c r="G3657" t="s">
        <v>70</v>
      </c>
      <c r="H3657" s="2">
        <v>49</v>
      </c>
      <c r="I3657">
        <v>120</v>
      </c>
      <c r="J3657">
        <v>588</v>
      </c>
      <c r="K3657" s="4">
        <v>318</v>
      </c>
      <c r="L3657" t="s">
        <v>17</v>
      </c>
    </row>
    <row r="3658" spans="1:12" x14ac:dyDescent="0.35">
      <c r="A3658" t="s">
        <v>51</v>
      </c>
      <c r="B3658">
        <v>1185732</v>
      </c>
      <c r="C3658" s="1">
        <v>44488</v>
      </c>
      <c r="D3658" t="s">
        <v>43</v>
      </c>
      <c r="E3658" t="s">
        <v>122</v>
      </c>
      <c r="F3658" t="s">
        <v>86</v>
      </c>
      <c r="G3658" t="s">
        <v>26</v>
      </c>
      <c r="H3658" s="2">
        <v>55</v>
      </c>
      <c r="I3658">
        <v>120</v>
      </c>
      <c r="J3658">
        <v>660</v>
      </c>
      <c r="K3658" s="4">
        <v>330</v>
      </c>
      <c r="L3658" t="s">
        <v>17</v>
      </c>
    </row>
    <row r="3659" spans="1:12" x14ac:dyDescent="0.35">
      <c r="A3659" t="s">
        <v>12</v>
      </c>
      <c r="B3659">
        <v>1128299</v>
      </c>
      <c r="C3659" s="1">
        <v>44303</v>
      </c>
      <c r="D3659" t="s">
        <v>13</v>
      </c>
      <c r="E3659" t="s">
        <v>14</v>
      </c>
      <c r="F3659" t="s">
        <v>15</v>
      </c>
      <c r="G3659" t="s">
        <v>32</v>
      </c>
      <c r="H3659" s="2">
        <v>66</v>
      </c>
      <c r="I3659">
        <v>120</v>
      </c>
      <c r="J3659">
        <v>792</v>
      </c>
      <c r="K3659" s="4">
        <v>325</v>
      </c>
      <c r="L3659" t="s">
        <v>17</v>
      </c>
    </row>
    <row r="3660" spans="1:12" x14ac:dyDescent="0.35">
      <c r="A3660" t="s">
        <v>23</v>
      </c>
      <c r="B3660">
        <v>1185732</v>
      </c>
      <c r="C3660" s="1">
        <v>44302</v>
      </c>
      <c r="D3660" t="s">
        <v>33</v>
      </c>
      <c r="E3660" t="s">
        <v>45</v>
      </c>
      <c r="F3660" t="s">
        <v>46</v>
      </c>
      <c r="G3660" t="s">
        <v>70</v>
      </c>
      <c r="H3660" s="2">
        <v>45</v>
      </c>
      <c r="I3660">
        <v>120</v>
      </c>
      <c r="J3660">
        <v>540</v>
      </c>
      <c r="K3660" s="4">
        <v>270</v>
      </c>
      <c r="L3660" t="s">
        <v>17</v>
      </c>
    </row>
    <row r="3661" spans="1:12" x14ac:dyDescent="0.35">
      <c r="A3661" t="s">
        <v>23</v>
      </c>
      <c r="B3661">
        <v>1185732</v>
      </c>
      <c r="C3661" s="1">
        <v>44516</v>
      </c>
      <c r="D3661" t="s">
        <v>33</v>
      </c>
      <c r="E3661" t="s">
        <v>45</v>
      </c>
      <c r="F3661" t="s">
        <v>46</v>
      </c>
      <c r="G3661" t="s">
        <v>32</v>
      </c>
      <c r="H3661" s="2">
        <v>43</v>
      </c>
      <c r="I3661">
        <v>120</v>
      </c>
      <c r="J3661">
        <v>516</v>
      </c>
      <c r="K3661" s="4">
        <v>232</v>
      </c>
      <c r="L3661" t="s">
        <v>17</v>
      </c>
    </row>
    <row r="3662" spans="1:12" x14ac:dyDescent="0.35">
      <c r="A3662" t="s">
        <v>42</v>
      </c>
      <c r="B3662">
        <v>1185732</v>
      </c>
      <c r="C3662" s="1">
        <v>44245</v>
      </c>
      <c r="D3662" t="s">
        <v>33</v>
      </c>
      <c r="E3662" t="s">
        <v>34</v>
      </c>
      <c r="F3662" t="s">
        <v>35</v>
      </c>
      <c r="G3662" t="s">
        <v>16</v>
      </c>
      <c r="H3662" s="2">
        <v>28</v>
      </c>
      <c r="I3662">
        <v>120</v>
      </c>
      <c r="J3662">
        <v>336</v>
      </c>
      <c r="K3662" s="4">
        <v>212</v>
      </c>
      <c r="L3662" t="s">
        <v>17</v>
      </c>
    </row>
    <row r="3663" spans="1:12" x14ac:dyDescent="0.35">
      <c r="A3663" t="s">
        <v>42</v>
      </c>
      <c r="B3663">
        <v>1185732</v>
      </c>
      <c r="C3663" s="1">
        <v>44426</v>
      </c>
      <c r="D3663" t="s">
        <v>33</v>
      </c>
      <c r="E3663" t="s">
        <v>34</v>
      </c>
      <c r="F3663" t="s">
        <v>35</v>
      </c>
      <c r="G3663" t="s">
        <v>32</v>
      </c>
      <c r="H3663" s="2">
        <v>32</v>
      </c>
      <c r="I3663">
        <v>120</v>
      </c>
      <c r="J3663">
        <v>384</v>
      </c>
      <c r="K3663" s="4">
        <v>177</v>
      </c>
      <c r="L3663" t="s">
        <v>17</v>
      </c>
    </row>
    <row r="3664" spans="1:12" x14ac:dyDescent="0.35">
      <c r="A3664" t="s">
        <v>18</v>
      </c>
      <c r="B3664">
        <v>1185732</v>
      </c>
      <c r="C3664" s="1">
        <v>44547</v>
      </c>
      <c r="D3664" t="s">
        <v>33</v>
      </c>
      <c r="E3664" t="s">
        <v>34</v>
      </c>
      <c r="F3664" t="s">
        <v>35</v>
      </c>
      <c r="G3664" t="s">
        <v>32</v>
      </c>
      <c r="H3664" s="2">
        <v>32</v>
      </c>
      <c r="I3664">
        <v>120</v>
      </c>
      <c r="J3664">
        <v>384</v>
      </c>
      <c r="K3664" s="4">
        <v>180</v>
      </c>
      <c r="L3664" t="s">
        <v>17</v>
      </c>
    </row>
    <row r="3665" spans="1:12" x14ac:dyDescent="0.35">
      <c r="A3665" t="s">
        <v>18</v>
      </c>
      <c r="B3665">
        <v>1185732</v>
      </c>
      <c r="C3665" s="1">
        <v>44328</v>
      </c>
      <c r="D3665" t="s">
        <v>48</v>
      </c>
      <c r="E3665" t="s">
        <v>49</v>
      </c>
      <c r="F3665" t="s">
        <v>50</v>
      </c>
      <c r="G3665" t="s">
        <v>16</v>
      </c>
      <c r="H3665" s="2">
        <v>44</v>
      </c>
      <c r="I3665">
        <v>120</v>
      </c>
      <c r="J3665">
        <v>528</v>
      </c>
      <c r="K3665" s="4">
        <v>343</v>
      </c>
      <c r="L3665" t="s">
        <v>17</v>
      </c>
    </row>
    <row r="3666" spans="1:12" x14ac:dyDescent="0.35">
      <c r="A3666" t="s">
        <v>18</v>
      </c>
      <c r="B3666">
        <v>1185732</v>
      </c>
      <c r="C3666" s="1">
        <v>44451</v>
      </c>
      <c r="D3666" t="s">
        <v>48</v>
      </c>
      <c r="E3666" t="s">
        <v>49</v>
      </c>
      <c r="F3666" t="s">
        <v>50</v>
      </c>
      <c r="G3666" t="s">
        <v>16</v>
      </c>
      <c r="H3666" s="2">
        <v>24</v>
      </c>
      <c r="I3666">
        <v>120</v>
      </c>
      <c r="J3666">
        <v>288</v>
      </c>
      <c r="K3666" s="4">
        <v>184</v>
      </c>
      <c r="L3666" t="s">
        <v>17</v>
      </c>
    </row>
    <row r="3667" spans="1:12" x14ac:dyDescent="0.35">
      <c r="A3667" t="s">
        <v>18</v>
      </c>
      <c r="B3667">
        <v>1128299</v>
      </c>
      <c r="C3667" s="1">
        <v>44244</v>
      </c>
      <c r="D3667" t="s">
        <v>48</v>
      </c>
      <c r="E3667" t="s">
        <v>85</v>
      </c>
      <c r="F3667" t="s">
        <v>86</v>
      </c>
      <c r="G3667" t="s">
        <v>32</v>
      </c>
      <c r="H3667" s="2">
        <v>41</v>
      </c>
      <c r="I3667">
        <v>120</v>
      </c>
      <c r="J3667">
        <v>492</v>
      </c>
      <c r="K3667" s="4">
        <v>256</v>
      </c>
      <c r="L3667" t="s">
        <v>17</v>
      </c>
    </row>
    <row r="3668" spans="1:12" x14ac:dyDescent="0.35">
      <c r="A3668" t="s">
        <v>18</v>
      </c>
      <c r="B3668">
        <v>1197831</v>
      </c>
      <c r="C3668" s="1">
        <v>44321</v>
      </c>
      <c r="D3668" t="s">
        <v>48</v>
      </c>
      <c r="E3668" t="s">
        <v>79</v>
      </c>
      <c r="F3668" t="s">
        <v>80</v>
      </c>
      <c r="G3668" t="s">
        <v>70</v>
      </c>
      <c r="H3668" s="2">
        <v>47</v>
      </c>
      <c r="I3668">
        <v>120</v>
      </c>
      <c r="J3668">
        <v>564</v>
      </c>
      <c r="K3668" s="4">
        <v>226</v>
      </c>
      <c r="L3668" t="s">
        <v>17</v>
      </c>
    </row>
    <row r="3669" spans="1:12" x14ac:dyDescent="0.35">
      <c r="A3669" t="s">
        <v>42</v>
      </c>
      <c r="B3669">
        <v>1128299</v>
      </c>
      <c r="C3669" s="1">
        <v>44340</v>
      </c>
      <c r="D3669" t="s">
        <v>48</v>
      </c>
      <c r="E3669" t="s">
        <v>123</v>
      </c>
      <c r="F3669" t="s">
        <v>124</v>
      </c>
      <c r="G3669" t="s">
        <v>32</v>
      </c>
      <c r="H3669" s="2">
        <v>50</v>
      </c>
      <c r="I3669">
        <v>120</v>
      </c>
      <c r="J3669">
        <v>600</v>
      </c>
      <c r="K3669" s="4">
        <v>282</v>
      </c>
      <c r="L3669" t="s">
        <v>17</v>
      </c>
    </row>
    <row r="3670" spans="1:12" x14ac:dyDescent="0.35">
      <c r="A3670" t="s">
        <v>23</v>
      </c>
      <c r="B3670">
        <v>1128299</v>
      </c>
      <c r="C3670" s="1">
        <v>44330</v>
      </c>
      <c r="D3670" t="s">
        <v>13</v>
      </c>
      <c r="E3670" t="s">
        <v>57</v>
      </c>
      <c r="F3670" t="s">
        <v>58</v>
      </c>
      <c r="G3670" t="s">
        <v>16</v>
      </c>
      <c r="H3670" s="2">
        <v>64</v>
      </c>
      <c r="I3670">
        <v>120</v>
      </c>
      <c r="J3670">
        <v>768</v>
      </c>
      <c r="K3670" s="4">
        <v>307</v>
      </c>
      <c r="L3670" t="s">
        <v>17</v>
      </c>
    </row>
    <row r="3671" spans="1:12" x14ac:dyDescent="0.35">
      <c r="A3671" t="s">
        <v>23</v>
      </c>
      <c r="B3671">
        <v>1128299</v>
      </c>
      <c r="C3671" s="1">
        <v>44360</v>
      </c>
      <c r="D3671" t="s">
        <v>13</v>
      </c>
      <c r="E3671" t="s">
        <v>57</v>
      </c>
      <c r="F3671" t="s">
        <v>58</v>
      </c>
      <c r="G3671" t="s">
        <v>56</v>
      </c>
      <c r="H3671" s="2">
        <v>49</v>
      </c>
      <c r="I3671">
        <v>120</v>
      </c>
      <c r="J3671">
        <v>588</v>
      </c>
      <c r="K3671" s="4">
        <v>300</v>
      </c>
      <c r="L3671" t="s">
        <v>17</v>
      </c>
    </row>
    <row r="3672" spans="1:12" x14ac:dyDescent="0.35">
      <c r="A3672" t="s">
        <v>23</v>
      </c>
      <c r="B3672">
        <v>1128299</v>
      </c>
      <c r="C3672" s="1">
        <v>44453</v>
      </c>
      <c r="D3672" t="s">
        <v>13</v>
      </c>
      <c r="E3672" t="s">
        <v>57</v>
      </c>
      <c r="F3672" t="s">
        <v>58</v>
      </c>
      <c r="G3672" t="s">
        <v>56</v>
      </c>
      <c r="H3672" s="2">
        <v>43</v>
      </c>
      <c r="I3672">
        <v>120</v>
      </c>
      <c r="J3672">
        <v>516</v>
      </c>
      <c r="K3672" s="4">
        <v>279</v>
      </c>
      <c r="L3672" t="s">
        <v>17</v>
      </c>
    </row>
    <row r="3673" spans="1:12" x14ac:dyDescent="0.35">
      <c r="A3673" t="s">
        <v>51</v>
      </c>
      <c r="B3673">
        <v>1185732</v>
      </c>
      <c r="C3673" s="1">
        <v>44430</v>
      </c>
      <c r="D3673" t="s">
        <v>13</v>
      </c>
      <c r="E3673" t="s">
        <v>106</v>
      </c>
      <c r="F3673" t="s">
        <v>107</v>
      </c>
      <c r="G3673" t="s">
        <v>16</v>
      </c>
      <c r="H3673" s="2">
        <v>51</v>
      </c>
      <c r="I3673">
        <v>120</v>
      </c>
      <c r="J3673">
        <v>612</v>
      </c>
      <c r="K3673" s="4">
        <v>330</v>
      </c>
      <c r="L3673" t="s">
        <v>17</v>
      </c>
    </row>
    <row r="3674" spans="1:12" x14ac:dyDescent="0.35">
      <c r="A3674" t="s">
        <v>23</v>
      </c>
      <c r="B3674">
        <v>1197831</v>
      </c>
      <c r="C3674" s="1">
        <v>44248</v>
      </c>
      <c r="D3674" t="s">
        <v>19</v>
      </c>
      <c r="E3674" t="s">
        <v>37</v>
      </c>
      <c r="F3674" t="s">
        <v>38</v>
      </c>
      <c r="G3674" t="s">
        <v>32</v>
      </c>
      <c r="H3674" s="2">
        <v>14</v>
      </c>
      <c r="I3674">
        <v>120</v>
      </c>
      <c r="J3674">
        <v>168</v>
      </c>
      <c r="K3674" s="4">
        <v>84</v>
      </c>
      <c r="L3674" t="s">
        <v>17</v>
      </c>
    </row>
    <row r="3675" spans="1:12" x14ac:dyDescent="0.35">
      <c r="A3675" t="s">
        <v>18</v>
      </c>
      <c r="B3675">
        <v>1197831</v>
      </c>
      <c r="C3675" s="1">
        <v>44549</v>
      </c>
      <c r="D3675" t="s">
        <v>19</v>
      </c>
      <c r="E3675" t="s">
        <v>54</v>
      </c>
      <c r="F3675" t="s">
        <v>55</v>
      </c>
      <c r="G3675" t="s">
        <v>56</v>
      </c>
      <c r="H3675" s="2">
        <v>57</v>
      </c>
      <c r="I3675">
        <v>120</v>
      </c>
      <c r="J3675">
        <v>684</v>
      </c>
      <c r="K3675" s="4">
        <v>349</v>
      </c>
      <c r="L3675" t="s">
        <v>17</v>
      </c>
    </row>
    <row r="3676" spans="1:12" x14ac:dyDescent="0.35">
      <c r="A3676" t="s">
        <v>42</v>
      </c>
      <c r="B3676">
        <v>1197831</v>
      </c>
      <c r="C3676" s="1">
        <v>44542</v>
      </c>
      <c r="D3676" t="s">
        <v>33</v>
      </c>
      <c r="E3676" t="s">
        <v>71</v>
      </c>
      <c r="F3676" t="s">
        <v>72</v>
      </c>
      <c r="G3676" t="s">
        <v>39</v>
      </c>
      <c r="H3676" s="2">
        <v>59</v>
      </c>
      <c r="I3676">
        <v>120</v>
      </c>
      <c r="J3676">
        <v>708</v>
      </c>
      <c r="K3676" s="4">
        <v>354</v>
      </c>
      <c r="L3676" t="s">
        <v>17</v>
      </c>
    </row>
    <row r="3677" spans="1:12" x14ac:dyDescent="0.35">
      <c r="A3677" t="s">
        <v>42</v>
      </c>
      <c r="B3677">
        <v>1185732</v>
      </c>
      <c r="C3677" s="1">
        <v>44509</v>
      </c>
      <c r="D3677" t="s">
        <v>33</v>
      </c>
      <c r="E3677" t="s">
        <v>89</v>
      </c>
      <c r="F3677" t="s">
        <v>90</v>
      </c>
      <c r="G3677" t="s">
        <v>26</v>
      </c>
      <c r="H3677" s="2">
        <v>49</v>
      </c>
      <c r="I3677">
        <v>120</v>
      </c>
      <c r="J3677">
        <v>588</v>
      </c>
      <c r="K3677" s="4">
        <v>294</v>
      </c>
      <c r="L3677" t="s">
        <v>17</v>
      </c>
    </row>
    <row r="3678" spans="1:12" x14ac:dyDescent="0.35">
      <c r="A3678" t="s">
        <v>18</v>
      </c>
      <c r="B3678">
        <v>1185732</v>
      </c>
      <c r="C3678" s="1">
        <v>44539</v>
      </c>
      <c r="D3678" t="s">
        <v>33</v>
      </c>
      <c r="E3678" t="s">
        <v>81</v>
      </c>
      <c r="F3678" t="s">
        <v>82</v>
      </c>
      <c r="G3678" t="s">
        <v>16</v>
      </c>
      <c r="H3678" s="2">
        <v>62</v>
      </c>
      <c r="I3678">
        <v>120</v>
      </c>
      <c r="J3678">
        <v>744</v>
      </c>
      <c r="K3678" s="4">
        <v>372</v>
      </c>
      <c r="L3678" t="s">
        <v>17</v>
      </c>
    </row>
    <row r="3679" spans="1:12" x14ac:dyDescent="0.35">
      <c r="A3679" t="s">
        <v>42</v>
      </c>
      <c r="B3679">
        <v>1185732</v>
      </c>
      <c r="C3679" s="1">
        <v>44362</v>
      </c>
      <c r="D3679" t="s">
        <v>43</v>
      </c>
      <c r="E3679" t="s">
        <v>95</v>
      </c>
      <c r="F3679" t="s">
        <v>96</v>
      </c>
      <c r="G3679" t="s">
        <v>39</v>
      </c>
      <c r="H3679" s="2">
        <v>48</v>
      </c>
      <c r="I3679">
        <v>120</v>
      </c>
      <c r="J3679">
        <v>576</v>
      </c>
      <c r="K3679" s="4">
        <v>259</v>
      </c>
      <c r="L3679" t="s">
        <v>17</v>
      </c>
    </row>
    <row r="3680" spans="1:12" x14ac:dyDescent="0.35">
      <c r="A3680" t="s">
        <v>42</v>
      </c>
      <c r="B3680">
        <v>1185732</v>
      </c>
      <c r="C3680" s="1">
        <v>44422</v>
      </c>
      <c r="D3680" t="s">
        <v>43</v>
      </c>
      <c r="E3680" t="s">
        <v>95</v>
      </c>
      <c r="F3680" t="s">
        <v>96</v>
      </c>
      <c r="G3680" t="s">
        <v>16</v>
      </c>
      <c r="H3680" s="2">
        <v>59</v>
      </c>
      <c r="I3680">
        <v>120</v>
      </c>
      <c r="J3680">
        <v>708</v>
      </c>
      <c r="K3680" s="4">
        <v>368</v>
      </c>
      <c r="L3680" t="s">
        <v>17</v>
      </c>
    </row>
    <row r="3681" spans="1:12" x14ac:dyDescent="0.35">
      <c r="A3681" t="s">
        <v>63</v>
      </c>
      <c r="B3681">
        <v>1185732</v>
      </c>
      <c r="C3681" s="1">
        <v>44355</v>
      </c>
      <c r="D3681" t="s">
        <v>43</v>
      </c>
      <c r="E3681" t="s">
        <v>83</v>
      </c>
      <c r="F3681" t="s">
        <v>84</v>
      </c>
      <c r="G3681" t="s">
        <v>16</v>
      </c>
      <c r="H3681" s="2">
        <v>50</v>
      </c>
      <c r="I3681">
        <v>120</v>
      </c>
      <c r="J3681">
        <v>600</v>
      </c>
      <c r="K3681" s="4">
        <v>300</v>
      </c>
      <c r="L3681" t="s">
        <v>17</v>
      </c>
    </row>
    <row r="3682" spans="1:12" x14ac:dyDescent="0.35">
      <c r="A3682" t="s">
        <v>23</v>
      </c>
      <c r="B3682">
        <v>1185732</v>
      </c>
      <c r="C3682" s="1">
        <v>44484</v>
      </c>
      <c r="D3682" t="s">
        <v>43</v>
      </c>
      <c r="E3682" t="s">
        <v>112</v>
      </c>
      <c r="F3682" t="s">
        <v>113</v>
      </c>
      <c r="G3682" t="s">
        <v>26</v>
      </c>
      <c r="H3682" s="2">
        <v>57</v>
      </c>
      <c r="I3682">
        <v>120</v>
      </c>
      <c r="J3682">
        <v>684</v>
      </c>
      <c r="K3682" s="4">
        <v>308</v>
      </c>
      <c r="L3682" t="s">
        <v>17</v>
      </c>
    </row>
    <row r="3683" spans="1:12" x14ac:dyDescent="0.35">
      <c r="A3683" t="s">
        <v>51</v>
      </c>
      <c r="B3683">
        <v>1185732</v>
      </c>
      <c r="C3683" s="1">
        <v>44326</v>
      </c>
      <c r="D3683" t="s">
        <v>43</v>
      </c>
      <c r="E3683" t="s">
        <v>125</v>
      </c>
      <c r="F3683" t="s">
        <v>126</v>
      </c>
      <c r="G3683" t="s">
        <v>16</v>
      </c>
      <c r="H3683" s="2">
        <v>60</v>
      </c>
      <c r="I3683">
        <v>120</v>
      </c>
      <c r="J3683">
        <v>720</v>
      </c>
      <c r="K3683" s="4">
        <v>374</v>
      </c>
      <c r="L3683" t="s">
        <v>17</v>
      </c>
    </row>
    <row r="3684" spans="1:12" x14ac:dyDescent="0.35">
      <c r="A3684" t="s">
        <v>18</v>
      </c>
      <c r="B3684">
        <v>1128299</v>
      </c>
      <c r="C3684" s="1">
        <v>43852</v>
      </c>
      <c r="D3684" t="s">
        <v>48</v>
      </c>
      <c r="E3684" t="s">
        <v>116</v>
      </c>
      <c r="F3684" t="s">
        <v>117</v>
      </c>
      <c r="G3684" t="s">
        <v>32</v>
      </c>
      <c r="H3684" s="2">
        <v>47</v>
      </c>
      <c r="I3684">
        <v>120</v>
      </c>
      <c r="J3684">
        <v>564</v>
      </c>
      <c r="K3684" s="4">
        <v>254</v>
      </c>
      <c r="L3684" t="s">
        <v>27</v>
      </c>
    </row>
    <row r="3685" spans="1:12" x14ac:dyDescent="0.35">
      <c r="A3685" t="s">
        <v>18</v>
      </c>
      <c r="B3685">
        <v>1128299</v>
      </c>
      <c r="C3685" s="1">
        <v>43857</v>
      </c>
      <c r="D3685" t="s">
        <v>48</v>
      </c>
      <c r="E3685" t="s">
        <v>116</v>
      </c>
      <c r="F3685" t="s">
        <v>117</v>
      </c>
      <c r="G3685" t="s">
        <v>39</v>
      </c>
      <c r="H3685" s="2">
        <v>43</v>
      </c>
      <c r="I3685">
        <v>120</v>
      </c>
      <c r="J3685">
        <v>516</v>
      </c>
      <c r="K3685" s="4">
        <v>181</v>
      </c>
      <c r="L3685" t="s">
        <v>27</v>
      </c>
    </row>
    <row r="3686" spans="1:12" x14ac:dyDescent="0.35">
      <c r="A3686" t="s">
        <v>18</v>
      </c>
      <c r="B3686">
        <v>1128299</v>
      </c>
      <c r="C3686" s="1">
        <v>43892</v>
      </c>
      <c r="D3686" t="s">
        <v>48</v>
      </c>
      <c r="E3686" t="s">
        <v>116</v>
      </c>
      <c r="F3686" t="s">
        <v>117</v>
      </c>
      <c r="G3686" t="s">
        <v>16</v>
      </c>
      <c r="H3686" s="2">
        <v>53</v>
      </c>
      <c r="I3686">
        <v>120</v>
      </c>
      <c r="J3686">
        <v>636</v>
      </c>
      <c r="K3686" s="4">
        <v>140</v>
      </c>
      <c r="L3686" t="s">
        <v>27</v>
      </c>
    </row>
    <row r="3687" spans="1:12" x14ac:dyDescent="0.35">
      <c r="A3687" t="s">
        <v>23</v>
      </c>
      <c r="B3687">
        <v>1197831</v>
      </c>
      <c r="C3687" s="1">
        <v>44317</v>
      </c>
      <c r="D3687" t="s">
        <v>19</v>
      </c>
      <c r="E3687" t="s">
        <v>74</v>
      </c>
      <c r="F3687" t="s">
        <v>75</v>
      </c>
      <c r="G3687" t="s">
        <v>70</v>
      </c>
      <c r="H3687" s="2">
        <v>39</v>
      </c>
      <c r="I3687">
        <v>120</v>
      </c>
      <c r="J3687">
        <v>468</v>
      </c>
      <c r="K3687" s="4">
        <v>201</v>
      </c>
      <c r="L3687" t="s">
        <v>27</v>
      </c>
    </row>
    <row r="3688" spans="1:12" x14ac:dyDescent="0.35">
      <c r="A3688" t="s">
        <v>23</v>
      </c>
      <c r="B3688">
        <v>1197831</v>
      </c>
      <c r="C3688" s="1">
        <v>44426</v>
      </c>
      <c r="D3688" t="s">
        <v>19</v>
      </c>
      <c r="E3688" t="s">
        <v>24</v>
      </c>
      <c r="F3688" t="s">
        <v>25</v>
      </c>
      <c r="G3688" t="s">
        <v>16</v>
      </c>
      <c r="H3688" s="2">
        <v>26</v>
      </c>
      <c r="I3688">
        <v>120</v>
      </c>
      <c r="J3688">
        <v>312</v>
      </c>
      <c r="K3688" s="4">
        <v>206</v>
      </c>
      <c r="L3688" t="s">
        <v>27</v>
      </c>
    </row>
    <row r="3689" spans="1:12" x14ac:dyDescent="0.35">
      <c r="A3689" t="s">
        <v>12</v>
      </c>
      <c r="B3689">
        <v>1128299</v>
      </c>
      <c r="C3689" s="1">
        <v>44486</v>
      </c>
      <c r="D3689" t="s">
        <v>13</v>
      </c>
      <c r="E3689" t="s">
        <v>14</v>
      </c>
      <c r="F3689" t="s">
        <v>15</v>
      </c>
      <c r="G3689" t="s">
        <v>56</v>
      </c>
      <c r="H3689" s="2">
        <v>40</v>
      </c>
      <c r="I3689">
        <v>120</v>
      </c>
      <c r="J3689">
        <v>480</v>
      </c>
      <c r="K3689" s="4">
        <v>168</v>
      </c>
      <c r="L3689" t="s">
        <v>27</v>
      </c>
    </row>
    <row r="3690" spans="1:12" x14ac:dyDescent="0.35">
      <c r="A3690" t="s">
        <v>18</v>
      </c>
      <c r="B3690">
        <v>1185732</v>
      </c>
      <c r="C3690" s="1">
        <v>44238</v>
      </c>
      <c r="D3690" t="s">
        <v>48</v>
      </c>
      <c r="E3690" t="s">
        <v>49</v>
      </c>
      <c r="F3690" t="s">
        <v>50</v>
      </c>
      <c r="G3690" t="s">
        <v>70</v>
      </c>
      <c r="H3690" s="2">
        <v>28</v>
      </c>
      <c r="I3690">
        <v>120</v>
      </c>
      <c r="J3690">
        <v>336</v>
      </c>
      <c r="K3690" s="4">
        <v>141</v>
      </c>
      <c r="L3690" t="s">
        <v>27</v>
      </c>
    </row>
    <row r="3691" spans="1:12" x14ac:dyDescent="0.35">
      <c r="A3691" t="s">
        <v>18</v>
      </c>
      <c r="B3691">
        <v>1128299</v>
      </c>
      <c r="C3691" s="1">
        <v>44213</v>
      </c>
      <c r="D3691" t="s">
        <v>48</v>
      </c>
      <c r="E3691" t="s">
        <v>85</v>
      </c>
      <c r="F3691" t="s">
        <v>86</v>
      </c>
      <c r="G3691" t="s">
        <v>26</v>
      </c>
      <c r="H3691" s="2">
        <v>28</v>
      </c>
      <c r="I3691">
        <v>120</v>
      </c>
      <c r="J3691">
        <v>336</v>
      </c>
      <c r="K3691" s="4">
        <v>141</v>
      </c>
      <c r="L3691" t="s">
        <v>27</v>
      </c>
    </row>
    <row r="3692" spans="1:12" x14ac:dyDescent="0.35">
      <c r="A3692" t="s">
        <v>18</v>
      </c>
      <c r="B3692">
        <v>1128299</v>
      </c>
      <c r="C3692" s="1">
        <v>44271</v>
      </c>
      <c r="D3692" t="s">
        <v>19</v>
      </c>
      <c r="E3692" t="s">
        <v>20</v>
      </c>
      <c r="F3692" t="s">
        <v>21</v>
      </c>
      <c r="G3692" t="s">
        <v>39</v>
      </c>
      <c r="H3692" s="2">
        <v>38</v>
      </c>
      <c r="I3692">
        <v>120</v>
      </c>
      <c r="J3692">
        <v>456</v>
      </c>
      <c r="K3692" s="4">
        <v>201</v>
      </c>
      <c r="L3692" t="s">
        <v>27</v>
      </c>
    </row>
    <row r="3693" spans="1:12" x14ac:dyDescent="0.35">
      <c r="A3693" t="s">
        <v>18</v>
      </c>
      <c r="B3693">
        <v>1128299</v>
      </c>
      <c r="C3693" s="1">
        <v>44271</v>
      </c>
      <c r="D3693" t="s">
        <v>19</v>
      </c>
      <c r="E3693" t="s">
        <v>20</v>
      </c>
      <c r="F3693" t="s">
        <v>21</v>
      </c>
      <c r="G3693" t="s">
        <v>32</v>
      </c>
      <c r="H3693" s="2">
        <v>39</v>
      </c>
      <c r="I3693">
        <v>120</v>
      </c>
      <c r="J3693">
        <v>468</v>
      </c>
      <c r="K3693" s="4">
        <v>211</v>
      </c>
      <c r="L3693" t="s">
        <v>27</v>
      </c>
    </row>
    <row r="3694" spans="1:12" x14ac:dyDescent="0.35">
      <c r="A3694" t="s">
        <v>18</v>
      </c>
      <c r="B3694">
        <v>1128299</v>
      </c>
      <c r="C3694" s="1">
        <v>44303</v>
      </c>
      <c r="D3694" t="s">
        <v>19</v>
      </c>
      <c r="E3694" t="s">
        <v>20</v>
      </c>
      <c r="F3694" t="s">
        <v>21</v>
      </c>
      <c r="G3694" t="s">
        <v>32</v>
      </c>
      <c r="H3694" s="2">
        <v>40</v>
      </c>
      <c r="I3694">
        <v>120</v>
      </c>
      <c r="J3694">
        <v>480</v>
      </c>
      <c r="K3694" s="4">
        <v>202</v>
      </c>
      <c r="L3694" t="s">
        <v>27</v>
      </c>
    </row>
    <row r="3695" spans="1:12" x14ac:dyDescent="0.35">
      <c r="A3695" t="s">
        <v>18</v>
      </c>
      <c r="B3695">
        <v>1128299</v>
      </c>
      <c r="C3695" s="1">
        <v>44486</v>
      </c>
      <c r="D3695" t="s">
        <v>19</v>
      </c>
      <c r="E3695" t="s">
        <v>20</v>
      </c>
      <c r="F3695" t="s">
        <v>21</v>
      </c>
      <c r="G3695" t="s">
        <v>56</v>
      </c>
      <c r="H3695" s="2">
        <v>31</v>
      </c>
      <c r="I3695">
        <v>120</v>
      </c>
      <c r="J3695">
        <v>372</v>
      </c>
      <c r="K3695" s="4">
        <v>160</v>
      </c>
      <c r="L3695" t="s">
        <v>27</v>
      </c>
    </row>
    <row r="3696" spans="1:12" x14ac:dyDescent="0.35">
      <c r="A3696" t="s">
        <v>18</v>
      </c>
      <c r="B3696">
        <v>1197831</v>
      </c>
      <c r="C3696" s="1">
        <v>44321</v>
      </c>
      <c r="D3696" t="s">
        <v>48</v>
      </c>
      <c r="E3696" t="s">
        <v>79</v>
      </c>
      <c r="F3696" t="s">
        <v>80</v>
      </c>
      <c r="G3696" t="s">
        <v>70</v>
      </c>
      <c r="H3696" s="2">
        <v>34</v>
      </c>
      <c r="I3696">
        <v>120</v>
      </c>
      <c r="J3696">
        <v>408</v>
      </c>
      <c r="K3696" s="4">
        <v>143</v>
      </c>
      <c r="L3696" t="s">
        <v>27</v>
      </c>
    </row>
    <row r="3697" spans="1:12" x14ac:dyDescent="0.35">
      <c r="A3697" t="s">
        <v>42</v>
      </c>
      <c r="B3697">
        <v>1128299</v>
      </c>
      <c r="C3697" s="1">
        <v>44431</v>
      </c>
      <c r="D3697" t="s">
        <v>48</v>
      </c>
      <c r="E3697" t="s">
        <v>123</v>
      </c>
      <c r="F3697" t="s">
        <v>124</v>
      </c>
      <c r="G3697" t="s">
        <v>56</v>
      </c>
      <c r="H3697" s="2">
        <v>43</v>
      </c>
      <c r="I3697">
        <v>120</v>
      </c>
      <c r="J3697">
        <v>516</v>
      </c>
      <c r="K3697" s="4">
        <v>217</v>
      </c>
      <c r="L3697" t="s">
        <v>27</v>
      </c>
    </row>
    <row r="3698" spans="1:12" x14ac:dyDescent="0.35">
      <c r="A3698" t="s">
        <v>63</v>
      </c>
      <c r="B3698">
        <v>1128299</v>
      </c>
      <c r="C3698" s="1">
        <v>44495</v>
      </c>
      <c r="D3698" t="s">
        <v>48</v>
      </c>
      <c r="E3698" t="s">
        <v>114</v>
      </c>
      <c r="F3698" t="s">
        <v>115</v>
      </c>
      <c r="G3698" t="s">
        <v>32</v>
      </c>
      <c r="H3698" s="2">
        <v>34</v>
      </c>
      <c r="I3698">
        <v>120</v>
      </c>
      <c r="J3698">
        <v>408</v>
      </c>
      <c r="K3698" s="4">
        <v>163</v>
      </c>
      <c r="L3698" t="s">
        <v>27</v>
      </c>
    </row>
    <row r="3699" spans="1:12" x14ac:dyDescent="0.35">
      <c r="A3699" t="s">
        <v>23</v>
      </c>
      <c r="B3699">
        <v>1128299</v>
      </c>
      <c r="C3699" s="1">
        <v>44240</v>
      </c>
      <c r="D3699" t="s">
        <v>48</v>
      </c>
      <c r="E3699" t="s">
        <v>114</v>
      </c>
      <c r="F3699" t="s">
        <v>115</v>
      </c>
      <c r="G3699" t="s">
        <v>32</v>
      </c>
      <c r="H3699" s="2">
        <v>28</v>
      </c>
      <c r="I3699">
        <v>120</v>
      </c>
      <c r="J3699">
        <v>336</v>
      </c>
      <c r="K3699" s="4">
        <v>138</v>
      </c>
      <c r="L3699" t="s">
        <v>27</v>
      </c>
    </row>
    <row r="3700" spans="1:12" x14ac:dyDescent="0.35">
      <c r="A3700" t="s">
        <v>23</v>
      </c>
      <c r="B3700">
        <v>1128299</v>
      </c>
      <c r="C3700" s="1">
        <v>44453</v>
      </c>
      <c r="D3700" t="s">
        <v>13</v>
      </c>
      <c r="E3700" t="s">
        <v>57</v>
      </c>
      <c r="F3700" t="s">
        <v>58</v>
      </c>
      <c r="G3700" t="s">
        <v>56</v>
      </c>
      <c r="H3700" s="2">
        <v>35</v>
      </c>
      <c r="I3700">
        <v>120</v>
      </c>
      <c r="J3700">
        <v>420</v>
      </c>
      <c r="K3700" s="4">
        <v>193</v>
      </c>
      <c r="L3700" t="s">
        <v>27</v>
      </c>
    </row>
    <row r="3701" spans="1:12" x14ac:dyDescent="0.35">
      <c r="A3701" t="s">
        <v>42</v>
      </c>
      <c r="B3701">
        <v>1128299</v>
      </c>
      <c r="C3701" s="1">
        <v>44542</v>
      </c>
      <c r="D3701" t="s">
        <v>13</v>
      </c>
      <c r="E3701" t="s">
        <v>57</v>
      </c>
      <c r="F3701" t="s">
        <v>58</v>
      </c>
      <c r="G3701" t="s">
        <v>70</v>
      </c>
      <c r="H3701" s="2">
        <v>44</v>
      </c>
      <c r="I3701">
        <v>120</v>
      </c>
      <c r="J3701">
        <v>528</v>
      </c>
      <c r="K3701" s="4">
        <v>201</v>
      </c>
      <c r="L3701" t="s">
        <v>27</v>
      </c>
    </row>
    <row r="3702" spans="1:12" x14ac:dyDescent="0.35">
      <c r="A3702" t="s">
        <v>12</v>
      </c>
      <c r="B3702">
        <v>1185732</v>
      </c>
      <c r="C3702" s="1">
        <v>44455</v>
      </c>
      <c r="D3702" t="s">
        <v>19</v>
      </c>
      <c r="E3702" t="s">
        <v>37</v>
      </c>
      <c r="F3702" t="s">
        <v>38</v>
      </c>
      <c r="G3702" t="s">
        <v>56</v>
      </c>
      <c r="H3702" s="2">
        <v>16</v>
      </c>
      <c r="I3702">
        <v>120</v>
      </c>
      <c r="J3702">
        <v>192</v>
      </c>
      <c r="K3702" s="4">
        <v>86</v>
      </c>
      <c r="L3702" t="s">
        <v>27</v>
      </c>
    </row>
    <row r="3703" spans="1:12" x14ac:dyDescent="0.35">
      <c r="A3703" t="s">
        <v>12</v>
      </c>
      <c r="B3703">
        <v>1185732</v>
      </c>
      <c r="C3703" s="1">
        <v>44487</v>
      </c>
      <c r="D3703" t="s">
        <v>19</v>
      </c>
      <c r="E3703" t="s">
        <v>37</v>
      </c>
      <c r="F3703" t="s">
        <v>38</v>
      </c>
      <c r="G3703" t="s">
        <v>32</v>
      </c>
      <c r="H3703" s="2">
        <v>19</v>
      </c>
      <c r="I3703">
        <v>120</v>
      </c>
      <c r="J3703">
        <v>228</v>
      </c>
      <c r="K3703" s="4">
        <v>107</v>
      </c>
      <c r="L3703" t="s">
        <v>27</v>
      </c>
    </row>
    <row r="3704" spans="1:12" x14ac:dyDescent="0.35">
      <c r="A3704" t="s">
        <v>12</v>
      </c>
      <c r="B3704">
        <v>1197831</v>
      </c>
      <c r="C3704" s="1">
        <v>44306</v>
      </c>
      <c r="D3704" t="s">
        <v>19</v>
      </c>
      <c r="E3704" t="s">
        <v>54</v>
      </c>
      <c r="F3704" t="s">
        <v>55</v>
      </c>
      <c r="G3704" t="s">
        <v>16</v>
      </c>
      <c r="H3704" s="2">
        <v>24</v>
      </c>
      <c r="I3704">
        <v>120</v>
      </c>
      <c r="J3704">
        <v>288</v>
      </c>
      <c r="K3704" s="4">
        <v>127</v>
      </c>
      <c r="L3704" t="s">
        <v>27</v>
      </c>
    </row>
    <row r="3705" spans="1:12" x14ac:dyDescent="0.35">
      <c r="A3705" t="s">
        <v>12</v>
      </c>
      <c r="B3705">
        <v>1197831</v>
      </c>
      <c r="C3705" s="1">
        <v>44396</v>
      </c>
      <c r="D3705" t="s">
        <v>19</v>
      </c>
      <c r="E3705" t="s">
        <v>54</v>
      </c>
      <c r="F3705" t="s">
        <v>55</v>
      </c>
      <c r="G3705" t="s">
        <v>56</v>
      </c>
      <c r="H3705" s="2">
        <v>35</v>
      </c>
      <c r="I3705">
        <v>120</v>
      </c>
      <c r="J3705">
        <v>420</v>
      </c>
      <c r="K3705" s="4">
        <v>181</v>
      </c>
      <c r="L3705" t="s">
        <v>27</v>
      </c>
    </row>
    <row r="3706" spans="1:12" x14ac:dyDescent="0.35">
      <c r="A3706" t="s">
        <v>23</v>
      </c>
      <c r="B3706">
        <v>1185732</v>
      </c>
      <c r="C3706" s="1">
        <v>44380</v>
      </c>
      <c r="D3706" t="s">
        <v>43</v>
      </c>
      <c r="E3706" t="s">
        <v>108</v>
      </c>
      <c r="F3706" t="s">
        <v>109</v>
      </c>
      <c r="G3706" t="s">
        <v>39</v>
      </c>
      <c r="H3706" s="2">
        <v>38</v>
      </c>
      <c r="I3706">
        <v>120</v>
      </c>
      <c r="J3706">
        <v>456</v>
      </c>
      <c r="K3706" s="4">
        <v>192</v>
      </c>
      <c r="L3706" t="s">
        <v>27</v>
      </c>
    </row>
    <row r="3707" spans="1:12" x14ac:dyDescent="0.35">
      <c r="A3707" t="s">
        <v>42</v>
      </c>
      <c r="B3707">
        <v>1185732</v>
      </c>
      <c r="C3707" s="1">
        <v>44533</v>
      </c>
      <c r="D3707" t="s">
        <v>43</v>
      </c>
      <c r="E3707" t="s">
        <v>108</v>
      </c>
      <c r="F3707" t="s">
        <v>109</v>
      </c>
      <c r="G3707" t="s">
        <v>16</v>
      </c>
      <c r="H3707" s="2">
        <v>52</v>
      </c>
      <c r="I3707">
        <v>120</v>
      </c>
      <c r="J3707">
        <v>624</v>
      </c>
      <c r="K3707" s="4">
        <v>231</v>
      </c>
      <c r="L3707" t="s">
        <v>27</v>
      </c>
    </row>
    <row r="3708" spans="1:12" x14ac:dyDescent="0.35">
      <c r="A3708" t="s">
        <v>23</v>
      </c>
      <c r="B3708">
        <v>1185732</v>
      </c>
      <c r="C3708" s="1">
        <v>44362</v>
      </c>
      <c r="D3708" t="s">
        <v>43</v>
      </c>
      <c r="E3708" t="s">
        <v>112</v>
      </c>
      <c r="F3708" t="s">
        <v>113</v>
      </c>
      <c r="G3708" t="s">
        <v>16</v>
      </c>
      <c r="H3708" s="2">
        <v>47</v>
      </c>
      <c r="I3708">
        <v>120</v>
      </c>
      <c r="J3708">
        <v>564</v>
      </c>
      <c r="K3708" s="4">
        <v>197</v>
      </c>
      <c r="L3708" t="s">
        <v>27</v>
      </c>
    </row>
    <row r="3709" spans="1:12" x14ac:dyDescent="0.35">
      <c r="A3709" t="s">
        <v>51</v>
      </c>
      <c r="B3709">
        <v>1185732</v>
      </c>
      <c r="C3709" s="1">
        <v>44514</v>
      </c>
      <c r="D3709" t="s">
        <v>43</v>
      </c>
      <c r="E3709" t="s">
        <v>112</v>
      </c>
      <c r="F3709" t="s">
        <v>113</v>
      </c>
      <c r="G3709" t="s">
        <v>26</v>
      </c>
      <c r="H3709" s="2">
        <v>49</v>
      </c>
      <c r="I3709">
        <v>120</v>
      </c>
      <c r="J3709">
        <v>588</v>
      </c>
      <c r="K3709" s="4">
        <v>206</v>
      </c>
      <c r="L3709" t="s">
        <v>27</v>
      </c>
    </row>
    <row r="3710" spans="1:12" x14ac:dyDescent="0.35">
      <c r="A3710" t="s">
        <v>51</v>
      </c>
      <c r="B3710">
        <v>1185732</v>
      </c>
      <c r="C3710" s="1">
        <v>44326</v>
      </c>
      <c r="D3710" t="s">
        <v>43</v>
      </c>
      <c r="E3710" t="s">
        <v>125</v>
      </c>
      <c r="F3710" t="s">
        <v>126</v>
      </c>
      <c r="G3710" t="s">
        <v>16</v>
      </c>
      <c r="H3710" s="2">
        <v>47</v>
      </c>
      <c r="I3710">
        <v>120</v>
      </c>
      <c r="J3710">
        <v>564</v>
      </c>
      <c r="K3710" s="4">
        <v>259</v>
      </c>
      <c r="L3710" t="s">
        <v>27</v>
      </c>
    </row>
    <row r="3711" spans="1:12" x14ac:dyDescent="0.35">
      <c r="A3711" t="s">
        <v>51</v>
      </c>
      <c r="B3711">
        <v>1185732</v>
      </c>
      <c r="C3711" s="1">
        <v>44359</v>
      </c>
      <c r="D3711" t="s">
        <v>43</v>
      </c>
      <c r="E3711" t="s">
        <v>125</v>
      </c>
      <c r="F3711" t="s">
        <v>126</v>
      </c>
      <c r="G3711" t="s">
        <v>39</v>
      </c>
      <c r="H3711" s="2">
        <v>44</v>
      </c>
      <c r="I3711">
        <v>120</v>
      </c>
      <c r="J3711">
        <v>528</v>
      </c>
      <c r="K3711" s="4">
        <v>264</v>
      </c>
      <c r="L3711" t="s">
        <v>27</v>
      </c>
    </row>
    <row r="3712" spans="1:12" x14ac:dyDescent="0.35">
      <c r="A3712" t="s">
        <v>42</v>
      </c>
      <c r="B3712">
        <v>1185732</v>
      </c>
      <c r="C3712" s="1">
        <v>44518</v>
      </c>
      <c r="D3712" t="s">
        <v>43</v>
      </c>
      <c r="E3712" t="s">
        <v>127</v>
      </c>
      <c r="F3712" t="s">
        <v>128</v>
      </c>
      <c r="G3712" t="s">
        <v>16</v>
      </c>
      <c r="H3712" s="2">
        <v>61</v>
      </c>
      <c r="I3712">
        <v>120</v>
      </c>
      <c r="J3712">
        <v>732</v>
      </c>
      <c r="K3712" s="4">
        <v>300</v>
      </c>
      <c r="L3712" t="s">
        <v>27</v>
      </c>
    </row>
    <row r="3713" spans="1:12" x14ac:dyDescent="0.35">
      <c r="A3713" t="s">
        <v>63</v>
      </c>
      <c r="B3713">
        <v>1189833</v>
      </c>
      <c r="C3713" s="1">
        <v>44297</v>
      </c>
      <c r="D3713" t="s">
        <v>48</v>
      </c>
      <c r="E3713" t="s">
        <v>66</v>
      </c>
      <c r="F3713" t="s">
        <v>76</v>
      </c>
      <c r="G3713" t="s">
        <v>70</v>
      </c>
      <c r="H3713" s="2">
        <v>49</v>
      </c>
      <c r="I3713">
        <v>119</v>
      </c>
      <c r="J3713">
        <v>583</v>
      </c>
      <c r="K3713" s="4">
        <v>385</v>
      </c>
      <c r="L3713" t="s">
        <v>17</v>
      </c>
    </row>
    <row r="3714" spans="1:12" x14ac:dyDescent="0.35">
      <c r="A3714" t="s">
        <v>23</v>
      </c>
      <c r="B3714">
        <v>1197831</v>
      </c>
      <c r="C3714" s="1">
        <v>44427</v>
      </c>
      <c r="D3714" t="s">
        <v>19</v>
      </c>
      <c r="E3714" t="s">
        <v>59</v>
      </c>
      <c r="F3714" t="s">
        <v>68</v>
      </c>
      <c r="G3714" t="s">
        <v>32</v>
      </c>
      <c r="H3714" s="2">
        <v>34</v>
      </c>
      <c r="I3714">
        <v>119</v>
      </c>
      <c r="J3714">
        <v>405</v>
      </c>
      <c r="K3714" s="4">
        <v>174</v>
      </c>
      <c r="L3714" t="s">
        <v>17</v>
      </c>
    </row>
    <row r="3715" spans="1:12" x14ac:dyDescent="0.35">
      <c r="A3715" t="s">
        <v>42</v>
      </c>
      <c r="B3715">
        <v>1185732</v>
      </c>
      <c r="C3715" s="1">
        <v>44497</v>
      </c>
      <c r="D3715" t="s">
        <v>43</v>
      </c>
      <c r="E3715" t="s">
        <v>135</v>
      </c>
      <c r="F3715" t="s">
        <v>136</v>
      </c>
      <c r="G3715" t="s">
        <v>26</v>
      </c>
      <c r="H3715" s="2">
        <v>42</v>
      </c>
      <c r="I3715">
        <v>119</v>
      </c>
      <c r="J3715">
        <v>500</v>
      </c>
      <c r="K3715" s="4">
        <v>335</v>
      </c>
      <c r="L3715" t="s">
        <v>17</v>
      </c>
    </row>
    <row r="3716" spans="1:12" x14ac:dyDescent="0.35">
      <c r="A3716" t="s">
        <v>18</v>
      </c>
      <c r="B3716">
        <v>1128299</v>
      </c>
      <c r="C3716" s="1">
        <v>43840</v>
      </c>
      <c r="D3716" t="s">
        <v>48</v>
      </c>
      <c r="E3716" t="s">
        <v>116</v>
      </c>
      <c r="F3716" t="s">
        <v>117</v>
      </c>
      <c r="G3716" t="s">
        <v>32</v>
      </c>
      <c r="H3716" s="2">
        <v>41</v>
      </c>
      <c r="I3716">
        <v>119</v>
      </c>
      <c r="J3716">
        <v>488</v>
      </c>
      <c r="K3716" s="4">
        <v>259</v>
      </c>
      <c r="L3716" t="s">
        <v>17</v>
      </c>
    </row>
    <row r="3717" spans="1:12" x14ac:dyDescent="0.35">
      <c r="A3717" t="s">
        <v>18</v>
      </c>
      <c r="B3717">
        <v>1128299</v>
      </c>
      <c r="C3717" s="1">
        <v>43901</v>
      </c>
      <c r="D3717" t="s">
        <v>48</v>
      </c>
      <c r="E3717" t="s">
        <v>116</v>
      </c>
      <c r="F3717" t="s">
        <v>117</v>
      </c>
      <c r="G3717" t="s">
        <v>32</v>
      </c>
      <c r="H3717" s="2">
        <v>59</v>
      </c>
      <c r="I3717">
        <v>119</v>
      </c>
      <c r="J3717">
        <v>702</v>
      </c>
      <c r="K3717" s="4">
        <v>330</v>
      </c>
      <c r="L3717" t="s">
        <v>17</v>
      </c>
    </row>
    <row r="3718" spans="1:12" x14ac:dyDescent="0.35">
      <c r="A3718" t="s">
        <v>63</v>
      </c>
      <c r="B3718">
        <v>1189833</v>
      </c>
      <c r="C3718" s="1">
        <v>44193</v>
      </c>
      <c r="D3718" t="s">
        <v>33</v>
      </c>
      <c r="E3718" t="s">
        <v>104</v>
      </c>
      <c r="F3718" t="s">
        <v>105</v>
      </c>
      <c r="G3718" t="s">
        <v>26</v>
      </c>
      <c r="H3718" s="2">
        <v>32</v>
      </c>
      <c r="I3718">
        <v>119</v>
      </c>
      <c r="J3718">
        <v>381</v>
      </c>
      <c r="K3718" s="4">
        <v>221</v>
      </c>
      <c r="L3718" t="s">
        <v>17</v>
      </c>
    </row>
    <row r="3719" spans="1:12" x14ac:dyDescent="0.35">
      <c r="A3719" t="s">
        <v>63</v>
      </c>
      <c r="B3719">
        <v>1189833</v>
      </c>
      <c r="C3719" s="1">
        <v>44195</v>
      </c>
      <c r="D3719" t="s">
        <v>33</v>
      </c>
      <c r="E3719" t="s">
        <v>104</v>
      </c>
      <c r="F3719" t="s">
        <v>105</v>
      </c>
      <c r="G3719" t="s">
        <v>32</v>
      </c>
      <c r="H3719" s="2">
        <v>41</v>
      </c>
      <c r="I3719">
        <v>119</v>
      </c>
      <c r="J3719">
        <v>488</v>
      </c>
      <c r="K3719" s="4">
        <v>288</v>
      </c>
      <c r="L3719" t="s">
        <v>17</v>
      </c>
    </row>
    <row r="3720" spans="1:12" x14ac:dyDescent="0.35">
      <c r="A3720" t="s">
        <v>63</v>
      </c>
      <c r="B3720">
        <v>1189833</v>
      </c>
      <c r="C3720" s="1">
        <v>44204</v>
      </c>
      <c r="D3720" t="s">
        <v>33</v>
      </c>
      <c r="E3720" t="s">
        <v>131</v>
      </c>
      <c r="F3720" t="s">
        <v>132</v>
      </c>
      <c r="G3720" t="s">
        <v>16</v>
      </c>
      <c r="H3720" s="2">
        <v>43</v>
      </c>
      <c r="I3720">
        <v>119</v>
      </c>
      <c r="J3720">
        <v>512</v>
      </c>
      <c r="K3720" s="4">
        <v>189</v>
      </c>
      <c r="L3720" t="s">
        <v>17</v>
      </c>
    </row>
    <row r="3721" spans="1:12" x14ac:dyDescent="0.35">
      <c r="A3721" t="s">
        <v>63</v>
      </c>
      <c r="B3721">
        <v>1189833</v>
      </c>
      <c r="C3721" s="1">
        <v>44256</v>
      </c>
      <c r="D3721" t="s">
        <v>33</v>
      </c>
      <c r="E3721" t="s">
        <v>131</v>
      </c>
      <c r="F3721" t="s">
        <v>132</v>
      </c>
      <c r="G3721" t="s">
        <v>56</v>
      </c>
      <c r="H3721" s="2">
        <v>39</v>
      </c>
      <c r="I3721">
        <v>119</v>
      </c>
      <c r="J3721">
        <v>464</v>
      </c>
      <c r="K3721" s="4">
        <v>255</v>
      </c>
      <c r="L3721" t="s">
        <v>17</v>
      </c>
    </row>
    <row r="3722" spans="1:12" x14ac:dyDescent="0.35">
      <c r="A3722" t="s">
        <v>42</v>
      </c>
      <c r="B3722">
        <v>1185732</v>
      </c>
      <c r="C3722" s="1">
        <v>44337</v>
      </c>
      <c r="D3722" t="s">
        <v>19</v>
      </c>
      <c r="E3722" t="s">
        <v>74</v>
      </c>
      <c r="F3722" t="s">
        <v>75</v>
      </c>
      <c r="G3722" t="s">
        <v>26</v>
      </c>
      <c r="H3722" s="2">
        <v>32</v>
      </c>
      <c r="I3722">
        <v>119</v>
      </c>
      <c r="J3722">
        <v>381</v>
      </c>
      <c r="K3722" s="4">
        <v>190</v>
      </c>
      <c r="L3722" t="s">
        <v>17</v>
      </c>
    </row>
    <row r="3723" spans="1:12" x14ac:dyDescent="0.35">
      <c r="A3723" t="s">
        <v>42</v>
      </c>
      <c r="B3723">
        <v>1185732</v>
      </c>
      <c r="C3723" s="1">
        <v>44343</v>
      </c>
      <c r="D3723" t="s">
        <v>33</v>
      </c>
      <c r="E3723" t="s">
        <v>120</v>
      </c>
      <c r="F3723" t="s">
        <v>121</v>
      </c>
      <c r="G3723" t="s">
        <v>26</v>
      </c>
      <c r="H3723" s="2">
        <v>32</v>
      </c>
      <c r="I3723">
        <v>119</v>
      </c>
      <c r="J3723">
        <v>381</v>
      </c>
      <c r="K3723" s="4">
        <v>206</v>
      </c>
      <c r="L3723" t="s">
        <v>17</v>
      </c>
    </row>
    <row r="3724" spans="1:12" x14ac:dyDescent="0.35">
      <c r="A3724" t="s">
        <v>23</v>
      </c>
      <c r="B3724">
        <v>1197831</v>
      </c>
      <c r="C3724" s="1">
        <v>44429</v>
      </c>
      <c r="D3724" t="s">
        <v>19</v>
      </c>
      <c r="E3724" t="s">
        <v>24</v>
      </c>
      <c r="F3724" t="s">
        <v>25</v>
      </c>
      <c r="G3724" t="s">
        <v>32</v>
      </c>
      <c r="H3724" s="2">
        <v>14</v>
      </c>
      <c r="I3724">
        <v>119</v>
      </c>
      <c r="J3724">
        <v>167</v>
      </c>
      <c r="K3724" s="4">
        <v>98</v>
      </c>
      <c r="L3724" t="s">
        <v>17</v>
      </c>
    </row>
    <row r="3725" spans="1:12" x14ac:dyDescent="0.35">
      <c r="A3725" t="s">
        <v>23</v>
      </c>
      <c r="B3725">
        <v>1197831</v>
      </c>
      <c r="C3725" s="1">
        <v>44454</v>
      </c>
      <c r="D3725" t="s">
        <v>19</v>
      </c>
      <c r="E3725" t="s">
        <v>24</v>
      </c>
      <c r="F3725" t="s">
        <v>25</v>
      </c>
      <c r="G3725" t="s">
        <v>56</v>
      </c>
      <c r="H3725" s="2">
        <v>46</v>
      </c>
      <c r="I3725">
        <v>119</v>
      </c>
      <c r="J3725">
        <v>547</v>
      </c>
      <c r="K3725" s="4">
        <v>389</v>
      </c>
      <c r="L3725" t="s">
        <v>17</v>
      </c>
    </row>
    <row r="3726" spans="1:12" x14ac:dyDescent="0.35">
      <c r="A3726" t="s">
        <v>12</v>
      </c>
      <c r="B3726">
        <v>1128299</v>
      </c>
      <c r="C3726" s="1">
        <v>44334</v>
      </c>
      <c r="D3726" t="s">
        <v>13</v>
      </c>
      <c r="E3726" t="s">
        <v>14</v>
      </c>
      <c r="F3726" t="s">
        <v>15</v>
      </c>
      <c r="G3726" t="s">
        <v>32</v>
      </c>
      <c r="H3726" s="2">
        <v>59</v>
      </c>
      <c r="I3726">
        <v>119</v>
      </c>
      <c r="J3726">
        <v>702</v>
      </c>
      <c r="K3726" s="4">
        <v>316</v>
      </c>
      <c r="L3726" t="s">
        <v>17</v>
      </c>
    </row>
    <row r="3727" spans="1:12" x14ac:dyDescent="0.35">
      <c r="A3727" t="s">
        <v>63</v>
      </c>
      <c r="B3727">
        <v>1185732</v>
      </c>
      <c r="C3727" s="1">
        <v>44297</v>
      </c>
      <c r="D3727" t="s">
        <v>48</v>
      </c>
      <c r="E3727" t="s">
        <v>102</v>
      </c>
      <c r="F3727" t="s">
        <v>103</v>
      </c>
      <c r="G3727" t="s">
        <v>56</v>
      </c>
      <c r="H3727" s="2">
        <v>33</v>
      </c>
      <c r="I3727">
        <v>119</v>
      </c>
      <c r="J3727">
        <v>393</v>
      </c>
      <c r="K3727" s="4">
        <v>185</v>
      </c>
      <c r="L3727" t="s">
        <v>17</v>
      </c>
    </row>
    <row r="3728" spans="1:12" x14ac:dyDescent="0.35">
      <c r="A3728" t="s">
        <v>63</v>
      </c>
      <c r="B3728">
        <v>1185732</v>
      </c>
      <c r="C3728" s="1">
        <v>44481</v>
      </c>
      <c r="D3728" t="s">
        <v>48</v>
      </c>
      <c r="E3728" t="s">
        <v>102</v>
      </c>
      <c r="F3728" t="s">
        <v>103</v>
      </c>
      <c r="G3728" t="s">
        <v>56</v>
      </c>
      <c r="H3728" s="2">
        <v>41</v>
      </c>
      <c r="I3728">
        <v>119</v>
      </c>
      <c r="J3728">
        <v>488</v>
      </c>
      <c r="K3728" s="4">
        <v>224</v>
      </c>
      <c r="L3728" t="s">
        <v>17</v>
      </c>
    </row>
    <row r="3729" spans="1:12" x14ac:dyDescent="0.35">
      <c r="A3729" t="s">
        <v>23</v>
      </c>
      <c r="B3729">
        <v>1185732</v>
      </c>
      <c r="C3729" s="1">
        <v>44454</v>
      </c>
      <c r="D3729" t="s">
        <v>33</v>
      </c>
      <c r="E3729" t="s">
        <v>45</v>
      </c>
      <c r="F3729" t="s">
        <v>46</v>
      </c>
      <c r="G3729" t="s">
        <v>56</v>
      </c>
      <c r="H3729" s="2">
        <v>34</v>
      </c>
      <c r="I3729">
        <v>119</v>
      </c>
      <c r="J3729">
        <v>405</v>
      </c>
      <c r="K3729" s="4">
        <v>182</v>
      </c>
      <c r="L3729" t="s">
        <v>17</v>
      </c>
    </row>
    <row r="3730" spans="1:12" x14ac:dyDescent="0.35">
      <c r="A3730" t="s">
        <v>18</v>
      </c>
      <c r="B3730">
        <v>1128299</v>
      </c>
      <c r="C3730" s="1">
        <v>44432</v>
      </c>
      <c r="D3730" t="s">
        <v>48</v>
      </c>
      <c r="E3730" t="s">
        <v>85</v>
      </c>
      <c r="F3730" t="s">
        <v>86</v>
      </c>
      <c r="G3730" t="s">
        <v>56</v>
      </c>
      <c r="H3730" s="2">
        <v>68</v>
      </c>
      <c r="I3730">
        <v>119</v>
      </c>
      <c r="J3730">
        <v>809</v>
      </c>
      <c r="K3730" s="4">
        <v>372</v>
      </c>
      <c r="L3730" t="s">
        <v>17</v>
      </c>
    </row>
    <row r="3731" spans="1:12" x14ac:dyDescent="0.35">
      <c r="A3731" t="s">
        <v>18</v>
      </c>
      <c r="B3731">
        <v>1128299</v>
      </c>
      <c r="C3731" s="1">
        <v>44517</v>
      </c>
      <c r="D3731" t="s">
        <v>19</v>
      </c>
      <c r="E3731" t="s">
        <v>20</v>
      </c>
      <c r="F3731" t="s">
        <v>21</v>
      </c>
      <c r="G3731" t="s">
        <v>70</v>
      </c>
      <c r="H3731" s="2">
        <v>68</v>
      </c>
      <c r="I3731">
        <v>119</v>
      </c>
      <c r="J3731">
        <v>809</v>
      </c>
      <c r="K3731" s="4">
        <v>445</v>
      </c>
      <c r="L3731" t="s">
        <v>17</v>
      </c>
    </row>
    <row r="3732" spans="1:12" x14ac:dyDescent="0.35">
      <c r="A3732" t="s">
        <v>42</v>
      </c>
      <c r="B3732">
        <v>1197831</v>
      </c>
      <c r="C3732" s="1">
        <v>44201</v>
      </c>
      <c r="D3732" t="s">
        <v>19</v>
      </c>
      <c r="E3732" t="s">
        <v>20</v>
      </c>
      <c r="F3732" t="s">
        <v>21</v>
      </c>
      <c r="G3732" t="s">
        <v>32</v>
      </c>
      <c r="H3732" s="2">
        <v>28</v>
      </c>
      <c r="I3732">
        <v>119</v>
      </c>
      <c r="J3732">
        <v>333</v>
      </c>
      <c r="K3732" s="4">
        <v>133</v>
      </c>
      <c r="L3732" t="s">
        <v>17</v>
      </c>
    </row>
    <row r="3733" spans="1:12" x14ac:dyDescent="0.35">
      <c r="A3733" t="s">
        <v>42</v>
      </c>
      <c r="B3733">
        <v>1128299</v>
      </c>
      <c r="C3733" s="1">
        <v>44219</v>
      </c>
      <c r="D3733" t="s">
        <v>48</v>
      </c>
      <c r="E3733" t="s">
        <v>79</v>
      </c>
      <c r="F3733" t="s">
        <v>80</v>
      </c>
      <c r="G3733" t="s">
        <v>26</v>
      </c>
      <c r="H3733" s="2">
        <v>29</v>
      </c>
      <c r="I3733">
        <v>119</v>
      </c>
      <c r="J3733">
        <v>345</v>
      </c>
      <c r="K3733" s="4">
        <v>166</v>
      </c>
      <c r="L3733" t="s">
        <v>17</v>
      </c>
    </row>
    <row r="3734" spans="1:12" x14ac:dyDescent="0.35">
      <c r="A3734" t="s">
        <v>42</v>
      </c>
      <c r="B3734">
        <v>1128299</v>
      </c>
      <c r="C3734" s="1">
        <v>44463</v>
      </c>
      <c r="D3734" t="s">
        <v>48</v>
      </c>
      <c r="E3734" t="s">
        <v>123</v>
      </c>
      <c r="F3734" t="s">
        <v>124</v>
      </c>
      <c r="G3734" t="s">
        <v>16</v>
      </c>
      <c r="H3734" s="2">
        <v>56</v>
      </c>
      <c r="I3734">
        <v>119</v>
      </c>
      <c r="J3734">
        <v>666</v>
      </c>
      <c r="K3734" s="4">
        <v>247</v>
      </c>
      <c r="L3734" t="s">
        <v>17</v>
      </c>
    </row>
    <row r="3735" spans="1:12" x14ac:dyDescent="0.35">
      <c r="A3735" t="s">
        <v>23</v>
      </c>
      <c r="B3735">
        <v>1128299</v>
      </c>
      <c r="C3735" s="1">
        <v>44555</v>
      </c>
      <c r="D3735" t="s">
        <v>48</v>
      </c>
      <c r="E3735" t="s">
        <v>114</v>
      </c>
      <c r="F3735" t="s">
        <v>115</v>
      </c>
      <c r="G3735" t="s">
        <v>70</v>
      </c>
      <c r="H3735" s="2">
        <v>64</v>
      </c>
      <c r="I3735">
        <v>119</v>
      </c>
      <c r="J3735">
        <v>762</v>
      </c>
      <c r="K3735" s="4">
        <v>343</v>
      </c>
      <c r="L3735" t="s">
        <v>17</v>
      </c>
    </row>
    <row r="3736" spans="1:12" x14ac:dyDescent="0.35">
      <c r="A3736" t="s">
        <v>23</v>
      </c>
      <c r="B3736">
        <v>1128299</v>
      </c>
      <c r="C3736" s="1">
        <v>44421</v>
      </c>
      <c r="D3736" t="s">
        <v>13</v>
      </c>
      <c r="E3736" t="s">
        <v>57</v>
      </c>
      <c r="F3736" t="s">
        <v>58</v>
      </c>
      <c r="G3736" t="s">
        <v>16</v>
      </c>
      <c r="H3736" s="2">
        <v>68</v>
      </c>
      <c r="I3736">
        <v>119</v>
      </c>
      <c r="J3736">
        <v>809</v>
      </c>
      <c r="K3736" s="4">
        <v>283</v>
      </c>
      <c r="L3736" t="s">
        <v>17</v>
      </c>
    </row>
    <row r="3737" spans="1:12" x14ac:dyDescent="0.35">
      <c r="A3737" t="s">
        <v>51</v>
      </c>
      <c r="B3737">
        <v>1185732</v>
      </c>
      <c r="C3737" s="1">
        <v>44308</v>
      </c>
      <c r="D3737" t="s">
        <v>13</v>
      </c>
      <c r="E3737" t="s">
        <v>106</v>
      </c>
      <c r="F3737" t="s">
        <v>107</v>
      </c>
      <c r="G3737" t="s">
        <v>26</v>
      </c>
      <c r="H3737" s="2">
        <v>41</v>
      </c>
      <c r="I3737">
        <v>119</v>
      </c>
      <c r="J3737">
        <v>488</v>
      </c>
      <c r="K3737" s="4">
        <v>268</v>
      </c>
      <c r="L3737" t="s">
        <v>17</v>
      </c>
    </row>
    <row r="3738" spans="1:12" x14ac:dyDescent="0.35">
      <c r="A3738" t="s">
        <v>42</v>
      </c>
      <c r="B3738">
        <v>1185732</v>
      </c>
      <c r="C3738" s="1">
        <v>44332</v>
      </c>
      <c r="D3738" t="s">
        <v>19</v>
      </c>
      <c r="E3738" t="s">
        <v>37</v>
      </c>
      <c r="F3738" t="s">
        <v>38</v>
      </c>
      <c r="G3738" t="s">
        <v>32</v>
      </c>
      <c r="H3738" s="2">
        <v>33</v>
      </c>
      <c r="I3738">
        <v>119</v>
      </c>
      <c r="J3738">
        <v>393</v>
      </c>
      <c r="K3738" s="4">
        <v>212</v>
      </c>
      <c r="L3738" t="s">
        <v>17</v>
      </c>
    </row>
    <row r="3739" spans="1:12" x14ac:dyDescent="0.35">
      <c r="A3739" t="s">
        <v>12</v>
      </c>
      <c r="B3739">
        <v>1197831</v>
      </c>
      <c r="C3739" s="1">
        <v>44396</v>
      </c>
      <c r="D3739" t="s">
        <v>19</v>
      </c>
      <c r="E3739" t="s">
        <v>54</v>
      </c>
      <c r="F3739" t="s">
        <v>55</v>
      </c>
      <c r="G3739" t="s">
        <v>70</v>
      </c>
      <c r="H3739" s="2">
        <v>55</v>
      </c>
      <c r="I3739">
        <v>119</v>
      </c>
      <c r="J3739">
        <v>655</v>
      </c>
      <c r="K3739" s="4">
        <v>321</v>
      </c>
      <c r="L3739" t="s">
        <v>17</v>
      </c>
    </row>
    <row r="3740" spans="1:12" x14ac:dyDescent="0.35">
      <c r="A3740" t="s">
        <v>12</v>
      </c>
      <c r="B3740">
        <v>1197831</v>
      </c>
      <c r="C3740" s="1">
        <v>44458</v>
      </c>
      <c r="D3740" t="s">
        <v>19</v>
      </c>
      <c r="E3740" t="s">
        <v>54</v>
      </c>
      <c r="F3740" t="s">
        <v>55</v>
      </c>
      <c r="G3740" t="s">
        <v>16</v>
      </c>
      <c r="H3740" s="2">
        <v>29</v>
      </c>
      <c r="I3740">
        <v>119</v>
      </c>
      <c r="J3740">
        <v>345</v>
      </c>
      <c r="K3740" s="4">
        <v>186</v>
      </c>
      <c r="L3740" t="s">
        <v>17</v>
      </c>
    </row>
    <row r="3741" spans="1:12" x14ac:dyDescent="0.35">
      <c r="A3741" t="s">
        <v>63</v>
      </c>
      <c r="B3741">
        <v>1197831</v>
      </c>
      <c r="C3741" s="1">
        <v>44549</v>
      </c>
      <c r="D3741" t="s">
        <v>19</v>
      </c>
      <c r="E3741" t="s">
        <v>61</v>
      </c>
      <c r="F3741" t="s">
        <v>62</v>
      </c>
      <c r="G3741" t="s">
        <v>39</v>
      </c>
      <c r="H3741" s="2">
        <v>58</v>
      </c>
      <c r="I3741">
        <v>119</v>
      </c>
      <c r="J3741">
        <v>690</v>
      </c>
      <c r="K3741" s="4">
        <v>311</v>
      </c>
      <c r="L3741" t="s">
        <v>17</v>
      </c>
    </row>
    <row r="3742" spans="1:12" x14ac:dyDescent="0.35">
      <c r="A3742" t="s">
        <v>63</v>
      </c>
      <c r="B3742">
        <v>1197831</v>
      </c>
      <c r="C3742" s="1">
        <v>44389</v>
      </c>
      <c r="D3742" t="s">
        <v>33</v>
      </c>
      <c r="E3742" t="s">
        <v>71</v>
      </c>
      <c r="F3742" t="s">
        <v>72</v>
      </c>
      <c r="G3742" t="s">
        <v>39</v>
      </c>
      <c r="H3742" s="2">
        <v>49</v>
      </c>
      <c r="I3742">
        <v>119</v>
      </c>
      <c r="J3742">
        <v>583</v>
      </c>
      <c r="K3742" s="4">
        <v>292</v>
      </c>
      <c r="L3742" t="s">
        <v>17</v>
      </c>
    </row>
    <row r="3743" spans="1:12" x14ac:dyDescent="0.35">
      <c r="A3743" t="s">
        <v>18</v>
      </c>
      <c r="B3743">
        <v>1185732</v>
      </c>
      <c r="C3743" s="1">
        <v>44364</v>
      </c>
      <c r="D3743" t="s">
        <v>43</v>
      </c>
      <c r="E3743" t="s">
        <v>64</v>
      </c>
      <c r="F3743" t="s">
        <v>65</v>
      </c>
      <c r="G3743" t="s">
        <v>39</v>
      </c>
      <c r="H3743" s="2">
        <v>37</v>
      </c>
      <c r="I3743">
        <v>119</v>
      </c>
      <c r="J3743">
        <v>440</v>
      </c>
      <c r="K3743" s="4">
        <v>220</v>
      </c>
      <c r="L3743" t="s">
        <v>17</v>
      </c>
    </row>
    <row r="3744" spans="1:12" x14ac:dyDescent="0.35">
      <c r="A3744" t="s">
        <v>42</v>
      </c>
      <c r="B3744">
        <v>1185732</v>
      </c>
      <c r="C3744" s="1">
        <v>44390</v>
      </c>
      <c r="D3744" t="s">
        <v>43</v>
      </c>
      <c r="E3744" t="s">
        <v>95</v>
      </c>
      <c r="F3744" t="s">
        <v>96</v>
      </c>
      <c r="G3744" t="s">
        <v>39</v>
      </c>
      <c r="H3744" s="2">
        <v>47</v>
      </c>
      <c r="I3744">
        <v>119</v>
      </c>
      <c r="J3744">
        <v>559</v>
      </c>
      <c r="K3744" s="4">
        <v>252</v>
      </c>
      <c r="L3744" t="s">
        <v>17</v>
      </c>
    </row>
    <row r="3745" spans="1:12" x14ac:dyDescent="0.35">
      <c r="A3745" t="s">
        <v>63</v>
      </c>
      <c r="B3745">
        <v>1185732</v>
      </c>
      <c r="C3745" s="1">
        <v>44477</v>
      </c>
      <c r="D3745" t="s">
        <v>43</v>
      </c>
      <c r="E3745" t="s">
        <v>83</v>
      </c>
      <c r="F3745" t="s">
        <v>84</v>
      </c>
      <c r="G3745" t="s">
        <v>26</v>
      </c>
      <c r="H3745" s="2">
        <v>53</v>
      </c>
      <c r="I3745">
        <v>119</v>
      </c>
      <c r="J3745">
        <v>631</v>
      </c>
      <c r="K3745" s="4">
        <v>290</v>
      </c>
      <c r="L3745" t="s">
        <v>17</v>
      </c>
    </row>
    <row r="3746" spans="1:12" x14ac:dyDescent="0.35">
      <c r="A3746" t="s">
        <v>42</v>
      </c>
      <c r="B3746">
        <v>1185732</v>
      </c>
      <c r="C3746" s="1">
        <v>44235</v>
      </c>
      <c r="D3746" t="s">
        <v>43</v>
      </c>
      <c r="E3746" t="s">
        <v>108</v>
      </c>
      <c r="F3746" t="s">
        <v>109</v>
      </c>
      <c r="G3746" t="s">
        <v>26</v>
      </c>
      <c r="H3746" s="2">
        <v>34</v>
      </c>
      <c r="I3746">
        <v>119</v>
      </c>
      <c r="J3746">
        <v>405</v>
      </c>
      <c r="K3746" s="4">
        <v>198</v>
      </c>
      <c r="L3746" t="s">
        <v>17</v>
      </c>
    </row>
    <row r="3747" spans="1:12" x14ac:dyDescent="0.35">
      <c r="A3747" t="s">
        <v>42</v>
      </c>
      <c r="B3747">
        <v>1185732</v>
      </c>
      <c r="C3747" s="1">
        <v>44488</v>
      </c>
      <c r="D3747" t="s">
        <v>43</v>
      </c>
      <c r="E3747" t="s">
        <v>127</v>
      </c>
      <c r="F3747" t="s">
        <v>128</v>
      </c>
      <c r="G3747" t="s">
        <v>26</v>
      </c>
      <c r="H3747" s="2">
        <v>64</v>
      </c>
      <c r="I3747">
        <v>119</v>
      </c>
      <c r="J3747">
        <v>762</v>
      </c>
      <c r="K3747" s="4">
        <v>404</v>
      </c>
      <c r="L3747" t="s">
        <v>17</v>
      </c>
    </row>
    <row r="3748" spans="1:12" x14ac:dyDescent="0.35">
      <c r="A3748" t="s">
        <v>18</v>
      </c>
      <c r="B3748">
        <v>1128299</v>
      </c>
      <c r="C3748" s="1">
        <v>43889</v>
      </c>
      <c r="D3748" t="s">
        <v>48</v>
      </c>
      <c r="E3748" t="s">
        <v>116</v>
      </c>
      <c r="F3748" t="s">
        <v>117</v>
      </c>
      <c r="G3748" t="s">
        <v>56</v>
      </c>
      <c r="H3748" s="2">
        <v>43</v>
      </c>
      <c r="I3748">
        <v>119</v>
      </c>
      <c r="J3748">
        <v>512</v>
      </c>
      <c r="K3748" s="4">
        <v>169</v>
      </c>
      <c r="L3748" t="s">
        <v>27</v>
      </c>
    </row>
    <row r="3749" spans="1:12" x14ac:dyDescent="0.35">
      <c r="A3749" t="s">
        <v>18</v>
      </c>
      <c r="B3749">
        <v>1128299</v>
      </c>
      <c r="C3749" s="1">
        <v>43897</v>
      </c>
      <c r="D3749" t="s">
        <v>48</v>
      </c>
      <c r="E3749" t="s">
        <v>116</v>
      </c>
      <c r="F3749" t="s">
        <v>117</v>
      </c>
      <c r="G3749" t="s">
        <v>70</v>
      </c>
      <c r="H3749" s="2">
        <v>46</v>
      </c>
      <c r="I3749">
        <v>119</v>
      </c>
      <c r="J3749">
        <v>547</v>
      </c>
      <c r="K3749" s="4">
        <v>296</v>
      </c>
      <c r="L3749" t="s">
        <v>27</v>
      </c>
    </row>
    <row r="3750" spans="1:12" x14ac:dyDescent="0.35">
      <c r="A3750" t="s">
        <v>42</v>
      </c>
      <c r="B3750">
        <v>1128299</v>
      </c>
      <c r="C3750" s="1">
        <v>44493</v>
      </c>
      <c r="D3750" t="s">
        <v>13</v>
      </c>
      <c r="E3750" t="s">
        <v>99</v>
      </c>
      <c r="F3750" t="s">
        <v>100</v>
      </c>
      <c r="G3750" t="s">
        <v>26</v>
      </c>
      <c r="H3750" s="2">
        <v>28</v>
      </c>
      <c r="I3750">
        <v>119</v>
      </c>
      <c r="J3750">
        <v>333</v>
      </c>
      <c r="K3750" s="4">
        <v>133</v>
      </c>
      <c r="L3750" t="s">
        <v>27</v>
      </c>
    </row>
    <row r="3751" spans="1:12" x14ac:dyDescent="0.35">
      <c r="A3751" t="s">
        <v>42</v>
      </c>
      <c r="B3751">
        <v>1128299</v>
      </c>
      <c r="C3751" s="1">
        <v>44493</v>
      </c>
      <c r="D3751" t="s">
        <v>13</v>
      </c>
      <c r="E3751" t="s">
        <v>99</v>
      </c>
      <c r="F3751" t="s">
        <v>100</v>
      </c>
      <c r="G3751" t="s">
        <v>32</v>
      </c>
      <c r="H3751" s="2">
        <v>39</v>
      </c>
      <c r="I3751">
        <v>119</v>
      </c>
      <c r="J3751">
        <v>464</v>
      </c>
      <c r="K3751" s="4">
        <v>195</v>
      </c>
      <c r="L3751" t="s">
        <v>27</v>
      </c>
    </row>
    <row r="3752" spans="1:12" x14ac:dyDescent="0.35">
      <c r="A3752" t="s">
        <v>18</v>
      </c>
      <c r="B3752">
        <v>1128299</v>
      </c>
      <c r="C3752" s="1">
        <v>44341</v>
      </c>
      <c r="D3752" t="s">
        <v>48</v>
      </c>
      <c r="E3752" t="s">
        <v>85</v>
      </c>
      <c r="F3752" t="s">
        <v>86</v>
      </c>
      <c r="G3752" t="s">
        <v>32</v>
      </c>
      <c r="H3752" s="2">
        <v>39</v>
      </c>
      <c r="I3752">
        <v>119</v>
      </c>
      <c r="J3752">
        <v>464</v>
      </c>
      <c r="K3752" s="4">
        <v>181</v>
      </c>
      <c r="L3752" t="s">
        <v>27</v>
      </c>
    </row>
    <row r="3753" spans="1:12" x14ac:dyDescent="0.35">
      <c r="A3753" t="s">
        <v>18</v>
      </c>
      <c r="B3753">
        <v>1128299</v>
      </c>
      <c r="C3753" s="1">
        <v>44493</v>
      </c>
      <c r="D3753" t="s">
        <v>48</v>
      </c>
      <c r="E3753" t="s">
        <v>85</v>
      </c>
      <c r="F3753" t="s">
        <v>86</v>
      </c>
      <c r="G3753" t="s">
        <v>26</v>
      </c>
      <c r="H3753" s="2">
        <v>29</v>
      </c>
      <c r="I3753">
        <v>119</v>
      </c>
      <c r="J3753">
        <v>345</v>
      </c>
      <c r="K3753" s="4">
        <v>135</v>
      </c>
      <c r="L3753" t="s">
        <v>27</v>
      </c>
    </row>
    <row r="3754" spans="1:12" x14ac:dyDescent="0.35">
      <c r="A3754" t="s">
        <v>42</v>
      </c>
      <c r="B3754">
        <v>1128299</v>
      </c>
      <c r="C3754" s="1">
        <v>44277</v>
      </c>
      <c r="D3754" t="s">
        <v>48</v>
      </c>
      <c r="E3754" t="s">
        <v>123</v>
      </c>
      <c r="F3754" t="s">
        <v>124</v>
      </c>
      <c r="G3754" t="s">
        <v>32</v>
      </c>
      <c r="H3754" s="2">
        <v>37</v>
      </c>
      <c r="I3754">
        <v>119</v>
      </c>
      <c r="J3754">
        <v>440</v>
      </c>
      <c r="K3754" s="4">
        <v>181</v>
      </c>
      <c r="L3754" t="s">
        <v>27</v>
      </c>
    </row>
    <row r="3755" spans="1:12" x14ac:dyDescent="0.35">
      <c r="A3755" t="s">
        <v>23</v>
      </c>
      <c r="B3755">
        <v>1128299</v>
      </c>
      <c r="C3755" s="1">
        <v>44513</v>
      </c>
      <c r="D3755" t="s">
        <v>13</v>
      </c>
      <c r="E3755" t="s">
        <v>57</v>
      </c>
      <c r="F3755" t="s">
        <v>58</v>
      </c>
      <c r="G3755" t="s">
        <v>70</v>
      </c>
      <c r="H3755" s="2">
        <v>47</v>
      </c>
      <c r="I3755">
        <v>119</v>
      </c>
      <c r="J3755">
        <v>559</v>
      </c>
      <c r="K3755" s="4">
        <v>213</v>
      </c>
      <c r="L3755" t="s">
        <v>27</v>
      </c>
    </row>
    <row r="3756" spans="1:12" x14ac:dyDescent="0.35">
      <c r="A3756" t="s">
        <v>23</v>
      </c>
      <c r="B3756">
        <v>1185732</v>
      </c>
      <c r="C3756" s="1">
        <v>44517</v>
      </c>
      <c r="D3756" t="s">
        <v>19</v>
      </c>
      <c r="E3756" t="s">
        <v>37</v>
      </c>
      <c r="F3756" t="s">
        <v>38</v>
      </c>
      <c r="G3756" t="s">
        <v>32</v>
      </c>
      <c r="H3756" s="2">
        <v>22</v>
      </c>
      <c r="I3756">
        <v>119</v>
      </c>
      <c r="J3756">
        <v>262</v>
      </c>
      <c r="K3756" s="4">
        <v>110</v>
      </c>
      <c r="L3756" t="s">
        <v>27</v>
      </c>
    </row>
    <row r="3757" spans="1:12" x14ac:dyDescent="0.35">
      <c r="A3757" t="s">
        <v>12</v>
      </c>
      <c r="B3757">
        <v>1197831</v>
      </c>
      <c r="C3757" s="1">
        <v>44335</v>
      </c>
      <c r="D3757" t="s">
        <v>19</v>
      </c>
      <c r="E3757" t="s">
        <v>54</v>
      </c>
      <c r="F3757" t="s">
        <v>55</v>
      </c>
      <c r="G3757" t="s">
        <v>32</v>
      </c>
      <c r="H3757" s="2">
        <v>27</v>
      </c>
      <c r="I3757">
        <v>119</v>
      </c>
      <c r="J3757">
        <v>321</v>
      </c>
      <c r="K3757" s="4">
        <v>141</v>
      </c>
      <c r="L3757" t="s">
        <v>27</v>
      </c>
    </row>
    <row r="3758" spans="1:12" x14ac:dyDescent="0.35">
      <c r="A3758" t="s">
        <v>18</v>
      </c>
      <c r="B3758">
        <v>1197831</v>
      </c>
      <c r="C3758" s="1">
        <v>44458</v>
      </c>
      <c r="D3758" t="s">
        <v>19</v>
      </c>
      <c r="E3758" t="s">
        <v>61</v>
      </c>
      <c r="F3758" t="s">
        <v>62</v>
      </c>
      <c r="G3758" t="s">
        <v>16</v>
      </c>
      <c r="H3758" s="2">
        <v>23</v>
      </c>
      <c r="I3758">
        <v>119</v>
      </c>
      <c r="J3758">
        <v>274</v>
      </c>
      <c r="K3758" s="4">
        <v>129</v>
      </c>
      <c r="L3758" t="s">
        <v>27</v>
      </c>
    </row>
    <row r="3759" spans="1:12" x14ac:dyDescent="0.35">
      <c r="A3759" t="s">
        <v>63</v>
      </c>
      <c r="B3759">
        <v>1197831</v>
      </c>
      <c r="C3759" s="1">
        <v>44212</v>
      </c>
      <c r="D3759" t="s">
        <v>19</v>
      </c>
      <c r="E3759" t="s">
        <v>61</v>
      </c>
      <c r="F3759" t="s">
        <v>62</v>
      </c>
      <c r="G3759" t="s">
        <v>16</v>
      </c>
      <c r="H3759" s="2">
        <v>17</v>
      </c>
      <c r="I3759">
        <v>119</v>
      </c>
      <c r="J3759">
        <v>202</v>
      </c>
      <c r="K3759" s="4">
        <v>75</v>
      </c>
      <c r="L3759" t="s">
        <v>27</v>
      </c>
    </row>
    <row r="3760" spans="1:12" x14ac:dyDescent="0.35">
      <c r="A3760" t="s">
        <v>42</v>
      </c>
      <c r="B3760">
        <v>1185732</v>
      </c>
      <c r="C3760" s="1">
        <v>44355</v>
      </c>
      <c r="D3760" t="s">
        <v>43</v>
      </c>
      <c r="E3760" t="s">
        <v>110</v>
      </c>
      <c r="F3760" t="s">
        <v>111</v>
      </c>
      <c r="G3760" t="s">
        <v>16</v>
      </c>
      <c r="H3760" s="2">
        <v>43</v>
      </c>
      <c r="I3760">
        <v>119</v>
      </c>
      <c r="J3760">
        <v>512</v>
      </c>
      <c r="K3760" s="4">
        <v>230</v>
      </c>
      <c r="L3760" t="s">
        <v>27</v>
      </c>
    </row>
    <row r="3761" spans="1:12" x14ac:dyDescent="0.35">
      <c r="A3761" t="s">
        <v>51</v>
      </c>
      <c r="B3761">
        <v>1185732</v>
      </c>
      <c r="C3761" s="1">
        <v>44394</v>
      </c>
      <c r="D3761" t="s">
        <v>43</v>
      </c>
      <c r="E3761" t="s">
        <v>127</v>
      </c>
      <c r="F3761" t="s">
        <v>128</v>
      </c>
      <c r="G3761" t="s">
        <v>70</v>
      </c>
      <c r="H3761" s="2">
        <v>47</v>
      </c>
      <c r="I3761">
        <v>119</v>
      </c>
      <c r="J3761">
        <v>559</v>
      </c>
      <c r="K3761" s="4">
        <v>207</v>
      </c>
      <c r="L3761" t="s">
        <v>27</v>
      </c>
    </row>
    <row r="3762" spans="1:12" x14ac:dyDescent="0.35">
      <c r="A3762" t="s">
        <v>42</v>
      </c>
      <c r="B3762">
        <v>1185732</v>
      </c>
      <c r="C3762" s="1">
        <v>44361</v>
      </c>
      <c r="D3762" t="s">
        <v>33</v>
      </c>
      <c r="E3762" t="s">
        <v>120</v>
      </c>
      <c r="F3762" t="s">
        <v>121</v>
      </c>
      <c r="G3762" t="s">
        <v>26</v>
      </c>
      <c r="H3762" s="2">
        <v>44</v>
      </c>
      <c r="I3762">
        <v>118</v>
      </c>
      <c r="J3762">
        <v>519</v>
      </c>
      <c r="K3762" s="4">
        <v>280</v>
      </c>
      <c r="L3762" t="s">
        <v>17</v>
      </c>
    </row>
    <row r="3763" spans="1:12" x14ac:dyDescent="0.35">
      <c r="A3763" t="s">
        <v>18</v>
      </c>
      <c r="B3763">
        <v>1185732</v>
      </c>
      <c r="C3763" s="1">
        <v>44336</v>
      </c>
      <c r="D3763" t="s">
        <v>43</v>
      </c>
      <c r="E3763" t="s">
        <v>93</v>
      </c>
      <c r="F3763" t="s">
        <v>94</v>
      </c>
      <c r="G3763" t="s">
        <v>26</v>
      </c>
      <c r="H3763" s="2">
        <v>49</v>
      </c>
      <c r="I3763">
        <v>118</v>
      </c>
      <c r="J3763">
        <v>578</v>
      </c>
      <c r="K3763" s="4">
        <v>301</v>
      </c>
      <c r="L3763" t="s">
        <v>17</v>
      </c>
    </row>
    <row r="3764" spans="1:12" x14ac:dyDescent="0.35">
      <c r="A3764" t="s">
        <v>18</v>
      </c>
      <c r="B3764">
        <v>1128299</v>
      </c>
      <c r="C3764" s="1">
        <v>43833</v>
      </c>
      <c r="D3764" t="s">
        <v>43</v>
      </c>
      <c r="E3764" t="s">
        <v>135</v>
      </c>
      <c r="F3764" t="s">
        <v>136</v>
      </c>
      <c r="G3764" t="s">
        <v>39</v>
      </c>
      <c r="H3764" s="2">
        <v>44</v>
      </c>
      <c r="I3764">
        <v>117</v>
      </c>
      <c r="J3764">
        <v>515</v>
      </c>
      <c r="K3764" s="4">
        <v>190</v>
      </c>
      <c r="L3764" t="s">
        <v>17</v>
      </c>
    </row>
    <row r="3765" spans="1:12" x14ac:dyDescent="0.35">
      <c r="A3765" t="s">
        <v>18</v>
      </c>
      <c r="B3765">
        <v>1128299</v>
      </c>
      <c r="C3765" s="1">
        <v>43834</v>
      </c>
      <c r="D3765" t="s">
        <v>43</v>
      </c>
      <c r="E3765" t="s">
        <v>135</v>
      </c>
      <c r="F3765" t="s">
        <v>136</v>
      </c>
      <c r="G3765" t="s">
        <v>32</v>
      </c>
      <c r="H3765" s="2">
        <v>41</v>
      </c>
      <c r="I3765">
        <v>117</v>
      </c>
      <c r="J3765">
        <v>480</v>
      </c>
      <c r="K3765" s="4">
        <v>259</v>
      </c>
      <c r="L3765" t="s">
        <v>17</v>
      </c>
    </row>
    <row r="3766" spans="1:12" x14ac:dyDescent="0.35">
      <c r="A3766" t="s">
        <v>18</v>
      </c>
      <c r="B3766">
        <v>1128299</v>
      </c>
      <c r="C3766" s="1">
        <v>43871</v>
      </c>
      <c r="D3766" t="s">
        <v>48</v>
      </c>
      <c r="E3766" t="s">
        <v>116</v>
      </c>
      <c r="F3766" t="s">
        <v>117</v>
      </c>
      <c r="G3766" t="s">
        <v>56</v>
      </c>
      <c r="H3766" s="2">
        <v>55</v>
      </c>
      <c r="I3766">
        <v>117</v>
      </c>
      <c r="J3766">
        <v>644</v>
      </c>
      <c r="K3766" s="4">
        <v>315</v>
      </c>
      <c r="L3766" t="s">
        <v>17</v>
      </c>
    </row>
    <row r="3767" spans="1:12" x14ac:dyDescent="0.35">
      <c r="A3767" t="s">
        <v>18</v>
      </c>
      <c r="B3767">
        <v>1128299</v>
      </c>
      <c r="C3767" s="1">
        <v>43882</v>
      </c>
      <c r="D3767" t="s">
        <v>48</v>
      </c>
      <c r="E3767" t="s">
        <v>116</v>
      </c>
      <c r="F3767" t="s">
        <v>117</v>
      </c>
      <c r="G3767" t="s">
        <v>32</v>
      </c>
      <c r="H3767" s="2">
        <v>57</v>
      </c>
      <c r="I3767">
        <v>117</v>
      </c>
      <c r="J3767">
        <v>667</v>
      </c>
      <c r="K3767" s="4">
        <v>333</v>
      </c>
      <c r="L3767" t="s">
        <v>17</v>
      </c>
    </row>
    <row r="3768" spans="1:12" x14ac:dyDescent="0.35">
      <c r="A3768" t="s">
        <v>18</v>
      </c>
      <c r="B3768">
        <v>1128299</v>
      </c>
      <c r="C3768" s="1">
        <v>43977</v>
      </c>
      <c r="D3768" t="s">
        <v>48</v>
      </c>
      <c r="E3768" t="s">
        <v>133</v>
      </c>
      <c r="F3768" t="s">
        <v>134</v>
      </c>
      <c r="G3768" t="s">
        <v>26</v>
      </c>
      <c r="H3768" s="2">
        <v>36</v>
      </c>
      <c r="I3768">
        <v>117</v>
      </c>
      <c r="J3768">
        <v>421</v>
      </c>
      <c r="K3768" s="4">
        <v>173</v>
      </c>
      <c r="L3768" t="s">
        <v>17</v>
      </c>
    </row>
    <row r="3769" spans="1:12" x14ac:dyDescent="0.35">
      <c r="A3769" t="s">
        <v>18</v>
      </c>
      <c r="B3769">
        <v>1128299</v>
      </c>
      <c r="C3769" s="1">
        <v>44040</v>
      </c>
      <c r="D3769" t="s">
        <v>48</v>
      </c>
      <c r="E3769" t="s">
        <v>97</v>
      </c>
      <c r="F3769" t="s">
        <v>98</v>
      </c>
      <c r="G3769" t="s">
        <v>56</v>
      </c>
      <c r="H3769" s="2">
        <v>69</v>
      </c>
      <c r="I3769">
        <v>117</v>
      </c>
      <c r="J3769">
        <v>807</v>
      </c>
      <c r="K3769" s="4">
        <v>347</v>
      </c>
      <c r="L3769" t="s">
        <v>17</v>
      </c>
    </row>
    <row r="3770" spans="1:12" x14ac:dyDescent="0.35">
      <c r="A3770" t="s">
        <v>63</v>
      </c>
      <c r="B3770">
        <v>1189833</v>
      </c>
      <c r="C3770" s="1">
        <v>44243</v>
      </c>
      <c r="D3770" t="s">
        <v>33</v>
      </c>
      <c r="E3770" t="s">
        <v>131</v>
      </c>
      <c r="F3770" t="s">
        <v>132</v>
      </c>
      <c r="G3770" t="s">
        <v>32</v>
      </c>
      <c r="H3770" s="2">
        <v>42</v>
      </c>
      <c r="I3770">
        <v>117</v>
      </c>
      <c r="J3770">
        <v>491</v>
      </c>
      <c r="K3770" s="4">
        <v>275</v>
      </c>
      <c r="L3770" t="s">
        <v>17</v>
      </c>
    </row>
    <row r="3771" spans="1:12" x14ac:dyDescent="0.35">
      <c r="A3771" t="s">
        <v>42</v>
      </c>
      <c r="B3771">
        <v>1185732</v>
      </c>
      <c r="C3771" s="1">
        <v>44403</v>
      </c>
      <c r="D3771" t="s">
        <v>33</v>
      </c>
      <c r="E3771" t="s">
        <v>120</v>
      </c>
      <c r="F3771" t="s">
        <v>121</v>
      </c>
      <c r="G3771" t="s">
        <v>26</v>
      </c>
      <c r="H3771" s="2">
        <v>49</v>
      </c>
      <c r="I3771">
        <v>117</v>
      </c>
      <c r="J3771">
        <v>573</v>
      </c>
      <c r="K3771" s="4">
        <v>287</v>
      </c>
      <c r="L3771" t="s">
        <v>17</v>
      </c>
    </row>
    <row r="3772" spans="1:12" x14ac:dyDescent="0.35">
      <c r="A3772" t="s">
        <v>23</v>
      </c>
      <c r="B3772">
        <v>1197831</v>
      </c>
      <c r="C3772" s="1">
        <v>44423</v>
      </c>
      <c r="D3772" t="s">
        <v>19</v>
      </c>
      <c r="E3772" t="s">
        <v>24</v>
      </c>
      <c r="F3772" t="s">
        <v>25</v>
      </c>
      <c r="G3772" t="s">
        <v>32</v>
      </c>
      <c r="H3772" s="2">
        <v>27</v>
      </c>
      <c r="I3772">
        <v>117</v>
      </c>
      <c r="J3772">
        <v>316</v>
      </c>
      <c r="K3772" s="4">
        <v>183</v>
      </c>
      <c r="L3772" t="s">
        <v>17</v>
      </c>
    </row>
    <row r="3773" spans="1:12" x14ac:dyDescent="0.35">
      <c r="A3773" t="s">
        <v>51</v>
      </c>
      <c r="B3773">
        <v>1185732</v>
      </c>
      <c r="C3773" s="1">
        <v>44481</v>
      </c>
      <c r="D3773" t="s">
        <v>19</v>
      </c>
      <c r="E3773" t="s">
        <v>24</v>
      </c>
      <c r="F3773" t="s">
        <v>25</v>
      </c>
      <c r="G3773" t="s">
        <v>26</v>
      </c>
      <c r="H3773" s="2">
        <v>38</v>
      </c>
      <c r="I3773">
        <v>117</v>
      </c>
      <c r="J3773">
        <v>445</v>
      </c>
      <c r="K3773" s="4">
        <v>222</v>
      </c>
      <c r="L3773" t="s">
        <v>17</v>
      </c>
    </row>
    <row r="3774" spans="1:12" x14ac:dyDescent="0.35">
      <c r="A3774" t="s">
        <v>23</v>
      </c>
      <c r="B3774">
        <v>1185732</v>
      </c>
      <c r="C3774" s="1">
        <v>44244</v>
      </c>
      <c r="D3774" t="s">
        <v>13</v>
      </c>
      <c r="E3774" t="s">
        <v>99</v>
      </c>
      <c r="F3774" t="s">
        <v>100</v>
      </c>
      <c r="G3774" t="s">
        <v>39</v>
      </c>
      <c r="H3774" s="2">
        <v>33</v>
      </c>
      <c r="I3774">
        <v>117</v>
      </c>
      <c r="J3774">
        <v>386</v>
      </c>
      <c r="K3774" s="4">
        <v>201</v>
      </c>
      <c r="L3774" t="s">
        <v>17</v>
      </c>
    </row>
    <row r="3775" spans="1:12" x14ac:dyDescent="0.35">
      <c r="A3775" t="s">
        <v>18</v>
      </c>
      <c r="B3775">
        <v>1128299</v>
      </c>
      <c r="C3775" s="1">
        <v>44251</v>
      </c>
      <c r="D3775" t="s">
        <v>48</v>
      </c>
      <c r="E3775" t="s">
        <v>49</v>
      </c>
      <c r="F3775" t="s">
        <v>50</v>
      </c>
      <c r="G3775" t="s">
        <v>26</v>
      </c>
      <c r="H3775" s="2">
        <v>29</v>
      </c>
      <c r="I3775">
        <v>117</v>
      </c>
      <c r="J3775">
        <v>339</v>
      </c>
      <c r="K3775" s="4">
        <v>153</v>
      </c>
      <c r="L3775" t="s">
        <v>17</v>
      </c>
    </row>
    <row r="3776" spans="1:12" x14ac:dyDescent="0.35">
      <c r="A3776" t="s">
        <v>18</v>
      </c>
      <c r="B3776">
        <v>1128299</v>
      </c>
      <c r="C3776" s="1">
        <v>44364</v>
      </c>
      <c r="D3776" t="s">
        <v>19</v>
      </c>
      <c r="E3776" t="s">
        <v>20</v>
      </c>
      <c r="F3776" t="s">
        <v>21</v>
      </c>
      <c r="G3776" t="s">
        <v>70</v>
      </c>
      <c r="H3776" s="2">
        <v>92</v>
      </c>
      <c r="I3776">
        <v>117</v>
      </c>
      <c r="J3776" s="3">
        <v>1076</v>
      </c>
      <c r="K3776" s="4">
        <v>614</v>
      </c>
      <c r="L3776" t="s">
        <v>17</v>
      </c>
    </row>
    <row r="3777" spans="1:12" x14ac:dyDescent="0.35">
      <c r="A3777" t="s">
        <v>18</v>
      </c>
      <c r="B3777">
        <v>1197831</v>
      </c>
      <c r="C3777" s="1">
        <v>44351</v>
      </c>
      <c r="D3777" t="s">
        <v>48</v>
      </c>
      <c r="E3777" t="s">
        <v>79</v>
      </c>
      <c r="F3777" t="s">
        <v>80</v>
      </c>
      <c r="G3777" t="s">
        <v>70</v>
      </c>
      <c r="H3777" s="2">
        <v>52</v>
      </c>
      <c r="I3777">
        <v>117</v>
      </c>
      <c r="J3777">
        <v>608</v>
      </c>
      <c r="K3777" s="4">
        <v>262</v>
      </c>
      <c r="L3777" t="s">
        <v>17</v>
      </c>
    </row>
    <row r="3778" spans="1:12" x14ac:dyDescent="0.35">
      <c r="A3778" t="s">
        <v>63</v>
      </c>
      <c r="B3778">
        <v>1128299</v>
      </c>
      <c r="C3778" s="1">
        <v>44526</v>
      </c>
      <c r="D3778" t="s">
        <v>48</v>
      </c>
      <c r="E3778" t="s">
        <v>114</v>
      </c>
      <c r="F3778" t="s">
        <v>115</v>
      </c>
      <c r="G3778" t="s">
        <v>32</v>
      </c>
      <c r="H3778" s="2">
        <v>54</v>
      </c>
      <c r="I3778">
        <v>117</v>
      </c>
      <c r="J3778">
        <v>632</v>
      </c>
      <c r="K3778" s="4">
        <v>303</v>
      </c>
      <c r="L3778" t="s">
        <v>17</v>
      </c>
    </row>
    <row r="3779" spans="1:12" x14ac:dyDescent="0.35">
      <c r="A3779" t="s">
        <v>23</v>
      </c>
      <c r="B3779">
        <v>1128299</v>
      </c>
      <c r="C3779" s="1">
        <v>44209</v>
      </c>
      <c r="D3779" t="s">
        <v>48</v>
      </c>
      <c r="E3779" t="s">
        <v>114</v>
      </c>
      <c r="F3779" t="s">
        <v>115</v>
      </c>
      <c r="G3779" t="s">
        <v>16</v>
      </c>
      <c r="H3779" s="2">
        <v>36</v>
      </c>
      <c r="I3779">
        <v>117</v>
      </c>
      <c r="J3779">
        <v>421</v>
      </c>
      <c r="K3779" s="4">
        <v>164</v>
      </c>
      <c r="L3779" t="s">
        <v>17</v>
      </c>
    </row>
    <row r="3780" spans="1:12" x14ac:dyDescent="0.35">
      <c r="A3780" t="s">
        <v>42</v>
      </c>
      <c r="B3780">
        <v>1185732</v>
      </c>
      <c r="C3780" s="1">
        <v>44365</v>
      </c>
      <c r="D3780" t="s">
        <v>19</v>
      </c>
      <c r="E3780" t="s">
        <v>37</v>
      </c>
      <c r="F3780" t="s">
        <v>38</v>
      </c>
      <c r="G3780" t="s">
        <v>56</v>
      </c>
      <c r="H3780" s="2">
        <v>43</v>
      </c>
      <c r="I3780">
        <v>117</v>
      </c>
      <c r="J3780">
        <v>503</v>
      </c>
      <c r="K3780" s="4">
        <v>252</v>
      </c>
      <c r="L3780" t="s">
        <v>17</v>
      </c>
    </row>
    <row r="3781" spans="1:12" x14ac:dyDescent="0.35">
      <c r="A3781" t="s">
        <v>23</v>
      </c>
      <c r="B3781">
        <v>1185732</v>
      </c>
      <c r="C3781" s="1">
        <v>44517</v>
      </c>
      <c r="D3781" t="s">
        <v>19</v>
      </c>
      <c r="E3781" t="s">
        <v>37</v>
      </c>
      <c r="F3781" t="s">
        <v>38</v>
      </c>
      <c r="G3781" t="s">
        <v>39</v>
      </c>
      <c r="H3781" s="2">
        <v>18</v>
      </c>
      <c r="I3781">
        <v>117</v>
      </c>
      <c r="J3781">
        <v>211</v>
      </c>
      <c r="K3781" s="4">
        <v>95</v>
      </c>
      <c r="L3781" t="s">
        <v>17</v>
      </c>
    </row>
    <row r="3782" spans="1:12" x14ac:dyDescent="0.35">
      <c r="A3782" t="s">
        <v>23</v>
      </c>
      <c r="B3782">
        <v>1185732</v>
      </c>
      <c r="C3782" s="1">
        <v>44517</v>
      </c>
      <c r="D3782" t="s">
        <v>19</v>
      </c>
      <c r="E3782" t="s">
        <v>37</v>
      </c>
      <c r="F3782" t="s">
        <v>38</v>
      </c>
      <c r="G3782" t="s">
        <v>56</v>
      </c>
      <c r="H3782" s="2">
        <v>54</v>
      </c>
      <c r="I3782">
        <v>117</v>
      </c>
      <c r="J3782">
        <v>632</v>
      </c>
      <c r="K3782" s="4">
        <v>335</v>
      </c>
      <c r="L3782" t="s">
        <v>17</v>
      </c>
    </row>
    <row r="3783" spans="1:12" x14ac:dyDescent="0.35">
      <c r="A3783" t="s">
        <v>23</v>
      </c>
      <c r="B3783">
        <v>1197831</v>
      </c>
      <c r="C3783" s="1">
        <v>44219</v>
      </c>
      <c r="D3783" t="s">
        <v>19</v>
      </c>
      <c r="E3783" t="s">
        <v>37</v>
      </c>
      <c r="F3783" t="s">
        <v>38</v>
      </c>
      <c r="G3783" t="s">
        <v>32</v>
      </c>
      <c r="H3783" s="2">
        <v>14</v>
      </c>
      <c r="I3783">
        <v>117</v>
      </c>
      <c r="J3783">
        <v>164</v>
      </c>
      <c r="K3783" s="4">
        <v>84</v>
      </c>
      <c r="L3783" t="s">
        <v>17</v>
      </c>
    </row>
    <row r="3784" spans="1:12" x14ac:dyDescent="0.35">
      <c r="A3784" t="s">
        <v>18</v>
      </c>
      <c r="B3784">
        <v>1197831</v>
      </c>
      <c r="C3784" s="1">
        <v>44520</v>
      </c>
      <c r="D3784" t="s">
        <v>19</v>
      </c>
      <c r="E3784" t="s">
        <v>54</v>
      </c>
      <c r="F3784" t="s">
        <v>55</v>
      </c>
      <c r="G3784" t="s">
        <v>16</v>
      </c>
      <c r="H3784" s="2">
        <v>73</v>
      </c>
      <c r="I3784">
        <v>117</v>
      </c>
      <c r="J3784">
        <v>854</v>
      </c>
      <c r="K3784" s="4">
        <v>453</v>
      </c>
      <c r="L3784" t="s">
        <v>17</v>
      </c>
    </row>
    <row r="3785" spans="1:12" x14ac:dyDescent="0.35">
      <c r="A3785" t="s">
        <v>18</v>
      </c>
      <c r="B3785">
        <v>1197831</v>
      </c>
      <c r="C3785" s="1">
        <v>44396</v>
      </c>
      <c r="D3785" t="s">
        <v>19</v>
      </c>
      <c r="E3785" t="s">
        <v>61</v>
      </c>
      <c r="F3785" t="s">
        <v>62</v>
      </c>
      <c r="G3785" t="s">
        <v>39</v>
      </c>
      <c r="H3785" s="2">
        <v>45</v>
      </c>
      <c r="I3785">
        <v>117</v>
      </c>
      <c r="J3785">
        <v>527</v>
      </c>
      <c r="K3785" s="4">
        <v>263</v>
      </c>
      <c r="L3785" t="s">
        <v>17</v>
      </c>
    </row>
    <row r="3786" spans="1:12" x14ac:dyDescent="0.35">
      <c r="A3786" t="s">
        <v>63</v>
      </c>
      <c r="B3786">
        <v>1197831</v>
      </c>
      <c r="C3786" s="1">
        <v>44361</v>
      </c>
      <c r="D3786" t="s">
        <v>33</v>
      </c>
      <c r="E3786" t="s">
        <v>71</v>
      </c>
      <c r="F3786" t="s">
        <v>72</v>
      </c>
      <c r="G3786" t="s">
        <v>16</v>
      </c>
      <c r="H3786" s="2">
        <v>58</v>
      </c>
      <c r="I3786">
        <v>117</v>
      </c>
      <c r="J3786">
        <v>679</v>
      </c>
      <c r="K3786" s="4">
        <v>333</v>
      </c>
      <c r="L3786" t="s">
        <v>17</v>
      </c>
    </row>
    <row r="3787" spans="1:12" x14ac:dyDescent="0.35">
      <c r="A3787" t="s">
        <v>42</v>
      </c>
      <c r="B3787">
        <v>1185732</v>
      </c>
      <c r="C3787" s="1">
        <v>44517</v>
      </c>
      <c r="D3787" t="s">
        <v>43</v>
      </c>
      <c r="E3787" t="s">
        <v>64</v>
      </c>
      <c r="F3787" t="s">
        <v>65</v>
      </c>
      <c r="G3787" t="s">
        <v>26</v>
      </c>
      <c r="H3787" s="2">
        <v>44</v>
      </c>
      <c r="I3787">
        <v>117</v>
      </c>
      <c r="J3787">
        <v>515</v>
      </c>
      <c r="K3787" s="4">
        <v>268</v>
      </c>
      <c r="L3787" t="s">
        <v>17</v>
      </c>
    </row>
    <row r="3788" spans="1:12" x14ac:dyDescent="0.35">
      <c r="A3788" t="s">
        <v>23</v>
      </c>
      <c r="B3788">
        <v>1185732</v>
      </c>
      <c r="C3788" s="1">
        <v>44300</v>
      </c>
      <c r="D3788" t="s">
        <v>43</v>
      </c>
      <c r="E3788" t="s">
        <v>112</v>
      </c>
      <c r="F3788" t="s">
        <v>113</v>
      </c>
      <c r="G3788" t="s">
        <v>26</v>
      </c>
      <c r="H3788" s="2">
        <v>38</v>
      </c>
      <c r="I3788">
        <v>117</v>
      </c>
      <c r="J3788">
        <v>445</v>
      </c>
      <c r="K3788" s="4">
        <v>200</v>
      </c>
      <c r="L3788" t="s">
        <v>17</v>
      </c>
    </row>
    <row r="3789" spans="1:12" x14ac:dyDescent="0.35">
      <c r="A3789" t="s">
        <v>51</v>
      </c>
      <c r="B3789">
        <v>1185732</v>
      </c>
      <c r="C3789" s="1">
        <v>44359</v>
      </c>
      <c r="D3789" t="s">
        <v>43</v>
      </c>
      <c r="E3789" t="s">
        <v>125</v>
      </c>
      <c r="F3789" t="s">
        <v>126</v>
      </c>
      <c r="G3789" t="s">
        <v>16</v>
      </c>
      <c r="H3789" s="2">
        <v>62</v>
      </c>
      <c r="I3789">
        <v>117</v>
      </c>
      <c r="J3789">
        <v>725</v>
      </c>
      <c r="K3789" s="4">
        <v>377</v>
      </c>
      <c r="L3789" t="s">
        <v>17</v>
      </c>
    </row>
    <row r="3790" spans="1:12" x14ac:dyDescent="0.35">
      <c r="A3790" t="s">
        <v>42</v>
      </c>
      <c r="B3790">
        <v>1185732</v>
      </c>
      <c r="C3790" s="1">
        <v>44518</v>
      </c>
      <c r="D3790" t="s">
        <v>43</v>
      </c>
      <c r="E3790" t="s">
        <v>127</v>
      </c>
      <c r="F3790" t="s">
        <v>128</v>
      </c>
      <c r="G3790" t="s">
        <v>26</v>
      </c>
      <c r="H3790" s="2">
        <v>68</v>
      </c>
      <c r="I3790">
        <v>117</v>
      </c>
      <c r="J3790">
        <v>796</v>
      </c>
      <c r="K3790" s="4">
        <v>422</v>
      </c>
      <c r="L3790" t="s">
        <v>17</v>
      </c>
    </row>
    <row r="3791" spans="1:12" x14ac:dyDescent="0.35">
      <c r="A3791" t="s">
        <v>42</v>
      </c>
      <c r="B3791">
        <v>1185732</v>
      </c>
      <c r="C3791" s="1">
        <v>44547</v>
      </c>
      <c r="D3791" t="s">
        <v>43</v>
      </c>
      <c r="E3791" t="s">
        <v>127</v>
      </c>
      <c r="F3791" t="s">
        <v>128</v>
      </c>
      <c r="G3791" t="s">
        <v>16</v>
      </c>
      <c r="H3791" s="2">
        <v>74</v>
      </c>
      <c r="I3791">
        <v>117</v>
      </c>
      <c r="J3791">
        <v>866</v>
      </c>
      <c r="K3791" s="4">
        <v>424</v>
      </c>
      <c r="L3791" t="s">
        <v>17</v>
      </c>
    </row>
    <row r="3792" spans="1:12" x14ac:dyDescent="0.35">
      <c r="A3792" t="s">
        <v>23</v>
      </c>
      <c r="B3792">
        <v>1197831</v>
      </c>
      <c r="C3792" s="1">
        <v>44434</v>
      </c>
      <c r="D3792" t="s">
        <v>19</v>
      </c>
      <c r="E3792" t="s">
        <v>59</v>
      </c>
      <c r="F3792" t="s">
        <v>68</v>
      </c>
      <c r="G3792" t="s">
        <v>56</v>
      </c>
      <c r="H3792" s="2">
        <v>32</v>
      </c>
      <c r="I3792">
        <v>116</v>
      </c>
      <c r="J3792">
        <v>371</v>
      </c>
      <c r="K3792" s="4">
        <v>212</v>
      </c>
      <c r="L3792" t="s">
        <v>17</v>
      </c>
    </row>
    <row r="3793" spans="1:12" x14ac:dyDescent="0.35">
      <c r="A3793" t="s">
        <v>18</v>
      </c>
      <c r="B3793">
        <v>1128299</v>
      </c>
      <c r="C3793" s="1">
        <v>43843</v>
      </c>
      <c r="D3793" t="s">
        <v>48</v>
      </c>
      <c r="E3793" t="s">
        <v>116</v>
      </c>
      <c r="F3793" t="s">
        <v>117</v>
      </c>
      <c r="G3793" t="s">
        <v>16</v>
      </c>
      <c r="H3793" s="2">
        <v>41</v>
      </c>
      <c r="I3793">
        <v>116</v>
      </c>
      <c r="J3793">
        <v>476</v>
      </c>
      <c r="K3793" s="4">
        <v>162</v>
      </c>
      <c r="L3793" t="s">
        <v>17</v>
      </c>
    </row>
    <row r="3794" spans="1:12" x14ac:dyDescent="0.35">
      <c r="A3794" t="s">
        <v>18</v>
      </c>
      <c r="B3794">
        <v>1128299</v>
      </c>
      <c r="C3794" s="1">
        <v>43858</v>
      </c>
      <c r="D3794" t="s">
        <v>48</v>
      </c>
      <c r="E3794" t="s">
        <v>116</v>
      </c>
      <c r="F3794" t="s">
        <v>117</v>
      </c>
      <c r="G3794" t="s">
        <v>32</v>
      </c>
      <c r="H3794" s="2">
        <v>63</v>
      </c>
      <c r="I3794">
        <v>116</v>
      </c>
      <c r="J3794">
        <v>731</v>
      </c>
      <c r="K3794" s="4">
        <v>417</v>
      </c>
      <c r="L3794" t="s">
        <v>17</v>
      </c>
    </row>
    <row r="3795" spans="1:12" x14ac:dyDescent="0.35">
      <c r="A3795" t="s">
        <v>18</v>
      </c>
      <c r="B3795">
        <v>1128299</v>
      </c>
      <c r="C3795" s="1">
        <v>43916</v>
      </c>
      <c r="D3795" t="s">
        <v>48</v>
      </c>
      <c r="E3795" t="s">
        <v>133</v>
      </c>
      <c r="F3795" t="s">
        <v>134</v>
      </c>
      <c r="G3795" t="s">
        <v>16</v>
      </c>
      <c r="H3795" s="2">
        <v>37</v>
      </c>
      <c r="I3795">
        <v>116</v>
      </c>
      <c r="J3795">
        <v>429</v>
      </c>
      <c r="K3795" s="4">
        <v>116</v>
      </c>
      <c r="L3795" t="s">
        <v>17</v>
      </c>
    </row>
    <row r="3796" spans="1:12" x14ac:dyDescent="0.35">
      <c r="A3796" t="s">
        <v>18</v>
      </c>
      <c r="B3796">
        <v>1128299</v>
      </c>
      <c r="C3796" s="1">
        <v>43919</v>
      </c>
      <c r="D3796" t="s">
        <v>48</v>
      </c>
      <c r="E3796" t="s">
        <v>133</v>
      </c>
      <c r="F3796" t="s">
        <v>134</v>
      </c>
      <c r="G3796" t="s">
        <v>32</v>
      </c>
      <c r="H3796" s="2">
        <v>51</v>
      </c>
      <c r="I3796">
        <v>116</v>
      </c>
      <c r="J3796">
        <v>592</v>
      </c>
      <c r="K3796" s="4">
        <v>290</v>
      </c>
      <c r="L3796" t="s">
        <v>17</v>
      </c>
    </row>
    <row r="3797" spans="1:12" x14ac:dyDescent="0.35">
      <c r="A3797" t="s">
        <v>18</v>
      </c>
      <c r="B3797">
        <v>1128299</v>
      </c>
      <c r="C3797" s="1">
        <v>43968</v>
      </c>
      <c r="D3797" t="s">
        <v>48</v>
      </c>
      <c r="E3797" t="s">
        <v>133</v>
      </c>
      <c r="F3797" t="s">
        <v>134</v>
      </c>
      <c r="G3797" t="s">
        <v>56</v>
      </c>
      <c r="H3797" s="2">
        <v>60</v>
      </c>
      <c r="I3797">
        <v>116</v>
      </c>
      <c r="J3797">
        <v>696</v>
      </c>
      <c r="K3797" s="4">
        <v>334</v>
      </c>
      <c r="L3797" t="s">
        <v>17</v>
      </c>
    </row>
    <row r="3798" spans="1:12" x14ac:dyDescent="0.35">
      <c r="A3798" t="s">
        <v>42</v>
      </c>
      <c r="B3798">
        <v>1185732</v>
      </c>
      <c r="C3798" s="1">
        <v>44133</v>
      </c>
      <c r="D3798" t="s">
        <v>33</v>
      </c>
      <c r="E3798" t="s">
        <v>104</v>
      </c>
      <c r="F3798" t="s">
        <v>105</v>
      </c>
      <c r="G3798" t="s">
        <v>26</v>
      </c>
      <c r="H3798" s="2">
        <v>39</v>
      </c>
      <c r="I3798">
        <v>116</v>
      </c>
      <c r="J3798">
        <v>452</v>
      </c>
      <c r="K3798" s="4">
        <v>226</v>
      </c>
      <c r="L3798" t="s">
        <v>17</v>
      </c>
    </row>
    <row r="3799" spans="1:12" x14ac:dyDescent="0.35">
      <c r="A3799" t="s">
        <v>42</v>
      </c>
      <c r="B3799">
        <v>1185732</v>
      </c>
      <c r="C3799" s="1">
        <v>44145</v>
      </c>
      <c r="D3799" t="s">
        <v>33</v>
      </c>
      <c r="E3799" t="s">
        <v>104</v>
      </c>
      <c r="F3799" t="s">
        <v>105</v>
      </c>
      <c r="G3799" t="s">
        <v>26</v>
      </c>
      <c r="H3799" s="2">
        <v>48</v>
      </c>
      <c r="I3799">
        <v>116</v>
      </c>
      <c r="J3799">
        <v>557</v>
      </c>
      <c r="K3799" s="4">
        <v>262</v>
      </c>
      <c r="L3799" t="s">
        <v>17</v>
      </c>
    </row>
    <row r="3800" spans="1:12" x14ac:dyDescent="0.35">
      <c r="A3800" t="s">
        <v>63</v>
      </c>
      <c r="B3800">
        <v>1189833</v>
      </c>
      <c r="C3800" s="1">
        <v>44244</v>
      </c>
      <c r="D3800" t="s">
        <v>33</v>
      </c>
      <c r="E3800" t="s">
        <v>131</v>
      </c>
      <c r="F3800" t="s">
        <v>132</v>
      </c>
      <c r="G3800" t="s">
        <v>56</v>
      </c>
      <c r="H3800" s="2">
        <v>41</v>
      </c>
      <c r="I3800">
        <v>116</v>
      </c>
      <c r="J3800">
        <v>476</v>
      </c>
      <c r="K3800" s="4">
        <v>262</v>
      </c>
      <c r="L3800" t="s">
        <v>17</v>
      </c>
    </row>
    <row r="3801" spans="1:12" x14ac:dyDescent="0.35">
      <c r="A3801" t="s">
        <v>63</v>
      </c>
      <c r="B3801">
        <v>1189833</v>
      </c>
      <c r="C3801" s="1">
        <v>44249</v>
      </c>
      <c r="D3801" t="s">
        <v>33</v>
      </c>
      <c r="E3801" t="s">
        <v>131</v>
      </c>
      <c r="F3801" t="s">
        <v>132</v>
      </c>
      <c r="G3801" t="s">
        <v>32</v>
      </c>
      <c r="H3801" s="2">
        <v>41</v>
      </c>
      <c r="I3801">
        <v>116</v>
      </c>
      <c r="J3801">
        <v>476</v>
      </c>
      <c r="K3801" s="4">
        <v>271</v>
      </c>
      <c r="L3801" t="s">
        <v>17</v>
      </c>
    </row>
    <row r="3802" spans="1:12" x14ac:dyDescent="0.35">
      <c r="A3802" t="s">
        <v>42</v>
      </c>
      <c r="B3802">
        <v>1128299</v>
      </c>
      <c r="C3802" s="1">
        <v>44220</v>
      </c>
      <c r="D3802" t="s">
        <v>48</v>
      </c>
      <c r="E3802" t="s">
        <v>102</v>
      </c>
      <c r="F3802" t="s">
        <v>103</v>
      </c>
      <c r="G3802" t="s">
        <v>16</v>
      </c>
      <c r="H3802" s="2">
        <v>38</v>
      </c>
      <c r="I3802">
        <v>116</v>
      </c>
      <c r="J3802">
        <v>441</v>
      </c>
      <c r="K3802" s="4">
        <v>198</v>
      </c>
      <c r="L3802" t="s">
        <v>17</v>
      </c>
    </row>
    <row r="3803" spans="1:12" x14ac:dyDescent="0.35">
      <c r="A3803" t="s">
        <v>23</v>
      </c>
      <c r="B3803">
        <v>1185732</v>
      </c>
      <c r="C3803" s="1">
        <v>44215</v>
      </c>
      <c r="D3803" t="s">
        <v>13</v>
      </c>
      <c r="E3803" t="s">
        <v>99</v>
      </c>
      <c r="F3803" t="s">
        <v>100</v>
      </c>
      <c r="G3803" t="s">
        <v>56</v>
      </c>
      <c r="H3803" s="2">
        <v>29</v>
      </c>
      <c r="I3803">
        <v>116</v>
      </c>
      <c r="J3803">
        <v>336</v>
      </c>
      <c r="K3803" s="4">
        <v>168</v>
      </c>
      <c r="L3803" t="s">
        <v>17</v>
      </c>
    </row>
    <row r="3804" spans="1:12" x14ac:dyDescent="0.35">
      <c r="A3804" t="s">
        <v>23</v>
      </c>
      <c r="B3804">
        <v>1185732</v>
      </c>
      <c r="C3804" s="1">
        <v>44486</v>
      </c>
      <c r="D3804" t="s">
        <v>33</v>
      </c>
      <c r="E3804" t="s">
        <v>45</v>
      </c>
      <c r="F3804" t="s">
        <v>46</v>
      </c>
      <c r="G3804" t="s">
        <v>56</v>
      </c>
      <c r="H3804" s="2">
        <v>38</v>
      </c>
      <c r="I3804">
        <v>116</v>
      </c>
      <c r="J3804">
        <v>441</v>
      </c>
      <c r="K3804" s="4">
        <v>220</v>
      </c>
      <c r="L3804" t="s">
        <v>17</v>
      </c>
    </row>
    <row r="3805" spans="1:12" x14ac:dyDescent="0.35">
      <c r="A3805" t="s">
        <v>18</v>
      </c>
      <c r="B3805">
        <v>1128299</v>
      </c>
      <c r="C3805" s="1">
        <v>44244</v>
      </c>
      <c r="D3805" t="s">
        <v>48</v>
      </c>
      <c r="E3805" t="s">
        <v>85</v>
      </c>
      <c r="F3805" t="s">
        <v>86</v>
      </c>
      <c r="G3805" t="s">
        <v>39</v>
      </c>
      <c r="H3805" s="2">
        <v>41</v>
      </c>
      <c r="I3805">
        <v>116</v>
      </c>
      <c r="J3805">
        <v>476</v>
      </c>
      <c r="K3805" s="4">
        <v>243</v>
      </c>
      <c r="L3805" t="s">
        <v>17</v>
      </c>
    </row>
    <row r="3806" spans="1:12" x14ac:dyDescent="0.35">
      <c r="A3806" t="s">
        <v>18</v>
      </c>
      <c r="B3806">
        <v>1128299</v>
      </c>
      <c r="C3806" s="1">
        <v>44271</v>
      </c>
      <c r="D3806" t="s">
        <v>19</v>
      </c>
      <c r="E3806" t="s">
        <v>20</v>
      </c>
      <c r="F3806" t="s">
        <v>21</v>
      </c>
      <c r="G3806" t="s">
        <v>32</v>
      </c>
      <c r="H3806" s="2">
        <v>56</v>
      </c>
      <c r="I3806">
        <v>116</v>
      </c>
      <c r="J3806">
        <v>650</v>
      </c>
      <c r="K3806" s="4">
        <v>357</v>
      </c>
      <c r="L3806" t="s">
        <v>17</v>
      </c>
    </row>
    <row r="3807" spans="1:12" x14ac:dyDescent="0.35">
      <c r="A3807" t="s">
        <v>18</v>
      </c>
      <c r="B3807">
        <v>1197831</v>
      </c>
      <c r="C3807" s="1">
        <v>44261</v>
      </c>
      <c r="D3807" t="s">
        <v>48</v>
      </c>
      <c r="E3807" t="s">
        <v>79</v>
      </c>
      <c r="F3807" t="s">
        <v>80</v>
      </c>
      <c r="G3807" t="s">
        <v>16</v>
      </c>
      <c r="H3807" s="2">
        <v>33</v>
      </c>
      <c r="I3807">
        <v>116</v>
      </c>
      <c r="J3807">
        <v>383</v>
      </c>
      <c r="K3807" s="4">
        <v>249</v>
      </c>
      <c r="L3807" t="s">
        <v>17</v>
      </c>
    </row>
    <row r="3808" spans="1:12" x14ac:dyDescent="0.35">
      <c r="A3808" t="s">
        <v>23</v>
      </c>
      <c r="B3808">
        <v>1197831</v>
      </c>
      <c r="C3808" s="1">
        <v>44444</v>
      </c>
      <c r="D3808" t="s">
        <v>48</v>
      </c>
      <c r="E3808" t="s">
        <v>79</v>
      </c>
      <c r="F3808" t="s">
        <v>80</v>
      </c>
      <c r="G3808" t="s">
        <v>56</v>
      </c>
      <c r="H3808" s="2">
        <v>55</v>
      </c>
      <c r="I3808">
        <v>116</v>
      </c>
      <c r="J3808">
        <v>638</v>
      </c>
      <c r="K3808" s="4">
        <v>402</v>
      </c>
      <c r="L3808" t="s">
        <v>17</v>
      </c>
    </row>
    <row r="3809" spans="1:12" x14ac:dyDescent="0.35">
      <c r="A3809" t="s">
        <v>42</v>
      </c>
      <c r="B3809">
        <v>1128299</v>
      </c>
      <c r="C3809" s="1">
        <v>44431</v>
      </c>
      <c r="D3809" t="s">
        <v>48</v>
      </c>
      <c r="E3809" t="s">
        <v>123</v>
      </c>
      <c r="F3809" t="s">
        <v>124</v>
      </c>
      <c r="G3809" t="s">
        <v>70</v>
      </c>
      <c r="H3809" s="2">
        <v>59</v>
      </c>
      <c r="I3809">
        <v>116</v>
      </c>
      <c r="J3809">
        <v>684</v>
      </c>
      <c r="K3809" s="4">
        <v>281</v>
      </c>
      <c r="L3809" t="s">
        <v>17</v>
      </c>
    </row>
    <row r="3810" spans="1:12" x14ac:dyDescent="0.35">
      <c r="A3810" t="s">
        <v>63</v>
      </c>
      <c r="B3810">
        <v>1128299</v>
      </c>
      <c r="C3810" s="1">
        <v>44312</v>
      </c>
      <c r="D3810" t="s">
        <v>48</v>
      </c>
      <c r="E3810" t="s">
        <v>114</v>
      </c>
      <c r="F3810" t="s">
        <v>115</v>
      </c>
      <c r="G3810" t="s">
        <v>32</v>
      </c>
      <c r="H3810" s="2">
        <v>55</v>
      </c>
      <c r="I3810">
        <v>116</v>
      </c>
      <c r="J3810">
        <v>638</v>
      </c>
      <c r="K3810" s="4">
        <v>319</v>
      </c>
      <c r="L3810" t="s">
        <v>17</v>
      </c>
    </row>
    <row r="3811" spans="1:12" x14ac:dyDescent="0.35">
      <c r="A3811" t="s">
        <v>23</v>
      </c>
      <c r="B3811">
        <v>1128299</v>
      </c>
      <c r="C3811" s="1">
        <v>44513</v>
      </c>
      <c r="D3811" t="s">
        <v>13</v>
      </c>
      <c r="E3811" t="s">
        <v>57</v>
      </c>
      <c r="F3811" t="s">
        <v>58</v>
      </c>
      <c r="G3811" t="s">
        <v>56</v>
      </c>
      <c r="H3811" s="2">
        <v>51</v>
      </c>
      <c r="I3811">
        <v>116</v>
      </c>
      <c r="J3811">
        <v>592</v>
      </c>
      <c r="K3811" s="4">
        <v>308</v>
      </c>
      <c r="L3811" t="s">
        <v>17</v>
      </c>
    </row>
    <row r="3812" spans="1:12" x14ac:dyDescent="0.35">
      <c r="A3812" t="s">
        <v>42</v>
      </c>
      <c r="B3812">
        <v>1128299</v>
      </c>
      <c r="C3812" s="1">
        <v>44542</v>
      </c>
      <c r="D3812" t="s">
        <v>13</v>
      </c>
      <c r="E3812" t="s">
        <v>57</v>
      </c>
      <c r="F3812" t="s">
        <v>58</v>
      </c>
      <c r="G3812" t="s">
        <v>70</v>
      </c>
      <c r="H3812" s="2">
        <v>64</v>
      </c>
      <c r="I3812">
        <v>116</v>
      </c>
      <c r="J3812">
        <v>742</v>
      </c>
      <c r="K3812" s="4">
        <v>371</v>
      </c>
      <c r="L3812" t="s">
        <v>17</v>
      </c>
    </row>
    <row r="3813" spans="1:12" x14ac:dyDescent="0.35">
      <c r="A3813" t="s">
        <v>51</v>
      </c>
      <c r="B3813">
        <v>1185732</v>
      </c>
      <c r="C3813" s="1">
        <v>44480</v>
      </c>
      <c r="D3813" t="s">
        <v>33</v>
      </c>
      <c r="E3813" t="s">
        <v>52</v>
      </c>
      <c r="F3813" t="s">
        <v>53</v>
      </c>
      <c r="G3813" t="s">
        <v>70</v>
      </c>
      <c r="H3813" s="2">
        <v>37</v>
      </c>
      <c r="I3813">
        <v>116</v>
      </c>
      <c r="J3813">
        <v>429</v>
      </c>
      <c r="K3813" s="4">
        <v>197</v>
      </c>
      <c r="L3813" t="s">
        <v>17</v>
      </c>
    </row>
    <row r="3814" spans="1:12" x14ac:dyDescent="0.35">
      <c r="A3814" t="s">
        <v>51</v>
      </c>
      <c r="B3814">
        <v>1185732</v>
      </c>
      <c r="C3814" s="1">
        <v>44510</v>
      </c>
      <c r="D3814" t="s">
        <v>33</v>
      </c>
      <c r="E3814" t="s">
        <v>52</v>
      </c>
      <c r="F3814" t="s">
        <v>53</v>
      </c>
      <c r="G3814" t="s">
        <v>32</v>
      </c>
      <c r="H3814" s="2">
        <v>32</v>
      </c>
      <c r="I3814">
        <v>116</v>
      </c>
      <c r="J3814">
        <v>371</v>
      </c>
      <c r="K3814" s="4">
        <v>186</v>
      </c>
      <c r="L3814" t="s">
        <v>17</v>
      </c>
    </row>
    <row r="3815" spans="1:12" x14ac:dyDescent="0.35">
      <c r="A3815" t="s">
        <v>42</v>
      </c>
      <c r="B3815">
        <v>1185732</v>
      </c>
      <c r="C3815" s="1">
        <v>44332</v>
      </c>
      <c r="D3815" t="s">
        <v>19</v>
      </c>
      <c r="E3815" t="s">
        <v>37</v>
      </c>
      <c r="F3815" t="s">
        <v>38</v>
      </c>
      <c r="G3815" t="s">
        <v>70</v>
      </c>
      <c r="H3815" s="2">
        <v>41</v>
      </c>
      <c r="I3815">
        <v>116</v>
      </c>
      <c r="J3815">
        <v>476</v>
      </c>
      <c r="K3815" s="4">
        <v>224</v>
      </c>
      <c r="L3815" t="s">
        <v>17</v>
      </c>
    </row>
    <row r="3816" spans="1:12" x14ac:dyDescent="0.35">
      <c r="A3816" t="s">
        <v>12</v>
      </c>
      <c r="B3816">
        <v>1197831</v>
      </c>
      <c r="C3816" s="1">
        <v>44306</v>
      </c>
      <c r="D3816" t="s">
        <v>19</v>
      </c>
      <c r="E3816" t="s">
        <v>54</v>
      </c>
      <c r="F3816" t="s">
        <v>55</v>
      </c>
      <c r="G3816" t="s">
        <v>16</v>
      </c>
      <c r="H3816" s="2">
        <v>28</v>
      </c>
      <c r="I3816">
        <v>116</v>
      </c>
      <c r="J3816">
        <v>325</v>
      </c>
      <c r="K3816" s="4">
        <v>166</v>
      </c>
      <c r="L3816" t="s">
        <v>17</v>
      </c>
    </row>
    <row r="3817" spans="1:12" x14ac:dyDescent="0.35">
      <c r="A3817" t="s">
        <v>12</v>
      </c>
      <c r="B3817">
        <v>1197831</v>
      </c>
      <c r="C3817" s="1">
        <v>44396</v>
      </c>
      <c r="D3817" t="s">
        <v>19</v>
      </c>
      <c r="E3817" t="s">
        <v>54</v>
      </c>
      <c r="F3817" t="s">
        <v>55</v>
      </c>
      <c r="G3817" t="s">
        <v>56</v>
      </c>
      <c r="H3817" s="2">
        <v>41</v>
      </c>
      <c r="I3817">
        <v>116</v>
      </c>
      <c r="J3817">
        <v>476</v>
      </c>
      <c r="K3817" s="4">
        <v>257</v>
      </c>
      <c r="L3817" t="s">
        <v>17</v>
      </c>
    </row>
    <row r="3818" spans="1:12" x14ac:dyDescent="0.35">
      <c r="A3818" t="s">
        <v>23</v>
      </c>
      <c r="B3818">
        <v>1185732</v>
      </c>
      <c r="C3818" s="1">
        <v>44478</v>
      </c>
      <c r="D3818" t="s">
        <v>33</v>
      </c>
      <c r="E3818" t="s">
        <v>89</v>
      </c>
      <c r="F3818" t="s">
        <v>90</v>
      </c>
      <c r="G3818" t="s">
        <v>26</v>
      </c>
      <c r="H3818" s="2">
        <v>49</v>
      </c>
      <c r="I3818">
        <v>116</v>
      </c>
      <c r="J3818">
        <v>568</v>
      </c>
      <c r="K3818" s="4">
        <v>267</v>
      </c>
      <c r="L3818" t="s">
        <v>17</v>
      </c>
    </row>
    <row r="3819" spans="1:12" x14ac:dyDescent="0.35">
      <c r="A3819" t="s">
        <v>18</v>
      </c>
      <c r="B3819">
        <v>1185732</v>
      </c>
      <c r="C3819" s="1">
        <v>44479</v>
      </c>
      <c r="D3819" t="s">
        <v>33</v>
      </c>
      <c r="E3819" t="s">
        <v>81</v>
      </c>
      <c r="F3819" t="s">
        <v>82</v>
      </c>
      <c r="G3819" t="s">
        <v>26</v>
      </c>
      <c r="H3819" s="2">
        <v>41</v>
      </c>
      <c r="I3819">
        <v>116</v>
      </c>
      <c r="J3819">
        <v>476</v>
      </c>
      <c r="K3819" s="4">
        <v>252</v>
      </c>
      <c r="L3819" t="s">
        <v>17</v>
      </c>
    </row>
    <row r="3820" spans="1:12" x14ac:dyDescent="0.35">
      <c r="A3820" t="s">
        <v>18</v>
      </c>
      <c r="B3820">
        <v>1185732</v>
      </c>
      <c r="C3820" s="1">
        <v>44393</v>
      </c>
      <c r="D3820" t="s">
        <v>43</v>
      </c>
      <c r="E3820" t="s">
        <v>64</v>
      </c>
      <c r="F3820" t="s">
        <v>65</v>
      </c>
      <c r="G3820" t="s">
        <v>39</v>
      </c>
      <c r="H3820" s="2">
        <v>50</v>
      </c>
      <c r="I3820">
        <v>116</v>
      </c>
      <c r="J3820">
        <v>580</v>
      </c>
      <c r="K3820" s="4">
        <v>307</v>
      </c>
      <c r="L3820" t="s">
        <v>17</v>
      </c>
    </row>
    <row r="3821" spans="1:12" x14ac:dyDescent="0.35">
      <c r="A3821" t="s">
        <v>42</v>
      </c>
      <c r="B3821">
        <v>1185732</v>
      </c>
      <c r="C3821" s="1">
        <v>44383</v>
      </c>
      <c r="D3821" t="s">
        <v>43</v>
      </c>
      <c r="E3821" t="s">
        <v>110</v>
      </c>
      <c r="F3821" t="s">
        <v>111</v>
      </c>
      <c r="G3821" t="s">
        <v>16</v>
      </c>
      <c r="H3821" s="2">
        <v>50</v>
      </c>
      <c r="I3821">
        <v>116</v>
      </c>
      <c r="J3821">
        <v>580</v>
      </c>
      <c r="K3821" s="4">
        <v>290</v>
      </c>
      <c r="L3821" t="s">
        <v>17</v>
      </c>
    </row>
    <row r="3822" spans="1:12" x14ac:dyDescent="0.35">
      <c r="A3822" t="s">
        <v>51</v>
      </c>
      <c r="B3822">
        <v>1185732</v>
      </c>
      <c r="C3822" s="1">
        <v>44359</v>
      </c>
      <c r="D3822" t="s">
        <v>43</v>
      </c>
      <c r="E3822" t="s">
        <v>125</v>
      </c>
      <c r="F3822" t="s">
        <v>126</v>
      </c>
      <c r="G3822" t="s">
        <v>39</v>
      </c>
      <c r="H3822" s="2">
        <v>53</v>
      </c>
      <c r="I3822">
        <v>116</v>
      </c>
      <c r="J3822">
        <v>615</v>
      </c>
      <c r="K3822" s="4">
        <v>363</v>
      </c>
      <c r="L3822" t="s">
        <v>17</v>
      </c>
    </row>
    <row r="3823" spans="1:12" x14ac:dyDescent="0.35">
      <c r="A3823" t="s">
        <v>42</v>
      </c>
      <c r="B3823">
        <v>1185732</v>
      </c>
      <c r="C3823" s="1">
        <v>44518</v>
      </c>
      <c r="D3823" t="s">
        <v>43</v>
      </c>
      <c r="E3823" t="s">
        <v>127</v>
      </c>
      <c r="F3823" t="s">
        <v>128</v>
      </c>
      <c r="G3823" t="s">
        <v>16</v>
      </c>
      <c r="H3823" s="2">
        <v>78</v>
      </c>
      <c r="I3823">
        <v>116</v>
      </c>
      <c r="J3823">
        <v>905</v>
      </c>
      <c r="K3823" s="4">
        <v>425</v>
      </c>
      <c r="L3823" t="s">
        <v>17</v>
      </c>
    </row>
    <row r="3824" spans="1:12" x14ac:dyDescent="0.35">
      <c r="A3824" t="s">
        <v>42</v>
      </c>
      <c r="B3824">
        <v>1185732</v>
      </c>
      <c r="C3824" s="1">
        <v>44532</v>
      </c>
      <c r="D3824" t="s">
        <v>43</v>
      </c>
      <c r="E3824" t="s">
        <v>135</v>
      </c>
      <c r="F3824" t="s">
        <v>136</v>
      </c>
      <c r="G3824" t="s">
        <v>16</v>
      </c>
      <c r="H3824" s="2">
        <v>50</v>
      </c>
      <c r="I3824">
        <v>116</v>
      </c>
      <c r="J3824">
        <v>580</v>
      </c>
      <c r="K3824" s="4">
        <v>209</v>
      </c>
      <c r="L3824" t="s">
        <v>27</v>
      </c>
    </row>
    <row r="3825" spans="1:12" x14ac:dyDescent="0.35">
      <c r="A3825" t="s">
        <v>18</v>
      </c>
      <c r="B3825">
        <v>1128299</v>
      </c>
      <c r="C3825" s="1">
        <v>43851</v>
      </c>
      <c r="D3825" t="s">
        <v>48</v>
      </c>
      <c r="E3825" t="s">
        <v>116</v>
      </c>
      <c r="F3825" t="s">
        <v>117</v>
      </c>
      <c r="G3825" t="s">
        <v>39</v>
      </c>
      <c r="H3825" s="2">
        <v>46</v>
      </c>
      <c r="I3825">
        <v>116</v>
      </c>
      <c r="J3825">
        <v>534</v>
      </c>
      <c r="K3825" s="4">
        <v>155</v>
      </c>
      <c r="L3825" t="s">
        <v>27</v>
      </c>
    </row>
    <row r="3826" spans="1:12" x14ac:dyDescent="0.35">
      <c r="A3826" t="s">
        <v>23</v>
      </c>
      <c r="B3826">
        <v>1197831</v>
      </c>
      <c r="C3826" s="1">
        <v>44424</v>
      </c>
      <c r="D3826" t="s">
        <v>19</v>
      </c>
      <c r="E3826" t="s">
        <v>24</v>
      </c>
      <c r="F3826" t="s">
        <v>25</v>
      </c>
      <c r="G3826" t="s">
        <v>56</v>
      </c>
      <c r="H3826" s="2">
        <v>23</v>
      </c>
      <c r="I3826">
        <v>116</v>
      </c>
      <c r="J3826">
        <v>267</v>
      </c>
      <c r="K3826" s="4">
        <v>163</v>
      </c>
      <c r="L3826" t="s">
        <v>27</v>
      </c>
    </row>
    <row r="3827" spans="1:12" x14ac:dyDescent="0.35">
      <c r="A3827" t="s">
        <v>23</v>
      </c>
      <c r="B3827">
        <v>1197831</v>
      </c>
      <c r="C3827" s="1">
        <v>44430</v>
      </c>
      <c r="D3827" t="s">
        <v>19</v>
      </c>
      <c r="E3827" t="s">
        <v>24</v>
      </c>
      <c r="F3827" t="s">
        <v>25</v>
      </c>
      <c r="G3827" t="s">
        <v>56</v>
      </c>
      <c r="H3827" s="2">
        <v>15</v>
      </c>
      <c r="I3827">
        <v>116</v>
      </c>
      <c r="J3827">
        <v>174</v>
      </c>
      <c r="K3827" s="4">
        <v>104</v>
      </c>
      <c r="L3827" t="s">
        <v>27</v>
      </c>
    </row>
    <row r="3828" spans="1:12" x14ac:dyDescent="0.35">
      <c r="A3828" t="s">
        <v>23</v>
      </c>
      <c r="B3828">
        <v>1197831</v>
      </c>
      <c r="C3828" s="1">
        <v>44461</v>
      </c>
      <c r="D3828" t="s">
        <v>19</v>
      </c>
      <c r="E3828" t="s">
        <v>24</v>
      </c>
      <c r="F3828" t="s">
        <v>25</v>
      </c>
      <c r="G3828" t="s">
        <v>70</v>
      </c>
      <c r="H3828" s="2">
        <v>35</v>
      </c>
      <c r="I3828">
        <v>116</v>
      </c>
      <c r="J3828">
        <v>406</v>
      </c>
      <c r="K3828" s="4">
        <v>195</v>
      </c>
      <c r="L3828" t="s">
        <v>27</v>
      </c>
    </row>
    <row r="3829" spans="1:12" x14ac:dyDescent="0.35">
      <c r="A3829" t="s">
        <v>12</v>
      </c>
      <c r="B3829">
        <v>1128299</v>
      </c>
      <c r="C3829" s="1">
        <v>44486</v>
      </c>
      <c r="D3829" t="s">
        <v>13</v>
      </c>
      <c r="E3829" t="s">
        <v>14</v>
      </c>
      <c r="F3829" t="s">
        <v>15</v>
      </c>
      <c r="G3829" t="s">
        <v>70</v>
      </c>
      <c r="H3829" s="2">
        <v>47</v>
      </c>
      <c r="I3829">
        <v>116</v>
      </c>
      <c r="J3829">
        <v>545</v>
      </c>
      <c r="K3829" s="4">
        <v>120</v>
      </c>
      <c r="L3829" t="s">
        <v>27</v>
      </c>
    </row>
    <row r="3830" spans="1:12" x14ac:dyDescent="0.35">
      <c r="A3830" t="s">
        <v>42</v>
      </c>
      <c r="B3830">
        <v>1197831</v>
      </c>
      <c r="C3830" s="1">
        <v>44231</v>
      </c>
      <c r="D3830" t="s">
        <v>48</v>
      </c>
      <c r="E3830" t="s">
        <v>79</v>
      </c>
      <c r="F3830" t="s">
        <v>80</v>
      </c>
      <c r="G3830" t="s">
        <v>56</v>
      </c>
      <c r="H3830" s="2">
        <v>27</v>
      </c>
      <c r="I3830">
        <v>116</v>
      </c>
      <c r="J3830">
        <v>313</v>
      </c>
      <c r="K3830" s="4">
        <v>132</v>
      </c>
      <c r="L3830" t="s">
        <v>27</v>
      </c>
    </row>
    <row r="3831" spans="1:12" x14ac:dyDescent="0.35">
      <c r="A3831" t="s">
        <v>18</v>
      </c>
      <c r="B3831">
        <v>1197831</v>
      </c>
      <c r="C3831" s="1">
        <v>44291</v>
      </c>
      <c r="D3831" t="s">
        <v>48</v>
      </c>
      <c r="E3831" t="s">
        <v>79</v>
      </c>
      <c r="F3831" t="s">
        <v>80</v>
      </c>
      <c r="G3831" t="s">
        <v>56</v>
      </c>
      <c r="H3831" s="2">
        <v>20</v>
      </c>
      <c r="I3831">
        <v>116</v>
      </c>
      <c r="J3831">
        <v>232</v>
      </c>
      <c r="K3831" s="4">
        <v>114</v>
      </c>
      <c r="L3831" t="s">
        <v>27</v>
      </c>
    </row>
    <row r="3832" spans="1:12" x14ac:dyDescent="0.35">
      <c r="A3832" t="s">
        <v>23</v>
      </c>
      <c r="B3832">
        <v>1197831</v>
      </c>
      <c r="C3832" s="1">
        <v>44473</v>
      </c>
      <c r="D3832" t="s">
        <v>48</v>
      </c>
      <c r="E3832" t="s">
        <v>79</v>
      </c>
      <c r="F3832" t="s">
        <v>80</v>
      </c>
      <c r="G3832" t="s">
        <v>56</v>
      </c>
      <c r="H3832" s="2">
        <v>35</v>
      </c>
      <c r="I3832">
        <v>116</v>
      </c>
      <c r="J3832">
        <v>406</v>
      </c>
      <c r="K3832" s="4">
        <v>215</v>
      </c>
      <c r="L3832" t="s">
        <v>27</v>
      </c>
    </row>
    <row r="3833" spans="1:12" x14ac:dyDescent="0.35">
      <c r="A3833" t="s">
        <v>42</v>
      </c>
      <c r="B3833">
        <v>1128299</v>
      </c>
      <c r="C3833" s="1">
        <v>44250</v>
      </c>
      <c r="D3833" t="s">
        <v>48</v>
      </c>
      <c r="E3833" t="s">
        <v>123</v>
      </c>
      <c r="F3833" t="s">
        <v>124</v>
      </c>
      <c r="G3833" t="s">
        <v>16</v>
      </c>
      <c r="H3833" s="2">
        <v>31</v>
      </c>
      <c r="I3833">
        <v>116</v>
      </c>
      <c r="J3833">
        <v>360</v>
      </c>
      <c r="K3833" s="4">
        <v>97</v>
      </c>
      <c r="L3833" t="s">
        <v>27</v>
      </c>
    </row>
    <row r="3834" spans="1:12" x14ac:dyDescent="0.35">
      <c r="A3834" t="s">
        <v>42</v>
      </c>
      <c r="B3834">
        <v>1128299</v>
      </c>
      <c r="C3834" s="1">
        <v>44277</v>
      </c>
      <c r="D3834" t="s">
        <v>48</v>
      </c>
      <c r="E3834" t="s">
        <v>123</v>
      </c>
      <c r="F3834" t="s">
        <v>124</v>
      </c>
      <c r="G3834" t="s">
        <v>39</v>
      </c>
      <c r="H3834" s="2">
        <v>38</v>
      </c>
      <c r="I3834">
        <v>116</v>
      </c>
      <c r="J3834">
        <v>441</v>
      </c>
      <c r="K3834" s="4">
        <v>194</v>
      </c>
      <c r="L3834" t="s">
        <v>27</v>
      </c>
    </row>
    <row r="3835" spans="1:12" x14ac:dyDescent="0.35">
      <c r="A3835" t="s">
        <v>42</v>
      </c>
      <c r="B3835">
        <v>1128299</v>
      </c>
      <c r="C3835" s="1">
        <v>44340</v>
      </c>
      <c r="D3835" t="s">
        <v>48</v>
      </c>
      <c r="E3835" t="s">
        <v>123</v>
      </c>
      <c r="F3835" t="s">
        <v>124</v>
      </c>
      <c r="G3835" t="s">
        <v>39</v>
      </c>
      <c r="H3835" s="2">
        <v>36</v>
      </c>
      <c r="I3835">
        <v>116</v>
      </c>
      <c r="J3835">
        <v>418</v>
      </c>
      <c r="K3835" s="4">
        <v>175</v>
      </c>
      <c r="L3835" t="s">
        <v>27</v>
      </c>
    </row>
    <row r="3836" spans="1:12" x14ac:dyDescent="0.35">
      <c r="A3836" t="s">
        <v>42</v>
      </c>
      <c r="B3836">
        <v>1128299</v>
      </c>
      <c r="C3836" s="1">
        <v>44523</v>
      </c>
      <c r="D3836" t="s">
        <v>48</v>
      </c>
      <c r="E3836" t="s">
        <v>123</v>
      </c>
      <c r="F3836" t="s">
        <v>124</v>
      </c>
      <c r="G3836" t="s">
        <v>56</v>
      </c>
      <c r="H3836" s="2">
        <v>33</v>
      </c>
      <c r="I3836">
        <v>116</v>
      </c>
      <c r="J3836">
        <v>383</v>
      </c>
      <c r="K3836" s="4">
        <v>161</v>
      </c>
      <c r="L3836" t="s">
        <v>27</v>
      </c>
    </row>
    <row r="3837" spans="1:12" x14ac:dyDescent="0.35">
      <c r="A3837" t="s">
        <v>63</v>
      </c>
      <c r="B3837">
        <v>1128299</v>
      </c>
      <c r="C3837" s="1">
        <v>44312</v>
      </c>
      <c r="D3837" t="s">
        <v>48</v>
      </c>
      <c r="E3837" t="s">
        <v>114</v>
      </c>
      <c r="F3837" t="s">
        <v>115</v>
      </c>
      <c r="G3837" t="s">
        <v>16</v>
      </c>
      <c r="H3837" s="2">
        <v>56</v>
      </c>
      <c r="I3837">
        <v>116</v>
      </c>
      <c r="J3837">
        <v>650</v>
      </c>
      <c r="K3837" s="4">
        <v>182</v>
      </c>
      <c r="L3837" t="s">
        <v>27</v>
      </c>
    </row>
    <row r="3838" spans="1:12" x14ac:dyDescent="0.35">
      <c r="A3838" t="s">
        <v>42</v>
      </c>
      <c r="B3838">
        <v>1185732</v>
      </c>
      <c r="C3838" s="1">
        <v>44303</v>
      </c>
      <c r="D3838" t="s">
        <v>19</v>
      </c>
      <c r="E3838" t="s">
        <v>37</v>
      </c>
      <c r="F3838" t="s">
        <v>38</v>
      </c>
      <c r="G3838" t="s">
        <v>39</v>
      </c>
      <c r="H3838" s="2">
        <v>20</v>
      </c>
      <c r="I3838">
        <v>116</v>
      </c>
      <c r="J3838">
        <v>232</v>
      </c>
      <c r="K3838" s="4">
        <v>93</v>
      </c>
      <c r="L3838" t="s">
        <v>27</v>
      </c>
    </row>
    <row r="3839" spans="1:12" x14ac:dyDescent="0.35">
      <c r="A3839" t="s">
        <v>42</v>
      </c>
      <c r="B3839">
        <v>1185732</v>
      </c>
      <c r="C3839" s="1">
        <v>44332</v>
      </c>
      <c r="D3839" t="s">
        <v>19</v>
      </c>
      <c r="E3839" t="s">
        <v>37</v>
      </c>
      <c r="F3839" t="s">
        <v>38</v>
      </c>
      <c r="G3839" t="s">
        <v>56</v>
      </c>
      <c r="H3839" s="2">
        <v>24</v>
      </c>
      <c r="I3839">
        <v>116</v>
      </c>
      <c r="J3839">
        <v>278</v>
      </c>
      <c r="K3839" s="4">
        <v>128</v>
      </c>
      <c r="L3839" t="s">
        <v>27</v>
      </c>
    </row>
    <row r="3840" spans="1:12" x14ac:dyDescent="0.35">
      <c r="A3840" t="s">
        <v>12</v>
      </c>
      <c r="B3840">
        <v>1197831</v>
      </c>
      <c r="C3840" s="1">
        <v>44335</v>
      </c>
      <c r="D3840" t="s">
        <v>19</v>
      </c>
      <c r="E3840" t="s">
        <v>54</v>
      </c>
      <c r="F3840" t="s">
        <v>55</v>
      </c>
      <c r="G3840" t="s">
        <v>39</v>
      </c>
      <c r="H3840" s="2">
        <v>28</v>
      </c>
      <c r="I3840">
        <v>116</v>
      </c>
      <c r="J3840">
        <v>325</v>
      </c>
      <c r="K3840" s="4">
        <v>136</v>
      </c>
      <c r="L3840" t="s">
        <v>27</v>
      </c>
    </row>
    <row r="3841" spans="1:12" x14ac:dyDescent="0.35">
      <c r="A3841" t="s">
        <v>12</v>
      </c>
      <c r="B3841">
        <v>1197831</v>
      </c>
      <c r="C3841" s="1">
        <v>44368</v>
      </c>
      <c r="D3841" t="s">
        <v>19</v>
      </c>
      <c r="E3841" t="s">
        <v>54</v>
      </c>
      <c r="F3841" t="s">
        <v>55</v>
      </c>
      <c r="G3841" t="s">
        <v>70</v>
      </c>
      <c r="H3841" s="2">
        <v>37</v>
      </c>
      <c r="I3841">
        <v>116</v>
      </c>
      <c r="J3841">
        <v>429</v>
      </c>
      <c r="K3841" s="4">
        <v>167</v>
      </c>
      <c r="L3841" t="s">
        <v>27</v>
      </c>
    </row>
    <row r="3842" spans="1:12" x14ac:dyDescent="0.35">
      <c r="A3842" t="s">
        <v>18</v>
      </c>
      <c r="B3842">
        <v>1197831</v>
      </c>
      <c r="C3842" s="1">
        <v>44520</v>
      </c>
      <c r="D3842" t="s">
        <v>19</v>
      </c>
      <c r="E3842" t="s">
        <v>54</v>
      </c>
      <c r="F3842" t="s">
        <v>55</v>
      </c>
      <c r="G3842" t="s">
        <v>39</v>
      </c>
      <c r="H3842" s="2">
        <v>11</v>
      </c>
      <c r="I3842">
        <v>116</v>
      </c>
      <c r="J3842">
        <v>128</v>
      </c>
      <c r="K3842" s="4">
        <v>54</v>
      </c>
      <c r="L3842" t="s">
        <v>27</v>
      </c>
    </row>
    <row r="3843" spans="1:12" x14ac:dyDescent="0.35">
      <c r="A3843" t="s">
        <v>18</v>
      </c>
      <c r="B3843">
        <v>1197831</v>
      </c>
      <c r="C3843" s="1">
        <v>44335</v>
      </c>
      <c r="D3843" t="s">
        <v>19</v>
      </c>
      <c r="E3843" t="s">
        <v>61</v>
      </c>
      <c r="F3843" t="s">
        <v>62</v>
      </c>
      <c r="G3843" t="s">
        <v>16</v>
      </c>
      <c r="H3843" s="2">
        <v>33</v>
      </c>
      <c r="I3843">
        <v>116</v>
      </c>
      <c r="J3843">
        <v>383</v>
      </c>
      <c r="K3843" s="4">
        <v>172</v>
      </c>
      <c r="L3843" t="s">
        <v>27</v>
      </c>
    </row>
    <row r="3844" spans="1:12" x14ac:dyDescent="0.35">
      <c r="A3844" t="s">
        <v>18</v>
      </c>
      <c r="B3844">
        <v>1197831</v>
      </c>
      <c r="C3844" s="1">
        <v>44396</v>
      </c>
      <c r="D3844" t="s">
        <v>19</v>
      </c>
      <c r="E3844" t="s">
        <v>61</v>
      </c>
      <c r="F3844" t="s">
        <v>62</v>
      </c>
      <c r="G3844" t="s">
        <v>70</v>
      </c>
      <c r="H3844" s="2">
        <v>43</v>
      </c>
      <c r="I3844">
        <v>116</v>
      </c>
      <c r="J3844">
        <v>499</v>
      </c>
      <c r="K3844" s="4">
        <v>205</v>
      </c>
      <c r="L3844" t="s">
        <v>27</v>
      </c>
    </row>
    <row r="3845" spans="1:12" x14ac:dyDescent="0.35">
      <c r="A3845" t="s">
        <v>63</v>
      </c>
      <c r="B3845">
        <v>1197831</v>
      </c>
      <c r="C3845" s="1">
        <v>44212</v>
      </c>
      <c r="D3845" t="s">
        <v>19</v>
      </c>
      <c r="E3845" t="s">
        <v>61</v>
      </c>
      <c r="F3845" t="s">
        <v>62</v>
      </c>
      <c r="G3845" t="s">
        <v>32</v>
      </c>
      <c r="H3845" s="2">
        <v>12</v>
      </c>
      <c r="I3845">
        <v>116</v>
      </c>
      <c r="J3845">
        <v>139</v>
      </c>
      <c r="K3845" s="4">
        <v>56</v>
      </c>
      <c r="L3845" t="s">
        <v>27</v>
      </c>
    </row>
    <row r="3846" spans="1:12" x14ac:dyDescent="0.35">
      <c r="A3846" t="s">
        <v>42</v>
      </c>
      <c r="B3846">
        <v>1185732</v>
      </c>
      <c r="C3846" s="1">
        <v>44504</v>
      </c>
      <c r="D3846" t="s">
        <v>43</v>
      </c>
      <c r="E3846" t="s">
        <v>108</v>
      </c>
      <c r="F3846" t="s">
        <v>109</v>
      </c>
      <c r="G3846" t="s">
        <v>16</v>
      </c>
      <c r="H3846" s="2">
        <v>52</v>
      </c>
      <c r="I3846">
        <v>116</v>
      </c>
      <c r="J3846">
        <v>603</v>
      </c>
      <c r="K3846" s="4">
        <v>235</v>
      </c>
      <c r="L3846" t="s">
        <v>27</v>
      </c>
    </row>
    <row r="3847" spans="1:12" x14ac:dyDescent="0.35">
      <c r="A3847" t="s">
        <v>42</v>
      </c>
      <c r="B3847">
        <v>1185732</v>
      </c>
      <c r="C3847" s="1">
        <v>44533</v>
      </c>
      <c r="D3847" t="s">
        <v>43</v>
      </c>
      <c r="E3847" t="s">
        <v>108</v>
      </c>
      <c r="F3847" t="s">
        <v>109</v>
      </c>
      <c r="G3847" t="s">
        <v>32</v>
      </c>
      <c r="H3847" s="2">
        <v>43</v>
      </c>
      <c r="I3847">
        <v>116</v>
      </c>
      <c r="J3847">
        <v>499</v>
      </c>
      <c r="K3847" s="4">
        <v>165</v>
      </c>
      <c r="L3847" t="s">
        <v>27</v>
      </c>
    </row>
    <row r="3848" spans="1:12" x14ac:dyDescent="0.35">
      <c r="A3848" t="s">
        <v>51</v>
      </c>
      <c r="B3848">
        <v>1185732</v>
      </c>
      <c r="C3848" s="1">
        <v>44419</v>
      </c>
      <c r="D3848" t="s">
        <v>43</v>
      </c>
      <c r="E3848" t="s">
        <v>125</v>
      </c>
      <c r="F3848" t="s">
        <v>126</v>
      </c>
      <c r="G3848" t="s">
        <v>32</v>
      </c>
      <c r="H3848" s="2">
        <v>34</v>
      </c>
      <c r="I3848">
        <v>116</v>
      </c>
      <c r="J3848">
        <v>394</v>
      </c>
      <c r="K3848" s="4">
        <v>154</v>
      </c>
      <c r="L3848" t="s">
        <v>27</v>
      </c>
    </row>
    <row r="3849" spans="1:12" x14ac:dyDescent="0.35">
      <c r="A3849" t="s">
        <v>51</v>
      </c>
      <c r="B3849">
        <v>1185732</v>
      </c>
      <c r="C3849" s="1">
        <v>44456</v>
      </c>
      <c r="D3849" t="s">
        <v>43</v>
      </c>
      <c r="E3849" t="s">
        <v>127</v>
      </c>
      <c r="F3849" t="s">
        <v>128</v>
      </c>
      <c r="G3849" t="s">
        <v>39</v>
      </c>
      <c r="H3849" s="2">
        <v>43</v>
      </c>
      <c r="I3849">
        <v>116</v>
      </c>
      <c r="J3849">
        <v>499</v>
      </c>
      <c r="K3849" s="4">
        <v>209</v>
      </c>
      <c r="L3849" t="s">
        <v>27</v>
      </c>
    </row>
    <row r="3850" spans="1:12" x14ac:dyDescent="0.35">
      <c r="A3850" t="s">
        <v>42</v>
      </c>
      <c r="B3850">
        <v>1185732</v>
      </c>
      <c r="C3850" s="1">
        <v>44547</v>
      </c>
      <c r="D3850" t="s">
        <v>43</v>
      </c>
      <c r="E3850" t="s">
        <v>127</v>
      </c>
      <c r="F3850" t="s">
        <v>128</v>
      </c>
      <c r="G3850" t="s">
        <v>56</v>
      </c>
      <c r="H3850" s="2">
        <v>49</v>
      </c>
      <c r="I3850">
        <v>116</v>
      </c>
      <c r="J3850">
        <v>568</v>
      </c>
      <c r="K3850" s="4">
        <v>199</v>
      </c>
      <c r="L3850" t="s">
        <v>27</v>
      </c>
    </row>
    <row r="3851" spans="1:12" x14ac:dyDescent="0.35">
      <c r="A3851" t="s">
        <v>42</v>
      </c>
      <c r="B3851">
        <v>1185732</v>
      </c>
      <c r="C3851" s="1">
        <v>44401</v>
      </c>
      <c r="D3851" t="s">
        <v>33</v>
      </c>
      <c r="E3851" t="s">
        <v>118</v>
      </c>
      <c r="F3851" t="s">
        <v>119</v>
      </c>
      <c r="G3851" t="s">
        <v>26</v>
      </c>
      <c r="H3851" s="2">
        <v>56</v>
      </c>
      <c r="I3851">
        <v>115</v>
      </c>
      <c r="J3851">
        <v>644</v>
      </c>
      <c r="K3851" s="4">
        <v>354</v>
      </c>
      <c r="L3851" t="s">
        <v>17</v>
      </c>
    </row>
    <row r="3852" spans="1:12" x14ac:dyDescent="0.35">
      <c r="A3852" t="s">
        <v>18</v>
      </c>
      <c r="B3852">
        <v>1128299</v>
      </c>
      <c r="C3852" s="1">
        <v>43907</v>
      </c>
      <c r="D3852" t="s">
        <v>48</v>
      </c>
      <c r="E3852" t="s">
        <v>116</v>
      </c>
      <c r="F3852" t="s">
        <v>117</v>
      </c>
      <c r="G3852" t="s">
        <v>32</v>
      </c>
      <c r="H3852" s="2">
        <v>39</v>
      </c>
      <c r="I3852">
        <v>115</v>
      </c>
      <c r="J3852">
        <v>449</v>
      </c>
      <c r="K3852" s="4">
        <v>206</v>
      </c>
      <c r="L3852" t="s">
        <v>17</v>
      </c>
    </row>
    <row r="3853" spans="1:12" x14ac:dyDescent="0.35">
      <c r="A3853" t="s">
        <v>18</v>
      </c>
      <c r="B3853">
        <v>1128299</v>
      </c>
      <c r="C3853" s="1">
        <v>43975</v>
      </c>
      <c r="D3853" t="s">
        <v>48</v>
      </c>
      <c r="E3853" t="s">
        <v>133</v>
      </c>
      <c r="F3853" t="s">
        <v>134</v>
      </c>
      <c r="G3853" t="s">
        <v>70</v>
      </c>
      <c r="H3853" s="2">
        <v>68</v>
      </c>
      <c r="I3853">
        <v>115</v>
      </c>
      <c r="J3853">
        <v>782</v>
      </c>
      <c r="K3853" s="4">
        <v>524</v>
      </c>
      <c r="L3853" t="s">
        <v>17</v>
      </c>
    </row>
    <row r="3854" spans="1:12" x14ac:dyDescent="0.35">
      <c r="A3854" t="s">
        <v>18</v>
      </c>
      <c r="B3854">
        <v>1128299</v>
      </c>
      <c r="C3854" s="1">
        <v>43990</v>
      </c>
      <c r="D3854" t="s">
        <v>48</v>
      </c>
      <c r="E3854" t="s">
        <v>97</v>
      </c>
      <c r="F3854" t="s">
        <v>98</v>
      </c>
      <c r="G3854" t="s">
        <v>39</v>
      </c>
      <c r="H3854" s="2">
        <v>58</v>
      </c>
      <c r="I3854">
        <v>115</v>
      </c>
      <c r="J3854">
        <v>667</v>
      </c>
      <c r="K3854" s="4">
        <v>240</v>
      </c>
      <c r="L3854" t="s">
        <v>17</v>
      </c>
    </row>
    <row r="3855" spans="1:12" x14ac:dyDescent="0.35">
      <c r="A3855" t="s">
        <v>18</v>
      </c>
      <c r="B3855">
        <v>1128299</v>
      </c>
      <c r="C3855" s="1">
        <v>43991</v>
      </c>
      <c r="D3855" t="s">
        <v>48</v>
      </c>
      <c r="E3855" t="s">
        <v>97</v>
      </c>
      <c r="F3855" t="s">
        <v>98</v>
      </c>
      <c r="G3855" t="s">
        <v>32</v>
      </c>
      <c r="H3855" s="2">
        <v>60</v>
      </c>
      <c r="I3855">
        <v>115</v>
      </c>
      <c r="J3855">
        <v>690</v>
      </c>
      <c r="K3855" s="4">
        <v>276</v>
      </c>
      <c r="L3855" t="s">
        <v>17</v>
      </c>
    </row>
    <row r="3856" spans="1:12" x14ac:dyDescent="0.35">
      <c r="A3856" t="s">
        <v>18</v>
      </c>
      <c r="B3856">
        <v>1128299</v>
      </c>
      <c r="C3856" s="1">
        <v>44041</v>
      </c>
      <c r="D3856" t="s">
        <v>48</v>
      </c>
      <c r="E3856" t="s">
        <v>97</v>
      </c>
      <c r="F3856" t="s">
        <v>98</v>
      </c>
      <c r="G3856" t="s">
        <v>70</v>
      </c>
      <c r="H3856" s="2">
        <v>85</v>
      </c>
      <c r="I3856">
        <v>115</v>
      </c>
      <c r="J3856">
        <v>978</v>
      </c>
      <c r="K3856" s="4">
        <v>391</v>
      </c>
      <c r="L3856" t="s">
        <v>17</v>
      </c>
    </row>
    <row r="3857" spans="1:12" x14ac:dyDescent="0.35">
      <c r="A3857" t="s">
        <v>63</v>
      </c>
      <c r="B3857">
        <v>1189833</v>
      </c>
      <c r="C3857" s="1">
        <v>44206</v>
      </c>
      <c r="D3857" t="s">
        <v>33</v>
      </c>
      <c r="E3857" t="s">
        <v>131</v>
      </c>
      <c r="F3857" t="s">
        <v>132</v>
      </c>
      <c r="G3857" t="s">
        <v>39</v>
      </c>
      <c r="H3857" s="2">
        <v>41</v>
      </c>
      <c r="I3857">
        <v>115</v>
      </c>
      <c r="J3857">
        <v>472</v>
      </c>
      <c r="K3857" s="4">
        <v>193</v>
      </c>
      <c r="L3857" t="s">
        <v>17</v>
      </c>
    </row>
    <row r="3858" spans="1:12" x14ac:dyDescent="0.35">
      <c r="A3858" t="s">
        <v>23</v>
      </c>
      <c r="B3858">
        <v>1128299</v>
      </c>
      <c r="C3858" s="1">
        <v>44213</v>
      </c>
      <c r="D3858" t="s">
        <v>48</v>
      </c>
      <c r="E3858" t="s">
        <v>129</v>
      </c>
      <c r="F3858" t="s">
        <v>130</v>
      </c>
      <c r="G3858" t="s">
        <v>26</v>
      </c>
      <c r="H3858" s="2">
        <v>38</v>
      </c>
      <c r="I3858">
        <v>115</v>
      </c>
      <c r="J3858">
        <v>437</v>
      </c>
      <c r="K3858" s="4">
        <v>188</v>
      </c>
      <c r="L3858" t="s">
        <v>17</v>
      </c>
    </row>
    <row r="3859" spans="1:12" x14ac:dyDescent="0.35">
      <c r="A3859" t="s">
        <v>23</v>
      </c>
      <c r="B3859">
        <v>1128299</v>
      </c>
      <c r="C3859" s="1">
        <v>44271</v>
      </c>
      <c r="D3859" t="s">
        <v>13</v>
      </c>
      <c r="E3859" t="s">
        <v>14</v>
      </c>
      <c r="F3859" t="s">
        <v>15</v>
      </c>
      <c r="G3859" t="s">
        <v>32</v>
      </c>
      <c r="H3859" s="2">
        <v>59</v>
      </c>
      <c r="I3859">
        <v>115</v>
      </c>
      <c r="J3859">
        <v>679</v>
      </c>
      <c r="K3859" s="4">
        <v>292</v>
      </c>
      <c r="L3859" t="s">
        <v>17</v>
      </c>
    </row>
    <row r="3860" spans="1:12" x14ac:dyDescent="0.35">
      <c r="A3860" t="s">
        <v>18</v>
      </c>
      <c r="B3860">
        <v>1185732</v>
      </c>
      <c r="C3860" s="1">
        <v>44238</v>
      </c>
      <c r="D3860" t="s">
        <v>33</v>
      </c>
      <c r="E3860" t="s">
        <v>34</v>
      </c>
      <c r="F3860" t="s">
        <v>35</v>
      </c>
      <c r="G3860" t="s">
        <v>32</v>
      </c>
      <c r="H3860" s="2">
        <v>14</v>
      </c>
      <c r="I3860">
        <v>115</v>
      </c>
      <c r="J3860">
        <v>161</v>
      </c>
      <c r="K3860" s="4">
        <v>72</v>
      </c>
      <c r="L3860" t="s">
        <v>17</v>
      </c>
    </row>
    <row r="3861" spans="1:12" x14ac:dyDescent="0.35">
      <c r="A3861" t="s">
        <v>18</v>
      </c>
      <c r="B3861">
        <v>1185732</v>
      </c>
      <c r="C3861" s="1">
        <v>44358</v>
      </c>
      <c r="D3861" t="s">
        <v>48</v>
      </c>
      <c r="E3861" t="s">
        <v>49</v>
      </c>
      <c r="F3861" t="s">
        <v>50</v>
      </c>
      <c r="G3861" t="s">
        <v>32</v>
      </c>
      <c r="H3861" s="2">
        <v>19</v>
      </c>
      <c r="I3861">
        <v>115</v>
      </c>
      <c r="J3861">
        <v>219</v>
      </c>
      <c r="K3861" s="4">
        <v>107</v>
      </c>
      <c r="L3861" t="s">
        <v>17</v>
      </c>
    </row>
    <row r="3862" spans="1:12" x14ac:dyDescent="0.35">
      <c r="A3862" t="s">
        <v>18</v>
      </c>
      <c r="B3862">
        <v>1185732</v>
      </c>
      <c r="C3862" s="1">
        <v>44387</v>
      </c>
      <c r="D3862" t="s">
        <v>48</v>
      </c>
      <c r="E3862" t="s">
        <v>49</v>
      </c>
      <c r="F3862" t="s">
        <v>50</v>
      </c>
      <c r="G3862" t="s">
        <v>56</v>
      </c>
      <c r="H3862" s="2">
        <v>23</v>
      </c>
      <c r="I3862">
        <v>115</v>
      </c>
      <c r="J3862">
        <v>265</v>
      </c>
      <c r="K3862" s="4">
        <v>132</v>
      </c>
      <c r="L3862" t="s">
        <v>17</v>
      </c>
    </row>
    <row r="3863" spans="1:12" x14ac:dyDescent="0.35">
      <c r="A3863" t="s">
        <v>63</v>
      </c>
      <c r="B3863">
        <v>1128299</v>
      </c>
      <c r="C3863" s="1">
        <v>44552</v>
      </c>
      <c r="D3863" t="s">
        <v>48</v>
      </c>
      <c r="E3863" t="s">
        <v>123</v>
      </c>
      <c r="F3863" t="s">
        <v>124</v>
      </c>
      <c r="G3863" t="s">
        <v>56</v>
      </c>
      <c r="H3863" s="2">
        <v>44</v>
      </c>
      <c r="I3863">
        <v>115</v>
      </c>
      <c r="J3863">
        <v>506</v>
      </c>
      <c r="K3863" s="4">
        <v>228</v>
      </c>
      <c r="L3863" t="s">
        <v>17</v>
      </c>
    </row>
    <row r="3864" spans="1:12" x14ac:dyDescent="0.35">
      <c r="A3864" t="s">
        <v>63</v>
      </c>
      <c r="B3864">
        <v>1128299</v>
      </c>
      <c r="C3864" s="1">
        <v>44343</v>
      </c>
      <c r="D3864" t="s">
        <v>48</v>
      </c>
      <c r="E3864" t="s">
        <v>114</v>
      </c>
      <c r="F3864" t="s">
        <v>115</v>
      </c>
      <c r="G3864" t="s">
        <v>16</v>
      </c>
      <c r="H3864" s="2">
        <v>69</v>
      </c>
      <c r="I3864">
        <v>115</v>
      </c>
      <c r="J3864">
        <v>794</v>
      </c>
      <c r="K3864" s="4">
        <v>309</v>
      </c>
      <c r="L3864" t="s">
        <v>17</v>
      </c>
    </row>
    <row r="3865" spans="1:12" x14ac:dyDescent="0.35">
      <c r="A3865" t="s">
        <v>63</v>
      </c>
      <c r="B3865">
        <v>1128299</v>
      </c>
      <c r="C3865" s="1">
        <v>44526</v>
      </c>
      <c r="D3865" t="s">
        <v>48</v>
      </c>
      <c r="E3865" t="s">
        <v>114</v>
      </c>
      <c r="F3865" t="s">
        <v>115</v>
      </c>
      <c r="G3865" t="s">
        <v>56</v>
      </c>
      <c r="H3865" s="2">
        <v>55</v>
      </c>
      <c r="I3865">
        <v>115</v>
      </c>
      <c r="J3865">
        <v>633</v>
      </c>
      <c r="K3865" s="4">
        <v>297</v>
      </c>
      <c r="L3865" t="s">
        <v>17</v>
      </c>
    </row>
    <row r="3866" spans="1:12" x14ac:dyDescent="0.35">
      <c r="A3866" t="s">
        <v>23</v>
      </c>
      <c r="B3866">
        <v>1128299</v>
      </c>
      <c r="C3866" s="1">
        <v>44513</v>
      </c>
      <c r="D3866" t="s">
        <v>13</v>
      </c>
      <c r="E3866" t="s">
        <v>57</v>
      </c>
      <c r="F3866" t="s">
        <v>58</v>
      </c>
      <c r="G3866" t="s">
        <v>32</v>
      </c>
      <c r="H3866" s="2">
        <v>54</v>
      </c>
      <c r="I3866">
        <v>115</v>
      </c>
      <c r="J3866">
        <v>621</v>
      </c>
      <c r="K3866" s="4">
        <v>292</v>
      </c>
      <c r="L3866" t="s">
        <v>17</v>
      </c>
    </row>
    <row r="3867" spans="1:12" x14ac:dyDescent="0.35">
      <c r="A3867" t="s">
        <v>51</v>
      </c>
      <c r="B3867">
        <v>1185732</v>
      </c>
      <c r="C3867" s="1">
        <v>44398</v>
      </c>
      <c r="D3867" t="s">
        <v>13</v>
      </c>
      <c r="E3867" t="s">
        <v>106</v>
      </c>
      <c r="F3867" t="s">
        <v>107</v>
      </c>
      <c r="G3867" t="s">
        <v>16</v>
      </c>
      <c r="H3867" s="2">
        <v>50</v>
      </c>
      <c r="I3867">
        <v>115</v>
      </c>
      <c r="J3867">
        <v>575</v>
      </c>
      <c r="K3867" s="4">
        <v>311</v>
      </c>
      <c r="L3867" t="s">
        <v>17</v>
      </c>
    </row>
    <row r="3868" spans="1:12" x14ac:dyDescent="0.35">
      <c r="A3868" t="s">
        <v>42</v>
      </c>
      <c r="B3868">
        <v>1185732</v>
      </c>
      <c r="C3868" s="1">
        <v>44216</v>
      </c>
      <c r="D3868" t="s">
        <v>13</v>
      </c>
      <c r="E3868" t="s">
        <v>106</v>
      </c>
      <c r="F3868" t="s">
        <v>107</v>
      </c>
      <c r="G3868" t="s">
        <v>70</v>
      </c>
      <c r="H3868" s="2">
        <v>38</v>
      </c>
      <c r="I3868">
        <v>115</v>
      </c>
      <c r="J3868">
        <v>437</v>
      </c>
      <c r="K3868" s="4">
        <v>210</v>
      </c>
      <c r="L3868" t="s">
        <v>17</v>
      </c>
    </row>
    <row r="3869" spans="1:12" x14ac:dyDescent="0.35">
      <c r="A3869" t="s">
        <v>12</v>
      </c>
      <c r="B3869">
        <v>1197831</v>
      </c>
      <c r="C3869" s="1">
        <v>44248</v>
      </c>
      <c r="D3869" t="s">
        <v>19</v>
      </c>
      <c r="E3869" t="s">
        <v>54</v>
      </c>
      <c r="F3869" t="s">
        <v>55</v>
      </c>
      <c r="G3869" t="s">
        <v>16</v>
      </c>
      <c r="H3869" s="2">
        <v>19</v>
      </c>
      <c r="I3869">
        <v>115</v>
      </c>
      <c r="J3869">
        <v>219</v>
      </c>
      <c r="K3869" s="4">
        <v>118</v>
      </c>
      <c r="L3869" t="s">
        <v>17</v>
      </c>
    </row>
    <row r="3870" spans="1:12" x14ac:dyDescent="0.35">
      <c r="A3870" t="s">
        <v>18</v>
      </c>
      <c r="B3870">
        <v>1185732</v>
      </c>
      <c r="C3870" s="1">
        <v>44364</v>
      </c>
      <c r="D3870" t="s">
        <v>43</v>
      </c>
      <c r="E3870" t="s">
        <v>64</v>
      </c>
      <c r="F3870" t="s">
        <v>65</v>
      </c>
      <c r="G3870" t="s">
        <v>16</v>
      </c>
      <c r="H3870" s="2">
        <v>59</v>
      </c>
      <c r="I3870">
        <v>115</v>
      </c>
      <c r="J3870">
        <v>679</v>
      </c>
      <c r="K3870" s="4">
        <v>353</v>
      </c>
      <c r="L3870" t="s">
        <v>17</v>
      </c>
    </row>
    <row r="3871" spans="1:12" x14ac:dyDescent="0.35">
      <c r="A3871" t="s">
        <v>18</v>
      </c>
      <c r="B3871">
        <v>1185732</v>
      </c>
      <c r="C3871" s="1">
        <v>44425</v>
      </c>
      <c r="D3871" t="s">
        <v>43</v>
      </c>
      <c r="E3871" t="s">
        <v>64</v>
      </c>
      <c r="F3871" t="s">
        <v>65</v>
      </c>
      <c r="G3871" t="s">
        <v>16</v>
      </c>
      <c r="H3871" s="2">
        <v>54</v>
      </c>
      <c r="I3871">
        <v>115</v>
      </c>
      <c r="J3871">
        <v>621</v>
      </c>
      <c r="K3871" s="4">
        <v>335</v>
      </c>
      <c r="L3871" t="s">
        <v>17</v>
      </c>
    </row>
    <row r="3872" spans="1:12" x14ac:dyDescent="0.35">
      <c r="A3872" t="s">
        <v>18</v>
      </c>
      <c r="B3872">
        <v>1185732</v>
      </c>
      <c r="C3872" s="1">
        <v>44486</v>
      </c>
      <c r="D3872" t="s">
        <v>43</v>
      </c>
      <c r="E3872" t="s">
        <v>64</v>
      </c>
      <c r="F3872" t="s">
        <v>65</v>
      </c>
      <c r="G3872" t="s">
        <v>26</v>
      </c>
      <c r="H3872" s="2">
        <v>41</v>
      </c>
      <c r="I3872">
        <v>115</v>
      </c>
      <c r="J3872">
        <v>472</v>
      </c>
      <c r="K3872" s="4">
        <v>255</v>
      </c>
      <c r="L3872" t="s">
        <v>17</v>
      </c>
    </row>
    <row r="3873" spans="1:12" x14ac:dyDescent="0.35">
      <c r="A3873" t="s">
        <v>42</v>
      </c>
      <c r="B3873">
        <v>1185732</v>
      </c>
      <c r="C3873" s="1">
        <v>44206</v>
      </c>
      <c r="D3873" t="s">
        <v>43</v>
      </c>
      <c r="E3873" t="s">
        <v>108</v>
      </c>
      <c r="F3873" t="s">
        <v>109</v>
      </c>
      <c r="G3873" t="s">
        <v>26</v>
      </c>
      <c r="H3873" s="2">
        <v>34</v>
      </c>
      <c r="I3873">
        <v>115</v>
      </c>
      <c r="J3873">
        <v>391</v>
      </c>
      <c r="K3873" s="4">
        <v>180</v>
      </c>
      <c r="L3873" t="s">
        <v>17</v>
      </c>
    </row>
    <row r="3874" spans="1:12" x14ac:dyDescent="0.35">
      <c r="A3874" t="s">
        <v>51</v>
      </c>
      <c r="B3874">
        <v>1185732</v>
      </c>
      <c r="C3874" s="1">
        <v>44387</v>
      </c>
      <c r="D3874" t="s">
        <v>43</v>
      </c>
      <c r="E3874" t="s">
        <v>125</v>
      </c>
      <c r="F3874" t="s">
        <v>126</v>
      </c>
      <c r="G3874" t="s">
        <v>39</v>
      </c>
      <c r="H3874" s="2">
        <v>51</v>
      </c>
      <c r="I3874">
        <v>115</v>
      </c>
      <c r="J3874">
        <v>587</v>
      </c>
      <c r="K3874" s="4">
        <v>328</v>
      </c>
      <c r="L3874" t="s">
        <v>17</v>
      </c>
    </row>
    <row r="3875" spans="1:12" x14ac:dyDescent="0.35">
      <c r="A3875" t="s">
        <v>51</v>
      </c>
      <c r="B3875">
        <v>1185732</v>
      </c>
      <c r="C3875" s="1">
        <v>44333</v>
      </c>
      <c r="D3875" t="s">
        <v>43</v>
      </c>
      <c r="E3875" t="s">
        <v>127</v>
      </c>
      <c r="F3875" t="s">
        <v>128</v>
      </c>
      <c r="G3875" t="s">
        <v>16</v>
      </c>
      <c r="H3875" s="2">
        <v>65</v>
      </c>
      <c r="I3875">
        <v>115</v>
      </c>
      <c r="J3875">
        <v>748</v>
      </c>
      <c r="K3875" s="4">
        <v>344</v>
      </c>
      <c r="L3875" t="s">
        <v>17</v>
      </c>
    </row>
    <row r="3876" spans="1:12" x14ac:dyDescent="0.35">
      <c r="A3876" t="s">
        <v>42</v>
      </c>
      <c r="B3876">
        <v>1185732</v>
      </c>
      <c r="C3876" s="1">
        <v>44547</v>
      </c>
      <c r="D3876" t="s">
        <v>43</v>
      </c>
      <c r="E3876" t="s">
        <v>127</v>
      </c>
      <c r="F3876" t="s">
        <v>128</v>
      </c>
      <c r="G3876" t="s">
        <v>39</v>
      </c>
      <c r="H3876" s="2">
        <v>59</v>
      </c>
      <c r="I3876">
        <v>115</v>
      </c>
      <c r="J3876">
        <v>679</v>
      </c>
      <c r="K3876" s="4">
        <v>373</v>
      </c>
      <c r="L3876" t="s">
        <v>17</v>
      </c>
    </row>
    <row r="3877" spans="1:12" x14ac:dyDescent="0.35">
      <c r="A3877" t="s">
        <v>23</v>
      </c>
      <c r="B3877">
        <v>1197831</v>
      </c>
      <c r="C3877" s="1">
        <v>44413</v>
      </c>
      <c r="D3877" t="s">
        <v>19</v>
      </c>
      <c r="E3877" t="s">
        <v>24</v>
      </c>
      <c r="F3877" t="s">
        <v>25</v>
      </c>
      <c r="G3877" t="s">
        <v>70</v>
      </c>
      <c r="H3877" s="2">
        <v>31</v>
      </c>
      <c r="I3877">
        <v>114</v>
      </c>
      <c r="J3877">
        <v>353</v>
      </c>
      <c r="K3877" s="4">
        <v>145</v>
      </c>
      <c r="L3877" t="s">
        <v>27</v>
      </c>
    </row>
    <row r="3878" spans="1:12" x14ac:dyDescent="0.35">
      <c r="A3878" t="s">
        <v>23</v>
      </c>
      <c r="B3878">
        <v>1128299</v>
      </c>
      <c r="C3878" s="1">
        <v>44271</v>
      </c>
      <c r="D3878" t="s">
        <v>13</v>
      </c>
      <c r="E3878" t="s">
        <v>14</v>
      </c>
      <c r="F3878" t="s">
        <v>15</v>
      </c>
      <c r="G3878" t="s">
        <v>56</v>
      </c>
      <c r="H3878" s="2">
        <v>42</v>
      </c>
      <c r="I3878">
        <v>114</v>
      </c>
      <c r="J3878">
        <v>479</v>
      </c>
      <c r="K3878" s="4">
        <v>168</v>
      </c>
      <c r="L3878" t="s">
        <v>27</v>
      </c>
    </row>
    <row r="3879" spans="1:12" x14ac:dyDescent="0.35">
      <c r="A3879" t="s">
        <v>42</v>
      </c>
      <c r="B3879">
        <v>1128299</v>
      </c>
      <c r="C3879" s="1">
        <v>44310</v>
      </c>
      <c r="D3879" t="s">
        <v>13</v>
      </c>
      <c r="E3879" t="s">
        <v>99</v>
      </c>
      <c r="F3879" t="s">
        <v>100</v>
      </c>
      <c r="G3879" t="s">
        <v>32</v>
      </c>
      <c r="H3879" s="2">
        <v>41</v>
      </c>
      <c r="I3879">
        <v>114</v>
      </c>
      <c r="J3879">
        <v>467</v>
      </c>
      <c r="K3879" s="4">
        <v>173</v>
      </c>
      <c r="L3879" t="s">
        <v>27</v>
      </c>
    </row>
    <row r="3880" spans="1:12" x14ac:dyDescent="0.35">
      <c r="A3880" t="s">
        <v>18</v>
      </c>
      <c r="B3880">
        <v>1185732</v>
      </c>
      <c r="C3880" s="1">
        <v>44451</v>
      </c>
      <c r="D3880" t="s">
        <v>48</v>
      </c>
      <c r="E3880" t="s">
        <v>49</v>
      </c>
      <c r="F3880" t="s">
        <v>50</v>
      </c>
      <c r="G3880" t="s">
        <v>70</v>
      </c>
      <c r="H3880" s="2">
        <v>16</v>
      </c>
      <c r="I3880">
        <v>114</v>
      </c>
      <c r="J3880">
        <v>182</v>
      </c>
      <c r="K3880" s="4">
        <v>75</v>
      </c>
      <c r="L3880" t="s">
        <v>27</v>
      </c>
    </row>
    <row r="3881" spans="1:12" x14ac:dyDescent="0.35">
      <c r="A3881" t="s">
        <v>18</v>
      </c>
      <c r="B3881">
        <v>1128299</v>
      </c>
      <c r="C3881" s="1">
        <v>44310</v>
      </c>
      <c r="D3881" t="s">
        <v>48</v>
      </c>
      <c r="E3881" t="s">
        <v>85</v>
      </c>
      <c r="F3881" t="s">
        <v>86</v>
      </c>
      <c r="G3881" t="s">
        <v>32</v>
      </c>
      <c r="H3881" s="2">
        <v>47</v>
      </c>
      <c r="I3881">
        <v>114</v>
      </c>
      <c r="J3881">
        <v>536</v>
      </c>
      <c r="K3881" s="4">
        <v>220</v>
      </c>
      <c r="L3881" t="s">
        <v>27</v>
      </c>
    </row>
    <row r="3882" spans="1:12" x14ac:dyDescent="0.35">
      <c r="A3882" t="s">
        <v>18</v>
      </c>
      <c r="B3882">
        <v>1128299</v>
      </c>
      <c r="C3882" s="1">
        <v>44493</v>
      </c>
      <c r="D3882" t="s">
        <v>48</v>
      </c>
      <c r="E3882" t="s">
        <v>85</v>
      </c>
      <c r="F3882" t="s">
        <v>86</v>
      </c>
      <c r="G3882" t="s">
        <v>56</v>
      </c>
      <c r="H3882" s="2">
        <v>34</v>
      </c>
      <c r="I3882">
        <v>114</v>
      </c>
      <c r="J3882">
        <v>388</v>
      </c>
      <c r="K3882" s="4">
        <v>151</v>
      </c>
      <c r="L3882" t="s">
        <v>27</v>
      </c>
    </row>
    <row r="3883" spans="1:12" x14ac:dyDescent="0.35">
      <c r="A3883" t="s">
        <v>63</v>
      </c>
      <c r="B3883">
        <v>1128299</v>
      </c>
      <c r="C3883" s="1">
        <v>44495</v>
      </c>
      <c r="D3883" t="s">
        <v>48</v>
      </c>
      <c r="E3883" t="s">
        <v>114</v>
      </c>
      <c r="F3883" t="s">
        <v>115</v>
      </c>
      <c r="G3883" t="s">
        <v>70</v>
      </c>
      <c r="H3883" s="2">
        <v>41</v>
      </c>
      <c r="I3883">
        <v>114</v>
      </c>
      <c r="J3883">
        <v>467</v>
      </c>
      <c r="K3883" s="4">
        <v>154</v>
      </c>
      <c r="L3883" t="s">
        <v>27</v>
      </c>
    </row>
    <row r="3884" spans="1:12" x14ac:dyDescent="0.35">
      <c r="A3884" t="s">
        <v>23</v>
      </c>
      <c r="B3884">
        <v>1128299</v>
      </c>
      <c r="C3884" s="1">
        <v>44330</v>
      </c>
      <c r="D3884" t="s">
        <v>13</v>
      </c>
      <c r="E3884" t="s">
        <v>57</v>
      </c>
      <c r="F3884" t="s">
        <v>58</v>
      </c>
      <c r="G3884" t="s">
        <v>56</v>
      </c>
      <c r="H3884" s="2">
        <v>34</v>
      </c>
      <c r="I3884">
        <v>114</v>
      </c>
      <c r="J3884">
        <v>388</v>
      </c>
      <c r="K3884" s="4">
        <v>167</v>
      </c>
      <c r="L3884" t="s">
        <v>27</v>
      </c>
    </row>
    <row r="3885" spans="1:12" x14ac:dyDescent="0.35">
      <c r="A3885" t="s">
        <v>23</v>
      </c>
      <c r="B3885">
        <v>1128299</v>
      </c>
      <c r="C3885" s="1">
        <v>44482</v>
      </c>
      <c r="D3885" t="s">
        <v>13</v>
      </c>
      <c r="E3885" t="s">
        <v>57</v>
      </c>
      <c r="F3885" t="s">
        <v>58</v>
      </c>
      <c r="G3885" t="s">
        <v>56</v>
      </c>
      <c r="H3885" s="2">
        <v>32</v>
      </c>
      <c r="I3885">
        <v>114</v>
      </c>
      <c r="J3885">
        <v>365</v>
      </c>
      <c r="K3885" s="4">
        <v>161</v>
      </c>
      <c r="L3885" t="s">
        <v>27</v>
      </c>
    </row>
    <row r="3886" spans="1:12" x14ac:dyDescent="0.35">
      <c r="A3886" t="s">
        <v>63</v>
      </c>
      <c r="B3886">
        <v>1197831</v>
      </c>
      <c r="C3886" s="1">
        <v>44549</v>
      </c>
      <c r="D3886" t="s">
        <v>19</v>
      </c>
      <c r="E3886" t="s">
        <v>61</v>
      </c>
      <c r="F3886" t="s">
        <v>62</v>
      </c>
      <c r="G3886" t="s">
        <v>56</v>
      </c>
      <c r="H3886" s="2">
        <v>45</v>
      </c>
      <c r="I3886">
        <v>114</v>
      </c>
      <c r="J3886">
        <v>513</v>
      </c>
      <c r="K3886" s="4">
        <v>231</v>
      </c>
      <c r="L3886" t="s">
        <v>27</v>
      </c>
    </row>
    <row r="3887" spans="1:12" x14ac:dyDescent="0.35">
      <c r="A3887" t="s">
        <v>42</v>
      </c>
      <c r="B3887">
        <v>1185732</v>
      </c>
      <c r="C3887" s="1">
        <v>44383</v>
      </c>
      <c r="D3887" t="s">
        <v>43</v>
      </c>
      <c r="E3887" t="s">
        <v>110</v>
      </c>
      <c r="F3887" t="s">
        <v>111</v>
      </c>
      <c r="G3887" t="s">
        <v>39</v>
      </c>
      <c r="H3887" s="2">
        <v>32</v>
      </c>
      <c r="I3887">
        <v>114</v>
      </c>
      <c r="J3887">
        <v>365</v>
      </c>
      <c r="K3887" s="4">
        <v>135</v>
      </c>
      <c r="L3887" t="s">
        <v>27</v>
      </c>
    </row>
    <row r="3888" spans="1:12" x14ac:dyDescent="0.35">
      <c r="A3888" t="s">
        <v>23</v>
      </c>
      <c r="B3888">
        <v>1185732</v>
      </c>
      <c r="C3888" s="1">
        <v>44362</v>
      </c>
      <c r="D3888" t="s">
        <v>43</v>
      </c>
      <c r="E3888" t="s">
        <v>112</v>
      </c>
      <c r="F3888" t="s">
        <v>113</v>
      </c>
      <c r="G3888" t="s">
        <v>39</v>
      </c>
      <c r="H3888" s="2">
        <v>36</v>
      </c>
      <c r="I3888">
        <v>114</v>
      </c>
      <c r="J3888">
        <v>410</v>
      </c>
      <c r="K3888" s="4">
        <v>131</v>
      </c>
      <c r="L3888" t="s">
        <v>27</v>
      </c>
    </row>
    <row r="3889" spans="1:12" x14ac:dyDescent="0.35">
      <c r="A3889" t="s">
        <v>51</v>
      </c>
      <c r="B3889">
        <v>1185732</v>
      </c>
      <c r="C3889" s="1">
        <v>44387</v>
      </c>
      <c r="D3889" t="s">
        <v>43</v>
      </c>
      <c r="E3889" t="s">
        <v>125</v>
      </c>
      <c r="F3889" t="s">
        <v>126</v>
      </c>
      <c r="G3889" t="s">
        <v>70</v>
      </c>
      <c r="H3889" s="2">
        <v>39</v>
      </c>
      <c r="I3889">
        <v>114</v>
      </c>
      <c r="J3889">
        <v>445</v>
      </c>
      <c r="K3889" s="4">
        <v>169</v>
      </c>
      <c r="L3889" t="s">
        <v>27</v>
      </c>
    </row>
    <row r="3890" spans="1:12" x14ac:dyDescent="0.35">
      <c r="A3890" t="s">
        <v>51</v>
      </c>
      <c r="B3890">
        <v>1185732</v>
      </c>
      <c r="C3890" s="1">
        <v>44366</v>
      </c>
      <c r="D3890" t="s">
        <v>43</v>
      </c>
      <c r="E3890" t="s">
        <v>127</v>
      </c>
      <c r="F3890" t="s">
        <v>128</v>
      </c>
      <c r="G3890" t="s">
        <v>70</v>
      </c>
      <c r="H3890" s="2">
        <v>47</v>
      </c>
      <c r="I3890">
        <v>114</v>
      </c>
      <c r="J3890">
        <v>536</v>
      </c>
      <c r="K3890" s="4">
        <v>198</v>
      </c>
      <c r="L3890" t="s">
        <v>27</v>
      </c>
    </row>
    <row r="3891" spans="1:12" x14ac:dyDescent="0.35">
      <c r="A3891" t="s">
        <v>42</v>
      </c>
      <c r="B3891">
        <v>1185732</v>
      </c>
      <c r="C3891" s="1">
        <v>44518</v>
      </c>
      <c r="D3891" t="s">
        <v>43</v>
      </c>
      <c r="E3891" t="s">
        <v>127</v>
      </c>
      <c r="F3891" t="s">
        <v>128</v>
      </c>
      <c r="G3891" t="s">
        <v>39</v>
      </c>
      <c r="H3891" s="2">
        <v>42</v>
      </c>
      <c r="I3891">
        <v>114</v>
      </c>
      <c r="J3891">
        <v>479</v>
      </c>
      <c r="K3891" s="4">
        <v>206</v>
      </c>
      <c r="L3891" t="s">
        <v>27</v>
      </c>
    </row>
    <row r="3892" spans="1:12" x14ac:dyDescent="0.35">
      <c r="A3892" t="s">
        <v>42</v>
      </c>
      <c r="B3892">
        <v>1185732</v>
      </c>
      <c r="C3892" s="1">
        <v>44518</v>
      </c>
      <c r="D3892" t="s">
        <v>43</v>
      </c>
      <c r="E3892" t="s">
        <v>127</v>
      </c>
      <c r="F3892" t="s">
        <v>128</v>
      </c>
      <c r="G3892" t="s">
        <v>32</v>
      </c>
      <c r="H3892" s="2">
        <v>51</v>
      </c>
      <c r="I3892">
        <v>114</v>
      </c>
      <c r="J3892">
        <v>581</v>
      </c>
      <c r="K3892" s="4">
        <v>203</v>
      </c>
      <c r="L3892" t="s">
        <v>27</v>
      </c>
    </row>
    <row r="3893" spans="1:12" x14ac:dyDescent="0.35">
      <c r="A3893" t="s">
        <v>42</v>
      </c>
      <c r="B3893">
        <v>1185732</v>
      </c>
      <c r="C3893" s="1">
        <v>44518</v>
      </c>
      <c r="D3893" t="s">
        <v>43</v>
      </c>
      <c r="E3893" t="s">
        <v>127</v>
      </c>
      <c r="F3893" t="s">
        <v>128</v>
      </c>
      <c r="G3893" t="s">
        <v>56</v>
      </c>
      <c r="H3893" s="2">
        <v>43</v>
      </c>
      <c r="I3893">
        <v>114</v>
      </c>
      <c r="J3893">
        <v>490</v>
      </c>
      <c r="K3893" s="4">
        <v>167</v>
      </c>
      <c r="L3893" t="s">
        <v>27</v>
      </c>
    </row>
    <row r="3894" spans="1:12" x14ac:dyDescent="0.35">
      <c r="A3894" t="s">
        <v>63</v>
      </c>
      <c r="B3894">
        <v>1189833</v>
      </c>
      <c r="C3894" s="1">
        <v>44272</v>
      </c>
      <c r="D3894" t="s">
        <v>48</v>
      </c>
      <c r="E3894" t="s">
        <v>66</v>
      </c>
      <c r="F3894" t="s">
        <v>76</v>
      </c>
      <c r="G3894" t="s">
        <v>70</v>
      </c>
      <c r="H3894" s="2">
        <v>46</v>
      </c>
      <c r="I3894">
        <v>113</v>
      </c>
      <c r="J3894">
        <v>520</v>
      </c>
      <c r="K3894" s="4">
        <v>353</v>
      </c>
      <c r="L3894" t="s">
        <v>17</v>
      </c>
    </row>
    <row r="3895" spans="1:12" x14ac:dyDescent="0.35">
      <c r="A3895" t="s">
        <v>42</v>
      </c>
      <c r="B3895">
        <v>1185732</v>
      </c>
      <c r="C3895" s="1">
        <v>44551</v>
      </c>
      <c r="D3895" t="s">
        <v>43</v>
      </c>
      <c r="E3895" t="s">
        <v>135</v>
      </c>
      <c r="F3895" t="s">
        <v>136</v>
      </c>
      <c r="G3895" t="s">
        <v>26</v>
      </c>
      <c r="H3895" s="2">
        <v>66</v>
      </c>
      <c r="I3895">
        <v>113</v>
      </c>
      <c r="J3895">
        <v>746</v>
      </c>
      <c r="K3895" s="4">
        <v>485</v>
      </c>
      <c r="L3895" t="s">
        <v>17</v>
      </c>
    </row>
    <row r="3896" spans="1:12" x14ac:dyDescent="0.35">
      <c r="A3896" t="s">
        <v>18</v>
      </c>
      <c r="B3896">
        <v>1128299</v>
      </c>
      <c r="C3896" s="1">
        <v>43885</v>
      </c>
      <c r="D3896" t="s">
        <v>48</v>
      </c>
      <c r="E3896" t="s">
        <v>116</v>
      </c>
      <c r="F3896" t="s">
        <v>117</v>
      </c>
      <c r="G3896" t="s">
        <v>16</v>
      </c>
      <c r="H3896" s="2">
        <v>74</v>
      </c>
      <c r="I3896">
        <v>113</v>
      </c>
      <c r="J3896">
        <v>836</v>
      </c>
      <c r="K3896" s="4">
        <v>251</v>
      </c>
      <c r="L3896" t="s">
        <v>17</v>
      </c>
    </row>
    <row r="3897" spans="1:12" x14ac:dyDescent="0.35">
      <c r="A3897" t="s">
        <v>18</v>
      </c>
      <c r="B3897">
        <v>1128299</v>
      </c>
      <c r="C3897" s="1">
        <v>43925</v>
      </c>
      <c r="D3897" t="s">
        <v>48</v>
      </c>
      <c r="E3897" t="s">
        <v>133</v>
      </c>
      <c r="F3897" t="s">
        <v>134</v>
      </c>
      <c r="G3897" t="s">
        <v>32</v>
      </c>
      <c r="H3897" s="2">
        <v>61</v>
      </c>
      <c r="I3897">
        <v>113</v>
      </c>
      <c r="J3897">
        <v>689</v>
      </c>
      <c r="K3897" s="4">
        <v>345</v>
      </c>
      <c r="L3897" t="s">
        <v>17</v>
      </c>
    </row>
    <row r="3898" spans="1:12" x14ac:dyDescent="0.35">
      <c r="A3898" t="s">
        <v>18</v>
      </c>
      <c r="B3898">
        <v>1128299</v>
      </c>
      <c r="C3898" s="1">
        <v>43955</v>
      </c>
      <c r="D3898" t="s">
        <v>48</v>
      </c>
      <c r="E3898" t="s">
        <v>133</v>
      </c>
      <c r="F3898" t="s">
        <v>134</v>
      </c>
      <c r="G3898" t="s">
        <v>32</v>
      </c>
      <c r="H3898" s="2">
        <v>60</v>
      </c>
      <c r="I3898">
        <v>113</v>
      </c>
      <c r="J3898">
        <v>678</v>
      </c>
      <c r="K3898" s="4">
        <v>339</v>
      </c>
      <c r="L3898" t="s">
        <v>17</v>
      </c>
    </row>
    <row r="3899" spans="1:12" x14ac:dyDescent="0.35">
      <c r="A3899" t="s">
        <v>18</v>
      </c>
      <c r="B3899">
        <v>1128299</v>
      </c>
      <c r="C3899" s="1">
        <v>44030</v>
      </c>
      <c r="D3899" t="s">
        <v>48</v>
      </c>
      <c r="E3899" t="s">
        <v>97</v>
      </c>
      <c r="F3899" t="s">
        <v>98</v>
      </c>
      <c r="G3899" t="s">
        <v>16</v>
      </c>
      <c r="H3899" s="2">
        <v>62</v>
      </c>
      <c r="I3899">
        <v>113</v>
      </c>
      <c r="J3899">
        <v>701</v>
      </c>
      <c r="K3899" s="4">
        <v>245</v>
      </c>
      <c r="L3899" t="s">
        <v>17</v>
      </c>
    </row>
    <row r="3900" spans="1:12" x14ac:dyDescent="0.35">
      <c r="A3900" t="s">
        <v>18</v>
      </c>
      <c r="B3900">
        <v>1128299</v>
      </c>
      <c r="C3900" s="1">
        <v>44033</v>
      </c>
      <c r="D3900" t="s">
        <v>48</v>
      </c>
      <c r="E3900" t="s">
        <v>97</v>
      </c>
      <c r="F3900" t="s">
        <v>98</v>
      </c>
      <c r="G3900" t="s">
        <v>32</v>
      </c>
      <c r="H3900" s="2">
        <v>56</v>
      </c>
      <c r="I3900">
        <v>113</v>
      </c>
      <c r="J3900">
        <v>633</v>
      </c>
      <c r="K3900" s="4">
        <v>228</v>
      </c>
      <c r="L3900" t="s">
        <v>17</v>
      </c>
    </row>
    <row r="3901" spans="1:12" x14ac:dyDescent="0.35">
      <c r="A3901" t="s">
        <v>42</v>
      </c>
      <c r="B3901">
        <v>1185732</v>
      </c>
      <c r="C3901" s="1">
        <v>44169</v>
      </c>
      <c r="D3901" t="s">
        <v>33</v>
      </c>
      <c r="E3901" t="s">
        <v>104</v>
      </c>
      <c r="F3901" t="s">
        <v>105</v>
      </c>
      <c r="G3901" t="s">
        <v>26</v>
      </c>
      <c r="H3901" s="2">
        <v>43</v>
      </c>
      <c r="I3901">
        <v>113</v>
      </c>
      <c r="J3901">
        <v>486</v>
      </c>
      <c r="K3901" s="4">
        <v>233</v>
      </c>
      <c r="L3901" t="s">
        <v>17</v>
      </c>
    </row>
    <row r="3902" spans="1:12" x14ac:dyDescent="0.35">
      <c r="A3902" t="s">
        <v>63</v>
      </c>
      <c r="B3902">
        <v>1189833</v>
      </c>
      <c r="C3902" s="1">
        <v>44232</v>
      </c>
      <c r="D3902" t="s">
        <v>33</v>
      </c>
      <c r="E3902" t="s">
        <v>131</v>
      </c>
      <c r="F3902" t="s">
        <v>132</v>
      </c>
      <c r="G3902" t="s">
        <v>56</v>
      </c>
      <c r="H3902" s="2">
        <v>36</v>
      </c>
      <c r="I3902">
        <v>113</v>
      </c>
      <c r="J3902">
        <v>407</v>
      </c>
      <c r="K3902" s="4">
        <v>216</v>
      </c>
      <c r="L3902" t="s">
        <v>17</v>
      </c>
    </row>
    <row r="3903" spans="1:12" x14ac:dyDescent="0.35">
      <c r="A3903" t="s">
        <v>63</v>
      </c>
      <c r="B3903">
        <v>1189833</v>
      </c>
      <c r="C3903" s="1">
        <v>44257</v>
      </c>
      <c r="D3903" t="s">
        <v>33</v>
      </c>
      <c r="E3903" t="s">
        <v>131</v>
      </c>
      <c r="F3903" t="s">
        <v>132</v>
      </c>
      <c r="G3903" t="s">
        <v>70</v>
      </c>
      <c r="H3903" s="2">
        <v>51</v>
      </c>
      <c r="I3903">
        <v>113</v>
      </c>
      <c r="J3903">
        <v>576</v>
      </c>
      <c r="K3903" s="4">
        <v>426</v>
      </c>
      <c r="L3903" t="s">
        <v>17</v>
      </c>
    </row>
    <row r="3904" spans="1:12" x14ac:dyDescent="0.35">
      <c r="A3904" t="s">
        <v>23</v>
      </c>
      <c r="B3904">
        <v>1197831</v>
      </c>
      <c r="C3904" s="1">
        <v>44329</v>
      </c>
      <c r="D3904" t="s">
        <v>19</v>
      </c>
      <c r="E3904" t="s">
        <v>74</v>
      </c>
      <c r="F3904" t="s">
        <v>75</v>
      </c>
      <c r="G3904" t="s">
        <v>70</v>
      </c>
      <c r="H3904" s="2">
        <v>51</v>
      </c>
      <c r="I3904">
        <v>113</v>
      </c>
      <c r="J3904">
        <v>576</v>
      </c>
      <c r="K3904" s="4">
        <v>305</v>
      </c>
      <c r="L3904" t="s">
        <v>17</v>
      </c>
    </row>
    <row r="3905" spans="1:12" x14ac:dyDescent="0.35">
      <c r="A3905" t="s">
        <v>23</v>
      </c>
      <c r="B3905">
        <v>1197831</v>
      </c>
      <c r="C3905" s="1">
        <v>44430</v>
      </c>
      <c r="D3905" t="s">
        <v>19</v>
      </c>
      <c r="E3905" t="s">
        <v>24</v>
      </c>
      <c r="F3905" t="s">
        <v>25</v>
      </c>
      <c r="G3905" t="s">
        <v>56</v>
      </c>
      <c r="H3905" s="2">
        <v>18</v>
      </c>
      <c r="I3905">
        <v>113</v>
      </c>
      <c r="J3905">
        <v>203</v>
      </c>
      <c r="K3905" s="4">
        <v>134</v>
      </c>
      <c r="L3905" t="s">
        <v>17</v>
      </c>
    </row>
    <row r="3906" spans="1:12" x14ac:dyDescent="0.35">
      <c r="A3906" t="s">
        <v>51</v>
      </c>
      <c r="B3906">
        <v>1185732</v>
      </c>
      <c r="C3906" s="1">
        <v>44550</v>
      </c>
      <c r="D3906" t="s">
        <v>43</v>
      </c>
      <c r="E3906" t="s">
        <v>122</v>
      </c>
      <c r="F3906" t="s">
        <v>86</v>
      </c>
      <c r="G3906" t="s">
        <v>16</v>
      </c>
      <c r="H3906" s="2">
        <v>58</v>
      </c>
      <c r="I3906">
        <v>113</v>
      </c>
      <c r="J3906">
        <v>655</v>
      </c>
      <c r="K3906" s="4">
        <v>354</v>
      </c>
      <c r="L3906" t="s">
        <v>17</v>
      </c>
    </row>
    <row r="3907" spans="1:12" x14ac:dyDescent="0.35">
      <c r="A3907" t="s">
        <v>51</v>
      </c>
      <c r="B3907">
        <v>1185732</v>
      </c>
      <c r="C3907" s="1">
        <v>44491</v>
      </c>
      <c r="D3907" t="s">
        <v>48</v>
      </c>
      <c r="E3907" t="s">
        <v>137</v>
      </c>
      <c r="F3907" t="s">
        <v>138</v>
      </c>
      <c r="G3907" t="s">
        <v>26</v>
      </c>
      <c r="H3907" s="2">
        <v>68</v>
      </c>
      <c r="I3907">
        <v>113</v>
      </c>
      <c r="J3907">
        <v>768</v>
      </c>
      <c r="K3907" s="4">
        <v>361</v>
      </c>
      <c r="L3907" t="s">
        <v>17</v>
      </c>
    </row>
    <row r="3908" spans="1:12" x14ac:dyDescent="0.35">
      <c r="A3908" t="s">
        <v>42</v>
      </c>
      <c r="B3908">
        <v>1128299</v>
      </c>
      <c r="C3908" s="1">
        <v>44206</v>
      </c>
      <c r="D3908" t="s">
        <v>48</v>
      </c>
      <c r="E3908" t="s">
        <v>137</v>
      </c>
      <c r="F3908" t="s">
        <v>138</v>
      </c>
      <c r="G3908" t="s">
        <v>32</v>
      </c>
      <c r="H3908" s="2">
        <v>41</v>
      </c>
      <c r="I3908">
        <v>113</v>
      </c>
      <c r="J3908">
        <v>463</v>
      </c>
      <c r="K3908" s="4">
        <v>167</v>
      </c>
      <c r="L3908" t="s">
        <v>17</v>
      </c>
    </row>
    <row r="3909" spans="1:12" x14ac:dyDescent="0.35">
      <c r="A3909" t="s">
        <v>12</v>
      </c>
      <c r="B3909">
        <v>1128299</v>
      </c>
      <c r="C3909" s="1">
        <v>44510</v>
      </c>
      <c r="D3909" t="s">
        <v>48</v>
      </c>
      <c r="E3909" t="s">
        <v>129</v>
      </c>
      <c r="F3909" t="s">
        <v>130</v>
      </c>
      <c r="G3909" t="s">
        <v>70</v>
      </c>
      <c r="H3909" s="2">
        <v>83</v>
      </c>
      <c r="I3909">
        <v>113</v>
      </c>
      <c r="J3909">
        <v>938</v>
      </c>
      <c r="K3909" s="4">
        <v>281</v>
      </c>
      <c r="L3909" t="s">
        <v>17</v>
      </c>
    </row>
    <row r="3910" spans="1:12" x14ac:dyDescent="0.35">
      <c r="A3910" t="s">
        <v>12</v>
      </c>
      <c r="B3910">
        <v>1128299</v>
      </c>
      <c r="C3910" s="1">
        <v>44486</v>
      </c>
      <c r="D3910" t="s">
        <v>13</v>
      </c>
      <c r="E3910" t="s">
        <v>14</v>
      </c>
      <c r="F3910" t="s">
        <v>15</v>
      </c>
      <c r="G3910" t="s">
        <v>56</v>
      </c>
      <c r="H3910" s="2">
        <v>51</v>
      </c>
      <c r="I3910">
        <v>113</v>
      </c>
      <c r="J3910">
        <v>576</v>
      </c>
      <c r="K3910" s="4">
        <v>236</v>
      </c>
      <c r="L3910" t="s">
        <v>17</v>
      </c>
    </row>
    <row r="3911" spans="1:12" x14ac:dyDescent="0.35">
      <c r="A3911" t="s">
        <v>42</v>
      </c>
      <c r="B3911">
        <v>1128299</v>
      </c>
      <c r="C3911" s="1">
        <v>44251</v>
      </c>
      <c r="D3911" t="s">
        <v>48</v>
      </c>
      <c r="E3911" t="s">
        <v>102</v>
      </c>
      <c r="F3911" t="s">
        <v>103</v>
      </c>
      <c r="G3911" t="s">
        <v>26</v>
      </c>
      <c r="H3911" s="2">
        <v>27</v>
      </c>
      <c r="I3911">
        <v>113</v>
      </c>
      <c r="J3911">
        <v>305</v>
      </c>
      <c r="K3911" s="4">
        <v>140</v>
      </c>
      <c r="L3911" t="s">
        <v>17</v>
      </c>
    </row>
    <row r="3912" spans="1:12" x14ac:dyDescent="0.35">
      <c r="A3912" t="s">
        <v>42</v>
      </c>
      <c r="B3912">
        <v>1128299</v>
      </c>
      <c r="C3912" s="1">
        <v>44464</v>
      </c>
      <c r="D3912" t="s">
        <v>13</v>
      </c>
      <c r="E3912" t="s">
        <v>99</v>
      </c>
      <c r="F3912" t="s">
        <v>100</v>
      </c>
      <c r="G3912" t="s">
        <v>26</v>
      </c>
      <c r="H3912" s="2">
        <v>46</v>
      </c>
      <c r="I3912">
        <v>113</v>
      </c>
      <c r="J3912">
        <v>520</v>
      </c>
      <c r="K3912" s="4">
        <v>260</v>
      </c>
      <c r="L3912" t="s">
        <v>17</v>
      </c>
    </row>
    <row r="3913" spans="1:12" x14ac:dyDescent="0.35">
      <c r="A3913" t="s">
        <v>42</v>
      </c>
      <c r="B3913">
        <v>1128299</v>
      </c>
      <c r="C3913" s="1">
        <v>44464</v>
      </c>
      <c r="D3913" t="s">
        <v>13</v>
      </c>
      <c r="E3913" t="s">
        <v>99</v>
      </c>
      <c r="F3913" t="s">
        <v>100</v>
      </c>
      <c r="G3913" t="s">
        <v>39</v>
      </c>
      <c r="H3913" s="2">
        <v>52</v>
      </c>
      <c r="I3913">
        <v>113</v>
      </c>
      <c r="J3913">
        <v>588</v>
      </c>
      <c r="K3913" s="4">
        <v>270</v>
      </c>
      <c r="L3913" t="s">
        <v>17</v>
      </c>
    </row>
    <row r="3914" spans="1:12" x14ac:dyDescent="0.35">
      <c r="A3914" t="s">
        <v>42</v>
      </c>
      <c r="B3914">
        <v>1128299</v>
      </c>
      <c r="C3914" s="1">
        <v>44524</v>
      </c>
      <c r="D3914" t="s">
        <v>13</v>
      </c>
      <c r="E3914" t="s">
        <v>99</v>
      </c>
      <c r="F3914" t="s">
        <v>100</v>
      </c>
      <c r="G3914" t="s">
        <v>56</v>
      </c>
      <c r="H3914" s="2">
        <v>52</v>
      </c>
      <c r="I3914">
        <v>113</v>
      </c>
      <c r="J3914">
        <v>588</v>
      </c>
      <c r="K3914" s="4">
        <v>282</v>
      </c>
      <c r="L3914" t="s">
        <v>17</v>
      </c>
    </row>
    <row r="3915" spans="1:12" x14ac:dyDescent="0.35">
      <c r="A3915" t="s">
        <v>42</v>
      </c>
      <c r="B3915">
        <v>1185732</v>
      </c>
      <c r="C3915" s="1">
        <v>44245</v>
      </c>
      <c r="D3915" t="s">
        <v>33</v>
      </c>
      <c r="E3915" t="s">
        <v>45</v>
      </c>
      <c r="F3915" t="s">
        <v>46</v>
      </c>
      <c r="G3915" t="s">
        <v>32</v>
      </c>
      <c r="H3915" s="2">
        <v>19</v>
      </c>
      <c r="I3915">
        <v>113</v>
      </c>
      <c r="J3915">
        <v>215</v>
      </c>
      <c r="K3915" s="4">
        <v>97</v>
      </c>
      <c r="L3915" t="s">
        <v>17</v>
      </c>
    </row>
    <row r="3916" spans="1:12" x14ac:dyDescent="0.35">
      <c r="A3916" t="s">
        <v>42</v>
      </c>
      <c r="B3916">
        <v>1185732</v>
      </c>
      <c r="C3916" s="1">
        <v>44365</v>
      </c>
      <c r="D3916" t="s">
        <v>33</v>
      </c>
      <c r="E3916" t="s">
        <v>34</v>
      </c>
      <c r="F3916" t="s">
        <v>35</v>
      </c>
      <c r="G3916" t="s">
        <v>32</v>
      </c>
      <c r="H3916" s="2">
        <v>23</v>
      </c>
      <c r="I3916">
        <v>113</v>
      </c>
      <c r="J3916">
        <v>260</v>
      </c>
      <c r="K3916" s="4">
        <v>127</v>
      </c>
      <c r="L3916" t="s">
        <v>17</v>
      </c>
    </row>
    <row r="3917" spans="1:12" x14ac:dyDescent="0.35">
      <c r="A3917" t="s">
        <v>42</v>
      </c>
      <c r="B3917">
        <v>1185732</v>
      </c>
      <c r="C3917" s="1">
        <v>44547</v>
      </c>
      <c r="D3917" t="s">
        <v>33</v>
      </c>
      <c r="E3917" t="s">
        <v>34</v>
      </c>
      <c r="F3917" t="s">
        <v>35</v>
      </c>
      <c r="G3917" t="s">
        <v>39</v>
      </c>
      <c r="H3917" s="2">
        <v>32</v>
      </c>
      <c r="I3917">
        <v>113</v>
      </c>
      <c r="J3917">
        <v>362</v>
      </c>
      <c r="K3917" s="4">
        <v>174</v>
      </c>
      <c r="L3917" t="s">
        <v>17</v>
      </c>
    </row>
    <row r="3918" spans="1:12" x14ac:dyDescent="0.35">
      <c r="A3918" t="s">
        <v>18</v>
      </c>
      <c r="B3918">
        <v>1185732</v>
      </c>
      <c r="C3918" s="1">
        <v>44419</v>
      </c>
      <c r="D3918" t="s">
        <v>48</v>
      </c>
      <c r="E3918" t="s">
        <v>49</v>
      </c>
      <c r="F3918" t="s">
        <v>50</v>
      </c>
      <c r="G3918" t="s">
        <v>32</v>
      </c>
      <c r="H3918" s="2">
        <v>29</v>
      </c>
      <c r="I3918">
        <v>113</v>
      </c>
      <c r="J3918">
        <v>328</v>
      </c>
      <c r="K3918" s="4">
        <v>161</v>
      </c>
      <c r="L3918" t="s">
        <v>17</v>
      </c>
    </row>
    <row r="3919" spans="1:12" x14ac:dyDescent="0.35">
      <c r="A3919" t="s">
        <v>18</v>
      </c>
      <c r="B3919">
        <v>1185732</v>
      </c>
      <c r="C3919" s="1">
        <v>44511</v>
      </c>
      <c r="D3919" t="s">
        <v>48</v>
      </c>
      <c r="E3919" t="s">
        <v>49</v>
      </c>
      <c r="F3919" t="s">
        <v>50</v>
      </c>
      <c r="G3919" t="s">
        <v>56</v>
      </c>
      <c r="H3919" s="2">
        <v>19</v>
      </c>
      <c r="I3919">
        <v>113</v>
      </c>
      <c r="J3919">
        <v>215</v>
      </c>
      <c r="K3919" s="4">
        <v>109</v>
      </c>
      <c r="L3919" t="s">
        <v>17</v>
      </c>
    </row>
    <row r="3920" spans="1:12" x14ac:dyDescent="0.35">
      <c r="A3920" t="s">
        <v>18</v>
      </c>
      <c r="B3920">
        <v>1185732</v>
      </c>
      <c r="C3920" s="1">
        <v>44511</v>
      </c>
      <c r="D3920" t="s">
        <v>48</v>
      </c>
      <c r="E3920" t="s">
        <v>49</v>
      </c>
      <c r="F3920" t="s">
        <v>50</v>
      </c>
      <c r="G3920" t="s">
        <v>16</v>
      </c>
      <c r="H3920" s="2">
        <v>43</v>
      </c>
      <c r="I3920">
        <v>113</v>
      </c>
      <c r="J3920">
        <v>486</v>
      </c>
      <c r="K3920" s="4">
        <v>316</v>
      </c>
      <c r="L3920" t="s">
        <v>17</v>
      </c>
    </row>
    <row r="3921" spans="1:12" x14ac:dyDescent="0.35">
      <c r="A3921" t="s">
        <v>18</v>
      </c>
      <c r="B3921">
        <v>1185732</v>
      </c>
      <c r="C3921" s="1">
        <v>44540</v>
      </c>
      <c r="D3921" t="s">
        <v>48</v>
      </c>
      <c r="E3921" t="s">
        <v>49</v>
      </c>
      <c r="F3921" t="s">
        <v>50</v>
      </c>
      <c r="G3921" t="s">
        <v>32</v>
      </c>
      <c r="H3921" s="2">
        <v>29</v>
      </c>
      <c r="I3921">
        <v>113</v>
      </c>
      <c r="J3921">
        <v>328</v>
      </c>
      <c r="K3921" s="4">
        <v>154</v>
      </c>
      <c r="L3921" t="s">
        <v>17</v>
      </c>
    </row>
    <row r="3922" spans="1:12" x14ac:dyDescent="0.35">
      <c r="A3922" t="s">
        <v>42</v>
      </c>
      <c r="B3922">
        <v>1197831</v>
      </c>
      <c r="C3922" s="1">
        <v>44261</v>
      </c>
      <c r="D3922" t="s">
        <v>48</v>
      </c>
      <c r="E3922" t="s">
        <v>79</v>
      </c>
      <c r="F3922" t="s">
        <v>80</v>
      </c>
      <c r="G3922" t="s">
        <v>32</v>
      </c>
      <c r="H3922" s="2">
        <v>28</v>
      </c>
      <c r="I3922">
        <v>113</v>
      </c>
      <c r="J3922">
        <v>316</v>
      </c>
      <c r="K3922" s="4">
        <v>155</v>
      </c>
      <c r="L3922" t="s">
        <v>17</v>
      </c>
    </row>
    <row r="3923" spans="1:12" x14ac:dyDescent="0.35">
      <c r="A3923" t="s">
        <v>18</v>
      </c>
      <c r="B3923">
        <v>1197831</v>
      </c>
      <c r="C3923" s="1">
        <v>44291</v>
      </c>
      <c r="D3923" t="s">
        <v>48</v>
      </c>
      <c r="E3923" t="s">
        <v>79</v>
      </c>
      <c r="F3923" t="s">
        <v>80</v>
      </c>
      <c r="G3923" t="s">
        <v>56</v>
      </c>
      <c r="H3923" s="2">
        <v>29</v>
      </c>
      <c r="I3923">
        <v>113</v>
      </c>
      <c r="J3923">
        <v>328</v>
      </c>
      <c r="K3923" s="4">
        <v>180</v>
      </c>
      <c r="L3923" t="s">
        <v>17</v>
      </c>
    </row>
    <row r="3924" spans="1:12" x14ac:dyDescent="0.35">
      <c r="A3924" t="s">
        <v>42</v>
      </c>
      <c r="B3924">
        <v>1128299</v>
      </c>
      <c r="C3924" s="1">
        <v>44250</v>
      </c>
      <c r="D3924" t="s">
        <v>48</v>
      </c>
      <c r="E3924" t="s">
        <v>79</v>
      </c>
      <c r="F3924" t="s">
        <v>80</v>
      </c>
      <c r="G3924" t="s">
        <v>39</v>
      </c>
      <c r="H3924" s="2">
        <v>38</v>
      </c>
      <c r="I3924">
        <v>113</v>
      </c>
      <c r="J3924">
        <v>429</v>
      </c>
      <c r="K3924" s="4">
        <v>232</v>
      </c>
      <c r="L3924" t="s">
        <v>17</v>
      </c>
    </row>
    <row r="3925" spans="1:12" x14ac:dyDescent="0.35">
      <c r="A3925" t="s">
        <v>42</v>
      </c>
      <c r="B3925">
        <v>1128299</v>
      </c>
      <c r="C3925" s="1">
        <v>44340</v>
      </c>
      <c r="D3925" t="s">
        <v>48</v>
      </c>
      <c r="E3925" t="s">
        <v>123</v>
      </c>
      <c r="F3925" t="s">
        <v>124</v>
      </c>
      <c r="G3925" t="s">
        <v>39</v>
      </c>
      <c r="H3925" s="2">
        <v>53</v>
      </c>
      <c r="I3925">
        <v>113</v>
      </c>
      <c r="J3925">
        <v>599</v>
      </c>
      <c r="K3925" s="4">
        <v>323</v>
      </c>
      <c r="L3925" t="s">
        <v>17</v>
      </c>
    </row>
    <row r="3926" spans="1:12" x14ac:dyDescent="0.35">
      <c r="A3926" t="s">
        <v>42</v>
      </c>
      <c r="B3926">
        <v>1128299</v>
      </c>
      <c r="C3926" s="1">
        <v>44431</v>
      </c>
      <c r="D3926" t="s">
        <v>48</v>
      </c>
      <c r="E3926" t="s">
        <v>123</v>
      </c>
      <c r="F3926" t="s">
        <v>124</v>
      </c>
      <c r="G3926" t="s">
        <v>32</v>
      </c>
      <c r="H3926" s="2">
        <v>54</v>
      </c>
      <c r="I3926">
        <v>113</v>
      </c>
      <c r="J3926">
        <v>610</v>
      </c>
      <c r="K3926" s="4">
        <v>299</v>
      </c>
      <c r="L3926" t="s">
        <v>17</v>
      </c>
    </row>
    <row r="3927" spans="1:12" x14ac:dyDescent="0.35">
      <c r="A3927" t="s">
        <v>42</v>
      </c>
      <c r="B3927">
        <v>1128299</v>
      </c>
      <c r="C3927" s="1">
        <v>44463</v>
      </c>
      <c r="D3927" t="s">
        <v>48</v>
      </c>
      <c r="E3927" t="s">
        <v>123</v>
      </c>
      <c r="F3927" t="s">
        <v>124</v>
      </c>
      <c r="G3927" t="s">
        <v>56</v>
      </c>
      <c r="H3927" s="2">
        <v>41</v>
      </c>
      <c r="I3927">
        <v>113</v>
      </c>
      <c r="J3927">
        <v>463</v>
      </c>
      <c r="K3927" s="4">
        <v>218</v>
      </c>
      <c r="L3927" t="s">
        <v>17</v>
      </c>
    </row>
    <row r="3928" spans="1:12" x14ac:dyDescent="0.35">
      <c r="A3928" t="s">
        <v>63</v>
      </c>
      <c r="B3928">
        <v>1128299</v>
      </c>
      <c r="C3928" s="1">
        <v>44526</v>
      </c>
      <c r="D3928" t="s">
        <v>48</v>
      </c>
      <c r="E3928" t="s">
        <v>114</v>
      </c>
      <c r="F3928" t="s">
        <v>115</v>
      </c>
      <c r="G3928" t="s">
        <v>70</v>
      </c>
      <c r="H3928" s="2">
        <v>65</v>
      </c>
      <c r="I3928">
        <v>113</v>
      </c>
      <c r="J3928">
        <v>735</v>
      </c>
      <c r="K3928" s="4">
        <v>323</v>
      </c>
      <c r="L3928" t="s">
        <v>17</v>
      </c>
    </row>
    <row r="3929" spans="1:12" x14ac:dyDescent="0.35">
      <c r="A3929" t="s">
        <v>23</v>
      </c>
      <c r="B3929">
        <v>1128299</v>
      </c>
      <c r="C3929" s="1">
        <v>44267</v>
      </c>
      <c r="D3929" t="s">
        <v>13</v>
      </c>
      <c r="E3929" t="s">
        <v>57</v>
      </c>
      <c r="F3929" t="s">
        <v>58</v>
      </c>
      <c r="G3929" t="s">
        <v>32</v>
      </c>
      <c r="H3929" s="2">
        <v>49</v>
      </c>
      <c r="I3929">
        <v>113</v>
      </c>
      <c r="J3929">
        <v>554</v>
      </c>
      <c r="K3929" s="4">
        <v>271</v>
      </c>
      <c r="L3929" t="s">
        <v>17</v>
      </c>
    </row>
    <row r="3930" spans="1:12" x14ac:dyDescent="0.35">
      <c r="A3930" t="s">
        <v>23</v>
      </c>
      <c r="B3930">
        <v>1128299</v>
      </c>
      <c r="C3930" s="1">
        <v>44421</v>
      </c>
      <c r="D3930" t="s">
        <v>13</v>
      </c>
      <c r="E3930" t="s">
        <v>57</v>
      </c>
      <c r="F3930" t="s">
        <v>58</v>
      </c>
      <c r="G3930" t="s">
        <v>56</v>
      </c>
      <c r="H3930" s="2">
        <v>53</v>
      </c>
      <c r="I3930">
        <v>113</v>
      </c>
      <c r="J3930">
        <v>599</v>
      </c>
      <c r="K3930" s="4">
        <v>311</v>
      </c>
      <c r="L3930" t="s">
        <v>17</v>
      </c>
    </row>
    <row r="3931" spans="1:12" x14ac:dyDescent="0.35">
      <c r="A3931" t="s">
        <v>51</v>
      </c>
      <c r="B3931">
        <v>1185732</v>
      </c>
      <c r="C3931" s="1">
        <v>44264</v>
      </c>
      <c r="D3931" t="s">
        <v>33</v>
      </c>
      <c r="E3931" t="s">
        <v>52</v>
      </c>
      <c r="F3931" t="s">
        <v>53</v>
      </c>
      <c r="G3931" t="s">
        <v>70</v>
      </c>
      <c r="H3931" s="2">
        <v>37</v>
      </c>
      <c r="I3931">
        <v>113</v>
      </c>
      <c r="J3931">
        <v>418</v>
      </c>
      <c r="K3931" s="4">
        <v>205</v>
      </c>
      <c r="L3931" t="s">
        <v>17</v>
      </c>
    </row>
    <row r="3932" spans="1:12" x14ac:dyDescent="0.35">
      <c r="A3932" t="s">
        <v>51</v>
      </c>
      <c r="B3932">
        <v>1185732</v>
      </c>
      <c r="C3932" s="1">
        <v>44448</v>
      </c>
      <c r="D3932" t="s">
        <v>33</v>
      </c>
      <c r="E3932" t="s">
        <v>52</v>
      </c>
      <c r="F3932" t="s">
        <v>53</v>
      </c>
      <c r="G3932" t="s">
        <v>56</v>
      </c>
      <c r="H3932" s="2">
        <v>24</v>
      </c>
      <c r="I3932">
        <v>113</v>
      </c>
      <c r="J3932">
        <v>271</v>
      </c>
      <c r="K3932" s="4">
        <v>138</v>
      </c>
      <c r="L3932" t="s">
        <v>17</v>
      </c>
    </row>
    <row r="3933" spans="1:12" x14ac:dyDescent="0.35">
      <c r="A3933" t="s">
        <v>12</v>
      </c>
      <c r="B3933">
        <v>1197831</v>
      </c>
      <c r="C3933" s="1">
        <v>44335</v>
      </c>
      <c r="D3933" t="s">
        <v>19</v>
      </c>
      <c r="E3933" t="s">
        <v>54</v>
      </c>
      <c r="F3933" t="s">
        <v>55</v>
      </c>
      <c r="G3933" t="s">
        <v>39</v>
      </c>
      <c r="H3933" s="2">
        <v>38</v>
      </c>
      <c r="I3933">
        <v>113</v>
      </c>
      <c r="J3933">
        <v>429</v>
      </c>
      <c r="K3933" s="4">
        <v>215</v>
      </c>
      <c r="L3933" t="s">
        <v>17</v>
      </c>
    </row>
    <row r="3934" spans="1:12" x14ac:dyDescent="0.35">
      <c r="A3934" t="s">
        <v>12</v>
      </c>
      <c r="B3934">
        <v>1197831</v>
      </c>
      <c r="C3934" s="1">
        <v>44428</v>
      </c>
      <c r="D3934" t="s">
        <v>19</v>
      </c>
      <c r="E3934" t="s">
        <v>54</v>
      </c>
      <c r="F3934" t="s">
        <v>55</v>
      </c>
      <c r="G3934" t="s">
        <v>70</v>
      </c>
      <c r="H3934" s="2">
        <v>48</v>
      </c>
      <c r="I3934">
        <v>113</v>
      </c>
      <c r="J3934">
        <v>542</v>
      </c>
      <c r="K3934" s="4">
        <v>266</v>
      </c>
      <c r="L3934" t="s">
        <v>17</v>
      </c>
    </row>
    <row r="3935" spans="1:12" x14ac:dyDescent="0.35">
      <c r="A3935" t="s">
        <v>18</v>
      </c>
      <c r="B3935">
        <v>1197831</v>
      </c>
      <c r="C3935" s="1">
        <v>44428</v>
      </c>
      <c r="D3935" t="s">
        <v>19</v>
      </c>
      <c r="E3935" t="s">
        <v>61</v>
      </c>
      <c r="F3935" t="s">
        <v>62</v>
      </c>
      <c r="G3935" t="s">
        <v>39</v>
      </c>
      <c r="H3935" s="2">
        <v>51</v>
      </c>
      <c r="I3935">
        <v>113</v>
      </c>
      <c r="J3935">
        <v>576</v>
      </c>
      <c r="K3935" s="4">
        <v>271</v>
      </c>
      <c r="L3935" t="s">
        <v>17</v>
      </c>
    </row>
    <row r="3936" spans="1:12" x14ac:dyDescent="0.35">
      <c r="A3936" t="s">
        <v>18</v>
      </c>
      <c r="B3936">
        <v>1197831</v>
      </c>
      <c r="C3936" s="1">
        <v>44428</v>
      </c>
      <c r="D3936" t="s">
        <v>19</v>
      </c>
      <c r="E3936" t="s">
        <v>61</v>
      </c>
      <c r="F3936" t="s">
        <v>62</v>
      </c>
      <c r="G3936" t="s">
        <v>32</v>
      </c>
      <c r="H3936" s="2">
        <v>47</v>
      </c>
      <c r="I3936">
        <v>113</v>
      </c>
      <c r="J3936">
        <v>531</v>
      </c>
      <c r="K3936" s="4">
        <v>281</v>
      </c>
      <c r="L3936" t="s">
        <v>17</v>
      </c>
    </row>
    <row r="3937" spans="1:12" x14ac:dyDescent="0.35">
      <c r="A3937" t="s">
        <v>63</v>
      </c>
      <c r="B3937">
        <v>1197831</v>
      </c>
      <c r="C3937" s="1">
        <v>44421</v>
      </c>
      <c r="D3937" t="s">
        <v>33</v>
      </c>
      <c r="E3937" t="s">
        <v>71</v>
      </c>
      <c r="F3937" t="s">
        <v>72</v>
      </c>
      <c r="G3937" t="s">
        <v>16</v>
      </c>
      <c r="H3937" s="2">
        <v>52</v>
      </c>
      <c r="I3937">
        <v>113</v>
      </c>
      <c r="J3937">
        <v>588</v>
      </c>
      <c r="K3937" s="4">
        <v>294</v>
      </c>
      <c r="L3937" t="s">
        <v>17</v>
      </c>
    </row>
    <row r="3938" spans="1:12" x14ac:dyDescent="0.35">
      <c r="A3938" t="s">
        <v>42</v>
      </c>
      <c r="B3938">
        <v>1185732</v>
      </c>
      <c r="C3938" s="1">
        <v>44298</v>
      </c>
      <c r="D3938" t="s">
        <v>33</v>
      </c>
      <c r="E3938" t="s">
        <v>87</v>
      </c>
      <c r="F3938" t="s">
        <v>88</v>
      </c>
      <c r="G3938" t="s">
        <v>26</v>
      </c>
      <c r="H3938" s="2">
        <v>38</v>
      </c>
      <c r="I3938">
        <v>113</v>
      </c>
      <c r="J3938">
        <v>429</v>
      </c>
      <c r="K3938" s="4">
        <v>198</v>
      </c>
      <c r="L3938" t="s">
        <v>17</v>
      </c>
    </row>
    <row r="3939" spans="1:12" x14ac:dyDescent="0.35">
      <c r="A3939" t="s">
        <v>23</v>
      </c>
      <c r="B3939">
        <v>1185732</v>
      </c>
      <c r="C3939" s="1">
        <v>44295</v>
      </c>
      <c r="D3939" t="s">
        <v>33</v>
      </c>
      <c r="E3939" t="s">
        <v>89</v>
      </c>
      <c r="F3939" t="s">
        <v>90</v>
      </c>
      <c r="G3939" t="s">
        <v>26</v>
      </c>
      <c r="H3939" s="2">
        <v>28</v>
      </c>
      <c r="I3939">
        <v>113</v>
      </c>
      <c r="J3939">
        <v>316</v>
      </c>
      <c r="K3939" s="4">
        <v>155</v>
      </c>
      <c r="L3939" t="s">
        <v>17</v>
      </c>
    </row>
    <row r="3940" spans="1:12" x14ac:dyDescent="0.35">
      <c r="A3940" t="s">
        <v>42</v>
      </c>
      <c r="B3940">
        <v>1185732</v>
      </c>
      <c r="C3940" s="1">
        <v>44202</v>
      </c>
      <c r="D3940" t="s">
        <v>33</v>
      </c>
      <c r="E3940" t="s">
        <v>89</v>
      </c>
      <c r="F3940" t="s">
        <v>90</v>
      </c>
      <c r="G3940" t="s">
        <v>26</v>
      </c>
      <c r="H3940" s="2">
        <v>27</v>
      </c>
      <c r="I3940">
        <v>113</v>
      </c>
      <c r="J3940">
        <v>305</v>
      </c>
      <c r="K3940" s="4">
        <v>137</v>
      </c>
      <c r="L3940" t="s">
        <v>17</v>
      </c>
    </row>
    <row r="3941" spans="1:12" x14ac:dyDescent="0.35">
      <c r="A3941" t="s">
        <v>18</v>
      </c>
      <c r="B3941">
        <v>1185732</v>
      </c>
      <c r="C3941" s="1">
        <v>44472</v>
      </c>
      <c r="D3941" t="s">
        <v>33</v>
      </c>
      <c r="E3941" t="s">
        <v>40</v>
      </c>
      <c r="F3941" t="s">
        <v>41</v>
      </c>
      <c r="G3941" t="s">
        <v>26</v>
      </c>
      <c r="H3941" s="2">
        <v>43</v>
      </c>
      <c r="I3941">
        <v>113</v>
      </c>
      <c r="J3941">
        <v>486</v>
      </c>
      <c r="K3941" s="4">
        <v>204</v>
      </c>
      <c r="L3941" t="s">
        <v>17</v>
      </c>
    </row>
    <row r="3942" spans="1:12" x14ac:dyDescent="0.35">
      <c r="A3942" t="s">
        <v>23</v>
      </c>
      <c r="B3942">
        <v>1185732</v>
      </c>
      <c r="C3942" s="1">
        <v>44491</v>
      </c>
      <c r="D3942" t="s">
        <v>43</v>
      </c>
      <c r="E3942" t="s">
        <v>93</v>
      </c>
      <c r="F3942" t="s">
        <v>94</v>
      </c>
      <c r="G3942" t="s">
        <v>26</v>
      </c>
      <c r="H3942" s="2">
        <v>52</v>
      </c>
      <c r="I3942">
        <v>113</v>
      </c>
      <c r="J3942">
        <v>588</v>
      </c>
      <c r="K3942" s="4">
        <v>317</v>
      </c>
      <c r="L3942" t="s">
        <v>17</v>
      </c>
    </row>
    <row r="3943" spans="1:12" x14ac:dyDescent="0.35">
      <c r="A3943" t="s">
        <v>23</v>
      </c>
      <c r="B3943">
        <v>1185732</v>
      </c>
      <c r="C3943" s="1">
        <v>44319</v>
      </c>
      <c r="D3943" t="s">
        <v>43</v>
      </c>
      <c r="E3943" t="s">
        <v>108</v>
      </c>
      <c r="F3943" t="s">
        <v>109</v>
      </c>
      <c r="G3943" t="s">
        <v>16</v>
      </c>
      <c r="H3943" s="2">
        <v>55</v>
      </c>
      <c r="I3943">
        <v>113</v>
      </c>
      <c r="J3943">
        <v>622</v>
      </c>
      <c r="K3943" s="4">
        <v>305</v>
      </c>
      <c r="L3943" t="s">
        <v>17</v>
      </c>
    </row>
    <row r="3944" spans="1:12" x14ac:dyDescent="0.35">
      <c r="A3944" t="s">
        <v>23</v>
      </c>
      <c r="B3944">
        <v>1185732</v>
      </c>
      <c r="C3944" s="1">
        <v>44474</v>
      </c>
      <c r="D3944" t="s">
        <v>43</v>
      </c>
      <c r="E3944" t="s">
        <v>108</v>
      </c>
      <c r="F3944" t="s">
        <v>109</v>
      </c>
      <c r="G3944" t="s">
        <v>26</v>
      </c>
      <c r="H3944" s="2">
        <v>59</v>
      </c>
      <c r="I3944">
        <v>113</v>
      </c>
      <c r="J3944">
        <v>667</v>
      </c>
      <c r="K3944" s="4">
        <v>367</v>
      </c>
      <c r="L3944" t="s">
        <v>17</v>
      </c>
    </row>
    <row r="3945" spans="1:12" x14ac:dyDescent="0.35">
      <c r="A3945" t="s">
        <v>51</v>
      </c>
      <c r="B3945">
        <v>1185732</v>
      </c>
      <c r="C3945" s="1">
        <v>44514</v>
      </c>
      <c r="D3945" t="s">
        <v>43</v>
      </c>
      <c r="E3945" t="s">
        <v>112</v>
      </c>
      <c r="F3945" t="s">
        <v>113</v>
      </c>
      <c r="G3945" t="s">
        <v>26</v>
      </c>
      <c r="H3945" s="2">
        <v>62</v>
      </c>
      <c r="I3945">
        <v>113</v>
      </c>
      <c r="J3945">
        <v>701</v>
      </c>
      <c r="K3945" s="4">
        <v>301</v>
      </c>
      <c r="L3945" t="s">
        <v>17</v>
      </c>
    </row>
    <row r="3946" spans="1:12" x14ac:dyDescent="0.35">
      <c r="A3946" t="s">
        <v>51</v>
      </c>
      <c r="B3946">
        <v>1185732</v>
      </c>
      <c r="C3946" s="1">
        <v>44540</v>
      </c>
      <c r="D3946" t="s">
        <v>43</v>
      </c>
      <c r="E3946" t="s">
        <v>125</v>
      </c>
      <c r="F3946" t="s">
        <v>126</v>
      </c>
      <c r="G3946" t="s">
        <v>32</v>
      </c>
      <c r="H3946" s="2">
        <v>55</v>
      </c>
      <c r="I3946">
        <v>113</v>
      </c>
      <c r="J3946">
        <v>622</v>
      </c>
      <c r="K3946" s="4">
        <v>292</v>
      </c>
      <c r="L3946" t="s">
        <v>17</v>
      </c>
    </row>
    <row r="3947" spans="1:12" x14ac:dyDescent="0.35">
      <c r="A3947" t="s">
        <v>23</v>
      </c>
      <c r="B3947">
        <v>1197831</v>
      </c>
      <c r="C3947" s="1">
        <v>44423</v>
      </c>
      <c r="D3947" t="s">
        <v>19</v>
      </c>
      <c r="E3947" t="s">
        <v>59</v>
      </c>
      <c r="F3947" t="s">
        <v>68</v>
      </c>
      <c r="G3947" t="s">
        <v>70</v>
      </c>
      <c r="H3947" s="2">
        <v>26</v>
      </c>
      <c r="I3947">
        <v>113</v>
      </c>
      <c r="J3947">
        <v>294</v>
      </c>
      <c r="K3947" s="4">
        <v>79</v>
      </c>
      <c r="L3947" t="s">
        <v>27</v>
      </c>
    </row>
    <row r="3948" spans="1:12" x14ac:dyDescent="0.35">
      <c r="A3948" t="s">
        <v>18</v>
      </c>
      <c r="B3948">
        <v>1128299</v>
      </c>
      <c r="C3948" s="1">
        <v>43888</v>
      </c>
      <c r="D3948" t="s">
        <v>48</v>
      </c>
      <c r="E3948" t="s">
        <v>116</v>
      </c>
      <c r="F3948" t="s">
        <v>117</v>
      </c>
      <c r="G3948" t="s">
        <v>32</v>
      </c>
      <c r="H3948" s="2">
        <v>47</v>
      </c>
      <c r="I3948">
        <v>113</v>
      </c>
      <c r="J3948">
        <v>531</v>
      </c>
      <c r="K3948" s="4">
        <v>223</v>
      </c>
      <c r="L3948" t="s">
        <v>27</v>
      </c>
    </row>
    <row r="3949" spans="1:12" x14ac:dyDescent="0.35">
      <c r="A3949" t="s">
        <v>23</v>
      </c>
      <c r="B3949">
        <v>1197831</v>
      </c>
      <c r="C3949" s="1">
        <v>44418</v>
      </c>
      <c r="D3949" t="s">
        <v>19</v>
      </c>
      <c r="E3949" t="s">
        <v>24</v>
      </c>
      <c r="F3949" t="s">
        <v>25</v>
      </c>
      <c r="G3949" t="s">
        <v>56</v>
      </c>
      <c r="H3949" s="2">
        <v>24</v>
      </c>
      <c r="I3949">
        <v>113</v>
      </c>
      <c r="J3949">
        <v>271</v>
      </c>
      <c r="K3949" s="4">
        <v>146</v>
      </c>
      <c r="L3949" t="s">
        <v>27</v>
      </c>
    </row>
    <row r="3950" spans="1:12" x14ac:dyDescent="0.35">
      <c r="A3950" t="s">
        <v>12</v>
      </c>
      <c r="B3950">
        <v>1128299</v>
      </c>
      <c r="C3950" s="1">
        <v>44303</v>
      </c>
      <c r="D3950" t="s">
        <v>13</v>
      </c>
      <c r="E3950" t="s">
        <v>14</v>
      </c>
      <c r="F3950" t="s">
        <v>15</v>
      </c>
      <c r="G3950" t="s">
        <v>16</v>
      </c>
      <c r="H3950" s="2">
        <v>57</v>
      </c>
      <c r="I3950">
        <v>113</v>
      </c>
      <c r="J3950">
        <v>644</v>
      </c>
      <c r="K3950" s="4">
        <v>322</v>
      </c>
      <c r="L3950" t="s">
        <v>27</v>
      </c>
    </row>
    <row r="3951" spans="1:12" x14ac:dyDescent="0.35">
      <c r="A3951" t="s">
        <v>42</v>
      </c>
      <c r="B3951">
        <v>1128299</v>
      </c>
      <c r="C3951" s="1">
        <v>44399</v>
      </c>
      <c r="D3951" t="s">
        <v>48</v>
      </c>
      <c r="E3951" t="s">
        <v>123</v>
      </c>
      <c r="F3951" t="s">
        <v>124</v>
      </c>
      <c r="G3951" t="s">
        <v>56</v>
      </c>
      <c r="H3951" s="2">
        <v>36</v>
      </c>
      <c r="I3951">
        <v>113</v>
      </c>
      <c r="J3951">
        <v>407</v>
      </c>
      <c r="K3951" s="4">
        <v>155</v>
      </c>
      <c r="L3951" t="s">
        <v>27</v>
      </c>
    </row>
    <row r="3952" spans="1:12" x14ac:dyDescent="0.35">
      <c r="A3952" t="s">
        <v>23</v>
      </c>
      <c r="B3952">
        <v>1128299</v>
      </c>
      <c r="C3952" s="1">
        <v>44267</v>
      </c>
      <c r="D3952" t="s">
        <v>13</v>
      </c>
      <c r="E3952" t="s">
        <v>57</v>
      </c>
      <c r="F3952" t="s">
        <v>58</v>
      </c>
      <c r="G3952" t="s">
        <v>39</v>
      </c>
      <c r="H3952" s="2">
        <v>37</v>
      </c>
      <c r="I3952">
        <v>113</v>
      </c>
      <c r="J3952">
        <v>418</v>
      </c>
      <c r="K3952" s="4">
        <v>184</v>
      </c>
      <c r="L3952" t="s">
        <v>27</v>
      </c>
    </row>
    <row r="3953" spans="1:12" x14ac:dyDescent="0.35">
      <c r="A3953" t="s">
        <v>23</v>
      </c>
      <c r="B3953">
        <v>1128299</v>
      </c>
      <c r="C3953" s="1">
        <v>44299</v>
      </c>
      <c r="D3953" t="s">
        <v>13</v>
      </c>
      <c r="E3953" t="s">
        <v>57</v>
      </c>
      <c r="F3953" t="s">
        <v>58</v>
      </c>
      <c r="G3953" t="s">
        <v>32</v>
      </c>
      <c r="H3953" s="2">
        <v>36</v>
      </c>
      <c r="I3953">
        <v>113</v>
      </c>
      <c r="J3953">
        <v>407</v>
      </c>
      <c r="K3953" s="4">
        <v>151</v>
      </c>
      <c r="L3953" t="s">
        <v>27</v>
      </c>
    </row>
    <row r="3954" spans="1:12" x14ac:dyDescent="0.35">
      <c r="A3954" t="s">
        <v>12</v>
      </c>
      <c r="B3954">
        <v>1197831</v>
      </c>
      <c r="C3954" s="1">
        <v>44428</v>
      </c>
      <c r="D3954" t="s">
        <v>19</v>
      </c>
      <c r="E3954" t="s">
        <v>54</v>
      </c>
      <c r="F3954" t="s">
        <v>55</v>
      </c>
      <c r="G3954" t="s">
        <v>70</v>
      </c>
      <c r="H3954" s="2">
        <v>40</v>
      </c>
      <c r="I3954">
        <v>113</v>
      </c>
      <c r="J3954">
        <v>452</v>
      </c>
      <c r="K3954" s="4">
        <v>167</v>
      </c>
      <c r="L3954" t="s">
        <v>27</v>
      </c>
    </row>
    <row r="3955" spans="1:12" x14ac:dyDescent="0.35">
      <c r="A3955" t="s">
        <v>18</v>
      </c>
      <c r="B3955">
        <v>1197831</v>
      </c>
      <c r="C3955" s="1">
        <v>44428</v>
      </c>
      <c r="D3955" t="s">
        <v>19</v>
      </c>
      <c r="E3955" t="s">
        <v>61</v>
      </c>
      <c r="F3955" t="s">
        <v>62</v>
      </c>
      <c r="G3955" t="s">
        <v>32</v>
      </c>
      <c r="H3955" s="2">
        <v>38</v>
      </c>
      <c r="I3955">
        <v>113</v>
      </c>
      <c r="J3955">
        <v>429</v>
      </c>
      <c r="K3955" s="4">
        <v>202</v>
      </c>
      <c r="L3955" t="s">
        <v>27</v>
      </c>
    </row>
    <row r="3956" spans="1:12" x14ac:dyDescent="0.35">
      <c r="A3956" t="s">
        <v>42</v>
      </c>
      <c r="B3956">
        <v>1185732</v>
      </c>
      <c r="C3956" s="1">
        <v>44477</v>
      </c>
      <c r="D3956" t="s">
        <v>43</v>
      </c>
      <c r="E3956" t="s">
        <v>110</v>
      </c>
      <c r="F3956" t="s">
        <v>111</v>
      </c>
      <c r="G3956" t="s">
        <v>26</v>
      </c>
      <c r="H3956" s="2">
        <v>37</v>
      </c>
      <c r="I3956">
        <v>113</v>
      </c>
      <c r="J3956">
        <v>418</v>
      </c>
      <c r="K3956" s="4">
        <v>171</v>
      </c>
      <c r="L3956" t="s">
        <v>27</v>
      </c>
    </row>
    <row r="3957" spans="1:12" x14ac:dyDescent="0.35">
      <c r="A3957" t="s">
        <v>51</v>
      </c>
      <c r="B3957">
        <v>1185732</v>
      </c>
      <c r="C3957" s="1">
        <v>44543</v>
      </c>
      <c r="D3957" t="s">
        <v>43</v>
      </c>
      <c r="E3957" t="s">
        <v>112</v>
      </c>
      <c r="F3957" t="s">
        <v>113</v>
      </c>
      <c r="G3957" t="s">
        <v>39</v>
      </c>
      <c r="H3957" s="2">
        <v>37</v>
      </c>
      <c r="I3957">
        <v>113</v>
      </c>
      <c r="J3957">
        <v>418</v>
      </c>
      <c r="K3957" s="4">
        <v>134</v>
      </c>
      <c r="L3957" t="s">
        <v>27</v>
      </c>
    </row>
    <row r="3958" spans="1:12" x14ac:dyDescent="0.35">
      <c r="A3958" t="s">
        <v>51</v>
      </c>
      <c r="B3958">
        <v>1185732</v>
      </c>
      <c r="C3958" s="1">
        <v>44426</v>
      </c>
      <c r="D3958" t="s">
        <v>43</v>
      </c>
      <c r="E3958" t="s">
        <v>127</v>
      </c>
      <c r="F3958" t="s">
        <v>128</v>
      </c>
      <c r="G3958" t="s">
        <v>32</v>
      </c>
      <c r="H3958" s="2">
        <v>39</v>
      </c>
      <c r="I3958">
        <v>113</v>
      </c>
      <c r="J3958">
        <v>441</v>
      </c>
      <c r="K3958" s="4">
        <v>154</v>
      </c>
      <c r="L3958" t="s">
        <v>27</v>
      </c>
    </row>
    <row r="3959" spans="1:12" x14ac:dyDescent="0.35">
      <c r="A3959" t="s">
        <v>42</v>
      </c>
      <c r="B3959">
        <v>1185732</v>
      </c>
      <c r="C3959" s="1">
        <v>44407</v>
      </c>
      <c r="D3959" t="s">
        <v>33</v>
      </c>
      <c r="E3959" t="s">
        <v>118</v>
      </c>
      <c r="F3959" t="s">
        <v>119</v>
      </c>
      <c r="G3959" t="s">
        <v>26</v>
      </c>
      <c r="H3959" s="2">
        <v>55</v>
      </c>
      <c r="I3959">
        <v>112</v>
      </c>
      <c r="J3959">
        <v>616</v>
      </c>
      <c r="K3959" s="4">
        <v>333</v>
      </c>
      <c r="L3959" t="s">
        <v>17</v>
      </c>
    </row>
    <row r="3960" spans="1:12" x14ac:dyDescent="0.35">
      <c r="A3960" t="s">
        <v>18</v>
      </c>
      <c r="B3960">
        <v>1128299</v>
      </c>
      <c r="C3960" s="1">
        <v>43883</v>
      </c>
      <c r="D3960" t="s">
        <v>48</v>
      </c>
      <c r="E3960" t="s">
        <v>116</v>
      </c>
      <c r="F3960" t="s">
        <v>117</v>
      </c>
      <c r="G3960" t="s">
        <v>56</v>
      </c>
      <c r="H3960" s="2">
        <v>58</v>
      </c>
      <c r="I3960">
        <v>112</v>
      </c>
      <c r="J3960">
        <v>650</v>
      </c>
      <c r="K3960" s="4">
        <v>286</v>
      </c>
      <c r="L3960" t="s">
        <v>17</v>
      </c>
    </row>
    <row r="3961" spans="1:12" x14ac:dyDescent="0.35">
      <c r="A3961" t="s">
        <v>18</v>
      </c>
      <c r="B3961">
        <v>1128299</v>
      </c>
      <c r="C3961" s="1">
        <v>43903</v>
      </c>
      <c r="D3961" t="s">
        <v>48</v>
      </c>
      <c r="E3961" t="s">
        <v>116</v>
      </c>
      <c r="F3961" t="s">
        <v>117</v>
      </c>
      <c r="G3961" t="s">
        <v>70</v>
      </c>
      <c r="H3961" s="2">
        <v>69</v>
      </c>
      <c r="I3961">
        <v>112</v>
      </c>
      <c r="J3961">
        <v>773</v>
      </c>
      <c r="K3961" s="4">
        <v>464</v>
      </c>
      <c r="L3961" t="s">
        <v>17</v>
      </c>
    </row>
    <row r="3962" spans="1:12" x14ac:dyDescent="0.35">
      <c r="A3962" t="s">
        <v>18</v>
      </c>
      <c r="B3962">
        <v>1128299</v>
      </c>
      <c r="C3962" s="1">
        <v>43918</v>
      </c>
      <c r="D3962" t="s">
        <v>48</v>
      </c>
      <c r="E3962" t="s">
        <v>133</v>
      </c>
      <c r="F3962" t="s">
        <v>134</v>
      </c>
      <c r="G3962" t="s">
        <v>39</v>
      </c>
      <c r="H3962" s="2">
        <v>48</v>
      </c>
      <c r="I3962">
        <v>112</v>
      </c>
      <c r="J3962">
        <v>538</v>
      </c>
      <c r="K3962" s="4">
        <v>183</v>
      </c>
      <c r="L3962" t="s">
        <v>17</v>
      </c>
    </row>
    <row r="3963" spans="1:12" x14ac:dyDescent="0.35">
      <c r="A3963" t="s">
        <v>18</v>
      </c>
      <c r="B3963">
        <v>1128299</v>
      </c>
      <c r="C3963" s="1">
        <v>44028</v>
      </c>
      <c r="D3963" t="s">
        <v>48</v>
      </c>
      <c r="E3963" t="s">
        <v>97</v>
      </c>
      <c r="F3963" t="s">
        <v>98</v>
      </c>
      <c r="G3963" t="s">
        <v>56</v>
      </c>
      <c r="H3963" s="2">
        <v>67</v>
      </c>
      <c r="I3963">
        <v>112</v>
      </c>
      <c r="J3963">
        <v>750</v>
      </c>
      <c r="K3963" s="4">
        <v>300</v>
      </c>
      <c r="L3963" t="s">
        <v>17</v>
      </c>
    </row>
    <row r="3964" spans="1:12" x14ac:dyDescent="0.35">
      <c r="A3964" t="s">
        <v>63</v>
      </c>
      <c r="B3964">
        <v>1189833</v>
      </c>
      <c r="C3964" s="1">
        <v>44210</v>
      </c>
      <c r="D3964" t="s">
        <v>33</v>
      </c>
      <c r="E3964" t="s">
        <v>131</v>
      </c>
      <c r="F3964" t="s">
        <v>132</v>
      </c>
      <c r="G3964" t="s">
        <v>16</v>
      </c>
      <c r="H3964" s="2">
        <v>42</v>
      </c>
      <c r="I3964">
        <v>112</v>
      </c>
      <c r="J3964">
        <v>470</v>
      </c>
      <c r="K3964" s="4">
        <v>183</v>
      </c>
      <c r="L3964" t="s">
        <v>17</v>
      </c>
    </row>
    <row r="3965" spans="1:12" x14ac:dyDescent="0.35">
      <c r="A3965" t="s">
        <v>63</v>
      </c>
      <c r="B3965">
        <v>1189833</v>
      </c>
      <c r="C3965" s="1">
        <v>44240</v>
      </c>
      <c r="D3965" t="s">
        <v>33</v>
      </c>
      <c r="E3965" t="s">
        <v>131</v>
      </c>
      <c r="F3965" t="s">
        <v>132</v>
      </c>
      <c r="G3965" t="s">
        <v>16</v>
      </c>
      <c r="H3965" s="2">
        <v>56</v>
      </c>
      <c r="I3965">
        <v>112</v>
      </c>
      <c r="J3965">
        <v>627</v>
      </c>
      <c r="K3965" s="4">
        <v>238</v>
      </c>
      <c r="L3965" t="s">
        <v>17</v>
      </c>
    </row>
    <row r="3966" spans="1:12" x14ac:dyDescent="0.35">
      <c r="A3966" t="s">
        <v>23</v>
      </c>
      <c r="B3966">
        <v>1197831</v>
      </c>
      <c r="C3966" s="1">
        <v>44286</v>
      </c>
      <c r="D3966" t="s">
        <v>19</v>
      </c>
      <c r="E3966" t="s">
        <v>74</v>
      </c>
      <c r="F3966" t="s">
        <v>75</v>
      </c>
      <c r="G3966" t="s">
        <v>56</v>
      </c>
      <c r="H3966" s="2">
        <v>23</v>
      </c>
      <c r="I3966">
        <v>112</v>
      </c>
      <c r="J3966">
        <v>258</v>
      </c>
      <c r="K3966" s="4">
        <v>167</v>
      </c>
      <c r="L3966" t="s">
        <v>17</v>
      </c>
    </row>
    <row r="3967" spans="1:12" x14ac:dyDescent="0.35">
      <c r="A3967" t="s">
        <v>42</v>
      </c>
      <c r="B3967">
        <v>1185732</v>
      </c>
      <c r="C3967" s="1">
        <v>44385</v>
      </c>
      <c r="D3967" t="s">
        <v>33</v>
      </c>
      <c r="E3967" t="s">
        <v>120</v>
      </c>
      <c r="F3967" t="s">
        <v>121</v>
      </c>
      <c r="G3967" t="s">
        <v>26</v>
      </c>
      <c r="H3967" s="2">
        <v>38</v>
      </c>
      <c r="I3967">
        <v>112</v>
      </c>
      <c r="J3967">
        <v>426</v>
      </c>
      <c r="K3967" s="4">
        <v>230</v>
      </c>
      <c r="L3967" t="s">
        <v>17</v>
      </c>
    </row>
    <row r="3968" spans="1:12" x14ac:dyDescent="0.35">
      <c r="A3968" t="s">
        <v>51</v>
      </c>
      <c r="B3968">
        <v>1185732</v>
      </c>
      <c r="C3968" s="1">
        <v>44369</v>
      </c>
      <c r="D3968" t="s">
        <v>48</v>
      </c>
      <c r="E3968" t="s">
        <v>137</v>
      </c>
      <c r="F3968" t="s">
        <v>138</v>
      </c>
      <c r="G3968" t="s">
        <v>39</v>
      </c>
      <c r="H3968" s="2">
        <v>55</v>
      </c>
      <c r="I3968">
        <v>112</v>
      </c>
      <c r="J3968">
        <v>616</v>
      </c>
      <c r="K3968" s="4">
        <v>308</v>
      </c>
      <c r="L3968" t="s">
        <v>17</v>
      </c>
    </row>
    <row r="3969" spans="1:12" x14ac:dyDescent="0.35">
      <c r="A3969" t="s">
        <v>51</v>
      </c>
      <c r="B3969">
        <v>1185732</v>
      </c>
      <c r="C3969" s="1">
        <v>44550</v>
      </c>
      <c r="D3969" t="s">
        <v>48</v>
      </c>
      <c r="E3969" t="s">
        <v>137</v>
      </c>
      <c r="F3969" t="s">
        <v>138</v>
      </c>
      <c r="G3969" t="s">
        <v>39</v>
      </c>
      <c r="H3969" s="2">
        <v>60</v>
      </c>
      <c r="I3969">
        <v>112</v>
      </c>
      <c r="J3969">
        <v>672</v>
      </c>
      <c r="K3969" s="4">
        <v>316</v>
      </c>
      <c r="L3969" t="s">
        <v>17</v>
      </c>
    </row>
    <row r="3970" spans="1:12" x14ac:dyDescent="0.35">
      <c r="A3970" t="s">
        <v>12</v>
      </c>
      <c r="B3970">
        <v>1128299</v>
      </c>
      <c r="C3970" s="1">
        <v>44486</v>
      </c>
      <c r="D3970" t="s">
        <v>13</v>
      </c>
      <c r="E3970" t="s">
        <v>14</v>
      </c>
      <c r="F3970" t="s">
        <v>15</v>
      </c>
      <c r="G3970" t="s">
        <v>32</v>
      </c>
      <c r="H3970" s="2">
        <v>55</v>
      </c>
      <c r="I3970">
        <v>112</v>
      </c>
      <c r="J3970">
        <v>616</v>
      </c>
      <c r="K3970" s="4">
        <v>253</v>
      </c>
      <c r="L3970" t="s">
        <v>17</v>
      </c>
    </row>
    <row r="3971" spans="1:12" x14ac:dyDescent="0.35">
      <c r="A3971" t="s">
        <v>63</v>
      </c>
      <c r="B3971">
        <v>1185732</v>
      </c>
      <c r="C3971" s="1">
        <v>44265</v>
      </c>
      <c r="D3971" t="s">
        <v>48</v>
      </c>
      <c r="E3971" t="s">
        <v>102</v>
      </c>
      <c r="F3971" t="s">
        <v>103</v>
      </c>
      <c r="G3971" t="s">
        <v>56</v>
      </c>
      <c r="H3971" s="2">
        <v>33</v>
      </c>
      <c r="I3971">
        <v>112</v>
      </c>
      <c r="J3971">
        <v>370</v>
      </c>
      <c r="K3971" s="4">
        <v>174</v>
      </c>
      <c r="L3971" t="s">
        <v>17</v>
      </c>
    </row>
    <row r="3972" spans="1:12" x14ac:dyDescent="0.35">
      <c r="A3972" t="s">
        <v>23</v>
      </c>
      <c r="B3972">
        <v>1185732</v>
      </c>
      <c r="C3972" s="1">
        <v>44486</v>
      </c>
      <c r="D3972" t="s">
        <v>33</v>
      </c>
      <c r="E3972" t="s">
        <v>45</v>
      </c>
      <c r="F3972" t="s">
        <v>46</v>
      </c>
      <c r="G3972" t="s">
        <v>70</v>
      </c>
      <c r="H3972" s="2">
        <v>48</v>
      </c>
      <c r="I3972">
        <v>112</v>
      </c>
      <c r="J3972">
        <v>538</v>
      </c>
      <c r="K3972" s="4">
        <v>296</v>
      </c>
      <c r="L3972" t="s">
        <v>17</v>
      </c>
    </row>
    <row r="3973" spans="1:12" x14ac:dyDescent="0.35">
      <c r="A3973" t="s">
        <v>18</v>
      </c>
      <c r="B3973">
        <v>1185732</v>
      </c>
      <c r="C3973" s="1">
        <v>44265</v>
      </c>
      <c r="D3973" t="s">
        <v>48</v>
      </c>
      <c r="E3973" t="s">
        <v>49</v>
      </c>
      <c r="F3973" t="s">
        <v>50</v>
      </c>
      <c r="G3973" t="s">
        <v>32</v>
      </c>
      <c r="H3973" s="2">
        <v>18</v>
      </c>
      <c r="I3973">
        <v>112</v>
      </c>
      <c r="J3973">
        <v>202</v>
      </c>
      <c r="K3973" s="4">
        <v>101</v>
      </c>
      <c r="L3973" t="s">
        <v>17</v>
      </c>
    </row>
    <row r="3974" spans="1:12" x14ac:dyDescent="0.35">
      <c r="A3974" t="s">
        <v>18</v>
      </c>
      <c r="B3974">
        <v>1185732</v>
      </c>
      <c r="C3974" s="1">
        <v>44297</v>
      </c>
      <c r="D3974" t="s">
        <v>48</v>
      </c>
      <c r="E3974" t="s">
        <v>49</v>
      </c>
      <c r="F3974" t="s">
        <v>50</v>
      </c>
      <c r="G3974" t="s">
        <v>16</v>
      </c>
      <c r="H3974" s="2">
        <v>24</v>
      </c>
      <c r="I3974">
        <v>112</v>
      </c>
      <c r="J3974">
        <v>269</v>
      </c>
      <c r="K3974" s="4">
        <v>161</v>
      </c>
      <c r="L3974" t="s">
        <v>17</v>
      </c>
    </row>
    <row r="3975" spans="1:12" x14ac:dyDescent="0.35">
      <c r="A3975" t="s">
        <v>18</v>
      </c>
      <c r="B3975">
        <v>1185732</v>
      </c>
      <c r="C3975" s="1">
        <v>44358</v>
      </c>
      <c r="D3975" t="s">
        <v>48</v>
      </c>
      <c r="E3975" t="s">
        <v>49</v>
      </c>
      <c r="F3975" t="s">
        <v>50</v>
      </c>
      <c r="G3975" t="s">
        <v>39</v>
      </c>
      <c r="H3975" s="2">
        <v>24</v>
      </c>
      <c r="I3975">
        <v>112</v>
      </c>
      <c r="J3975">
        <v>269</v>
      </c>
      <c r="K3975" s="4">
        <v>132</v>
      </c>
      <c r="L3975" t="s">
        <v>17</v>
      </c>
    </row>
    <row r="3976" spans="1:12" x14ac:dyDescent="0.35">
      <c r="A3976" t="s">
        <v>18</v>
      </c>
      <c r="B3976">
        <v>1185732</v>
      </c>
      <c r="C3976" s="1">
        <v>44540</v>
      </c>
      <c r="D3976" t="s">
        <v>48</v>
      </c>
      <c r="E3976" t="s">
        <v>49</v>
      </c>
      <c r="F3976" t="s">
        <v>50</v>
      </c>
      <c r="G3976" t="s">
        <v>56</v>
      </c>
      <c r="H3976" s="2">
        <v>27</v>
      </c>
      <c r="I3976">
        <v>112</v>
      </c>
      <c r="J3976">
        <v>302</v>
      </c>
      <c r="K3976" s="4">
        <v>154</v>
      </c>
      <c r="L3976" t="s">
        <v>17</v>
      </c>
    </row>
    <row r="3977" spans="1:12" x14ac:dyDescent="0.35">
      <c r="A3977" t="s">
        <v>18</v>
      </c>
      <c r="B3977">
        <v>1185732</v>
      </c>
      <c r="C3977" s="1">
        <v>44540</v>
      </c>
      <c r="D3977" t="s">
        <v>48</v>
      </c>
      <c r="E3977" t="s">
        <v>49</v>
      </c>
      <c r="F3977" t="s">
        <v>50</v>
      </c>
      <c r="G3977" t="s">
        <v>70</v>
      </c>
      <c r="H3977" s="2">
        <v>38</v>
      </c>
      <c r="I3977">
        <v>112</v>
      </c>
      <c r="J3977">
        <v>426</v>
      </c>
      <c r="K3977" s="4">
        <v>213</v>
      </c>
      <c r="L3977" t="s">
        <v>17</v>
      </c>
    </row>
    <row r="3978" spans="1:12" x14ac:dyDescent="0.35">
      <c r="A3978" t="s">
        <v>18</v>
      </c>
      <c r="B3978">
        <v>1128299</v>
      </c>
      <c r="C3978" s="1">
        <v>44213</v>
      </c>
      <c r="D3978" t="s">
        <v>48</v>
      </c>
      <c r="E3978" t="s">
        <v>85</v>
      </c>
      <c r="F3978" t="s">
        <v>86</v>
      </c>
      <c r="G3978" t="s">
        <v>32</v>
      </c>
      <c r="H3978" s="2">
        <v>43</v>
      </c>
      <c r="I3978">
        <v>112</v>
      </c>
      <c r="J3978">
        <v>482</v>
      </c>
      <c r="K3978" s="4">
        <v>260</v>
      </c>
      <c r="L3978" t="s">
        <v>17</v>
      </c>
    </row>
    <row r="3979" spans="1:12" x14ac:dyDescent="0.35">
      <c r="A3979" t="s">
        <v>18</v>
      </c>
      <c r="B3979">
        <v>1128299</v>
      </c>
      <c r="C3979" s="1">
        <v>44334</v>
      </c>
      <c r="D3979" t="s">
        <v>19</v>
      </c>
      <c r="E3979" t="s">
        <v>20</v>
      </c>
      <c r="F3979" t="s">
        <v>21</v>
      </c>
      <c r="G3979" t="s">
        <v>32</v>
      </c>
      <c r="H3979" s="2">
        <v>49</v>
      </c>
      <c r="I3979">
        <v>112</v>
      </c>
      <c r="J3979">
        <v>549</v>
      </c>
      <c r="K3979" s="4">
        <v>280</v>
      </c>
      <c r="L3979" t="s">
        <v>17</v>
      </c>
    </row>
    <row r="3980" spans="1:12" x14ac:dyDescent="0.35">
      <c r="A3980" t="s">
        <v>18</v>
      </c>
      <c r="B3980">
        <v>1128299</v>
      </c>
      <c r="C3980" s="1">
        <v>44486</v>
      </c>
      <c r="D3980" t="s">
        <v>19</v>
      </c>
      <c r="E3980" t="s">
        <v>20</v>
      </c>
      <c r="F3980" t="s">
        <v>21</v>
      </c>
      <c r="G3980" t="s">
        <v>26</v>
      </c>
      <c r="H3980" s="2">
        <v>34</v>
      </c>
      <c r="I3980">
        <v>112</v>
      </c>
      <c r="J3980">
        <v>381</v>
      </c>
      <c r="K3980" s="4">
        <v>206</v>
      </c>
      <c r="L3980" t="s">
        <v>17</v>
      </c>
    </row>
    <row r="3981" spans="1:12" x14ac:dyDescent="0.35">
      <c r="A3981" t="s">
        <v>42</v>
      </c>
      <c r="B3981">
        <v>1128299</v>
      </c>
      <c r="C3981" s="1">
        <v>44431</v>
      </c>
      <c r="D3981" t="s">
        <v>48</v>
      </c>
      <c r="E3981" t="s">
        <v>123</v>
      </c>
      <c r="F3981" t="s">
        <v>124</v>
      </c>
      <c r="G3981" t="s">
        <v>56</v>
      </c>
      <c r="H3981" s="2">
        <v>52</v>
      </c>
      <c r="I3981">
        <v>112</v>
      </c>
      <c r="J3981">
        <v>582</v>
      </c>
      <c r="K3981" s="4">
        <v>285</v>
      </c>
      <c r="L3981" t="s">
        <v>17</v>
      </c>
    </row>
    <row r="3982" spans="1:12" x14ac:dyDescent="0.35">
      <c r="A3982" t="s">
        <v>63</v>
      </c>
      <c r="B3982">
        <v>1128299</v>
      </c>
      <c r="C3982" s="1">
        <v>44280</v>
      </c>
      <c r="D3982" t="s">
        <v>48</v>
      </c>
      <c r="E3982" t="s">
        <v>114</v>
      </c>
      <c r="F3982" t="s">
        <v>115</v>
      </c>
      <c r="G3982" t="s">
        <v>39</v>
      </c>
      <c r="H3982" s="2">
        <v>51</v>
      </c>
      <c r="I3982">
        <v>112</v>
      </c>
      <c r="J3982">
        <v>571</v>
      </c>
      <c r="K3982" s="4">
        <v>303</v>
      </c>
      <c r="L3982" t="s">
        <v>17</v>
      </c>
    </row>
    <row r="3983" spans="1:12" x14ac:dyDescent="0.35">
      <c r="A3983" t="s">
        <v>63</v>
      </c>
      <c r="B3983">
        <v>1128299</v>
      </c>
      <c r="C3983" s="1">
        <v>44280</v>
      </c>
      <c r="D3983" t="s">
        <v>48</v>
      </c>
      <c r="E3983" t="s">
        <v>114</v>
      </c>
      <c r="F3983" t="s">
        <v>115</v>
      </c>
      <c r="G3983" t="s">
        <v>32</v>
      </c>
      <c r="H3983" s="2">
        <v>52</v>
      </c>
      <c r="I3983">
        <v>112</v>
      </c>
      <c r="J3983">
        <v>582</v>
      </c>
      <c r="K3983" s="4">
        <v>285</v>
      </c>
      <c r="L3983" t="s">
        <v>17</v>
      </c>
    </row>
    <row r="3984" spans="1:12" x14ac:dyDescent="0.35">
      <c r="A3984" t="s">
        <v>23</v>
      </c>
      <c r="B3984">
        <v>1128299</v>
      </c>
      <c r="C3984" s="1">
        <v>44240</v>
      </c>
      <c r="D3984" t="s">
        <v>48</v>
      </c>
      <c r="E3984" t="s">
        <v>114</v>
      </c>
      <c r="F3984" t="s">
        <v>115</v>
      </c>
      <c r="G3984" t="s">
        <v>39</v>
      </c>
      <c r="H3984" s="2">
        <v>37</v>
      </c>
      <c r="I3984">
        <v>112</v>
      </c>
      <c r="J3984">
        <v>414</v>
      </c>
      <c r="K3984" s="4">
        <v>228</v>
      </c>
      <c r="L3984" t="s">
        <v>17</v>
      </c>
    </row>
    <row r="3985" spans="1:12" x14ac:dyDescent="0.35">
      <c r="A3985" t="s">
        <v>51</v>
      </c>
      <c r="B3985">
        <v>1185732</v>
      </c>
      <c r="C3985" s="1">
        <v>44480</v>
      </c>
      <c r="D3985" t="s">
        <v>33</v>
      </c>
      <c r="E3985" t="s">
        <v>52</v>
      </c>
      <c r="F3985" t="s">
        <v>53</v>
      </c>
      <c r="G3985" t="s">
        <v>56</v>
      </c>
      <c r="H3985" s="2">
        <v>29</v>
      </c>
      <c r="I3985">
        <v>112</v>
      </c>
      <c r="J3985">
        <v>325</v>
      </c>
      <c r="K3985" s="4">
        <v>166</v>
      </c>
      <c r="L3985" t="s">
        <v>17</v>
      </c>
    </row>
    <row r="3986" spans="1:12" x14ac:dyDescent="0.35">
      <c r="A3986" t="s">
        <v>18</v>
      </c>
      <c r="B3986">
        <v>1197831</v>
      </c>
      <c r="C3986" s="1">
        <v>44549</v>
      </c>
      <c r="D3986" t="s">
        <v>19</v>
      </c>
      <c r="E3986" t="s">
        <v>54</v>
      </c>
      <c r="F3986" t="s">
        <v>55</v>
      </c>
      <c r="G3986" t="s">
        <v>70</v>
      </c>
      <c r="H3986" s="2">
        <v>64</v>
      </c>
      <c r="I3986">
        <v>112</v>
      </c>
      <c r="J3986">
        <v>717</v>
      </c>
      <c r="K3986" s="4">
        <v>351</v>
      </c>
      <c r="L3986" t="s">
        <v>17</v>
      </c>
    </row>
    <row r="3987" spans="1:12" x14ac:dyDescent="0.35">
      <c r="A3987" t="s">
        <v>42</v>
      </c>
      <c r="B3987">
        <v>1197831</v>
      </c>
      <c r="C3987" s="1">
        <v>44542</v>
      </c>
      <c r="D3987" t="s">
        <v>33</v>
      </c>
      <c r="E3987" t="s">
        <v>71</v>
      </c>
      <c r="F3987" t="s">
        <v>72</v>
      </c>
      <c r="G3987" t="s">
        <v>16</v>
      </c>
      <c r="H3987" s="2">
        <v>68</v>
      </c>
      <c r="I3987">
        <v>112</v>
      </c>
      <c r="J3987">
        <v>762</v>
      </c>
      <c r="K3987" s="4">
        <v>350</v>
      </c>
      <c r="L3987" t="s">
        <v>17</v>
      </c>
    </row>
    <row r="3988" spans="1:12" x14ac:dyDescent="0.35">
      <c r="A3988" t="s">
        <v>42</v>
      </c>
      <c r="B3988">
        <v>1185732</v>
      </c>
      <c r="C3988" s="1">
        <v>44475</v>
      </c>
      <c r="D3988" t="s">
        <v>33</v>
      </c>
      <c r="E3988" t="s">
        <v>91</v>
      </c>
      <c r="F3988" t="s">
        <v>92</v>
      </c>
      <c r="G3988" t="s">
        <v>26</v>
      </c>
      <c r="H3988" s="2">
        <v>43</v>
      </c>
      <c r="I3988">
        <v>112</v>
      </c>
      <c r="J3988">
        <v>482</v>
      </c>
      <c r="K3988" s="4">
        <v>197</v>
      </c>
      <c r="L3988" t="s">
        <v>17</v>
      </c>
    </row>
    <row r="3989" spans="1:12" x14ac:dyDescent="0.35">
      <c r="A3989" t="s">
        <v>18</v>
      </c>
      <c r="B3989">
        <v>1185732</v>
      </c>
      <c r="C3989" s="1">
        <v>44506</v>
      </c>
      <c r="D3989" t="s">
        <v>33</v>
      </c>
      <c r="E3989" t="s">
        <v>91</v>
      </c>
      <c r="F3989" t="s">
        <v>92</v>
      </c>
      <c r="G3989" t="s">
        <v>26</v>
      </c>
      <c r="H3989" s="2">
        <v>41</v>
      </c>
      <c r="I3989">
        <v>112</v>
      </c>
      <c r="J3989">
        <v>459</v>
      </c>
      <c r="K3989" s="4">
        <v>202</v>
      </c>
      <c r="L3989" t="s">
        <v>17</v>
      </c>
    </row>
    <row r="3990" spans="1:12" x14ac:dyDescent="0.35">
      <c r="A3990" t="s">
        <v>18</v>
      </c>
      <c r="B3990">
        <v>1185732</v>
      </c>
      <c r="C3990" s="1">
        <v>44546</v>
      </c>
      <c r="D3990" t="s">
        <v>43</v>
      </c>
      <c r="E3990" t="s">
        <v>64</v>
      </c>
      <c r="F3990" t="s">
        <v>65</v>
      </c>
      <c r="G3990" t="s">
        <v>32</v>
      </c>
      <c r="H3990" s="2">
        <v>50</v>
      </c>
      <c r="I3990">
        <v>112</v>
      </c>
      <c r="J3990">
        <v>560</v>
      </c>
      <c r="K3990" s="4">
        <v>297</v>
      </c>
      <c r="L3990" t="s">
        <v>17</v>
      </c>
    </row>
    <row r="3991" spans="1:12" x14ac:dyDescent="0.35">
      <c r="A3991" t="s">
        <v>23</v>
      </c>
      <c r="B3991">
        <v>1185732</v>
      </c>
      <c r="C3991" s="1">
        <v>44380</v>
      </c>
      <c r="D3991" t="s">
        <v>43</v>
      </c>
      <c r="E3991" t="s">
        <v>108</v>
      </c>
      <c r="F3991" t="s">
        <v>109</v>
      </c>
      <c r="G3991" t="s">
        <v>39</v>
      </c>
      <c r="H3991" s="2">
        <v>48</v>
      </c>
      <c r="I3991">
        <v>112</v>
      </c>
      <c r="J3991">
        <v>538</v>
      </c>
      <c r="K3991" s="4">
        <v>285</v>
      </c>
      <c r="L3991" t="s">
        <v>17</v>
      </c>
    </row>
    <row r="3992" spans="1:12" x14ac:dyDescent="0.35">
      <c r="A3992" t="s">
        <v>42</v>
      </c>
      <c r="B3992">
        <v>1185732</v>
      </c>
      <c r="C3992" s="1">
        <v>44533</v>
      </c>
      <c r="D3992" t="s">
        <v>43</v>
      </c>
      <c r="E3992" t="s">
        <v>108</v>
      </c>
      <c r="F3992" t="s">
        <v>109</v>
      </c>
      <c r="G3992" t="s">
        <v>16</v>
      </c>
      <c r="H3992" s="2">
        <v>67</v>
      </c>
      <c r="I3992">
        <v>112</v>
      </c>
      <c r="J3992">
        <v>750</v>
      </c>
      <c r="K3992" s="4">
        <v>345</v>
      </c>
      <c r="L3992" t="s">
        <v>17</v>
      </c>
    </row>
    <row r="3993" spans="1:12" x14ac:dyDescent="0.35">
      <c r="A3993" t="s">
        <v>51</v>
      </c>
      <c r="B3993">
        <v>1185732</v>
      </c>
      <c r="C3993" s="1">
        <v>44543</v>
      </c>
      <c r="D3993" t="s">
        <v>43</v>
      </c>
      <c r="E3993" t="s">
        <v>112</v>
      </c>
      <c r="F3993" t="s">
        <v>113</v>
      </c>
      <c r="G3993" t="s">
        <v>16</v>
      </c>
      <c r="H3993" s="2">
        <v>65</v>
      </c>
      <c r="I3993">
        <v>112</v>
      </c>
      <c r="J3993">
        <v>728</v>
      </c>
      <c r="K3993" s="4">
        <v>320</v>
      </c>
      <c r="L3993" t="s">
        <v>17</v>
      </c>
    </row>
    <row r="3994" spans="1:12" x14ac:dyDescent="0.35">
      <c r="A3994" t="s">
        <v>42</v>
      </c>
      <c r="B3994">
        <v>1128299</v>
      </c>
      <c r="C3994" s="1">
        <v>44278</v>
      </c>
      <c r="D3994" t="s">
        <v>13</v>
      </c>
      <c r="E3994" t="s">
        <v>99</v>
      </c>
      <c r="F3994" t="s">
        <v>100</v>
      </c>
      <c r="G3994" t="s">
        <v>32</v>
      </c>
      <c r="H3994" s="2">
        <v>43</v>
      </c>
      <c r="I3994">
        <v>112</v>
      </c>
      <c r="J3994">
        <v>482</v>
      </c>
      <c r="K3994" s="4">
        <v>197</v>
      </c>
      <c r="L3994" t="s">
        <v>27</v>
      </c>
    </row>
    <row r="3995" spans="1:12" x14ac:dyDescent="0.35">
      <c r="A3995" t="s">
        <v>18</v>
      </c>
      <c r="B3995">
        <v>1128299</v>
      </c>
      <c r="C3995" s="1">
        <v>44278</v>
      </c>
      <c r="D3995" t="s">
        <v>48</v>
      </c>
      <c r="E3995" t="s">
        <v>85</v>
      </c>
      <c r="F3995" t="s">
        <v>86</v>
      </c>
      <c r="G3995" t="s">
        <v>32</v>
      </c>
      <c r="H3995" s="2">
        <v>41</v>
      </c>
      <c r="I3995">
        <v>112</v>
      </c>
      <c r="J3995">
        <v>459</v>
      </c>
      <c r="K3995" s="4">
        <v>174</v>
      </c>
      <c r="L3995" t="s">
        <v>27</v>
      </c>
    </row>
    <row r="3996" spans="1:12" x14ac:dyDescent="0.35">
      <c r="A3996" t="s">
        <v>18</v>
      </c>
      <c r="B3996">
        <v>1128299</v>
      </c>
      <c r="C3996" s="1">
        <v>44486</v>
      </c>
      <c r="D3996" t="s">
        <v>19</v>
      </c>
      <c r="E3996" t="s">
        <v>20</v>
      </c>
      <c r="F3996" t="s">
        <v>21</v>
      </c>
      <c r="G3996" t="s">
        <v>70</v>
      </c>
      <c r="H3996" s="2">
        <v>39</v>
      </c>
      <c r="I3996">
        <v>112</v>
      </c>
      <c r="J3996">
        <v>437</v>
      </c>
      <c r="K3996" s="4">
        <v>210</v>
      </c>
      <c r="L3996" t="s">
        <v>27</v>
      </c>
    </row>
    <row r="3997" spans="1:12" x14ac:dyDescent="0.35">
      <c r="A3997" t="s">
        <v>42</v>
      </c>
      <c r="B3997">
        <v>1197831</v>
      </c>
      <c r="C3997" s="1">
        <v>44261</v>
      </c>
      <c r="D3997" t="s">
        <v>48</v>
      </c>
      <c r="E3997" t="s">
        <v>79</v>
      </c>
      <c r="F3997" t="s">
        <v>80</v>
      </c>
      <c r="G3997" t="s">
        <v>56</v>
      </c>
      <c r="H3997" s="2">
        <v>26</v>
      </c>
      <c r="I3997">
        <v>112</v>
      </c>
      <c r="J3997">
        <v>291</v>
      </c>
      <c r="K3997" s="4">
        <v>137</v>
      </c>
      <c r="L3997" t="s">
        <v>27</v>
      </c>
    </row>
    <row r="3998" spans="1:12" x14ac:dyDescent="0.35">
      <c r="A3998" t="s">
        <v>63</v>
      </c>
      <c r="B3998">
        <v>1128299</v>
      </c>
      <c r="C3998" s="1">
        <v>44495</v>
      </c>
      <c r="D3998" t="s">
        <v>48</v>
      </c>
      <c r="E3998" t="s">
        <v>114</v>
      </c>
      <c r="F3998" t="s">
        <v>115</v>
      </c>
      <c r="G3998" t="s">
        <v>56</v>
      </c>
      <c r="H3998" s="2">
        <v>35</v>
      </c>
      <c r="I3998">
        <v>112</v>
      </c>
      <c r="J3998">
        <v>392</v>
      </c>
      <c r="K3998" s="4">
        <v>165</v>
      </c>
      <c r="L3998" t="s">
        <v>27</v>
      </c>
    </row>
    <row r="3999" spans="1:12" x14ac:dyDescent="0.35">
      <c r="A3999" t="s">
        <v>23</v>
      </c>
      <c r="B3999">
        <v>1128299</v>
      </c>
      <c r="C3999" s="1">
        <v>44267</v>
      </c>
      <c r="D3999" t="s">
        <v>13</v>
      </c>
      <c r="E3999" t="s">
        <v>57</v>
      </c>
      <c r="F3999" t="s">
        <v>58</v>
      </c>
      <c r="G3999" t="s">
        <v>16</v>
      </c>
      <c r="H3999" s="2">
        <v>40</v>
      </c>
      <c r="I3999">
        <v>112</v>
      </c>
      <c r="J3999">
        <v>448</v>
      </c>
      <c r="K3999" s="4">
        <v>130</v>
      </c>
      <c r="L3999" t="s">
        <v>27</v>
      </c>
    </row>
    <row r="4000" spans="1:12" x14ac:dyDescent="0.35">
      <c r="A4000" t="s">
        <v>23</v>
      </c>
      <c r="B4000">
        <v>1128299</v>
      </c>
      <c r="C4000" s="1">
        <v>44299</v>
      </c>
      <c r="D4000" t="s">
        <v>13</v>
      </c>
      <c r="E4000" t="s">
        <v>57</v>
      </c>
      <c r="F4000" t="s">
        <v>58</v>
      </c>
      <c r="G4000" t="s">
        <v>16</v>
      </c>
      <c r="H4000" s="2">
        <v>56</v>
      </c>
      <c r="I4000">
        <v>112</v>
      </c>
      <c r="J4000">
        <v>627</v>
      </c>
      <c r="K4000" s="4">
        <v>176</v>
      </c>
      <c r="L4000" t="s">
        <v>27</v>
      </c>
    </row>
    <row r="4001" spans="1:12" x14ac:dyDescent="0.35">
      <c r="A4001" t="s">
        <v>23</v>
      </c>
      <c r="B4001">
        <v>1197831</v>
      </c>
      <c r="C4001" s="1">
        <v>44248</v>
      </c>
      <c r="D4001" t="s">
        <v>19</v>
      </c>
      <c r="E4001" t="s">
        <v>37</v>
      </c>
      <c r="F4001" t="s">
        <v>38</v>
      </c>
      <c r="G4001" t="s">
        <v>39</v>
      </c>
      <c r="H4001" s="2">
        <v>17</v>
      </c>
      <c r="I4001">
        <v>112</v>
      </c>
      <c r="J4001">
        <v>190</v>
      </c>
      <c r="K4001" s="4">
        <v>74</v>
      </c>
      <c r="L4001" t="s">
        <v>27</v>
      </c>
    </row>
    <row r="4002" spans="1:12" x14ac:dyDescent="0.35">
      <c r="A4002" t="s">
        <v>12</v>
      </c>
      <c r="B4002">
        <v>1197831</v>
      </c>
      <c r="C4002" s="1">
        <v>44274</v>
      </c>
      <c r="D4002" t="s">
        <v>19</v>
      </c>
      <c r="E4002" t="s">
        <v>54</v>
      </c>
      <c r="F4002" t="s">
        <v>55</v>
      </c>
      <c r="G4002" t="s">
        <v>32</v>
      </c>
      <c r="H4002" s="2">
        <v>8</v>
      </c>
      <c r="I4002">
        <v>112</v>
      </c>
      <c r="J4002">
        <v>90</v>
      </c>
      <c r="K4002" s="4">
        <v>40</v>
      </c>
      <c r="L4002" t="s">
        <v>27</v>
      </c>
    </row>
    <row r="4003" spans="1:12" x14ac:dyDescent="0.35">
      <c r="A4003" t="s">
        <v>12</v>
      </c>
      <c r="B4003">
        <v>1197831</v>
      </c>
      <c r="C4003" s="1">
        <v>44274</v>
      </c>
      <c r="D4003" t="s">
        <v>19</v>
      </c>
      <c r="E4003" t="s">
        <v>54</v>
      </c>
      <c r="F4003" t="s">
        <v>55</v>
      </c>
      <c r="G4003" t="s">
        <v>16</v>
      </c>
      <c r="H4003" s="2">
        <v>20</v>
      </c>
      <c r="I4003">
        <v>112</v>
      </c>
      <c r="J4003">
        <v>224</v>
      </c>
      <c r="K4003" s="4">
        <v>103</v>
      </c>
      <c r="L4003" t="s">
        <v>27</v>
      </c>
    </row>
    <row r="4004" spans="1:12" x14ac:dyDescent="0.35">
      <c r="A4004" t="s">
        <v>18</v>
      </c>
      <c r="B4004">
        <v>1197831</v>
      </c>
      <c r="C4004" s="1">
        <v>44248</v>
      </c>
      <c r="D4004" t="s">
        <v>19</v>
      </c>
      <c r="E4004" t="s">
        <v>61</v>
      </c>
      <c r="F4004" t="s">
        <v>62</v>
      </c>
      <c r="G4004" t="s">
        <v>16</v>
      </c>
      <c r="H4004" s="2">
        <v>14</v>
      </c>
      <c r="I4004">
        <v>112</v>
      </c>
      <c r="J4004">
        <v>157</v>
      </c>
      <c r="K4004" s="4">
        <v>72</v>
      </c>
      <c r="L4004" t="s">
        <v>27</v>
      </c>
    </row>
    <row r="4005" spans="1:12" x14ac:dyDescent="0.35">
      <c r="A4005" t="s">
        <v>18</v>
      </c>
      <c r="B4005">
        <v>1197831</v>
      </c>
      <c r="C4005" s="1">
        <v>44490</v>
      </c>
      <c r="D4005" t="s">
        <v>19</v>
      </c>
      <c r="E4005" t="s">
        <v>61</v>
      </c>
      <c r="F4005" t="s">
        <v>62</v>
      </c>
      <c r="G4005" t="s">
        <v>39</v>
      </c>
      <c r="H4005" s="2">
        <v>14</v>
      </c>
      <c r="I4005">
        <v>112</v>
      </c>
      <c r="J4005">
        <v>157</v>
      </c>
      <c r="K4005" s="4">
        <v>66</v>
      </c>
      <c r="L4005" t="s">
        <v>27</v>
      </c>
    </row>
    <row r="4006" spans="1:12" x14ac:dyDescent="0.35">
      <c r="A4006" t="s">
        <v>23</v>
      </c>
      <c r="B4006">
        <v>1185732</v>
      </c>
      <c r="C4006" s="1">
        <v>44422</v>
      </c>
      <c r="D4006" t="s">
        <v>43</v>
      </c>
      <c r="E4006" t="s">
        <v>112</v>
      </c>
      <c r="F4006" t="s">
        <v>113</v>
      </c>
      <c r="G4006" t="s">
        <v>39</v>
      </c>
      <c r="H4006" s="2">
        <v>33</v>
      </c>
      <c r="I4006">
        <v>112</v>
      </c>
      <c r="J4006">
        <v>370</v>
      </c>
      <c r="K4006" s="4">
        <v>118</v>
      </c>
      <c r="L4006" t="s">
        <v>27</v>
      </c>
    </row>
    <row r="4007" spans="1:12" x14ac:dyDescent="0.35">
      <c r="A4007" t="s">
        <v>51</v>
      </c>
      <c r="B4007">
        <v>1185732</v>
      </c>
      <c r="C4007" s="1">
        <v>44543</v>
      </c>
      <c r="D4007" t="s">
        <v>43</v>
      </c>
      <c r="E4007" t="s">
        <v>112</v>
      </c>
      <c r="F4007" t="s">
        <v>113</v>
      </c>
      <c r="G4007" t="s">
        <v>32</v>
      </c>
      <c r="H4007" s="2">
        <v>36</v>
      </c>
      <c r="I4007">
        <v>112</v>
      </c>
      <c r="J4007">
        <v>403</v>
      </c>
      <c r="K4007" s="4">
        <v>109</v>
      </c>
      <c r="L4007" t="s">
        <v>27</v>
      </c>
    </row>
    <row r="4008" spans="1:12" x14ac:dyDescent="0.35">
      <c r="A4008" t="s">
        <v>23</v>
      </c>
      <c r="B4008">
        <v>1197831</v>
      </c>
      <c r="C4008" s="1">
        <v>44476</v>
      </c>
      <c r="D4008" t="s">
        <v>19</v>
      </c>
      <c r="E4008" t="s">
        <v>59</v>
      </c>
      <c r="F4008" t="s">
        <v>68</v>
      </c>
      <c r="G4008" t="s">
        <v>56</v>
      </c>
      <c r="H4008" s="2">
        <v>41</v>
      </c>
      <c r="I4008">
        <v>111</v>
      </c>
      <c r="J4008">
        <v>455</v>
      </c>
      <c r="K4008" s="4">
        <v>273</v>
      </c>
      <c r="L4008" t="s">
        <v>17</v>
      </c>
    </row>
    <row r="4009" spans="1:12" x14ac:dyDescent="0.35">
      <c r="A4009" t="s">
        <v>42</v>
      </c>
      <c r="B4009">
        <v>1185732</v>
      </c>
      <c r="C4009" s="1">
        <v>44491</v>
      </c>
      <c r="D4009" t="s">
        <v>19</v>
      </c>
      <c r="E4009" t="s">
        <v>59</v>
      </c>
      <c r="F4009" t="s">
        <v>68</v>
      </c>
      <c r="G4009" t="s">
        <v>26</v>
      </c>
      <c r="H4009" s="2">
        <v>44</v>
      </c>
      <c r="I4009">
        <v>111</v>
      </c>
      <c r="J4009">
        <v>488</v>
      </c>
      <c r="K4009" s="4">
        <v>342</v>
      </c>
      <c r="L4009" t="s">
        <v>17</v>
      </c>
    </row>
    <row r="4010" spans="1:12" x14ac:dyDescent="0.35">
      <c r="A4010" t="s">
        <v>18</v>
      </c>
      <c r="B4010">
        <v>1128299</v>
      </c>
      <c r="C4010" s="1">
        <v>43865</v>
      </c>
      <c r="D4010" t="s">
        <v>48</v>
      </c>
      <c r="E4010" t="s">
        <v>116</v>
      </c>
      <c r="F4010" t="s">
        <v>117</v>
      </c>
      <c r="G4010" t="s">
        <v>56</v>
      </c>
      <c r="H4010" s="2">
        <v>58</v>
      </c>
      <c r="I4010">
        <v>111</v>
      </c>
      <c r="J4010">
        <v>644</v>
      </c>
      <c r="K4010" s="4">
        <v>328</v>
      </c>
      <c r="L4010" t="s">
        <v>17</v>
      </c>
    </row>
    <row r="4011" spans="1:12" x14ac:dyDescent="0.35">
      <c r="A4011" t="s">
        <v>18</v>
      </c>
      <c r="B4011">
        <v>1128299</v>
      </c>
      <c r="C4011" s="1">
        <v>43912</v>
      </c>
      <c r="D4011" t="s">
        <v>48</v>
      </c>
      <c r="E4011" t="s">
        <v>133</v>
      </c>
      <c r="F4011" t="s">
        <v>134</v>
      </c>
      <c r="G4011" t="s">
        <v>39</v>
      </c>
      <c r="H4011" s="2">
        <v>38</v>
      </c>
      <c r="I4011">
        <v>111</v>
      </c>
      <c r="J4011">
        <v>422</v>
      </c>
      <c r="K4011" s="4">
        <v>127</v>
      </c>
      <c r="L4011" t="s">
        <v>17</v>
      </c>
    </row>
    <row r="4012" spans="1:12" x14ac:dyDescent="0.35">
      <c r="A4012" t="s">
        <v>18</v>
      </c>
      <c r="B4012">
        <v>1128299</v>
      </c>
      <c r="C4012" s="1">
        <v>44029</v>
      </c>
      <c r="D4012" t="s">
        <v>48</v>
      </c>
      <c r="E4012" t="s">
        <v>97</v>
      </c>
      <c r="F4012" t="s">
        <v>98</v>
      </c>
      <c r="G4012" t="s">
        <v>70</v>
      </c>
      <c r="H4012" s="2">
        <v>72</v>
      </c>
      <c r="I4012">
        <v>111</v>
      </c>
      <c r="J4012">
        <v>799</v>
      </c>
      <c r="K4012" s="4">
        <v>320</v>
      </c>
      <c r="L4012" t="s">
        <v>17</v>
      </c>
    </row>
    <row r="4013" spans="1:12" x14ac:dyDescent="0.35">
      <c r="A4013" t="s">
        <v>63</v>
      </c>
      <c r="B4013">
        <v>1189833</v>
      </c>
      <c r="C4013" s="1">
        <v>44219</v>
      </c>
      <c r="D4013" t="s">
        <v>33</v>
      </c>
      <c r="E4013" t="s">
        <v>131</v>
      </c>
      <c r="F4013" t="s">
        <v>132</v>
      </c>
      <c r="G4013" t="s">
        <v>32</v>
      </c>
      <c r="H4013" s="2">
        <v>44</v>
      </c>
      <c r="I4013">
        <v>111</v>
      </c>
      <c r="J4013">
        <v>488</v>
      </c>
      <c r="K4013" s="4">
        <v>269</v>
      </c>
      <c r="L4013" t="s">
        <v>17</v>
      </c>
    </row>
    <row r="4014" spans="1:12" x14ac:dyDescent="0.35">
      <c r="A4014" t="s">
        <v>23</v>
      </c>
      <c r="B4014">
        <v>1197831</v>
      </c>
      <c r="C4014" s="1">
        <v>44282</v>
      </c>
      <c r="D4014" t="s">
        <v>19</v>
      </c>
      <c r="E4014" t="s">
        <v>74</v>
      </c>
      <c r="F4014" t="s">
        <v>75</v>
      </c>
      <c r="G4014" t="s">
        <v>16</v>
      </c>
      <c r="H4014" s="2">
        <v>33</v>
      </c>
      <c r="I4014">
        <v>111</v>
      </c>
      <c r="J4014">
        <v>366</v>
      </c>
      <c r="K4014" s="4">
        <v>242</v>
      </c>
      <c r="L4014" t="s">
        <v>17</v>
      </c>
    </row>
    <row r="4015" spans="1:12" x14ac:dyDescent="0.35">
      <c r="A4015" t="s">
        <v>23</v>
      </c>
      <c r="B4015">
        <v>1197831</v>
      </c>
      <c r="C4015" s="1">
        <v>44473</v>
      </c>
      <c r="D4015" t="s">
        <v>19</v>
      </c>
      <c r="E4015" t="s">
        <v>24</v>
      </c>
      <c r="F4015" t="s">
        <v>25</v>
      </c>
      <c r="G4015" t="s">
        <v>70</v>
      </c>
      <c r="H4015" s="2">
        <v>48</v>
      </c>
      <c r="I4015">
        <v>111</v>
      </c>
      <c r="J4015">
        <v>533</v>
      </c>
      <c r="K4015" s="4">
        <v>314</v>
      </c>
      <c r="L4015" t="s">
        <v>17</v>
      </c>
    </row>
    <row r="4016" spans="1:12" x14ac:dyDescent="0.35">
      <c r="A4016" t="s">
        <v>51</v>
      </c>
      <c r="B4016">
        <v>1185732</v>
      </c>
      <c r="C4016" s="1">
        <v>44397</v>
      </c>
      <c r="D4016" t="s">
        <v>48</v>
      </c>
      <c r="E4016" t="s">
        <v>137</v>
      </c>
      <c r="F4016" t="s">
        <v>138</v>
      </c>
      <c r="G4016" t="s">
        <v>39</v>
      </c>
      <c r="H4016" s="2">
        <v>59</v>
      </c>
      <c r="I4016">
        <v>111</v>
      </c>
      <c r="J4016">
        <v>655</v>
      </c>
      <c r="K4016" s="4">
        <v>308</v>
      </c>
      <c r="L4016" t="s">
        <v>17</v>
      </c>
    </row>
    <row r="4017" spans="1:12" x14ac:dyDescent="0.35">
      <c r="A4017" t="s">
        <v>23</v>
      </c>
      <c r="B4017">
        <v>1128299</v>
      </c>
      <c r="C4017" s="1">
        <v>44244</v>
      </c>
      <c r="D4017" t="s">
        <v>48</v>
      </c>
      <c r="E4017" t="s">
        <v>129</v>
      </c>
      <c r="F4017" t="s">
        <v>130</v>
      </c>
      <c r="G4017" t="s">
        <v>39</v>
      </c>
      <c r="H4017" s="2">
        <v>49</v>
      </c>
      <c r="I4017">
        <v>111</v>
      </c>
      <c r="J4017">
        <v>544</v>
      </c>
      <c r="K4017" s="4">
        <v>190</v>
      </c>
      <c r="L4017" t="s">
        <v>17</v>
      </c>
    </row>
    <row r="4018" spans="1:12" x14ac:dyDescent="0.35">
      <c r="A4018" t="s">
        <v>23</v>
      </c>
      <c r="B4018">
        <v>1128299</v>
      </c>
      <c r="C4018" s="1">
        <v>44244</v>
      </c>
      <c r="D4018" t="s">
        <v>48</v>
      </c>
      <c r="E4018" t="s">
        <v>129</v>
      </c>
      <c r="F4018" t="s">
        <v>130</v>
      </c>
      <c r="G4018" t="s">
        <v>32</v>
      </c>
      <c r="H4018" s="2">
        <v>49</v>
      </c>
      <c r="I4018">
        <v>111</v>
      </c>
      <c r="J4018">
        <v>544</v>
      </c>
      <c r="K4018" s="4">
        <v>218</v>
      </c>
      <c r="L4018" t="s">
        <v>17</v>
      </c>
    </row>
    <row r="4019" spans="1:12" x14ac:dyDescent="0.35">
      <c r="A4019" t="s">
        <v>42</v>
      </c>
      <c r="B4019">
        <v>1128299</v>
      </c>
      <c r="C4019" s="1">
        <v>44432</v>
      </c>
      <c r="D4019" t="s">
        <v>13</v>
      </c>
      <c r="E4019" t="s">
        <v>99</v>
      </c>
      <c r="F4019" t="s">
        <v>100</v>
      </c>
      <c r="G4019" t="s">
        <v>56</v>
      </c>
      <c r="H4019" s="2">
        <v>66</v>
      </c>
      <c r="I4019">
        <v>111</v>
      </c>
      <c r="J4019">
        <v>733</v>
      </c>
      <c r="K4019" s="4">
        <v>359</v>
      </c>
      <c r="L4019" t="s">
        <v>17</v>
      </c>
    </row>
    <row r="4020" spans="1:12" x14ac:dyDescent="0.35">
      <c r="A4020" t="s">
        <v>42</v>
      </c>
      <c r="B4020">
        <v>1128299</v>
      </c>
      <c r="C4020" s="1">
        <v>44524</v>
      </c>
      <c r="D4020" t="s">
        <v>13</v>
      </c>
      <c r="E4020" t="s">
        <v>99</v>
      </c>
      <c r="F4020" t="s">
        <v>100</v>
      </c>
      <c r="G4020" t="s">
        <v>70</v>
      </c>
      <c r="H4020" s="2">
        <v>73</v>
      </c>
      <c r="I4020">
        <v>111</v>
      </c>
      <c r="J4020">
        <v>810</v>
      </c>
      <c r="K4020" s="4">
        <v>446</v>
      </c>
      <c r="L4020" t="s">
        <v>17</v>
      </c>
    </row>
    <row r="4021" spans="1:12" x14ac:dyDescent="0.35">
      <c r="A4021" t="s">
        <v>23</v>
      </c>
      <c r="B4021">
        <v>1185732</v>
      </c>
      <c r="C4021" s="1">
        <v>44302</v>
      </c>
      <c r="D4021" t="s">
        <v>33</v>
      </c>
      <c r="E4021" t="s">
        <v>45</v>
      </c>
      <c r="F4021" t="s">
        <v>46</v>
      </c>
      <c r="G4021" t="s">
        <v>39</v>
      </c>
      <c r="H4021" s="2">
        <v>38</v>
      </c>
      <c r="I4021">
        <v>111</v>
      </c>
      <c r="J4021">
        <v>422</v>
      </c>
      <c r="K4021" s="4">
        <v>224</v>
      </c>
      <c r="L4021" t="s">
        <v>17</v>
      </c>
    </row>
    <row r="4022" spans="1:12" x14ac:dyDescent="0.35">
      <c r="A4022" t="s">
        <v>18</v>
      </c>
      <c r="B4022">
        <v>1128299</v>
      </c>
      <c r="C4022" s="1">
        <v>44524</v>
      </c>
      <c r="D4022" t="s">
        <v>48</v>
      </c>
      <c r="E4022" t="s">
        <v>85</v>
      </c>
      <c r="F4022" t="s">
        <v>86</v>
      </c>
      <c r="G4022" t="s">
        <v>70</v>
      </c>
      <c r="H4022" s="2">
        <v>68</v>
      </c>
      <c r="I4022">
        <v>111</v>
      </c>
      <c r="J4022">
        <v>755</v>
      </c>
      <c r="K4022" s="4">
        <v>408</v>
      </c>
      <c r="L4022" t="s">
        <v>17</v>
      </c>
    </row>
    <row r="4023" spans="1:12" x14ac:dyDescent="0.35">
      <c r="A4023" t="s">
        <v>42</v>
      </c>
      <c r="B4023">
        <v>1128299</v>
      </c>
      <c r="C4023" s="1">
        <v>44219</v>
      </c>
      <c r="D4023" t="s">
        <v>48</v>
      </c>
      <c r="E4023" t="s">
        <v>79</v>
      </c>
      <c r="F4023" t="s">
        <v>80</v>
      </c>
      <c r="G4023" t="s">
        <v>16</v>
      </c>
      <c r="H4023" s="2">
        <v>36</v>
      </c>
      <c r="I4023">
        <v>111</v>
      </c>
      <c r="J4023">
        <v>400</v>
      </c>
      <c r="K4023" s="4">
        <v>140</v>
      </c>
      <c r="L4023" t="s">
        <v>17</v>
      </c>
    </row>
    <row r="4024" spans="1:12" x14ac:dyDescent="0.35">
      <c r="A4024" t="s">
        <v>42</v>
      </c>
      <c r="B4024">
        <v>1128299</v>
      </c>
      <c r="C4024" s="1">
        <v>44523</v>
      </c>
      <c r="D4024" t="s">
        <v>48</v>
      </c>
      <c r="E4024" t="s">
        <v>123</v>
      </c>
      <c r="F4024" t="s">
        <v>124</v>
      </c>
      <c r="G4024" t="s">
        <v>16</v>
      </c>
      <c r="H4024" s="2">
        <v>55</v>
      </c>
      <c r="I4024">
        <v>111</v>
      </c>
      <c r="J4024">
        <v>611</v>
      </c>
      <c r="K4024" s="4">
        <v>226</v>
      </c>
      <c r="L4024" t="s">
        <v>17</v>
      </c>
    </row>
    <row r="4025" spans="1:12" x14ac:dyDescent="0.35">
      <c r="A4025" t="s">
        <v>63</v>
      </c>
      <c r="B4025">
        <v>1128299</v>
      </c>
      <c r="C4025" s="1">
        <v>44253</v>
      </c>
      <c r="D4025" t="s">
        <v>48</v>
      </c>
      <c r="E4025" t="s">
        <v>123</v>
      </c>
      <c r="F4025" t="s">
        <v>124</v>
      </c>
      <c r="G4025" t="s">
        <v>32</v>
      </c>
      <c r="H4025" s="2">
        <v>41</v>
      </c>
      <c r="I4025">
        <v>111</v>
      </c>
      <c r="J4025">
        <v>455</v>
      </c>
      <c r="K4025" s="4">
        <v>209</v>
      </c>
      <c r="L4025" t="s">
        <v>17</v>
      </c>
    </row>
    <row r="4026" spans="1:12" x14ac:dyDescent="0.35">
      <c r="A4026" t="s">
        <v>63</v>
      </c>
      <c r="B4026">
        <v>1128299</v>
      </c>
      <c r="C4026" s="1">
        <v>44343</v>
      </c>
      <c r="D4026" t="s">
        <v>48</v>
      </c>
      <c r="E4026" t="s">
        <v>114</v>
      </c>
      <c r="F4026" t="s">
        <v>115</v>
      </c>
      <c r="G4026" t="s">
        <v>39</v>
      </c>
      <c r="H4026" s="2">
        <v>58</v>
      </c>
      <c r="I4026">
        <v>111</v>
      </c>
      <c r="J4026">
        <v>644</v>
      </c>
      <c r="K4026" s="4">
        <v>328</v>
      </c>
      <c r="L4026" t="s">
        <v>17</v>
      </c>
    </row>
    <row r="4027" spans="1:12" x14ac:dyDescent="0.35">
      <c r="A4027" t="s">
        <v>63</v>
      </c>
      <c r="B4027">
        <v>1128299</v>
      </c>
      <c r="C4027" s="1">
        <v>44466</v>
      </c>
      <c r="D4027" t="s">
        <v>48</v>
      </c>
      <c r="E4027" t="s">
        <v>114</v>
      </c>
      <c r="F4027" t="s">
        <v>115</v>
      </c>
      <c r="G4027" t="s">
        <v>70</v>
      </c>
      <c r="H4027" s="2">
        <v>54</v>
      </c>
      <c r="I4027">
        <v>111</v>
      </c>
      <c r="J4027">
        <v>599</v>
      </c>
      <c r="K4027" s="4">
        <v>240</v>
      </c>
      <c r="L4027" t="s">
        <v>17</v>
      </c>
    </row>
    <row r="4028" spans="1:12" x14ac:dyDescent="0.35">
      <c r="A4028" t="s">
        <v>51</v>
      </c>
      <c r="B4028">
        <v>1185732</v>
      </c>
      <c r="C4028" s="1">
        <v>44296</v>
      </c>
      <c r="D4028" t="s">
        <v>33</v>
      </c>
      <c r="E4028" t="s">
        <v>52</v>
      </c>
      <c r="F4028" t="s">
        <v>53</v>
      </c>
      <c r="G4028" t="s">
        <v>39</v>
      </c>
      <c r="H4028" s="2">
        <v>28</v>
      </c>
      <c r="I4028">
        <v>111</v>
      </c>
      <c r="J4028">
        <v>311</v>
      </c>
      <c r="K4028" s="4">
        <v>152</v>
      </c>
      <c r="L4028" t="s">
        <v>17</v>
      </c>
    </row>
    <row r="4029" spans="1:12" x14ac:dyDescent="0.35">
      <c r="A4029" t="s">
        <v>23</v>
      </c>
      <c r="B4029">
        <v>1185732</v>
      </c>
      <c r="C4029" s="1">
        <v>44517</v>
      </c>
      <c r="D4029" t="s">
        <v>19</v>
      </c>
      <c r="E4029" t="s">
        <v>37</v>
      </c>
      <c r="F4029" t="s">
        <v>38</v>
      </c>
      <c r="G4029" t="s">
        <v>32</v>
      </c>
      <c r="H4029" s="2">
        <v>28</v>
      </c>
      <c r="I4029">
        <v>111</v>
      </c>
      <c r="J4029">
        <v>311</v>
      </c>
      <c r="K4029" s="4">
        <v>168</v>
      </c>
      <c r="L4029" t="s">
        <v>17</v>
      </c>
    </row>
    <row r="4030" spans="1:12" x14ac:dyDescent="0.35">
      <c r="A4030" t="s">
        <v>12</v>
      </c>
      <c r="B4030">
        <v>1197831</v>
      </c>
      <c r="C4030" s="1">
        <v>44335</v>
      </c>
      <c r="D4030" t="s">
        <v>19</v>
      </c>
      <c r="E4030" t="s">
        <v>54</v>
      </c>
      <c r="F4030" t="s">
        <v>55</v>
      </c>
      <c r="G4030" t="s">
        <v>16</v>
      </c>
      <c r="H4030" s="2">
        <v>44</v>
      </c>
      <c r="I4030">
        <v>111</v>
      </c>
      <c r="J4030">
        <v>488</v>
      </c>
      <c r="K4030" s="4">
        <v>269</v>
      </c>
      <c r="L4030" t="s">
        <v>17</v>
      </c>
    </row>
    <row r="4031" spans="1:12" x14ac:dyDescent="0.35">
      <c r="A4031" t="s">
        <v>63</v>
      </c>
      <c r="B4031">
        <v>1197831</v>
      </c>
      <c r="C4031" s="1">
        <v>44421</v>
      </c>
      <c r="D4031" t="s">
        <v>33</v>
      </c>
      <c r="E4031" t="s">
        <v>71</v>
      </c>
      <c r="F4031" t="s">
        <v>72</v>
      </c>
      <c r="G4031" t="s">
        <v>39</v>
      </c>
      <c r="H4031" s="2">
        <v>51</v>
      </c>
      <c r="I4031">
        <v>111</v>
      </c>
      <c r="J4031">
        <v>566</v>
      </c>
      <c r="K4031" s="4">
        <v>255</v>
      </c>
      <c r="L4031" t="s">
        <v>17</v>
      </c>
    </row>
    <row r="4032" spans="1:12" x14ac:dyDescent="0.35">
      <c r="A4032" t="s">
        <v>42</v>
      </c>
      <c r="B4032">
        <v>1185732</v>
      </c>
      <c r="C4032" s="1">
        <v>44504</v>
      </c>
      <c r="D4032" t="s">
        <v>43</v>
      </c>
      <c r="E4032" t="s">
        <v>108</v>
      </c>
      <c r="F4032" t="s">
        <v>109</v>
      </c>
      <c r="G4032" t="s">
        <v>26</v>
      </c>
      <c r="H4032" s="2">
        <v>60</v>
      </c>
      <c r="I4032">
        <v>111</v>
      </c>
      <c r="J4032">
        <v>666</v>
      </c>
      <c r="K4032" s="4">
        <v>333</v>
      </c>
      <c r="L4032" t="s">
        <v>17</v>
      </c>
    </row>
    <row r="4033" spans="1:12" x14ac:dyDescent="0.35">
      <c r="A4033" t="s">
        <v>42</v>
      </c>
      <c r="B4033">
        <v>1185732</v>
      </c>
      <c r="C4033" s="1">
        <v>44261</v>
      </c>
      <c r="D4033" t="s">
        <v>43</v>
      </c>
      <c r="E4033" t="s">
        <v>110</v>
      </c>
      <c r="F4033" t="s">
        <v>111</v>
      </c>
      <c r="G4033" t="s">
        <v>26</v>
      </c>
      <c r="H4033" s="2">
        <v>34</v>
      </c>
      <c r="I4033">
        <v>111</v>
      </c>
      <c r="J4033">
        <v>377</v>
      </c>
      <c r="K4033" s="4">
        <v>189</v>
      </c>
      <c r="L4033" t="s">
        <v>17</v>
      </c>
    </row>
    <row r="4034" spans="1:12" x14ac:dyDescent="0.35">
      <c r="A4034" t="s">
        <v>42</v>
      </c>
      <c r="B4034">
        <v>1185732</v>
      </c>
      <c r="C4034" s="1">
        <v>44293</v>
      </c>
      <c r="D4034" t="s">
        <v>43</v>
      </c>
      <c r="E4034" t="s">
        <v>110</v>
      </c>
      <c r="F4034" t="s">
        <v>111</v>
      </c>
      <c r="G4034" t="s">
        <v>26</v>
      </c>
      <c r="H4034" s="2">
        <v>32</v>
      </c>
      <c r="I4034">
        <v>111</v>
      </c>
      <c r="J4034">
        <v>355</v>
      </c>
      <c r="K4034" s="4">
        <v>174</v>
      </c>
      <c r="L4034" t="s">
        <v>17</v>
      </c>
    </row>
    <row r="4035" spans="1:12" x14ac:dyDescent="0.35">
      <c r="A4035" t="s">
        <v>42</v>
      </c>
      <c r="B4035">
        <v>1185732</v>
      </c>
      <c r="C4035" s="1">
        <v>44445</v>
      </c>
      <c r="D4035" t="s">
        <v>43</v>
      </c>
      <c r="E4035" t="s">
        <v>110</v>
      </c>
      <c r="F4035" t="s">
        <v>111</v>
      </c>
      <c r="G4035" t="s">
        <v>26</v>
      </c>
      <c r="H4035" s="2">
        <v>45</v>
      </c>
      <c r="I4035">
        <v>111</v>
      </c>
      <c r="J4035">
        <v>500</v>
      </c>
      <c r="K4035" s="4">
        <v>225</v>
      </c>
      <c r="L4035" t="s">
        <v>17</v>
      </c>
    </row>
    <row r="4036" spans="1:12" x14ac:dyDescent="0.35">
      <c r="A4036" t="s">
        <v>18</v>
      </c>
      <c r="B4036">
        <v>1185732</v>
      </c>
      <c r="C4036" s="1">
        <v>44297</v>
      </c>
      <c r="D4036" t="s">
        <v>48</v>
      </c>
      <c r="E4036" t="s">
        <v>49</v>
      </c>
      <c r="F4036" t="s">
        <v>50</v>
      </c>
      <c r="G4036" t="s">
        <v>39</v>
      </c>
      <c r="H4036" s="2">
        <v>20</v>
      </c>
      <c r="I4036">
        <v>111</v>
      </c>
      <c r="J4036">
        <v>222</v>
      </c>
      <c r="K4036" s="4">
        <v>82</v>
      </c>
      <c r="L4036" t="s">
        <v>27</v>
      </c>
    </row>
    <row r="4037" spans="1:12" x14ac:dyDescent="0.35">
      <c r="A4037" t="s">
        <v>18</v>
      </c>
      <c r="B4037">
        <v>1185732</v>
      </c>
      <c r="C4037" s="1">
        <v>44451</v>
      </c>
      <c r="D4037" t="s">
        <v>48</v>
      </c>
      <c r="E4037" t="s">
        <v>49</v>
      </c>
      <c r="F4037" t="s">
        <v>50</v>
      </c>
      <c r="G4037" t="s">
        <v>56</v>
      </c>
      <c r="H4037" s="2">
        <v>7</v>
      </c>
      <c r="I4037">
        <v>111</v>
      </c>
      <c r="J4037">
        <v>78</v>
      </c>
      <c r="K4037" s="4">
        <v>36</v>
      </c>
      <c r="L4037" t="s">
        <v>27</v>
      </c>
    </row>
    <row r="4038" spans="1:12" x14ac:dyDescent="0.35">
      <c r="A4038" t="s">
        <v>42</v>
      </c>
      <c r="B4038">
        <v>1197831</v>
      </c>
      <c r="C4038" s="1">
        <v>44201</v>
      </c>
      <c r="D4038" t="s">
        <v>19</v>
      </c>
      <c r="E4038" t="s">
        <v>20</v>
      </c>
      <c r="F4038" t="s">
        <v>21</v>
      </c>
      <c r="G4038" t="s">
        <v>70</v>
      </c>
      <c r="H4038" s="2">
        <v>28</v>
      </c>
      <c r="I4038">
        <v>111</v>
      </c>
      <c r="J4038">
        <v>311</v>
      </c>
      <c r="K4038" s="4">
        <v>87</v>
      </c>
      <c r="L4038" t="s">
        <v>27</v>
      </c>
    </row>
    <row r="4039" spans="1:12" x14ac:dyDescent="0.35">
      <c r="A4039" t="s">
        <v>42</v>
      </c>
      <c r="B4039">
        <v>1128299</v>
      </c>
      <c r="C4039" s="1">
        <v>44309</v>
      </c>
      <c r="D4039" t="s">
        <v>48</v>
      </c>
      <c r="E4039" t="s">
        <v>123</v>
      </c>
      <c r="F4039" t="s">
        <v>124</v>
      </c>
      <c r="G4039" t="s">
        <v>16</v>
      </c>
      <c r="H4039" s="2">
        <v>49</v>
      </c>
      <c r="I4039">
        <v>111</v>
      </c>
      <c r="J4039">
        <v>544</v>
      </c>
      <c r="K4039" s="4">
        <v>163</v>
      </c>
      <c r="L4039" t="s">
        <v>27</v>
      </c>
    </row>
    <row r="4040" spans="1:12" x14ac:dyDescent="0.35">
      <c r="A4040" t="s">
        <v>42</v>
      </c>
      <c r="B4040">
        <v>1128299</v>
      </c>
      <c r="C4040" s="1">
        <v>44492</v>
      </c>
      <c r="D4040" t="s">
        <v>48</v>
      </c>
      <c r="E4040" t="s">
        <v>123</v>
      </c>
      <c r="F4040" t="s">
        <v>124</v>
      </c>
      <c r="G4040" t="s">
        <v>32</v>
      </c>
      <c r="H4040" s="2">
        <v>31</v>
      </c>
      <c r="I4040">
        <v>111</v>
      </c>
      <c r="J4040">
        <v>344</v>
      </c>
      <c r="K4040" s="4">
        <v>127</v>
      </c>
      <c r="L4040" t="s">
        <v>27</v>
      </c>
    </row>
    <row r="4041" spans="1:12" x14ac:dyDescent="0.35">
      <c r="A4041" t="s">
        <v>23</v>
      </c>
      <c r="B4041">
        <v>1128299</v>
      </c>
      <c r="C4041" s="1">
        <v>44299</v>
      </c>
      <c r="D4041" t="s">
        <v>13</v>
      </c>
      <c r="E4041" t="s">
        <v>57</v>
      </c>
      <c r="F4041" t="s">
        <v>58</v>
      </c>
      <c r="G4041" t="s">
        <v>39</v>
      </c>
      <c r="H4041" s="2">
        <v>40</v>
      </c>
      <c r="I4041">
        <v>111</v>
      </c>
      <c r="J4041">
        <v>444</v>
      </c>
      <c r="K4041" s="4">
        <v>186</v>
      </c>
      <c r="L4041" t="s">
        <v>27</v>
      </c>
    </row>
    <row r="4042" spans="1:12" x14ac:dyDescent="0.35">
      <c r="A4042" t="s">
        <v>12</v>
      </c>
      <c r="B4042">
        <v>1197831</v>
      </c>
      <c r="C4042" s="1">
        <v>44248</v>
      </c>
      <c r="D4042" t="s">
        <v>19</v>
      </c>
      <c r="E4042" t="s">
        <v>54</v>
      </c>
      <c r="F4042" t="s">
        <v>55</v>
      </c>
      <c r="G4042" t="s">
        <v>70</v>
      </c>
      <c r="H4042" s="2">
        <v>23</v>
      </c>
      <c r="I4042">
        <v>111</v>
      </c>
      <c r="J4042">
        <v>255</v>
      </c>
      <c r="K4042" s="4">
        <v>94</v>
      </c>
      <c r="L4042" t="s">
        <v>27</v>
      </c>
    </row>
    <row r="4043" spans="1:12" x14ac:dyDescent="0.35">
      <c r="A4043" t="s">
        <v>12</v>
      </c>
      <c r="B4043">
        <v>1197831</v>
      </c>
      <c r="C4043" s="1">
        <v>44335</v>
      </c>
      <c r="D4043" t="s">
        <v>19</v>
      </c>
      <c r="E4043" t="s">
        <v>54</v>
      </c>
      <c r="F4043" t="s">
        <v>55</v>
      </c>
      <c r="G4043" t="s">
        <v>70</v>
      </c>
      <c r="H4043" s="2">
        <v>32</v>
      </c>
      <c r="I4043">
        <v>111</v>
      </c>
      <c r="J4043">
        <v>355</v>
      </c>
      <c r="K4043" s="4">
        <v>139</v>
      </c>
      <c r="L4043" t="s">
        <v>27</v>
      </c>
    </row>
    <row r="4044" spans="1:12" x14ac:dyDescent="0.35">
      <c r="A4044" t="s">
        <v>12</v>
      </c>
      <c r="B4044">
        <v>1197831</v>
      </c>
      <c r="C4044" s="1">
        <v>44458</v>
      </c>
      <c r="D4044" t="s">
        <v>19</v>
      </c>
      <c r="E4044" t="s">
        <v>54</v>
      </c>
      <c r="F4044" t="s">
        <v>55</v>
      </c>
      <c r="G4044" t="s">
        <v>70</v>
      </c>
      <c r="H4044" s="2">
        <v>18</v>
      </c>
      <c r="I4044">
        <v>111</v>
      </c>
      <c r="J4044">
        <v>200</v>
      </c>
      <c r="K4044" s="4">
        <v>78</v>
      </c>
      <c r="L4044" t="s">
        <v>27</v>
      </c>
    </row>
    <row r="4045" spans="1:12" x14ac:dyDescent="0.35">
      <c r="A4045" t="s">
        <v>18</v>
      </c>
      <c r="B4045">
        <v>1197831</v>
      </c>
      <c r="C4045" s="1">
        <v>44306</v>
      </c>
      <c r="D4045" t="s">
        <v>19</v>
      </c>
      <c r="E4045" t="s">
        <v>61</v>
      </c>
      <c r="F4045" t="s">
        <v>62</v>
      </c>
      <c r="G4045" t="s">
        <v>16</v>
      </c>
      <c r="H4045" s="2">
        <v>22</v>
      </c>
      <c r="I4045">
        <v>111</v>
      </c>
      <c r="J4045">
        <v>244</v>
      </c>
      <c r="K4045" s="4">
        <v>105</v>
      </c>
      <c r="L4045" t="s">
        <v>27</v>
      </c>
    </row>
    <row r="4046" spans="1:12" x14ac:dyDescent="0.35">
      <c r="A4046" t="s">
        <v>18</v>
      </c>
      <c r="B4046">
        <v>1197831</v>
      </c>
      <c r="C4046" s="1">
        <v>44428</v>
      </c>
      <c r="D4046" t="s">
        <v>19</v>
      </c>
      <c r="E4046" t="s">
        <v>61</v>
      </c>
      <c r="F4046" t="s">
        <v>62</v>
      </c>
      <c r="G4046" t="s">
        <v>56</v>
      </c>
      <c r="H4046" s="2">
        <v>32</v>
      </c>
      <c r="I4046">
        <v>111</v>
      </c>
      <c r="J4046">
        <v>355</v>
      </c>
      <c r="K4046" s="4">
        <v>149</v>
      </c>
      <c r="L4046" t="s">
        <v>27</v>
      </c>
    </row>
    <row r="4047" spans="1:12" x14ac:dyDescent="0.35">
      <c r="A4047" t="s">
        <v>23</v>
      </c>
      <c r="B4047">
        <v>1185732</v>
      </c>
      <c r="C4047" s="1">
        <v>44380</v>
      </c>
      <c r="D4047" t="s">
        <v>43</v>
      </c>
      <c r="E4047" t="s">
        <v>108</v>
      </c>
      <c r="F4047" t="s">
        <v>109</v>
      </c>
      <c r="G4047" t="s">
        <v>32</v>
      </c>
      <c r="H4047" s="2">
        <v>29</v>
      </c>
      <c r="I4047">
        <v>111</v>
      </c>
      <c r="J4047">
        <v>322</v>
      </c>
      <c r="K4047" s="4">
        <v>109</v>
      </c>
      <c r="L4047" t="s">
        <v>27</v>
      </c>
    </row>
    <row r="4048" spans="1:12" x14ac:dyDescent="0.35">
      <c r="A4048" t="s">
        <v>42</v>
      </c>
      <c r="B4048">
        <v>1185732</v>
      </c>
      <c r="C4048" s="1">
        <v>44415</v>
      </c>
      <c r="D4048" t="s">
        <v>43</v>
      </c>
      <c r="E4048" t="s">
        <v>110</v>
      </c>
      <c r="F4048" t="s">
        <v>111</v>
      </c>
      <c r="G4048" t="s">
        <v>39</v>
      </c>
      <c r="H4048" s="2">
        <v>31</v>
      </c>
      <c r="I4048">
        <v>111</v>
      </c>
      <c r="J4048">
        <v>344</v>
      </c>
      <c r="K4048" s="4">
        <v>131</v>
      </c>
      <c r="L4048" t="s">
        <v>27</v>
      </c>
    </row>
    <row r="4049" spans="1:12" x14ac:dyDescent="0.35">
      <c r="A4049" t="s">
        <v>23</v>
      </c>
      <c r="B4049">
        <v>1185732</v>
      </c>
      <c r="C4049" s="1">
        <v>44536</v>
      </c>
      <c r="D4049" t="s">
        <v>43</v>
      </c>
      <c r="E4049" t="s">
        <v>110</v>
      </c>
      <c r="F4049" t="s">
        <v>111</v>
      </c>
      <c r="G4049" t="s">
        <v>16</v>
      </c>
      <c r="H4049" s="2">
        <v>51</v>
      </c>
      <c r="I4049">
        <v>111</v>
      </c>
      <c r="J4049">
        <v>566</v>
      </c>
      <c r="K4049" s="4">
        <v>243</v>
      </c>
      <c r="L4049" t="s">
        <v>27</v>
      </c>
    </row>
    <row r="4050" spans="1:12" x14ac:dyDescent="0.35">
      <c r="A4050" t="s">
        <v>51</v>
      </c>
      <c r="B4050">
        <v>1185732</v>
      </c>
      <c r="C4050" s="1">
        <v>44449</v>
      </c>
      <c r="D4050" t="s">
        <v>43</v>
      </c>
      <c r="E4050" t="s">
        <v>125</v>
      </c>
      <c r="F4050" t="s">
        <v>126</v>
      </c>
      <c r="G4050" t="s">
        <v>39</v>
      </c>
      <c r="H4050" s="2">
        <v>42</v>
      </c>
      <c r="I4050">
        <v>111</v>
      </c>
      <c r="J4050">
        <v>466</v>
      </c>
      <c r="K4050" s="4">
        <v>238</v>
      </c>
      <c r="L4050" t="s">
        <v>27</v>
      </c>
    </row>
    <row r="4051" spans="1:12" x14ac:dyDescent="0.35">
      <c r="A4051" t="s">
        <v>51</v>
      </c>
      <c r="B4051">
        <v>1185732</v>
      </c>
      <c r="C4051" s="1">
        <v>44217</v>
      </c>
      <c r="D4051" t="s">
        <v>43</v>
      </c>
      <c r="E4051" t="s">
        <v>125</v>
      </c>
      <c r="F4051" t="s">
        <v>126</v>
      </c>
      <c r="G4051" t="s">
        <v>39</v>
      </c>
      <c r="H4051" s="2">
        <v>39</v>
      </c>
      <c r="I4051">
        <v>111</v>
      </c>
      <c r="J4051">
        <v>433</v>
      </c>
      <c r="K4051" s="4">
        <v>186</v>
      </c>
      <c r="L4051" t="s">
        <v>27</v>
      </c>
    </row>
    <row r="4052" spans="1:12" x14ac:dyDescent="0.35">
      <c r="A4052" t="s">
        <v>18</v>
      </c>
      <c r="B4052">
        <v>1128299</v>
      </c>
      <c r="C4052" s="1">
        <v>43888</v>
      </c>
      <c r="D4052" t="s">
        <v>48</v>
      </c>
      <c r="E4052" t="s">
        <v>116</v>
      </c>
      <c r="F4052" t="s">
        <v>117</v>
      </c>
      <c r="G4052" t="s">
        <v>32</v>
      </c>
      <c r="H4052" s="2">
        <v>54</v>
      </c>
      <c r="I4052">
        <v>109</v>
      </c>
      <c r="J4052">
        <v>589</v>
      </c>
      <c r="K4052" s="4">
        <v>265</v>
      </c>
      <c r="L4052" t="s">
        <v>17</v>
      </c>
    </row>
    <row r="4053" spans="1:12" x14ac:dyDescent="0.35">
      <c r="A4053" t="s">
        <v>18</v>
      </c>
      <c r="B4053">
        <v>1128299</v>
      </c>
      <c r="C4053" s="1">
        <v>44206</v>
      </c>
      <c r="D4053" t="s">
        <v>43</v>
      </c>
      <c r="E4053" t="s">
        <v>122</v>
      </c>
      <c r="F4053" t="s">
        <v>86</v>
      </c>
      <c r="G4053" t="s">
        <v>39</v>
      </c>
      <c r="H4053" s="2">
        <v>41</v>
      </c>
      <c r="I4053">
        <v>109</v>
      </c>
      <c r="J4053">
        <v>447</v>
      </c>
      <c r="K4053" s="4">
        <v>147</v>
      </c>
      <c r="L4053" t="s">
        <v>17</v>
      </c>
    </row>
    <row r="4054" spans="1:12" x14ac:dyDescent="0.35">
      <c r="A4054" t="s">
        <v>42</v>
      </c>
      <c r="B4054">
        <v>1128299</v>
      </c>
      <c r="C4054" s="1">
        <v>44206</v>
      </c>
      <c r="D4054" t="s">
        <v>48</v>
      </c>
      <c r="E4054" t="s">
        <v>137</v>
      </c>
      <c r="F4054" t="s">
        <v>138</v>
      </c>
      <c r="G4054" t="s">
        <v>26</v>
      </c>
      <c r="H4054" s="2">
        <v>33</v>
      </c>
      <c r="I4054">
        <v>109</v>
      </c>
      <c r="J4054">
        <v>360</v>
      </c>
      <c r="K4054" s="4">
        <v>137</v>
      </c>
      <c r="L4054" t="s">
        <v>17</v>
      </c>
    </row>
    <row r="4055" spans="1:12" x14ac:dyDescent="0.35">
      <c r="A4055" t="s">
        <v>42</v>
      </c>
      <c r="B4055">
        <v>1128299</v>
      </c>
      <c r="C4055" s="1">
        <v>44206</v>
      </c>
      <c r="D4055" t="s">
        <v>48</v>
      </c>
      <c r="E4055" t="s">
        <v>137</v>
      </c>
      <c r="F4055" t="s">
        <v>138</v>
      </c>
      <c r="G4055" t="s">
        <v>39</v>
      </c>
      <c r="H4055" s="2">
        <v>43</v>
      </c>
      <c r="I4055">
        <v>109</v>
      </c>
      <c r="J4055">
        <v>469</v>
      </c>
      <c r="K4055" s="4">
        <v>155</v>
      </c>
      <c r="L4055" t="s">
        <v>17</v>
      </c>
    </row>
    <row r="4056" spans="1:12" x14ac:dyDescent="0.35">
      <c r="A4056" t="s">
        <v>12</v>
      </c>
      <c r="B4056">
        <v>1128299</v>
      </c>
      <c r="C4056" s="1">
        <v>44303</v>
      </c>
      <c r="D4056" t="s">
        <v>13</v>
      </c>
      <c r="E4056" t="s">
        <v>14</v>
      </c>
      <c r="F4056" t="s">
        <v>15</v>
      </c>
      <c r="G4056" t="s">
        <v>16</v>
      </c>
      <c r="H4056" s="2">
        <v>72</v>
      </c>
      <c r="I4056">
        <v>109</v>
      </c>
      <c r="J4056">
        <v>785</v>
      </c>
      <c r="K4056" s="4">
        <v>471</v>
      </c>
      <c r="L4056" t="s">
        <v>17</v>
      </c>
    </row>
    <row r="4057" spans="1:12" x14ac:dyDescent="0.35">
      <c r="A4057" t="s">
        <v>23</v>
      </c>
      <c r="B4057">
        <v>1185732</v>
      </c>
      <c r="C4057" s="1">
        <v>44244</v>
      </c>
      <c r="D4057" t="s">
        <v>33</v>
      </c>
      <c r="E4057" t="s">
        <v>45</v>
      </c>
      <c r="F4057" t="s">
        <v>46</v>
      </c>
      <c r="G4057" t="s">
        <v>56</v>
      </c>
      <c r="H4057" s="2">
        <v>28</v>
      </c>
      <c r="I4057">
        <v>109</v>
      </c>
      <c r="J4057">
        <v>305</v>
      </c>
      <c r="K4057" s="4">
        <v>150</v>
      </c>
      <c r="L4057" t="s">
        <v>17</v>
      </c>
    </row>
    <row r="4058" spans="1:12" x14ac:dyDescent="0.35">
      <c r="A4058" t="s">
        <v>23</v>
      </c>
      <c r="B4058">
        <v>1185732</v>
      </c>
      <c r="C4058" s="1">
        <v>44302</v>
      </c>
      <c r="D4058" t="s">
        <v>33</v>
      </c>
      <c r="E4058" t="s">
        <v>45</v>
      </c>
      <c r="F4058" t="s">
        <v>46</v>
      </c>
      <c r="G4058" t="s">
        <v>56</v>
      </c>
      <c r="H4058" s="2">
        <v>32</v>
      </c>
      <c r="I4058">
        <v>109</v>
      </c>
      <c r="J4058">
        <v>349</v>
      </c>
      <c r="K4058" s="4">
        <v>160</v>
      </c>
      <c r="L4058" t="s">
        <v>17</v>
      </c>
    </row>
    <row r="4059" spans="1:12" x14ac:dyDescent="0.35">
      <c r="A4059" t="s">
        <v>42</v>
      </c>
      <c r="B4059">
        <v>1197831</v>
      </c>
      <c r="C4059" s="1">
        <v>44231</v>
      </c>
      <c r="D4059" t="s">
        <v>48</v>
      </c>
      <c r="E4059" t="s">
        <v>79</v>
      </c>
      <c r="F4059" t="s">
        <v>80</v>
      </c>
      <c r="G4059" t="s">
        <v>56</v>
      </c>
      <c r="H4059" s="2">
        <v>32</v>
      </c>
      <c r="I4059">
        <v>109</v>
      </c>
      <c r="J4059">
        <v>349</v>
      </c>
      <c r="K4059" s="4">
        <v>188</v>
      </c>
      <c r="L4059" t="s">
        <v>17</v>
      </c>
    </row>
    <row r="4060" spans="1:12" x14ac:dyDescent="0.35">
      <c r="A4060" t="s">
        <v>42</v>
      </c>
      <c r="B4060">
        <v>1185732</v>
      </c>
      <c r="C4060" s="1">
        <v>44303</v>
      </c>
      <c r="D4060" t="s">
        <v>19</v>
      </c>
      <c r="E4060" t="s">
        <v>37</v>
      </c>
      <c r="F4060" t="s">
        <v>38</v>
      </c>
      <c r="G4060" t="s">
        <v>39</v>
      </c>
      <c r="H4060" s="2">
        <v>23</v>
      </c>
      <c r="I4060">
        <v>109</v>
      </c>
      <c r="J4060">
        <v>251</v>
      </c>
      <c r="K4060" s="4">
        <v>125</v>
      </c>
      <c r="L4060" t="s">
        <v>17</v>
      </c>
    </row>
    <row r="4061" spans="1:12" x14ac:dyDescent="0.35">
      <c r="A4061" t="s">
        <v>18</v>
      </c>
      <c r="B4061">
        <v>1197831</v>
      </c>
      <c r="C4061" s="1">
        <v>44520</v>
      </c>
      <c r="D4061" t="s">
        <v>19</v>
      </c>
      <c r="E4061" t="s">
        <v>54</v>
      </c>
      <c r="F4061" t="s">
        <v>55</v>
      </c>
      <c r="G4061" t="s">
        <v>56</v>
      </c>
      <c r="H4061" s="2">
        <v>51</v>
      </c>
      <c r="I4061">
        <v>109</v>
      </c>
      <c r="J4061">
        <v>556</v>
      </c>
      <c r="K4061" s="4">
        <v>278</v>
      </c>
      <c r="L4061" t="s">
        <v>17</v>
      </c>
    </row>
    <row r="4062" spans="1:12" x14ac:dyDescent="0.35">
      <c r="A4062" t="s">
        <v>18</v>
      </c>
      <c r="B4062">
        <v>1197831</v>
      </c>
      <c r="C4062" s="1">
        <v>44219</v>
      </c>
      <c r="D4062" t="s">
        <v>19</v>
      </c>
      <c r="E4062" t="s">
        <v>54</v>
      </c>
      <c r="F4062" t="s">
        <v>55</v>
      </c>
      <c r="G4062" t="s">
        <v>39</v>
      </c>
      <c r="H4062" s="2">
        <v>25</v>
      </c>
      <c r="I4062">
        <v>109</v>
      </c>
      <c r="J4062">
        <v>273</v>
      </c>
      <c r="K4062" s="4">
        <v>123</v>
      </c>
      <c r="L4062" t="s">
        <v>17</v>
      </c>
    </row>
    <row r="4063" spans="1:12" x14ac:dyDescent="0.35">
      <c r="A4063" t="s">
        <v>63</v>
      </c>
      <c r="B4063">
        <v>1185732</v>
      </c>
      <c r="C4063" s="1">
        <v>44543</v>
      </c>
      <c r="D4063" t="s">
        <v>43</v>
      </c>
      <c r="E4063" t="s">
        <v>95</v>
      </c>
      <c r="F4063" t="s">
        <v>96</v>
      </c>
      <c r="G4063" t="s">
        <v>32</v>
      </c>
      <c r="H4063" s="2">
        <v>50</v>
      </c>
      <c r="I4063">
        <v>109</v>
      </c>
      <c r="J4063">
        <v>545</v>
      </c>
      <c r="K4063" s="4">
        <v>294</v>
      </c>
      <c r="L4063" t="s">
        <v>17</v>
      </c>
    </row>
    <row r="4064" spans="1:12" x14ac:dyDescent="0.35">
      <c r="A4064" t="s">
        <v>51</v>
      </c>
      <c r="B4064">
        <v>1185732</v>
      </c>
      <c r="C4064" s="1">
        <v>44394</v>
      </c>
      <c r="D4064" t="s">
        <v>43</v>
      </c>
      <c r="E4064" t="s">
        <v>127</v>
      </c>
      <c r="F4064" t="s">
        <v>128</v>
      </c>
      <c r="G4064" t="s">
        <v>32</v>
      </c>
      <c r="H4064" s="2">
        <v>54</v>
      </c>
      <c r="I4064">
        <v>109</v>
      </c>
      <c r="J4064">
        <v>589</v>
      </c>
      <c r="K4064" s="4">
        <v>241</v>
      </c>
      <c r="L4064" t="s">
        <v>17</v>
      </c>
    </row>
    <row r="4065" spans="1:12" x14ac:dyDescent="0.35">
      <c r="A4065" t="s">
        <v>23</v>
      </c>
      <c r="B4065">
        <v>1197831</v>
      </c>
      <c r="C4065" s="1">
        <v>44323</v>
      </c>
      <c r="D4065" t="s">
        <v>19</v>
      </c>
      <c r="E4065" t="s">
        <v>74</v>
      </c>
      <c r="F4065" t="s">
        <v>75</v>
      </c>
      <c r="G4065" t="s">
        <v>70</v>
      </c>
      <c r="H4065" s="2">
        <v>28</v>
      </c>
      <c r="I4065">
        <v>109</v>
      </c>
      <c r="J4065">
        <v>305</v>
      </c>
      <c r="K4065" s="4">
        <v>134</v>
      </c>
      <c r="L4065" t="s">
        <v>27</v>
      </c>
    </row>
    <row r="4066" spans="1:12" x14ac:dyDescent="0.35">
      <c r="A4066" t="s">
        <v>42</v>
      </c>
      <c r="B4066">
        <v>1128299</v>
      </c>
      <c r="C4066" s="1">
        <v>44341</v>
      </c>
      <c r="D4066" t="s">
        <v>13</v>
      </c>
      <c r="E4066" t="s">
        <v>99</v>
      </c>
      <c r="F4066" t="s">
        <v>100</v>
      </c>
      <c r="G4066" t="s">
        <v>32</v>
      </c>
      <c r="H4066" s="2">
        <v>37</v>
      </c>
      <c r="I4066">
        <v>109</v>
      </c>
      <c r="J4066">
        <v>403</v>
      </c>
      <c r="K4066" s="4">
        <v>149</v>
      </c>
      <c r="L4066" t="s">
        <v>27</v>
      </c>
    </row>
    <row r="4067" spans="1:12" x14ac:dyDescent="0.35">
      <c r="A4067" t="s">
        <v>42</v>
      </c>
      <c r="B4067">
        <v>1128299</v>
      </c>
      <c r="C4067" s="1">
        <v>44493</v>
      </c>
      <c r="D4067" t="s">
        <v>13</v>
      </c>
      <c r="E4067" t="s">
        <v>99</v>
      </c>
      <c r="F4067" t="s">
        <v>100</v>
      </c>
      <c r="G4067" t="s">
        <v>16</v>
      </c>
      <c r="H4067" s="2">
        <v>40</v>
      </c>
      <c r="I4067">
        <v>109</v>
      </c>
      <c r="J4067">
        <v>436</v>
      </c>
      <c r="K4067" s="4">
        <v>140</v>
      </c>
      <c r="L4067" t="s">
        <v>27</v>
      </c>
    </row>
    <row r="4068" spans="1:12" x14ac:dyDescent="0.35">
      <c r="A4068" t="s">
        <v>18</v>
      </c>
      <c r="B4068">
        <v>1185732</v>
      </c>
      <c r="C4068" s="1">
        <v>44328</v>
      </c>
      <c r="D4068" t="s">
        <v>48</v>
      </c>
      <c r="E4068" t="s">
        <v>49</v>
      </c>
      <c r="F4068" t="s">
        <v>50</v>
      </c>
      <c r="G4068" t="s">
        <v>32</v>
      </c>
      <c r="H4068" s="2">
        <v>19</v>
      </c>
      <c r="I4068">
        <v>109</v>
      </c>
      <c r="J4068">
        <v>207</v>
      </c>
      <c r="K4068" s="4">
        <v>79</v>
      </c>
      <c r="L4068" t="s">
        <v>27</v>
      </c>
    </row>
    <row r="4069" spans="1:12" x14ac:dyDescent="0.35">
      <c r="A4069" t="s">
        <v>18</v>
      </c>
      <c r="B4069">
        <v>1185732</v>
      </c>
      <c r="C4069" s="1">
        <v>44419</v>
      </c>
      <c r="D4069" t="s">
        <v>48</v>
      </c>
      <c r="E4069" t="s">
        <v>49</v>
      </c>
      <c r="F4069" t="s">
        <v>50</v>
      </c>
      <c r="G4069" t="s">
        <v>70</v>
      </c>
      <c r="H4069" s="2">
        <v>23</v>
      </c>
      <c r="I4069">
        <v>109</v>
      </c>
      <c r="J4069">
        <v>251</v>
      </c>
      <c r="K4069" s="4">
        <v>98</v>
      </c>
      <c r="L4069" t="s">
        <v>27</v>
      </c>
    </row>
    <row r="4070" spans="1:12" x14ac:dyDescent="0.35">
      <c r="A4070" t="s">
        <v>18</v>
      </c>
      <c r="B4070">
        <v>1128299</v>
      </c>
      <c r="C4070" s="1">
        <v>44220</v>
      </c>
      <c r="D4070" t="s">
        <v>48</v>
      </c>
      <c r="E4070" t="s">
        <v>49</v>
      </c>
      <c r="F4070" t="s">
        <v>50</v>
      </c>
      <c r="G4070" t="s">
        <v>26</v>
      </c>
      <c r="H4070" s="2">
        <v>24</v>
      </c>
      <c r="I4070">
        <v>109</v>
      </c>
      <c r="J4070">
        <v>262</v>
      </c>
      <c r="K4070" s="4">
        <v>97</v>
      </c>
      <c r="L4070" t="s">
        <v>27</v>
      </c>
    </row>
    <row r="4071" spans="1:12" x14ac:dyDescent="0.35">
      <c r="A4071" t="s">
        <v>18</v>
      </c>
      <c r="B4071">
        <v>1128299</v>
      </c>
      <c r="C4071" s="1">
        <v>44341</v>
      </c>
      <c r="D4071" t="s">
        <v>48</v>
      </c>
      <c r="E4071" t="s">
        <v>85</v>
      </c>
      <c r="F4071" t="s">
        <v>86</v>
      </c>
      <c r="G4071" t="s">
        <v>39</v>
      </c>
      <c r="H4071" s="2">
        <v>36</v>
      </c>
      <c r="I4071">
        <v>109</v>
      </c>
      <c r="J4071">
        <v>392</v>
      </c>
      <c r="K4071" s="4">
        <v>157</v>
      </c>
      <c r="L4071" t="s">
        <v>27</v>
      </c>
    </row>
    <row r="4072" spans="1:12" x14ac:dyDescent="0.35">
      <c r="A4072" t="s">
        <v>18</v>
      </c>
      <c r="B4072">
        <v>1128299</v>
      </c>
      <c r="C4072" s="1">
        <v>44493</v>
      </c>
      <c r="D4072" t="s">
        <v>48</v>
      </c>
      <c r="E4072" t="s">
        <v>85</v>
      </c>
      <c r="F4072" t="s">
        <v>86</v>
      </c>
      <c r="G4072" t="s">
        <v>32</v>
      </c>
      <c r="H4072" s="2">
        <v>37</v>
      </c>
      <c r="I4072">
        <v>109</v>
      </c>
      <c r="J4072">
        <v>403</v>
      </c>
      <c r="K4072" s="4">
        <v>149</v>
      </c>
      <c r="L4072" t="s">
        <v>27</v>
      </c>
    </row>
    <row r="4073" spans="1:12" x14ac:dyDescent="0.35">
      <c r="A4073" t="s">
        <v>18</v>
      </c>
      <c r="B4073">
        <v>1128299</v>
      </c>
      <c r="C4073" s="1">
        <v>44271</v>
      </c>
      <c r="D4073" t="s">
        <v>19</v>
      </c>
      <c r="E4073" t="s">
        <v>20</v>
      </c>
      <c r="F4073" t="s">
        <v>21</v>
      </c>
      <c r="G4073" t="s">
        <v>16</v>
      </c>
      <c r="H4073" s="2">
        <v>29</v>
      </c>
      <c r="I4073">
        <v>109</v>
      </c>
      <c r="J4073">
        <v>316</v>
      </c>
      <c r="K4073" s="4">
        <v>117</v>
      </c>
      <c r="L4073" t="s">
        <v>27</v>
      </c>
    </row>
    <row r="4074" spans="1:12" x14ac:dyDescent="0.35">
      <c r="A4074" t="s">
        <v>63</v>
      </c>
      <c r="B4074">
        <v>1128299</v>
      </c>
      <c r="C4074" s="1">
        <v>44552</v>
      </c>
      <c r="D4074" t="s">
        <v>48</v>
      </c>
      <c r="E4074" t="s">
        <v>123</v>
      </c>
      <c r="F4074" t="s">
        <v>124</v>
      </c>
      <c r="G4074" t="s">
        <v>70</v>
      </c>
      <c r="H4074" s="2">
        <v>42</v>
      </c>
      <c r="I4074">
        <v>109</v>
      </c>
      <c r="J4074">
        <v>458</v>
      </c>
      <c r="K4074" s="4">
        <v>156</v>
      </c>
      <c r="L4074" t="s">
        <v>27</v>
      </c>
    </row>
    <row r="4075" spans="1:12" x14ac:dyDescent="0.35">
      <c r="A4075" t="s">
        <v>63</v>
      </c>
      <c r="B4075">
        <v>1128299</v>
      </c>
      <c r="C4075" s="1">
        <v>44312</v>
      </c>
      <c r="D4075" t="s">
        <v>48</v>
      </c>
      <c r="E4075" t="s">
        <v>114</v>
      </c>
      <c r="F4075" t="s">
        <v>115</v>
      </c>
      <c r="G4075" t="s">
        <v>39</v>
      </c>
      <c r="H4075" s="2">
        <v>43</v>
      </c>
      <c r="I4075">
        <v>109</v>
      </c>
      <c r="J4075">
        <v>469</v>
      </c>
      <c r="K4075" s="4">
        <v>216</v>
      </c>
      <c r="L4075" t="s">
        <v>27</v>
      </c>
    </row>
    <row r="4076" spans="1:12" x14ac:dyDescent="0.35">
      <c r="A4076" t="s">
        <v>63</v>
      </c>
      <c r="B4076">
        <v>1128299</v>
      </c>
      <c r="C4076" s="1">
        <v>44343</v>
      </c>
      <c r="D4076" t="s">
        <v>48</v>
      </c>
      <c r="E4076" t="s">
        <v>114</v>
      </c>
      <c r="F4076" t="s">
        <v>115</v>
      </c>
      <c r="G4076" t="s">
        <v>56</v>
      </c>
      <c r="H4076" s="2">
        <v>43</v>
      </c>
      <c r="I4076">
        <v>109</v>
      </c>
      <c r="J4076">
        <v>469</v>
      </c>
      <c r="K4076" s="4">
        <v>192</v>
      </c>
      <c r="L4076" t="s">
        <v>27</v>
      </c>
    </row>
    <row r="4077" spans="1:12" x14ac:dyDescent="0.35">
      <c r="A4077" t="s">
        <v>23</v>
      </c>
      <c r="B4077">
        <v>1128299</v>
      </c>
      <c r="C4077" s="1">
        <v>44482</v>
      </c>
      <c r="D4077" t="s">
        <v>13</v>
      </c>
      <c r="E4077" t="s">
        <v>57</v>
      </c>
      <c r="F4077" t="s">
        <v>58</v>
      </c>
      <c r="G4077" t="s">
        <v>16</v>
      </c>
      <c r="H4077" s="2">
        <v>46</v>
      </c>
      <c r="I4077">
        <v>109</v>
      </c>
      <c r="J4077">
        <v>501</v>
      </c>
      <c r="K4077" s="4">
        <v>155</v>
      </c>
      <c r="L4077" t="s">
        <v>27</v>
      </c>
    </row>
    <row r="4078" spans="1:12" x14ac:dyDescent="0.35">
      <c r="A4078" t="s">
        <v>12</v>
      </c>
      <c r="B4078">
        <v>1185732</v>
      </c>
      <c r="C4078" s="1">
        <v>44487</v>
      </c>
      <c r="D4078" t="s">
        <v>19</v>
      </c>
      <c r="E4078" t="s">
        <v>37</v>
      </c>
      <c r="F4078" t="s">
        <v>38</v>
      </c>
      <c r="G4078" t="s">
        <v>56</v>
      </c>
      <c r="H4078" s="2">
        <v>20</v>
      </c>
      <c r="I4078">
        <v>109</v>
      </c>
      <c r="J4078">
        <v>218</v>
      </c>
      <c r="K4078" s="4">
        <v>98</v>
      </c>
      <c r="L4078" t="s">
        <v>27</v>
      </c>
    </row>
    <row r="4079" spans="1:12" x14ac:dyDescent="0.35">
      <c r="A4079" t="s">
        <v>51</v>
      </c>
      <c r="B4079">
        <v>1185732</v>
      </c>
      <c r="C4079" s="1">
        <v>44387</v>
      </c>
      <c r="D4079" t="s">
        <v>43</v>
      </c>
      <c r="E4079" t="s">
        <v>125</v>
      </c>
      <c r="F4079" t="s">
        <v>126</v>
      </c>
      <c r="G4079" t="s">
        <v>32</v>
      </c>
      <c r="H4079" s="2">
        <v>33</v>
      </c>
      <c r="I4079">
        <v>109</v>
      </c>
      <c r="J4079">
        <v>360</v>
      </c>
      <c r="K4079" s="4">
        <v>133</v>
      </c>
      <c r="L4079" t="s">
        <v>27</v>
      </c>
    </row>
    <row r="4080" spans="1:12" x14ac:dyDescent="0.35">
      <c r="A4080" t="s">
        <v>51</v>
      </c>
      <c r="B4080">
        <v>1185732</v>
      </c>
      <c r="C4080" s="1">
        <v>44366</v>
      </c>
      <c r="D4080" t="s">
        <v>43</v>
      </c>
      <c r="E4080" t="s">
        <v>127</v>
      </c>
      <c r="F4080" t="s">
        <v>128</v>
      </c>
      <c r="G4080" t="s">
        <v>32</v>
      </c>
      <c r="H4080" s="2">
        <v>43</v>
      </c>
      <c r="I4080">
        <v>109</v>
      </c>
      <c r="J4080">
        <v>469</v>
      </c>
      <c r="K4080" s="4">
        <v>169</v>
      </c>
      <c r="L4080" t="s">
        <v>27</v>
      </c>
    </row>
    <row r="4081" spans="1:12" x14ac:dyDescent="0.35">
      <c r="A4081" t="s">
        <v>18</v>
      </c>
      <c r="B4081">
        <v>1128299</v>
      </c>
      <c r="C4081" s="1">
        <v>43879</v>
      </c>
      <c r="D4081" t="s">
        <v>48</v>
      </c>
      <c r="E4081" t="s">
        <v>116</v>
      </c>
      <c r="F4081" t="s">
        <v>117</v>
      </c>
      <c r="G4081" t="s">
        <v>16</v>
      </c>
      <c r="H4081" s="2">
        <v>78</v>
      </c>
      <c r="I4081">
        <v>108</v>
      </c>
      <c r="J4081">
        <v>842</v>
      </c>
      <c r="K4081" s="4">
        <v>286</v>
      </c>
      <c r="L4081" t="s">
        <v>17</v>
      </c>
    </row>
    <row r="4082" spans="1:12" x14ac:dyDescent="0.35">
      <c r="A4082" t="s">
        <v>18</v>
      </c>
      <c r="B4082">
        <v>1128299</v>
      </c>
      <c r="C4082" s="1">
        <v>43896</v>
      </c>
      <c r="D4082" t="s">
        <v>48</v>
      </c>
      <c r="E4082" t="s">
        <v>116</v>
      </c>
      <c r="F4082" t="s">
        <v>117</v>
      </c>
      <c r="G4082" t="s">
        <v>56</v>
      </c>
      <c r="H4082" s="2">
        <v>56</v>
      </c>
      <c r="I4082">
        <v>108</v>
      </c>
      <c r="J4082">
        <v>605</v>
      </c>
      <c r="K4082" s="4">
        <v>248</v>
      </c>
      <c r="L4082" t="s">
        <v>17</v>
      </c>
    </row>
    <row r="4083" spans="1:12" x14ac:dyDescent="0.35">
      <c r="A4083" t="s">
        <v>18</v>
      </c>
      <c r="B4083">
        <v>1128299</v>
      </c>
      <c r="C4083" s="1">
        <v>44002</v>
      </c>
      <c r="D4083" t="s">
        <v>48</v>
      </c>
      <c r="E4083" t="s">
        <v>97</v>
      </c>
      <c r="F4083" t="s">
        <v>98</v>
      </c>
      <c r="G4083" t="s">
        <v>39</v>
      </c>
      <c r="H4083" s="2">
        <v>60</v>
      </c>
      <c r="I4083">
        <v>108</v>
      </c>
      <c r="J4083">
        <v>648</v>
      </c>
      <c r="K4083" s="4">
        <v>246</v>
      </c>
      <c r="L4083" t="s">
        <v>17</v>
      </c>
    </row>
    <row r="4084" spans="1:12" x14ac:dyDescent="0.35">
      <c r="A4084" t="s">
        <v>18</v>
      </c>
      <c r="B4084">
        <v>1128299</v>
      </c>
      <c r="C4084" s="1">
        <v>44024</v>
      </c>
      <c r="D4084" t="s">
        <v>48</v>
      </c>
      <c r="E4084" t="s">
        <v>97</v>
      </c>
      <c r="F4084" t="s">
        <v>98</v>
      </c>
      <c r="G4084" t="s">
        <v>16</v>
      </c>
      <c r="H4084" s="2">
        <v>76</v>
      </c>
      <c r="I4084">
        <v>108</v>
      </c>
      <c r="J4084">
        <v>821</v>
      </c>
      <c r="K4084" s="4">
        <v>271</v>
      </c>
      <c r="L4084" t="s">
        <v>17</v>
      </c>
    </row>
    <row r="4085" spans="1:12" x14ac:dyDescent="0.35">
      <c r="A4085" t="s">
        <v>63</v>
      </c>
      <c r="B4085">
        <v>1189833</v>
      </c>
      <c r="C4085" s="1">
        <v>44222</v>
      </c>
      <c r="D4085" t="s">
        <v>33</v>
      </c>
      <c r="E4085" t="s">
        <v>131</v>
      </c>
      <c r="F4085" t="s">
        <v>132</v>
      </c>
      <c r="G4085" t="s">
        <v>16</v>
      </c>
      <c r="H4085" s="2">
        <v>59</v>
      </c>
      <c r="I4085">
        <v>108</v>
      </c>
      <c r="J4085">
        <v>637</v>
      </c>
      <c r="K4085" s="4">
        <v>242</v>
      </c>
      <c r="L4085" t="s">
        <v>17</v>
      </c>
    </row>
    <row r="4086" spans="1:12" x14ac:dyDescent="0.35">
      <c r="A4086" t="s">
        <v>63</v>
      </c>
      <c r="B4086">
        <v>1189833</v>
      </c>
      <c r="C4086" s="1">
        <v>44252</v>
      </c>
      <c r="D4086" t="s">
        <v>33</v>
      </c>
      <c r="E4086" t="s">
        <v>131</v>
      </c>
      <c r="F4086" t="s">
        <v>132</v>
      </c>
      <c r="G4086" t="s">
        <v>16</v>
      </c>
      <c r="H4086" s="2">
        <v>58</v>
      </c>
      <c r="I4086">
        <v>108</v>
      </c>
      <c r="J4086">
        <v>626</v>
      </c>
      <c r="K4086" s="4">
        <v>244</v>
      </c>
      <c r="L4086" t="s">
        <v>17</v>
      </c>
    </row>
    <row r="4087" spans="1:12" x14ac:dyDescent="0.35">
      <c r="A4087" t="s">
        <v>23</v>
      </c>
      <c r="B4087">
        <v>1197831</v>
      </c>
      <c r="C4087" s="1">
        <v>44274</v>
      </c>
      <c r="D4087" t="s">
        <v>19</v>
      </c>
      <c r="E4087" t="s">
        <v>74</v>
      </c>
      <c r="F4087" t="s">
        <v>75</v>
      </c>
      <c r="G4087" t="s">
        <v>56</v>
      </c>
      <c r="H4087" s="2">
        <v>33</v>
      </c>
      <c r="I4087">
        <v>108</v>
      </c>
      <c r="J4087">
        <v>356</v>
      </c>
      <c r="K4087" s="4">
        <v>214</v>
      </c>
      <c r="L4087" t="s">
        <v>17</v>
      </c>
    </row>
    <row r="4088" spans="1:12" x14ac:dyDescent="0.35">
      <c r="A4088" t="s">
        <v>23</v>
      </c>
      <c r="B4088">
        <v>1128299</v>
      </c>
      <c r="C4088" s="1">
        <v>44244</v>
      </c>
      <c r="D4088" t="s">
        <v>13</v>
      </c>
      <c r="E4088" t="s">
        <v>14</v>
      </c>
      <c r="F4088" t="s">
        <v>15</v>
      </c>
      <c r="G4088" t="s">
        <v>16</v>
      </c>
      <c r="H4088" s="2">
        <v>47</v>
      </c>
      <c r="I4088">
        <v>108</v>
      </c>
      <c r="J4088">
        <v>508</v>
      </c>
      <c r="K4088" s="4">
        <v>294</v>
      </c>
      <c r="L4088" t="s">
        <v>17</v>
      </c>
    </row>
    <row r="4089" spans="1:12" x14ac:dyDescent="0.35">
      <c r="A4089" t="s">
        <v>42</v>
      </c>
      <c r="B4089">
        <v>1185732</v>
      </c>
      <c r="C4089" s="1">
        <v>44518</v>
      </c>
      <c r="D4089" t="s">
        <v>33</v>
      </c>
      <c r="E4089" t="s">
        <v>34</v>
      </c>
      <c r="F4089" t="s">
        <v>35</v>
      </c>
      <c r="G4089" t="s">
        <v>16</v>
      </c>
      <c r="H4089" s="2">
        <v>48</v>
      </c>
      <c r="I4089">
        <v>108</v>
      </c>
      <c r="J4089">
        <v>518</v>
      </c>
      <c r="K4089" s="4">
        <v>327</v>
      </c>
      <c r="L4089" t="s">
        <v>17</v>
      </c>
    </row>
    <row r="4090" spans="1:12" x14ac:dyDescent="0.35">
      <c r="A4090" t="s">
        <v>18</v>
      </c>
      <c r="B4090">
        <v>1185732</v>
      </c>
      <c r="C4090" s="1">
        <v>44358</v>
      </c>
      <c r="D4090" t="s">
        <v>48</v>
      </c>
      <c r="E4090" t="s">
        <v>49</v>
      </c>
      <c r="F4090" t="s">
        <v>50</v>
      </c>
      <c r="G4090" t="s">
        <v>56</v>
      </c>
      <c r="H4090" s="2">
        <v>19</v>
      </c>
      <c r="I4090">
        <v>108</v>
      </c>
      <c r="J4090">
        <v>205</v>
      </c>
      <c r="K4090" s="4">
        <v>105</v>
      </c>
      <c r="L4090" t="s">
        <v>17</v>
      </c>
    </row>
    <row r="4091" spans="1:12" x14ac:dyDescent="0.35">
      <c r="A4091" t="s">
        <v>18</v>
      </c>
      <c r="B4091">
        <v>1185732</v>
      </c>
      <c r="C4091" s="1">
        <v>44358</v>
      </c>
      <c r="D4091" t="s">
        <v>48</v>
      </c>
      <c r="E4091" t="s">
        <v>49</v>
      </c>
      <c r="F4091" t="s">
        <v>50</v>
      </c>
      <c r="G4091" t="s">
        <v>70</v>
      </c>
      <c r="H4091" s="2">
        <v>34</v>
      </c>
      <c r="I4091">
        <v>108</v>
      </c>
      <c r="J4091">
        <v>367</v>
      </c>
      <c r="K4091" s="4">
        <v>165</v>
      </c>
      <c r="L4091" t="s">
        <v>17</v>
      </c>
    </row>
    <row r="4092" spans="1:12" x14ac:dyDescent="0.35">
      <c r="A4092" t="s">
        <v>18</v>
      </c>
      <c r="B4092">
        <v>1185732</v>
      </c>
      <c r="C4092" s="1">
        <v>44511</v>
      </c>
      <c r="D4092" t="s">
        <v>48</v>
      </c>
      <c r="E4092" t="s">
        <v>49</v>
      </c>
      <c r="F4092" t="s">
        <v>50</v>
      </c>
      <c r="G4092" t="s">
        <v>39</v>
      </c>
      <c r="H4092" s="2">
        <v>20</v>
      </c>
      <c r="I4092">
        <v>108</v>
      </c>
      <c r="J4092">
        <v>216</v>
      </c>
      <c r="K4092" s="4">
        <v>99</v>
      </c>
      <c r="L4092" t="s">
        <v>17</v>
      </c>
    </row>
    <row r="4093" spans="1:12" x14ac:dyDescent="0.35">
      <c r="A4093" t="s">
        <v>18</v>
      </c>
      <c r="B4093">
        <v>1128299</v>
      </c>
      <c r="C4093" s="1">
        <v>44220</v>
      </c>
      <c r="D4093" t="s">
        <v>48</v>
      </c>
      <c r="E4093" t="s">
        <v>49</v>
      </c>
      <c r="F4093" t="s">
        <v>50</v>
      </c>
      <c r="G4093" t="s">
        <v>16</v>
      </c>
      <c r="H4093" s="2">
        <v>39</v>
      </c>
      <c r="I4093">
        <v>108</v>
      </c>
      <c r="J4093">
        <v>421</v>
      </c>
      <c r="K4093" s="4">
        <v>181</v>
      </c>
      <c r="L4093" t="s">
        <v>17</v>
      </c>
    </row>
    <row r="4094" spans="1:12" x14ac:dyDescent="0.35">
      <c r="A4094" t="s">
        <v>18</v>
      </c>
      <c r="B4094">
        <v>1128299</v>
      </c>
      <c r="C4094" s="1">
        <v>44371</v>
      </c>
      <c r="D4094" t="s">
        <v>48</v>
      </c>
      <c r="E4094" t="s">
        <v>85</v>
      </c>
      <c r="F4094" t="s">
        <v>86</v>
      </c>
      <c r="G4094" t="s">
        <v>70</v>
      </c>
      <c r="H4094" s="2">
        <v>86</v>
      </c>
      <c r="I4094">
        <v>108</v>
      </c>
      <c r="J4094">
        <v>929</v>
      </c>
      <c r="K4094" s="4">
        <v>492</v>
      </c>
      <c r="L4094" t="s">
        <v>17</v>
      </c>
    </row>
    <row r="4095" spans="1:12" x14ac:dyDescent="0.35">
      <c r="A4095" t="s">
        <v>18</v>
      </c>
      <c r="B4095">
        <v>1128299</v>
      </c>
      <c r="C4095" s="1">
        <v>44486</v>
      </c>
      <c r="D4095" t="s">
        <v>19</v>
      </c>
      <c r="E4095" t="s">
        <v>20</v>
      </c>
      <c r="F4095" t="s">
        <v>21</v>
      </c>
      <c r="G4095" t="s">
        <v>16</v>
      </c>
      <c r="H4095" s="2">
        <v>50</v>
      </c>
      <c r="I4095">
        <v>108</v>
      </c>
      <c r="J4095">
        <v>540</v>
      </c>
      <c r="K4095" s="4">
        <v>254</v>
      </c>
      <c r="L4095" t="s">
        <v>17</v>
      </c>
    </row>
    <row r="4096" spans="1:12" x14ac:dyDescent="0.35">
      <c r="A4096" t="s">
        <v>23</v>
      </c>
      <c r="B4096">
        <v>1128299</v>
      </c>
      <c r="C4096" s="1">
        <v>44330</v>
      </c>
      <c r="D4096" t="s">
        <v>13</v>
      </c>
      <c r="E4096" t="s">
        <v>57</v>
      </c>
      <c r="F4096" t="s">
        <v>58</v>
      </c>
      <c r="G4096" t="s">
        <v>39</v>
      </c>
      <c r="H4096" s="2">
        <v>52</v>
      </c>
      <c r="I4096">
        <v>108</v>
      </c>
      <c r="J4096">
        <v>562</v>
      </c>
      <c r="K4096" s="4">
        <v>292</v>
      </c>
      <c r="L4096" t="s">
        <v>17</v>
      </c>
    </row>
    <row r="4097" spans="1:12" x14ac:dyDescent="0.35">
      <c r="A4097" t="s">
        <v>42</v>
      </c>
      <c r="B4097">
        <v>1185732</v>
      </c>
      <c r="C4097" s="1">
        <v>44245</v>
      </c>
      <c r="D4097" t="s">
        <v>19</v>
      </c>
      <c r="E4097" t="s">
        <v>37</v>
      </c>
      <c r="F4097" t="s">
        <v>38</v>
      </c>
      <c r="G4097" t="s">
        <v>70</v>
      </c>
      <c r="H4097" s="2">
        <v>39</v>
      </c>
      <c r="I4097">
        <v>108</v>
      </c>
      <c r="J4097">
        <v>421</v>
      </c>
      <c r="K4097" s="4">
        <v>194</v>
      </c>
      <c r="L4097" t="s">
        <v>17</v>
      </c>
    </row>
    <row r="4098" spans="1:12" x14ac:dyDescent="0.35">
      <c r="A4098" t="s">
        <v>12</v>
      </c>
      <c r="B4098">
        <v>1185732</v>
      </c>
      <c r="C4098" s="1">
        <v>44455</v>
      </c>
      <c r="D4098" t="s">
        <v>19</v>
      </c>
      <c r="E4098" t="s">
        <v>37</v>
      </c>
      <c r="F4098" t="s">
        <v>38</v>
      </c>
      <c r="G4098" t="s">
        <v>70</v>
      </c>
      <c r="H4098" s="2">
        <v>29</v>
      </c>
      <c r="I4098">
        <v>108</v>
      </c>
      <c r="J4098">
        <v>313</v>
      </c>
      <c r="K4098" s="4">
        <v>150</v>
      </c>
      <c r="L4098" t="s">
        <v>17</v>
      </c>
    </row>
    <row r="4099" spans="1:12" x14ac:dyDescent="0.35">
      <c r="A4099" t="s">
        <v>18</v>
      </c>
      <c r="B4099">
        <v>1185732</v>
      </c>
      <c r="C4099" s="1">
        <v>44539</v>
      </c>
      <c r="D4099" t="s">
        <v>33</v>
      </c>
      <c r="E4099" t="s">
        <v>81</v>
      </c>
      <c r="F4099" t="s">
        <v>82</v>
      </c>
      <c r="G4099" t="s">
        <v>39</v>
      </c>
      <c r="H4099" s="2">
        <v>49</v>
      </c>
      <c r="I4099">
        <v>108</v>
      </c>
      <c r="J4099">
        <v>529</v>
      </c>
      <c r="K4099" s="4">
        <v>291</v>
      </c>
      <c r="L4099" t="s">
        <v>17</v>
      </c>
    </row>
    <row r="4100" spans="1:12" x14ac:dyDescent="0.35">
      <c r="A4100" t="s">
        <v>23</v>
      </c>
      <c r="B4100">
        <v>1185732</v>
      </c>
      <c r="C4100" s="1">
        <v>44507</v>
      </c>
      <c r="D4100" t="s">
        <v>43</v>
      </c>
      <c r="E4100" t="s">
        <v>83</v>
      </c>
      <c r="F4100" t="s">
        <v>84</v>
      </c>
      <c r="G4100" t="s">
        <v>26</v>
      </c>
      <c r="H4100" s="2">
        <v>59</v>
      </c>
      <c r="I4100">
        <v>108</v>
      </c>
      <c r="J4100">
        <v>637</v>
      </c>
      <c r="K4100" s="4">
        <v>306</v>
      </c>
      <c r="L4100" t="s">
        <v>17</v>
      </c>
    </row>
    <row r="4101" spans="1:12" x14ac:dyDescent="0.35">
      <c r="A4101" t="s">
        <v>23</v>
      </c>
      <c r="B4101">
        <v>1185732</v>
      </c>
      <c r="C4101" s="1">
        <v>44412</v>
      </c>
      <c r="D4101" t="s">
        <v>43</v>
      </c>
      <c r="E4101" t="s">
        <v>108</v>
      </c>
      <c r="F4101" t="s">
        <v>109</v>
      </c>
      <c r="G4101" t="s">
        <v>39</v>
      </c>
      <c r="H4101" s="2">
        <v>48</v>
      </c>
      <c r="I4101">
        <v>108</v>
      </c>
      <c r="J4101">
        <v>518</v>
      </c>
      <c r="K4101" s="4">
        <v>285</v>
      </c>
      <c r="L4101" t="s">
        <v>17</v>
      </c>
    </row>
    <row r="4102" spans="1:12" x14ac:dyDescent="0.35">
      <c r="A4102" t="s">
        <v>42</v>
      </c>
      <c r="B4102">
        <v>1185732</v>
      </c>
      <c r="C4102" s="1">
        <v>44547</v>
      </c>
      <c r="D4102" t="s">
        <v>43</v>
      </c>
      <c r="E4102" t="s">
        <v>127</v>
      </c>
      <c r="F4102" t="s">
        <v>128</v>
      </c>
      <c r="G4102" t="s">
        <v>32</v>
      </c>
      <c r="H4102" s="2">
        <v>62</v>
      </c>
      <c r="I4102">
        <v>108</v>
      </c>
      <c r="J4102">
        <v>670</v>
      </c>
      <c r="K4102" s="4">
        <v>281</v>
      </c>
      <c r="L4102" t="s">
        <v>17</v>
      </c>
    </row>
    <row r="4103" spans="1:12" x14ac:dyDescent="0.35">
      <c r="A4103" t="s">
        <v>23</v>
      </c>
      <c r="B4103">
        <v>1197831</v>
      </c>
      <c r="C4103" s="1">
        <v>44441</v>
      </c>
      <c r="D4103" t="s">
        <v>19</v>
      </c>
      <c r="E4103" t="s">
        <v>59</v>
      </c>
      <c r="F4103" t="s">
        <v>68</v>
      </c>
      <c r="G4103" t="s">
        <v>70</v>
      </c>
      <c r="H4103" s="2">
        <v>26</v>
      </c>
      <c r="I4103">
        <v>107</v>
      </c>
      <c r="J4103">
        <v>278</v>
      </c>
      <c r="K4103" s="4">
        <v>100</v>
      </c>
      <c r="L4103" t="s">
        <v>27</v>
      </c>
    </row>
    <row r="4104" spans="1:12" x14ac:dyDescent="0.35">
      <c r="A4104" t="s">
        <v>18</v>
      </c>
      <c r="B4104">
        <v>1128299</v>
      </c>
      <c r="C4104" s="1">
        <v>43891</v>
      </c>
      <c r="D4104" t="s">
        <v>48</v>
      </c>
      <c r="E4104" t="s">
        <v>116</v>
      </c>
      <c r="F4104" t="s">
        <v>117</v>
      </c>
      <c r="G4104" t="s">
        <v>70</v>
      </c>
      <c r="H4104" s="2">
        <v>48</v>
      </c>
      <c r="I4104">
        <v>107</v>
      </c>
      <c r="J4104">
        <v>514</v>
      </c>
      <c r="K4104" s="4">
        <v>277</v>
      </c>
      <c r="L4104" t="s">
        <v>27</v>
      </c>
    </row>
    <row r="4105" spans="1:12" x14ac:dyDescent="0.35">
      <c r="A4105" t="s">
        <v>12</v>
      </c>
      <c r="B4105">
        <v>1128299</v>
      </c>
      <c r="C4105" s="1">
        <v>44334</v>
      </c>
      <c r="D4105" t="s">
        <v>13</v>
      </c>
      <c r="E4105" t="s">
        <v>14</v>
      </c>
      <c r="F4105" t="s">
        <v>15</v>
      </c>
      <c r="G4105" t="s">
        <v>56</v>
      </c>
      <c r="H4105" s="2">
        <v>39</v>
      </c>
      <c r="I4105">
        <v>107</v>
      </c>
      <c r="J4105">
        <v>417</v>
      </c>
      <c r="K4105" s="4">
        <v>142</v>
      </c>
      <c r="L4105" t="s">
        <v>27</v>
      </c>
    </row>
    <row r="4106" spans="1:12" x14ac:dyDescent="0.35">
      <c r="A4106" t="s">
        <v>42</v>
      </c>
      <c r="B4106">
        <v>1128299</v>
      </c>
      <c r="C4106" s="1">
        <v>44251</v>
      </c>
      <c r="D4106" t="s">
        <v>13</v>
      </c>
      <c r="E4106" t="s">
        <v>99</v>
      </c>
      <c r="F4106" t="s">
        <v>100</v>
      </c>
      <c r="G4106" t="s">
        <v>16</v>
      </c>
      <c r="H4106" s="2">
        <v>30</v>
      </c>
      <c r="I4106">
        <v>107</v>
      </c>
      <c r="J4106">
        <v>321</v>
      </c>
      <c r="K4106" s="4">
        <v>116</v>
      </c>
      <c r="L4106" t="s">
        <v>27</v>
      </c>
    </row>
    <row r="4107" spans="1:12" x14ac:dyDescent="0.35">
      <c r="A4107" t="s">
        <v>18</v>
      </c>
      <c r="B4107">
        <v>1185732</v>
      </c>
      <c r="C4107" s="1">
        <v>44297</v>
      </c>
      <c r="D4107" t="s">
        <v>48</v>
      </c>
      <c r="E4107" t="s">
        <v>49</v>
      </c>
      <c r="F4107" t="s">
        <v>50</v>
      </c>
      <c r="G4107" t="s">
        <v>32</v>
      </c>
      <c r="H4107" s="2">
        <v>10</v>
      </c>
      <c r="I4107">
        <v>107</v>
      </c>
      <c r="J4107">
        <v>107</v>
      </c>
      <c r="K4107" s="4">
        <v>44</v>
      </c>
      <c r="L4107" t="s">
        <v>27</v>
      </c>
    </row>
    <row r="4108" spans="1:12" x14ac:dyDescent="0.35">
      <c r="A4108" t="s">
        <v>18</v>
      </c>
      <c r="B4108">
        <v>1185732</v>
      </c>
      <c r="C4108" s="1">
        <v>44511</v>
      </c>
      <c r="D4108" t="s">
        <v>48</v>
      </c>
      <c r="E4108" t="s">
        <v>49</v>
      </c>
      <c r="F4108" t="s">
        <v>50</v>
      </c>
      <c r="G4108" t="s">
        <v>32</v>
      </c>
      <c r="H4108" s="2">
        <v>14</v>
      </c>
      <c r="I4108">
        <v>107</v>
      </c>
      <c r="J4108">
        <v>150</v>
      </c>
      <c r="K4108" s="4">
        <v>63</v>
      </c>
      <c r="L4108" t="s">
        <v>27</v>
      </c>
    </row>
    <row r="4109" spans="1:12" x14ac:dyDescent="0.35">
      <c r="A4109" t="s">
        <v>18</v>
      </c>
      <c r="B4109">
        <v>1128299</v>
      </c>
      <c r="C4109" s="1">
        <v>44303</v>
      </c>
      <c r="D4109" t="s">
        <v>19</v>
      </c>
      <c r="E4109" t="s">
        <v>20</v>
      </c>
      <c r="F4109" t="s">
        <v>21</v>
      </c>
      <c r="G4109" t="s">
        <v>39</v>
      </c>
      <c r="H4109" s="2">
        <v>36</v>
      </c>
      <c r="I4109">
        <v>107</v>
      </c>
      <c r="J4109">
        <v>385</v>
      </c>
      <c r="K4109" s="4">
        <v>177</v>
      </c>
      <c r="L4109" t="s">
        <v>27</v>
      </c>
    </row>
    <row r="4110" spans="1:12" x14ac:dyDescent="0.35">
      <c r="A4110" t="s">
        <v>42</v>
      </c>
      <c r="B4110">
        <v>1128299</v>
      </c>
      <c r="C4110" s="1">
        <v>44277</v>
      </c>
      <c r="D4110" t="s">
        <v>48</v>
      </c>
      <c r="E4110" t="s">
        <v>123</v>
      </c>
      <c r="F4110" t="s">
        <v>124</v>
      </c>
      <c r="G4110" t="s">
        <v>16</v>
      </c>
      <c r="H4110" s="2">
        <v>37</v>
      </c>
      <c r="I4110">
        <v>107</v>
      </c>
      <c r="J4110">
        <v>396</v>
      </c>
      <c r="K4110" s="4">
        <v>107</v>
      </c>
      <c r="L4110" t="s">
        <v>27</v>
      </c>
    </row>
    <row r="4111" spans="1:12" x14ac:dyDescent="0.35">
      <c r="A4111" t="s">
        <v>42</v>
      </c>
      <c r="B4111">
        <v>1128299</v>
      </c>
      <c r="C4111" s="1">
        <v>44492</v>
      </c>
      <c r="D4111" t="s">
        <v>48</v>
      </c>
      <c r="E4111" t="s">
        <v>123</v>
      </c>
      <c r="F4111" t="s">
        <v>124</v>
      </c>
      <c r="G4111" t="s">
        <v>16</v>
      </c>
      <c r="H4111" s="2">
        <v>47</v>
      </c>
      <c r="I4111">
        <v>107</v>
      </c>
      <c r="J4111">
        <v>503</v>
      </c>
      <c r="K4111" s="4">
        <v>146</v>
      </c>
      <c r="L4111" t="s">
        <v>27</v>
      </c>
    </row>
    <row r="4112" spans="1:12" x14ac:dyDescent="0.35">
      <c r="A4112" t="s">
        <v>12</v>
      </c>
      <c r="B4112">
        <v>1197831</v>
      </c>
      <c r="C4112" s="1">
        <v>44274</v>
      </c>
      <c r="D4112" t="s">
        <v>19</v>
      </c>
      <c r="E4112" t="s">
        <v>54</v>
      </c>
      <c r="F4112" t="s">
        <v>55</v>
      </c>
      <c r="G4112" t="s">
        <v>39</v>
      </c>
      <c r="H4112" s="2">
        <v>14</v>
      </c>
      <c r="I4112">
        <v>107</v>
      </c>
      <c r="J4112">
        <v>150</v>
      </c>
      <c r="K4112" s="4">
        <v>55</v>
      </c>
      <c r="L4112" t="s">
        <v>27</v>
      </c>
    </row>
    <row r="4113" spans="1:12" x14ac:dyDescent="0.35">
      <c r="A4113" t="s">
        <v>18</v>
      </c>
      <c r="B4113">
        <v>1197831</v>
      </c>
      <c r="C4113" s="1">
        <v>44368</v>
      </c>
      <c r="D4113" t="s">
        <v>19</v>
      </c>
      <c r="E4113" t="s">
        <v>61</v>
      </c>
      <c r="F4113" t="s">
        <v>62</v>
      </c>
      <c r="G4113" t="s">
        <v>32</v>
      </c>
      <c r="H4113" s="2">
        <v>27</v>
      </c>
      <c r="I4113">
        <v>107</v>
      </c>
      <c r="J4113">
        <v>289</v>
      </c>
      <c r="K4113" s="4">
        <v>124</v>
      </c>
      <c r="L4113" t="s">
        <v>27</v>
      </c>
    </row>
    <row r="4114" spans="1:12" x14ac:dyDescent="0.35">
      <c r="A4114" t="s">
        <v>18</v>
      </c>
      <c r="B4114">
        <v>1197831</v>
      </c>
      <c r="C4114" s="1">
        <v>44396</v>
      </c>
      <c r="D4114" t="s">
        <v>19</v>
      </c>
      <c r="E4114" t="s">
        <v>61</v>
      </c>
      <c r="F4114" t="s">
        <v>62</v>
      </c>
      <c r="G4114" t="s">
        <v>56</v>
      </c>
      <c r="H4114" s="2">
        <v>36</v>
      </c>
      <c r="I4114">
        <v>107</v>
      </c>
      <c r="J4114">
        <v>385</v>
      </c>
      <c r="K4114" s="4">
        <v>177</v>
      </c>
      <c r="L4114" t="s">
        <v>27</v>
      </c>
    </row>
    <row r="4115" spans="1:12" x14ac:dyDescent="0.35">
      <c r="A4115" t="s">
        <v>23</v>
      </c>
      <c r="B4115">
        <v>1185732</v>
      </c>
      <c r="C4115" s="1">
        <v>44412</v>
      </c>
      <c r="D4115" t="s">
        <v>43</v>
      </c>
      <c r="E4115" t="s">
        <v>108</v>
      </c>
      <c r="F4115" t="s">
        <v>109</v>
      </c>
      <c r="G4115" t="s">
        <v>32</v>
      </c>
      <c r="H4115" s="2">
        <v>36</v>
      </c>
      <c r="I4115">
        <v>107</v>
      </c>
      <c r="J4115">
        <v>385</v>
      </c>
      <c r="K4115" s="4">
        <v>135</v>
      </c>
      <c r="L4115" t="s">
        <v>27</v>
      </c>
    </row>
    <row r="4116" spans="1:12" x14ac:dyDescent="0.35">
      <c r="A4116" t="s">
        <v>51</v>
      </c>
      <c r="B4116">
        <v>1185732</v>
      </c>
      <c r="C4116" s="1">
        <v>44210</v>
      </c>
      <c r="D4116" t="s">
        <v>43</v>
      </c>
      <c r="E4116" t="s">
        <v>112</v>
      </c>
      <c r="F4116" t="s">
        <v>113</v>
      </c>
      <c r="G4116" t="s">
        <v>39</v>
      </c>
      <c r="H4116" s="2">
        <v>36</v>
      </c>
      <c r="I4116">
        <v>107</v>
      </c>
      <c r="J4116">
        <v>385</v>
      </c>
      <c r="K4116" s="4">
        <v>189</v>
      </c>
      <c r="L4116" t="s">
        <v>27</v>
      </c>
    </row>
    <row r="4117" spans="1:12" x14ac:dyDescent="0.35">
      <c r="A4117" t="s">
        <v>51</v>
      </c>
      <c r="B4117">
        <v>1185732</v>
      </c>
      <c r="C4117" s="1">
        <v>44239</v>
      </c>
      <c r="D4117" t="s">
        <v>43</v>
      </c>
      <c r="E4117" t="s">
        <v>125</v>
      </c>
      <c r="F4117" t="s">
        <v>126</v>
      </c>
      <c r="G4117" t="s">
        <v>16</v>
      </c>
      <c r="H4117" s="2">
        <v>35</v>
      </c>
      <c r="I4117">
        <v>107</v>
      </c>
      <c r="J4117">
        <v>375</v>
      </c>
      <c r="K4117" s="4">
        <v>176</v>
      </c>
      <c r="L4117" t="s">
        <v>27</v>
      </c>
    </row>
    <row r="4118" spans="1:12" x14ac:dyDescent="0.35">
      <c r="A4118" t="s">
        <v>51</v>
      </c>
      <c r="B4118">
        <v>1185732</v>
      </c>
      <c r="C4118" s="1">
        <v>44394</v>
      </c>
      <c r="D4118" t="s">
        <v>43</v>
      </c>
      <c r="E4118" t="s">
        <v>127</v>
      </c>
      <c r="F4118" t="s">
        <v>128</v>
      </c>
      <c r="G4118" t="s">
        <v>56</v>
      </c>
      <c r="H4118" s="2">
        <v>39</v>
      </c>
      <c r="I4118">
        <v>107</v>
      </c>
      <c r="J4118">
        <v>417</v>
      </c>
      <c r="K4118" s="4">
        <v>146</v>
      </c>
      <c r="L4118" t="s">
        <v>27</v>
      </c>
    </row>
    <row r="4119" spans="1:12" x14ac:dyDescent="0.35">
      <c r="A4119" t="s">
        <v>63</v>
      </c>
      <c r="B4119">
        <v>1189833</v>
      </c>
      <c r="C4119" s="1">
        <v>44278</v>
      </c>
      <c r="D4119" t="s">
        <v>48</v>
      </c>
      <c r="E4119" t="s">
        <v>66</v>
      </c>
      <c r="F4119" t="s">
        <v>76</v>
      </c>
      <c r="G4119" t="s">
        <v>70</v>
      </c>
      <c r="H4119" s="2">
        <v>46</v>
      </c>
      <c r="I4119">
        <v>106</v>
      </c>
      <c r="J4119">
        <v>488</v>
      </c>
      <c r="K4119" s="4">
        <v>332</v>
      </c>
      <c r="L4119" t="s">
        <v>17</v>
      </c>
    </row>
    <row r="4120" spans="1:12" x14ac:dyDescent="0.35">
      <c r="A4120" t="s">
        <v>18</v>
      </c>
      <c r="B4120">
        <v>1128299</v>
      </c>
      <c r="C4120" s="1">
        <v>43895</v>
      </c>
      <c r="D4120" t="s">
        <v>48</v>
      </c>
      <c r="E4120" t="s">
        <v>116</v>
      </c>
      <c r="F4120" t="s">
        <v>117</v>
      </c>
      <c r="G4120" t="s">
        <v>32</v>
      </c>
      <c r="H4120" s="2">
        <v>55</v>
      </c>
      <c r="I4120">
        <v>106</v>
      </c>
      <c r="J4120">
        <v>583</v>
      </c>
      <c r="K4120" s="4">
        <v>268</v>
      </c>
      <c r="L4120" t="s">
        <v>17</v>
      </c>
    </row>
    <row r="4121" spans="1:12" x14ac:dyDescent="0.35">
      <c r="A4121" t="s">
        <v>18</v>
      </c>
      <c r="B4121">
        <v>1128299</v>
      </c>
      <c r="C4121" s="1">
        <v>43958</v>
      </c>
      <c r="D4121" t="s">
        <v>48</v>
      </c>
      <c r="E4121" t="s">
        <v>133</v>
      </c>
      <c r="F4121" t="s">
        <v>134</v>
      </c>
      <c r="G4121" t="s">
        <v>16</v>
      </c>
      <c r="H4121" s="2">
        <v>65</v>
      </c>
      <c r="I4121">
        <v>106</v>
      </c>
      <c r="J4121">
        <v>689</v>
      </c>
      <c r="K4121" s="4">
        <v>214</v>
      </c>
      <c r="L4121" t="s">
        <v>17</v>
      </c>
    </row>
    <row r="4122" spans="1:12" x14ac:dyDescent="0.35">
      <c r="A4122" t="s">
        <v>42</v>
      </c>
      <c r="B4122">
        <v>1185732</v>
      </c>
      <c r="C4122" s="1">
        <v>44151</v>
      </c>
      <c r="D4122" t="s">
        <v>33</v>
      </c>
      <c r="E4122" t="s">
        <v>104</v>
      </c>
      <c r="F4122" t="s">
        <v>105</v>
      </c>
      <c r="G4122" t="s">
        <v>26</v>
      </c>
      <c r="H4122" s="2">
        <v>44</v>
      </c>
      <c r="I4122">
        <v>106</v>
      </c>
      <c r="J4122">
        <v>466</v>
      </c>
      <c r="K4122" s="4">
        <v>229</v>
      </c>
      <c r="L4122" t="s">
        <v>17</v>
      </c>
    </row>
    <row r="4123" spans="1:12" x14ac:dyDescent="0.35">
      <c r="A4123" t="s">
        <v>63</v>
      </c>
      <c r="B4123">
        <v>1189833</v>
      </c>
      <c r="C4123" s="1">
        <v>44218</v>
      </c>
      <c r="D4123" t="s">
        <v>33</v>
      </c>
      <c r="E4123" t="s">
        <v>131</v>
      </c>
      <c r="F4123" t="s">
        <v>132</v>
      </c>
      <c r="G4123" t="s">
        <v>39</v>
      </c>
      <c r="H4123" s="2">
        <v>41</v>
      </c>
      <c r="I4123">
        <v>106</v>
      </c>
      <c r="J4123">
        <v>435</v>
      </c>
      <c r="K4123" s="4">
        <v>191</v>
      </c>
      <c r="L4123" t="s">
        <v>17</v>
      </c>
    </row>
    <row r="4124" spans="1:12" x14ac:dyDescent="0.35">
      <c r="A4124" t="s">
        <v>63</v>
      </c>
      <c r="B4124">
        <v>1189833</v>
      </c>
      <c r="C4124" s="1">
        <v>44226</v>
      </c>
      <c r="D4124" t="s">
        <v>33</v>
      </c>
      <c r="E4124" t="s">
        <v>131</v>
      </c>
      <c r="F4124" t="s">
        <v>132</v>
      </c>
      <c r="G4124" t="s">
        <v>56</v>
      </c>
      <c r="H4124" s="2">
        <v>38</v>
      </c>
      <c r="I4124">
        <v>106</v>
      </c>
      <c r="J4124">
        <v>403</v>
      </c>
      <c r="K4124" s="4">
        <v>213</v>
      </c>
      <c r="L4124" t="s">
        <v>17</v>
      </c>
    </row>
    <row r="4125" spans="1:12" x14ac:dyDescent="0.35">
      <c r="A4125" t="s">
        <v>63</v>
      </c>
      <c r="B4125">
        <v>1189833</v>
      </c>
      <c r="C4125" s="1">
        <v>44238</v>
      </c>
      <c r="D4125" t="s">
        <v>33</v>
      </c>
      <c r="E4125" t="s">
        <v>131</v>
      </c>
      <c r="F4125" t="s">
        <v>132</v>
      </c>
      <c r="G4125" t="s">
        <v>56</v>
      </c>
      <c r="H4125" s="2">
        <v>41</v>
      </c>
      <c r="I4125">
        <v>106</v>
      </c>
      <c r="J4125">
        <v>435</v>
      </c>
      <c r="K4125" s="4">
        <v>235</v>
      </c>
      <c r="L4125" t="s">
        <v>17</v>
      </c>
    </row>
    <row r="4126" spans="1:12" x14ac:dyDescent="0.35">
      <c r="A4126" t="s">
        <v>63</v>
      </c>
      <c r="B4126">
        <v>1189833</v>
      </c>
      <c r="C4126" s="1">
        <v>44239</v>
      </c>
      <c r="D4126" t="s">
        <v>33</v>
      </c>
      <c r="E4126" t="s">
        <v>131</v>
      </c>
      <c r="F4126" t="s">
        <v>132</v>
      </c>
      <c r="G4126" t="s">
        <v>70</v>
      </c>
      <c r="H4126" s="2">
        <v>52</v>
      </c>
      <c r="I4126">
        <v>106</v>
      </c>
      <c r="J4126">
        <v>551</v>
      </c>
      <c r="K4126" s="4">
        <v>386</v>
      </c>
      <c r="L4126" t="s">
        <v>17</v>
      </c>
    </row>
    <row r="4127" spans="1:12" x14ac:dyDescent="0.35">
      <c r="A4127" t="s">
        <v>23</v>
      </c>
      <c r="B4127">
        <v>1197831</v>
      </c>
      <c r="C4127" s="1">
        <v>44293</v>
      </c>
      <c r="D4127" t="s">
        <v>19</v>
      </c>
      <c r="E4127" t="s">
        <v>74</v>
      </c>
      <c r="F4127" t="s">
        <v>75</v>
      </c>
      <c r="G4127" t="s">
        <v>70</v>
      </c>
      <c r="H4127" s="2">
        <v>41</v>
      </c>
      <c r="I4127">
        <v>106</v>
      </c>
      <c r="J4127">
        <v>435</v>
      </c>
      <c r="K4127" s="4">
        <v>213</v>
      </c>
      <c r="L4127" t="s">
        <v>17</v>
      </c>
    </row>
    <row r="4128" spans="1:12" x14ac:dyDescent="0.35">
      <c r="A4128" t="s">
        <v>51</v>
      </c>
      <c r="B4128">
        <v>1185732</v>
      </c>
      <c r="C4128" s="1">
        <v>44429</v>
      </c>
      <c r="D4128" t="s">
        <v>48</v>
      </c>
      <c r="E4128" t="s">
        <v>137</v>
      </c>
      <c r="F4128" t="s">
        <v>138</v>
      </c>
      <c r="G4128" t="s">
        <v>39</v>
      </c>
      <c r="H4128" s="2">
        <v>56</v>
      </c>
      <c r="I4128">
        <v>106</v>
      </c>
      <c r="J4128">
        <v>594</v>
      </c>
      <c r="K4128" s="4">
        <v>267</v>
      </c>
      <c r="L4128" t="s">
        <v>17</v>
      </c>
    </row>
    <row r="4129" spans="1:12" x14ac:dyDescent="0.35">
      <c r="A4129" t="s">
        <v>18</v>
      </c>
      <c r="B4129">
        <v>1185732</v>
      </c>
      <c r="C4129" s="1">
        <v>44263</v>
      </c>
      <c r="D4129" t="s">
        <v>43</v>
      </c>
      <c r="E4129" t="s">
        <v>44</v>
      </c>
      <c r="F4129" t="s">
        <v>101</v>
      </c>
      <c r="G4129" t="s">
        <v>56</v>
      </c>
      <c r="H4129" s="2">
        <v>39</v>
      </c>
      <c r="I4129">
        <v>106</v>
      </c>
      <c r="J4129">
        <v>413</v>
      </c>
      <c r="K4129" s="4">
        <v>169</v>
      </c>
      <c r="L4129" t="s">
        <v>17</v>
      </c>
    </row>
    <row r="4130" spans="1:12" x14ac:dyDescent="0.35">
      <c r="A4130" t="s">
        <v>63</v>
      </c>
      <c r="B4130">
        <v>1185732</v>
      </c>
      <c r="C4130" s="1">
        <v>44297</v>
      </c>
      <c r="D4130" t="s">
        <v>48</v>
      </c>
      <c r="E4130" t="s">
        <v>102</v>
      </c>
      <c r="F4130" t="s">
        <v>103</v>
      </c>
      <c r="G4130" t="s">
        <v>70</v>
      </c>
      <c r="H4130" s="2">
        <v>47</v>
      </c>
      <c r="I4130">
        <v>106</v>
      </c>
      <c r="J4130">
        <v>498</v>
      </c>
      <c r="K4130" s="4">
        <v>209</v>
      </c>
      <c r="L4130" t="s">
        <v>17</v>
      </c>
    </row>
    <row r="4131" spans="1:12" x14ac:dyDescent="0.35">
      <c r="A4131" t="s">
        <v>42</v>
      </c>
      <c r="B4131">
        <v>1128299</v>
      </c>
      <c r="C4131" s="1">
        <v>44432</v>
      </c>
      <c r="D4131" t="s">
        <v>13</v>
      </c>
      <c r="E4131" t="s">
        <v>99</v>
      </c>
      <c r="F4131" t="s">
        <v>100</v>
      </c>
      <c r="G4131" t="s">
        <v>70</v>
      </c>
      <c r="H4131" s="2">
        <v>64</v>
      </c>
      <c r="I4131">
        <v>106</v>
      </c>
      <c r="J4131">
        <v>678</v>
      </c>
      <c r="K4131" s="4">
        <v>346</v>
      </c>
      <c r="L4131" t="s">
        <v>17</v>
      </c>
    </row>
    <row r="4132" spans="1:12" x14ac:dyDescent="0.35">
      <c r="A4132" t="s">
        <v>23</v>
      </c>
      <c r="B4132">
        <v>1197831</v>
      </c>
      <c r="C4132" s="1">
        <v>44505</v>
      </c>
      <c r="D4132" t="s">
        <v>48</v>
      </c>
      <c r="E4132" t="s">
        <v>79</v>
      </c>
      <c r="F4132" t="s">
        <v>80</v>
      </c>
      <c r="G4132" t="s">
        <v>70</v>
      </c>
      <c r="H4132" s="2">
        <v>54</v>
      </c>
      <c r="I4132">
        <v>106</v>
      </c>
      <c r="J4132">
        <v>572</v>
      </c>
      <c r="K4132" s="4">
        <v>286</v>
      </c>
      <c r="L4132" t="s">
        <v>17</v>
      </c>
    </row>
    <row r="4133" spans="1:12" x14ac:dyDescent="0.35">
      <c r="A4133" t="s">
        <v>42</v>
      </c>
      <c r="B4133">
        <v>1128299</v>
      </c>
      <c r="C4133" s="1">
        <v>44219</v>
      </c>
      <c r="D4133" t="s">
        <v>48</v>
      </c>
      <c r="E4133" t="s">
        <v>79</v>
      </c>
      <c r="F4133" t="s">
        <v>80</v>
      </c>
      <c r="G4133" t="s">
        <v>39</v>
      </c>
      <c r="H4133" s="2">
        <v>37</v>
      </c>
      <c r="I4133">
        <v>106</v>
      </c>
      <c r="J4133">
        <v>392</v>
      </c>
      <c r="K4133" s="4">
        <v>200</v>
      </c>
      <c r="L4133" t="s">
        <v>17</v>
      </c>
    </row>
    <row r="4134" spans="1:12" x14ac:dyDescent="0.35">
      <c r="A4134" t="s">
        <v>42</v>
      </c>
      <c r="B4134">
        <v>1128299</v>
      </c>
      <c r="C4134" s="1">
        <v>44219</v>
      </c>
      <c r="D4134" t="s">
        <v>48</v>
      </c>
      <c r="E4134" t="s">
        <v>79</v>
      </c>
      <c r="F4134" t="s">
        <v>80</v>
      </c>
      <c r="G4134" t="s">
        <v>32</v>
      </c>
      <c r="H4134" s="2">
        <v>37</v>
      </c>
      <c r="I4134">
        <v>106</v>
      </c>
      <c r="J4134">
        <v>392</v>
      </c>
      <c r="K4134" s="4">
        <v>192</v>
      </c>
      <c r="L4134" t="s">
        <v>17</v>
      </c>
    </row>
    <row r="4135" spans="1:12" x14ac:dyDescent="0.35">
      <c r="A4135" t="s">
        <v>63</v>
      </c>
      <c r="B4135">
        <v>1128299</v>
      </c>
      <c r="C4135" s="1">
        <v>44253</v>
      </c>
      <c r="D4135" t="s">
        <v>48</v>
      </c>
      <c r="E4135" t="s">
        <v>123</v>
      </c>
      <c r="F4135" t="s">
        <v>124</v>
      </c>
      <c r="G4135" t="s">
        <v>39</v>
      </c>
      <c r="H4135" s="2">
        <v>44</v>
      </c>
      <c r="I4135">
        <v>106</v>
      </c>
      <c r="J4135">
        <v>466</v>
      </c>
      <c r="K4135" s="4">
        <v>257</v>
      </c>
      <c r="L4135" t="s">
        <v>17</v>
      </c>
    </row>
    <row r="4136" spans="1:12" x14ac:dyDescent="0.35">
      <c r="A4136" t="s">
        <v>63</v>
      </c>
      <c r="B4136">
        <v>1128299</v>
      </c>
      <c r="C4136" s="1">
        <v>44373</v>
      </c>
      <c r="D4136" t="s">
        <v>48</v>
      </c>
      <c r="E4136" t="s">
        <v>114</v>
      </c>
      <c r="F4136" t="s">
        <v>115</v>
      </c>
      <c r="G4136" t="s">
        <v>56</v>
      </c>
      <c r="H4136" s="2">
        <v>54</v>
      </c>
      <c r="I4136">
        <v>106</v>
      </c>
      <c r="J4136">
        <v>572</v>
      </c>
      <c r="K4136" s="4">
        <v>258</v>
      </c>
      <c r="L4136" t="s">
        <v>17</v>
      </c>
    </row>
    <row r="4137" spans="1:12" x14ac:dyDescent="0.35">
      <c r="A4137" t="s">
        <v>51</v>
      </c>
      <c r="B4137">
        <v>1185732</v>
      </c>
      <c r="C4137" s="1">
        <v>44296</v>
      </c>
      <c r="D4137" t="s">
        <v>33</v>
      </c>
      <c r="E4137" t="s">
        <v>52</v>
      </c>
      <c r="F4137" t="s">
        <v>53</v>
      </c>
      <c r="G4137" t="s">
        <v>32</v>
      </c>
      <c r="H4137" s="2">
        <v>19</v>
      </c>
      <c r="I4137">
        <v>106</v>
      </c>
      <c r="J4137">
        <v>201</v>
      </c>
      <c r="K4137" s="4">
        <v>107</v>
      </c>
      <c r="L4137" t="s">
        <v>17</v>
      </c>
    </row>
    <row r="4138" spans="1:12" x14ac:dyDescent="0.35">
      <c r="A4138" t="s">
        <v>51</v>
      </c>
      <c r="B4138">
        <v>1185732</v>
      </c>
      <c r="C4138" s="1">
        <v>44480</v>
      </c>
      <c r="D4138" t="s">
        <v>33</v>
      </c>
      <c r="E4138" t="s">
        <v>52</v>
      </c>
      <c r="F4138" t="s">
        <v>53</v>
      </c>
      <c r="G4138" t="s">
        <v>32</v>
      </c>
      <c r="H4138" s="2">
        <v>27</v>
      </c>
      <c r="I4138">
        <v>106</v>
      </c>
      <c r="J4138">
        <v>286</v>
      </c>
      <c r="K4138" s="4">
        <v>152</v>
      </c>
      <c r="L4138" t="s">
        <v>17</v>
      </c>
    </row>
    <row r="4139" spans="1:12" x14ac:dyDescent="0.35">
      <c r="A4139" t="s">
        <v>42</v>
      </c>
      <c r="B4139">
        <v>1185732</v>
      </c>
      <c r="C4139" s="1">
        <v>44245</v>
      </c>
      <c r="D4139" t="s">
        <v>13</v>
      </c>
      <c r="E4139" t="s">
        <v>106</v>
      </c>
      <c r="F4139" t="s">
        <v>107</v>
      </c>
      <c r="G4139" t="s">
        <v>39</v>
      </c>
      <c r="H4139" s="2">
        <v>27</v>
      </c>
      <c r="I4139">
        <v>106</v>
      </c>
      <c r="J4139">
        <v>286</v>
      </c>
      <c r="K4139" s="4">
        <v>137</v>
      </c>
      <c r="L4139" t="s">
        <v>17</v>
      </c>
    </row>
    <row r="4140" spans="1:12" x14ac:dyDescent="0.35">
      <c r="A4140" t="s">
        <v>12</v>
      </c>
      <c r="B4140">
        <v>1197831</v>
      </c>
      <c r="C4140" s="1">
        <v>44368</v>
      </c>
      <c r="D4140" t="s">
        <v>19</v>
      </c>
      <c r="E4140" t="s">
        <v>54</v>
      </c>
      <c r="F4140" t="s">
        <v>55</v>
      </c>
      <c r="G4140" t="s">
        <v>39</v>
      </c>
      <c r="H4140" s="2">
        <v>32</v>
      </c>
      <c r="I4140">
        <v>106</v>
      </c>
      <c r="J4140">
        <v>339</v>
      </c>
      <c r="K4140" s="4">
        <v>166</v>
      </c>
      <c r="L4140" t="s">
        <v>17</v>
      </c>
    </row>
    <row r="4141" spans="1:12" x14ac:dyDescent="0.35">
      <c r="A4141" t="s">
        <v>12</v>
      </c>
      <c r="B4141">
        <v>1197831</v>
      </c>
      <c r="C4141" s="1">
        <v>44490</v>
      </c>
      <c r="D4141" t="s">
        <v>19</v>
      </c>
      <c r="E4141" t="s">
        <v>54</v>
      </c>
      <c r="F4141" t="s">
        <v>55</v>
      </c>
      <c r="G4141" t="s">
        <v>39</v>
      </c>
      <c r="H4141" s="2">
        <v>19</v>
      </c>
      <c r="I4141">
        <v>106</v>
      </c>
      <c r="J4141">
        <v>201</v>
      </c>
      <c r="K4141" s="4">
        <v>91</v>
      </c>
      <c r="L4141" t="s">
        <v>17</v>
      </c>
    </row>
    <row r="4142" spans="1:12" x14ac:dyDescent="0.35">
      <c r="A4142" t="s">
        <v>42</v>
      </c>
      <c r="B4142">
        <v>1185732</v>
      </c>
      <c r="C4142" s="1">
        <v>44220</v>
      </c>
      <c r="D4142" t="s">
        <v>43</v>
      </c>
      <c r="E4142" t="s">
        <v>64</v>
      </c>
      <c r="F4142" t="s">
        <v>65</v>
      </c>
      <c r="G4142" t="s">
        <v>26</v>
      </c>
      <c r="H4142" s="2">
        <v>33</v>
      </c>
      <c r="I4142">
        <v>106</v>
      </c>
      <c r="J4142">
        <v>350</v>
      </c>
      <c r="K4142" s="4">
        <v>175</v>
      </c>
      <c r="L4142" t="s">
        <v>17</v>
      </c>
    </row>
    <row r="4143" spans="1:12" x14ac:dyDescent="0.35">
      <c r="A4143" t="s">
        <v>51</v>
      </c>
      <c r="B4143">
        <v>1185732</v>
      </c>
      <c r="C4143" s="1">
        <v>44419</v>
      </c>
      <c r="D4143" t="s">
        <v>43</v>
      </c>
      <c r="E4143" t="s">
        <v>125</v>
      </c>
      <c r="F4143" t="s">
        <v>126</v>
      </c>
      <c r="G4143" t="s">
        <v>39</v>
      </c>
      <c r="H4143" s="2">
        <v>53</v>
      </c>
      <c r="I4143">
        <v>106</v>
      </c>
      <c r="J4143">
        <v>562</v>
      </c>
      <c r="K4143" s="4">
        <v>331</v>
      </c>
      <c r="L4143" t="s">
        <v>17</v>
      </c>
    </row>
    <row r="4144" spans="1:12" x14ac:dyDescent="0.35">
      <c r="A4144" t="s">
        <v>51</v>
      </c>
      <c r="B4144">
        <v>1185732</v>
      </c>
      <c r="C4144" s="1">
        <v>44540</v>
      </c>
      <c r="D4144" t="s">
        <v>43</v>
      </c>
      <c r="E4144" t="s">
        <v>125</v>
      </c>
      <c r="F4144" t="s">
        <v>126</v>
      </c>
      <c r="G4144" t="s">
        <v>16</v>
      </c>
      <c r="H4144" s="2">
        <v>68</v>
      </c>
      <c r="I4144">
        <v>106</v>
      </c>
      <c r="J4144">
        <v>721</v>
      </c>
      <c r="K4144" s="4">
        <v>375</v>
      </c>
      <c r="L4144" t="s">
        <v>17</v>
      </c>
    </row>
    <row r="4145" spans="1:12" x14ac:dyDescent="0.35">
      <c r="A4145" t="s">
        <v>51</v>
      </c>
      <c r="B4145">
        <v>1185732</v>
      </c>
      <c r="C4145" s="1">
        <v>44426</v>
      </c>
      <c r="D4145" t="s">
        <v>43</v>
      </c>
      <c r="E4145" t="s">
        <v>127</v>
      </c>
      <c r="F4145" t="s">
        <v>128</v>
      </c>
      <c r="G4145" t="s">
        <v>16</v>
      </c>
      <c r="H4145" s="2">
        <v>64</v>
      </c>
      <c r="I4145">
        <v>106</v>
      </c>
      <c r="J4145">
        <v>678</v>
      </c>
      <c r="K4145" s="4">
        <v>319</v>
      </c>
      <c r="L4145" t="s">
        <v>17</v>
      </c>
    </row>
    <row r="4146" spans="1:12" x14ac:dyDescent="0.35">
      <c r="A4146" t="s">
        <v>42</v>
      </c>
      <c r="B4146">
        <v>1185732</v>
      </c>
      <c r="C4146" s="1">
        <v>44382</v>
      </c>
      <c r="D4146" t="s">
        <v>33</v>
      </c>
      <c r="E4146" t="s">
        <v>118</v>
      </c>
      <c r="F4146" t="s">
        <v>119</v>
      </c>
      <c r="G4146" t="s">
        <v>16</v>
      </c>
      <c r="H4146" s="2">
        <v>51</v>
      </c>
      <c r="I4146">
        <v>105</v>
      </c>
      <c r="J4146">
        <v>536</v>
      </c>
      <c r="K4146" s="4">
        <v>337</v>
      </c>
      <c r="L4146" t="s">
        <v>17</v>
      </c>
    </row>
    <row r="4147" spans="1:12" x14ac:dyDescent="0.35">
      <c r="A4147" t="s">
        <v>18</v>
      </c>
      <c r="B4147">
        <v>1128299</v>
      </c>
      <c r="C4147" s="1">
        <v>43889</v>
      </c>
      <c r="D4147" t="s">
        <v>48</v>
      </c>
      <c r="E4147" t="s">
        <v>116</v>
      </c>
      <c r="F4147" t="s">
        <v>117</v>
      </c>
      <c r="G4147" t="s">
        <v>56</v>
      </c>
      <c r="H4147" s="2">
        <v>54</v>
      </c>
      <c r="I4147">
        <v>105</v>
      </c>
      <c r="J4147">
        <v>567</v>
      </c>
      <c r="K4147" s="4">
        <v>238</v>
      </c>
      <c r="L4147" t="s">
        <v>17</v>
      </c>
    </row>
    <row r="4148" spans="1:12" x14ac:dyDescent="0.35">
      <c r="A4148" t="s">
        <v>18</v>
      </c>
      <c r="B4148">
        <v>1128299</v>
      </c>
      <c r="C4148" s="1">
        <v>43930</v>
      </c>
      <c r="D4148" t="s">
        <v>48</v>
      </c>
      <c r="E4148" t="s">
        <v>133</v>
      </c>
      <c r="F4148" t="s">
        <v>134</v>
      </c>
      <c r="G4148" t="s">
        <v>39</v>
      </c>
      <c r="H4148" s="2">
        <v>60</v>
      </c>
      <c r="I4148">
        <v>105</v>
      </c>
      <c r="J4148">
        <v>630</v>
      </c>
      <c r="K4148" s="4">
        <v>290</v>
      </c>
      <c r="L4148" t="s">
        <v>17</v>
      </c>
    </row>
    <row r="4149" spans="1:12" x14ac:dyDescent="0.35">
      <c r="A4149" t="s">
        <v>18</v>
      </c>
      <c r="B4149">
        <v>1128299</v>
      </c>
      <c r="C4149" s="1">
        <v>43964</v>
      </c>
      <c r="D4149" t="s">
        <v>48</v>
      </c>
      <c r="E4149" t="s">
        <v>133</v>
      </c>
      <c r="F4149" t="s">
        <v>134</v>
      </c>
      <c r="G4149" t="s">
        <v>16</v>
      </c>
      <c r="H4149" s="2">
        <v>65</v>
      </c>
      <c r="I4149">
        <v>105</v>
      </c>
      <c r="J4149">
        <v>683</v>
      </c>
      <c r="K4149" s="4">
        <v>205</v>
      </c>
      <c r="L4149" t="s">
        <v>17</v>
      </c>
    </row>
    <row r="4150" spans="1:12" x14ac:dyDescent="0.35">
      <c r="A4150" t="s">
        <v>18</v>
      </c>
      <c r="B4150">
        <v>1128299</v>
      </c>
      <c r="C4150" s="1">
        <v>43969</v>
      </c>
      <c r="D4150" t="s">
        <v>48</v>
      </c>
      <c r="E4150" t="s">
        <v>133</v>
      </c>
      <c r="F4150" t="s">
        <v>134</v>
      </c>
      <c r="G4150" t="s">
        <v>70</v>
      </c>
      <c r="H4150" s="2">
        <v>68</v>
      </c>
      <c r="I4150">
        <v>105</v>
      </c>
      <c r="J4150">
        <v>714</v>
      </c>
      <c r="K4150" s="4">
        <v>493</v>
      </c>
      <c r="L4150" t="s">
        <v>17</v>
      </c>
    </row>
    <row r="4151" spans="1:12" x14ac:dyDescent="0.35">
      <c r="A4151" t="s">
        <v>18</v>
      </c>
      <c r="B4151">
        <v>1128299</v>
      </c>
      <c r="C4151" s="1">
        <v>43994</v>
      </c>
      <c r="D4151" t="s">
        <v>48</v>
      </c>
      <c r="E4151" t="s">
        <v>97</v>
      </c>
      <c r="F4151" t="s">
        <v>98</v>
      </c>
      <c r="G4151" t="s">
        <v>16</v>
      </c>
      <c r="H4151" s="2">
        <v>62</v>
      </c>
      <c r="I4151">
        <v>105</v>
      </c>
      <c r="J4151">
        <v>651</v>
      </c>
      <c r="K4151" s="4">
        <v>221</v>
      </c>
      <c r="L4151" t="s">
        <v>17</v>
      </c>
    </row>
    <row r="4152" spans="1:12" x14ac:dyDescent="0.35">
      <c r="A4152" t="s">
        <v>18</v>
      </c>
      <c r="B4152">
        <v>1128299</v>
      </c>
      <c r="C4152" s="1">
        <v>44011</v>
      </c>
      <c r="D4152" t="s">
        <v>48</v>
      </c>
      <c r="E4152" t="s">
        <v>97</v>
      </c>
      <c r="F4152" t="s">
        <v>98</v>
      </c>
      <c r="G4152" t="s">
        <v>70</v>
      </c>
      <c r="H4152" s="2">
        <v>82</v>
      </c>
      <c r="I4152">
        <v>105</v>
      </c>
      <c r="J4152">
        <v>861</v>
      </c>
      <c r="K4152" s="4">
        <v>336</v>
      </c>
      <c r="L4152" t="s">
        <v>17</v>
      </c>
    </row>
    <row r="4153" spans="1:12" x14ac:dyDescent="0.35">
      <c r="A4153" t="s">
        <v>63</v>
      </c>
      <c r="B4153">
        <v>1189833</v>
      </c>
      <c r="C4153" s="1">
        <v>44250</v>
      </c>
      <c r="D4153" t="s">
        <v>33</v>
      </c>
      <c r="E4153" t="s">
        <v>131</v>
      </c>
      <c r="F4153" t="s">
        <v>132</v>
      </c>
      <c r="G4153" t="s">
        <v>56</v>
      </c>
      <c r="H4153" s="2">
        <v>44</v>
      </c>
      <c r="I4153">
        <v>105</v>
      </c>
      <c r="J4153">
        <v>462</v>
      </c>
      <c r="K4153" s="4">
        <v>240</v>
      </c>
      <c r="L4153" t="s">
        <v>17</v>
      </c>
    </row>
    <row r="4154" spans="1:12" x14ac:dyDescent="0.35">
      <c r="A4154" t="s">
        <v>42</v>
      </c>
      <c r="B4154">
        <v>1185732</v>
      </c>
      <c r="C4154" s="1">
        <v>44355</v>
      </c>
      <c r="D4154" t="s">
        <v>33</v>
      </c>
      <c r="E4154" t="s">
        <v>120</v>
      </c>
      <c r="F4154" t="s">
        <v>121</v>
      </c>
      <c r="G4154" t="s">
        <v>26</v>
      </c>
      <c r="H4154" s="2">
        <v>38</v>
      </c>
      <c r="I4154">
        <v>105</v>
      </c>
      <c r="J4154">
        <v>399</v>
      </c>
      <c r="K4154" s="4">
        <v>211</v>
      </c>
      <c r="L4154" t="s">
        <v>17</v>
      </c>
    </row>
    <row r="4155" spans="1:12" x14ac:dyDescent="0.35">
      <c r="A4155" t="s">
        <v>23</v>
      </c>
      <c r="B4155">
        <v>1197831</v>
      </c>
      <c r="C4155" s="1">
        <v>44424</v>
      </c>
      <c r="D4155" t="s">
        <v>19</v>
      </c>
      <c r="E4155" t="s">
        <v>24</v>
      </c>
      <c r="F4155" t="s">
        <v>25</v>
      </c>
      <c r="G4155" t="s">
        <v>56</v>
      </c>
      <c r="H4155" s="2">
        <v>33</v>
      </c>
      <c r="I4155">
        <v>105</v>
      </c>
      <c r="J4155">
        <v>347</v>
      </c>
      <c r="K4155" s="4">
        <v>236</v>
      </c>
      <c r="L4155" t="s">
        <v>17</v>
      </c>
    </row>
    <row r="4156" spans="1:12" x14ac:dyDescent="0.35">
      <c r="A4156" t="s">
        <v>12</v>
      </c>
      <c r="B4156">
        <v>1128299</v>
      </c>
      <c r="C4156" s="1">
        <v>44450</v>
      </c>
      <c r="D4156" t="s">
        <v>48</v>
      </c>
      <c r="E4156" t="s">
        <v>129</v>
      </c>
      <c r="F4156" t="s">
        <v>130</v>
      </c>
      <c r="G4156" t="s">
        <v>32</v>
      </c>
      <c r="H4156" s="2">
        <v>64</v>
      </c>
      <c r="I4156">
        <v>105</v>
      </c>
      <c r="J4156">
        <v>672</v>
      </c>
      <c r="K4156" s="4">
        <v>262</v>
      </c>
      <c r="L4156" t="s">
        <v>17</v>
      </c>
    </row>
    <row r="4157" spans="1:12" x14ac:dyDescent="0.35">
      <c r="A4157" t="s">
        <v>12</v>
      </c>
      <c r="B4157">
        <v>1128299</v>
      </c>
      <c r="C4157" s="1">
        <v>44450</v>
      </c>
      <c r="D4157" t="s">
        <v>48</v>
      </c>
      <c r="E4157" t="s">
        <v>129</v>
      </c>
      <c r="F4157" t="s">
        <v>130</v>
      </c>
      <c r="G4157" t="s">
        <v>16</v>
      </c>
      <c r="H4157" s="2">
        <v>56</v>
      </c>
      <c r="I4157">
        <v>105</v>
      </c>
      <c r="J4157">
        <v>588</v>
      </c>
      <c r="K4157" s="4">
        <v>312</v>
      </c>
      <c r="L4157" t="s">
        <v>17</v>
      </c>
    </row>
    <row r="4158" spans="1:12" x14ac:dyDescent="0.35">
      <c r="A4158" t="s">
        <v>42</v>
      </c>
      <c r="B4158">
        <v>1128299</v>
      </c>
      <c r="C4158" s="1">
        <v>44220</v>
      </c>
      <c r="D4158" t="s">
        <v>48</v>
      </c>
      <c r="E4158" t="s">
        <v>102</v>
      </c>
      <c r="F4158" t="s">
        <v>103</v>
      </c>
      <c r="G4158" t="s">
        <v>39</v>
      </c>
      <c r="H4158" s="2">
        <v>36</v>
      </c>
      <c r="I4158">
        <v>105</v>
      </c>
      <c r="J4158">
        <v>378</v>
      </c>
      <c r="K4158" s="4">
        <v>174</v>
      </c>
      <c r="L4158" t="s">
        <v>17</v>
      </c>
    </row>
    <row r="4159" spans="1:12" x14ac:dyDescent="0.35">
      <c r="A4159" t="s">
        <v>42</v>
      </c>
      <c r="B4159">
        <v>1128299</v>
      </c>
      <c r="C4159" s="1">
        <v>44251</v>
      </c>
      <c r="D4159" t="s">
        <v>48</v>
      </c>
      <c r="E4159" t="s">
        <v>102</v>
      </c>
      <c r="F4159" t="s">
        <v>103</v>
      </c>
      <c r="G4159" t="s">
        <v>39</v>
      </c>
      <c r="H4159" s="2">
        <v>36</v>
      </c>
      <c r="I4159">
        <v>105</v>
      </c>
      <c r="J4159">
        <v>378</v>
      </c>
      <c r="K4159" s="4">
        <v>170</v>
      </c>
      <c r="L4159" t="s">
        <v>17</v>
      </c>
    </row>
    <row r="4160" spans="1:12" x14ac:dyDescent="0.35">
      <c r="A4160" t="s">
        <v>42</v>
      </c>
      <c r="B4160">
        <v>1185732</v>
      </c>
      <c r="C4160" s="1">
        <v>44304</v>
      </c>
      <c r="D4160" t="s">
        <v>33</v>
      </c>
      <c r="E4160" t="s">
        <v>34</v>
      </c>
      <c r="F4160" t="s">
        <v>35</v>
      </c>
      <c r="G4160" t="s">
        <v>16</v>
      </c>
      <c r="H4160" s="2">
        <v>28</v>
      </c>
      <c r="I4160">
        <v>105</v>
      </c>
      <c r="J4160">
        <v>294</v>
      </c>
      <c r="K4160" s="4">
        <v>179</v>
      </c>
      <c r="L4160" t="s">
        <v>17</v>
      </c>
    </row>
    <row r="4161" spans="1:12" x14ac:dyDescent="0.35">
      <c r="A4161" t="s">
        <v>42</v>
      </c>
      <c r="B4161">
        <v>1185732</v>
      </c>
      <c r="C4161" s="1">
        <v>44335</v>
      </c>
      <c r="D4161" t="s">
        <v>33</v>
      </c>
      <c r="E4161" t="s">
        <v>34</v>
      </c>
      <c r="F4161" t="s">
        <v>35</v>
      </c>
      <c r="G4161" t="s">
        <v>16</v>
      </c>
      <c r="H4161" s="2">
        <v>45</v>
      </c>
      <c r="I4161">
        <v>105</v>
      </c>
      <c r="J4161">
        <v>473</v>
      </c>
      <c r="K4161" s="4">
        <v>284</v>
      </c>
      <c r="L4161" t="s">
        <v>17</v>
      </c>
    </row>
    <row r="4162" spans="1:12" x14ac:dyDescent="0.35">
      <c r="A4162" t="s">
        <v>18</v>
      </c>
      <c r="B4162">
        <v>1185732</v>
      </c>
      <c r="C4162" s="1">
        <v>44419</v>
      </c>
      <c r="D4162" t="s">
        <v>48</v>
      </c>
      <c r="E4162" t="s">
        <v>49</v>
      </c>
      <c r="F4162" t="s">
        <v>50</v>
      </c>
      <c r="G4162" t="s">
        <v>70</v>
      </c>
      <c r="H4162" s="2">
        <v>29</v>
      </c>
      <c r="I4162">
        <v>105</v>
      </c>
      <c r="J4162">
        <v>305</v>
      </c>
      <c r="K4162" s="4">
        <v>140</v>
      </c>
      <c r="L4162" t="s">
        <v>17</v>
      </c>
    </row>
    <row r="4163" spans="1:12" x14ac:dyDescent="0.35">
      <c r="A4163" t="s">
        <v>18</v>
      </c>
      <c r="B4163">
        <v>1128299</v>
      </c>
      <c r="C4163" s="1">
        <v>44220</v>
      </c>
      <c r="D4163" t="s">
        <v>48</v>
      </c>
      <c r="E4163" t="s">
        <v>49</v>
      </c>
      <c r="F4163" t="s">
        <v>50</v>
      </c>
      <c r="G4163" t="s">
        <v>39</v>
      </c>
      <c r="H4163" s="2">
        <v>39</v>
      </c>
      <c r="I4163">
        <v>105</v>
      </c>
      <c r="J4163">
        <v>410</v>
      </c>
      <c r="K4163" s="4">
        <v>201</v>
      </c>
      <c r="L4163" t="s">
        <v>17</v>
      </c>
    </row>
    <row r="4164" spans="1:12" x14ac:dyDescent="0.35">
      <c r="A4164" t="s">
        <v>18</v>
      </c>
      <c r="B4164">
        <v>1128299</v>
      </c>
      <c r="C4164" s="1">
        <v>44220</v>
      </c>
      <c r="D4164" t="s">
        <v>48</v>
      </c>
      <c r="E4164" t="s">
        <v>49</v>
      </c>
      <c r="F4164" t="s">
        <v>50</v>
      </c>
      <c r="G4164" t="s">
        <v>32</v>
      </c>
      <c r="H4164" s="2">
        <v>39</v>
      </c>
      <c r="I4164">
        <v>105</v>
      </c>
      <c r="J4164">
        <v>410</v>
      </c>
      <c r="K4164" s="4">
        <v>197</v>
      </c>
      <c r="L4164" t="s">
        <v>17</v>
      </c>
    </row>
    <row r="4165" spans="1:12" x14ac:dyDescent="0.35">
      <c r="A4165" t="s">
        <v>18</v>
      </c>
      <c r="B4165">
        <v>1128299</v>
      </c>
      <c r="C4165" s="1">
        <v>44341</v>
      </c>
      <c r="D4165" t="s">
        <v>48</v>
      </c>
      <c r="E4165" t="s">
        <v>85</v>
      </c>
      <c r="F4165" t="s">
        <v>86</v>
      </c>
      <c r="G4165" t="s">
        <v>39</v>
      </c>
      <c r="H4165" s="2">
        <v>50</v>
      </c>
      <c r="I4165">
        <v>105</v>
      </c>
      <c r="J4165">
        <v>525</v>
      </c>
      <c r="K4165" s="4">
        <v>242</v>
      </c>
      <c r="L4165" t="s">
        <v>17</v>
      </c>
    </row>
    <row r="4166" spans="1:12" x14ac:dyDescent="0.35">
      <c r="A4166" t="s">
        <v>18</v>
      </c>
      <c r="B4166">
        <v>1128299</v>
      </c>
      <c r="C4166" s="1">
        <v>44493</v>
      </c>
      <c r="D4166" t="s">
        <v>48</v>
      </c>
      <c r="E4166" t="s">
        <v>85</v>
      </c>
      <c r="F4166" t="s">
        <v>86</v>
      </c>
      <c r="G4166" t="s">
        <v>16</v>
      </c>
      <c r="H4166" s="2">
        <v>58</v>
      </c>
      <c r="I4166">
        <v>105</v>
      </c>
      <c r="J4166">
        <v>609</v>
      </c>
      <c r="K4166" s="4">
        <v>262</v>
      </c>
      <c r="L4166" t="s">
        <v>17</v>
      </c>
    </row>
    <row r="4167" spans="1:12" x14ac:dyDescent="0.35">
      <c r="A4167" t="s">
        <v>18</v>
      </c>
      <c r="B4167">
        <v>1128299</v>
      </c>
      <c r="C4167" s="1">
        <v>44244</v>
      </c>
      <c r="D4167" t="s">
        <v>19</v>
      </c>
      <c r="E4167" t="s">
        <v>20</v>
      </c>
      <c r="F4167" t="s">
        <v>21</v>
      </c>
      <c r="G4167" t="s">
        <v>16</v>
      </c>
      <c r="H4167" s="2">
        <v>44</v>
      </c>
      <c r="I4167">
        <v>105</v>
      </c>
      <c r="J4167">
        <v>462</v>
      </c>
      <c r="K4167" s="4">
        <v>222</v>
      </c>
      <c r="L4167" t="s">
        <v>17</v>
      </c>
    </row>
    <row r="4168" spans="1:12" x14ac:dyDescent="0.35">
      <c r="A4168" t="s">
        <v>18</v>
      </c>
      <c r="B4168">
        <v>1128299</v>
      </c>
      <c r="C4168" s="1">
        <v>44303</v>
      </c>
      <c r="D4168" t="s">
        <v>19</v>
      </c>
      <c r="E4168" t="s">
        <v>20</v>
      </c>
      <c r="F4168" t="s">
        <v>21</v>
      </c>
      <c r="G4168" t="s">
        <v>32</v>
      </c>
      <c r="H4168" s="2">
        <v>52</v>
      </c>
      <c r="I4168">
        <v>105</v>
      </c>
      <c r="J4168">
        <v>546</v>
      </c>
      <c r="K4168" s="4">
        <v>278</v>
      </c>
      <c r="L4168" t="s">
        <v>17</v>
      </c>
    </row>
    <row r="4169" spans="1:12" x14ac:dyDescent="0.35">
      <c r="A4169" t="s">
        <v>18</v>
      </c>
      <c r="B4169">
        <v>1128299</v>
      </c>
      <c r="C4169" s="1">
        <v>44303</v>
      </c>
      <c r="D4169" t="s">
        <v>19</v>
      </c>
      <c r="E4169" t="s">
        <v>20</v>
      </c>
      <c r="F4169" t="s">
        <v>21</v>
      </c>
      <c r="G4169" t="s">
        <v>16</v>
      </c>
      <c r="H4169" s="2">
        <v>55</v>
      </c>
      <c r="I4169">
        <v>105</v>
      </c>
      <c r="J4169">
        <v>578</v>
      </c>
      <c r="K4169" s="4">
        <v>289</v>
      </c>
      <c r="L4169" t="s">
        <v>17</v>
      </c>
    </row>
    <row r="4170" spans="1:12" x14ac:dyDescent="0.35">
      <c r="A4170" t="s">
        <v>18</v>
      </c>
      <c r="B4170">
        <v>1128299</v>
      </c>
      <c r="C4170" s="1">
        <v>44486</v>
      </c>
      <c r="D4170" t="s">
        <v>19</v>
      </c>
      <c r="E4170" t="s">
        <v>20</v>
      </c>
      <c r="F4170" t="s">
        <v>21</v>
      </c>
      <c r="G4170" t="s">
        <v>56</v>
      </c>
      <c r="H4170" s="2">
        <v>36</v>
      </c>
      <c r="I4170">
        <v>105</v>
      </c>
      <c r="J4170">
        <v>378</v>
      </c>
      <c r="K4170" s="4">
        <v>189</v>
      </c>
      <c r="L4170" t="s">
        <v>17</v>
      </c>
    </row>
    <row r="4171" spans="1:12" x14ac:dyDescent="0.35">
      <c r="A4171" t="s">
        <v>42</v>
      </c>
      <c r="B4171">
        <v>1197831</v>
      </c>
      <c r="C4171" s="1">
        <v>44261</v>
      </c>
      <c r="D4171" t="s">
        <v>48</v>
      </c>
      <c r="E4171" t="s">
        <v>79</v>
      </c>
      <c r="F4171" t="s">
        <v>80</v>
      </c>
      <c r="G4171" t="s">
        <v>56</v>
      </c>
      <c r="H4171" s="2">
        <v>33</v>
      </c>
      <c r="I4171">
        <v>105</v>
      </c>
      <c r="J4171">
        <v>347</v>
      </c>
      <c r="K4171" s="4">
        <v>201</v>
      </c>
      <c r="L4171" t="s">
        <v>17</v>
      </c>
    </row>
    <row r="4172" spans="1:12" x14ac:dyDescent="0.35">
      <c r="A4172" t="s">
        <v>42</v>
      </c>
      <c r="B4172">
        <v>1128299</v>
      </c>
      <c r="C4172" s="1">
        <v>44250</v>
      </c>
      <c r="D4172" t="s">
        <v>48</v>
      </c>
      <c r="E4172" t="s">
        <v>79</v>
      </c>
      <c r="F4172" t="s">
        <v>80</v>
      </c>
      <c r="G4172" t="s">
        <v>32</v>
      </c>
      <c r="H4172" s="2">
        <v>38</v>
      </c>
      <c r="I4172">
        <v>105</v>
      </c>
      <c r="J4172">
        <v>399</v>
      </c>
      <c r="K4172" s="4">
        <v>188</v>
      </c>
      <c r="L4172" t="s">
        <v>17</v>
      </c>
    </row>
    <row r="4173" spans="1:12" x14ac:dyDescent="0.35">
      <c r="A4173" t="s">
        <v>42</v>
      </c>
      <c r="B4173">
        <v>1128299</v>
      </c>
      <c r="C4173" s="1">
        <v>44463</v>
      </c>
      <c r="D4173" t="s">
        <v>48</v>
      </c>
      <c r="E4173" t="s">
        <v>123</v>
      </c>
      <c r="F4173" t="s">
        <v>124</v>
      </c>
      <c r="G4173" t="s">
        <v>70</v>
      </c>
      <c r="H4173" s="2">
        <v>54</v>
      </c>
      <c r="I4173">
        <v>105</v>
      </c>
      <c r="J4173">
        <v>567</v>
      </c>
      <c r="K4173" s="4">
        <v>249</v>
      </c>
      <c r="L4173" t="s">
        <v>17</v>
      </c>
    </row>
    <row r="4174" spans="1:12" x14ac:dyDescent="0.35">
      <c r="A4174" t="s">
        <v>42</v>
      </c>
      <c r="B4174">
        <v>1128299</v>
      </c>
      <c r="C4174" s="1">
        <v>44523</v>
      </c>
      <c r="D4174" t="s">
        <v>48</v>
      </c>
      <c r="E4174" t="s">
        <v>123</v>
      </c>
      <c r="F4174" t="s">
        <v>124</v>
      </c>
      <c r="G4174" t="s">
        <v>32</v>
      </c>
      <c r="H4174" s="2">
        <v>44</v>
      </c>
      <c r="I4174">
        <v>105</v>
      </c>
      <c r="J4174">
        <v>462</v>
      </c>
      <c r="K4174" s="4">
        <v>213</v>
      </c>
      <c r="L4174" t="s">
        <v>17</v>
      </c>
    </row>
    <row r="4175" spans="1:12" x14ac:dyDescent="0.35">
      <c r="A4175" t="s">
        <v>63</v>
      </c>
      <c r="B4175">
        <v>1128299</v>
      </c>
      <c r="C4175" s="1">
        <v>44495</v>
      </c>
      <c r="D4175" t="s">
        <v>48</v>
      </c>
      <c r="E4175" t="s">
        <v>114</v>
      </c>
      <c r="F4175" t="s">
        <v>115</v>
      </c>
      <c r="G4175" t="s">
        <v>32</v>
      </c>
      <c r="H4175" s="2">
        <v>48</v>
      </c>
      <c r="I4175">
        <v>105</v>
      </c>
      <c r="J4175">
        <v>504</v>
      </c>
      <c r="K4175" s="4">
        <v>237</v>
      </c>
      <c r="L4175" t="s">
        <v>17</v>
      </c>
    </row>
    <row r="4176" spans="1:12" x14ac:dyDescent="0.35">
      <c r="A4176" t="s">
        <v>63</v>
      </c>
      <c r="B4176">
        <v>1128299</v>
      </c>
      <c r="C4176" s="1">
        <v>44495</v>
      </c>
      <c r="D4176" t="s">
        <v>48</v>
      </c>
      <c r="E4176" t="s">
        <v>114</v>
      </c>
      <c r="F4176" t="s">
        <v>115</v>
      </c>
      <c r="G4176" t="s">
        <v>16</v>
      </c>
      <c r="H4176" s="2">
        <v>68</v>
      </c>
      <c r="I4176">
        <v>105</v>
      </c>
      <c r="J4176">
        <v>714</v>
      </c>
      <c r="K4176" s="4">
        <v>264</v>
      </c>
      <c r="L4176" t="s">
        <v>17</v>
      </c>
    </row>
    <row r="4177" spans="1:12" x14ac:dyDescent="0.35">
      <c r="A4177" t="s">
        <v>23</v>
      </c>
      <c r="B4177">
        <v>1128299</v>
      </c>
      <c r="C4177" s="1">
        <v>44299</v>
      </c>
      <c r="D4177" t="s">
        <v>13</v>
      </c>
      <c r="E4177" t="s">
        <v>57</v>
      </c>
      <c r="F4177" t="s">
        <v>58</v>
      </c>
      <c r="G4177" t="s">
        <v>16</v>
      </c>
      <c r="H4177" s="2">
        <v>63</v>
      </c>
      <c r="I4177">
        <v>105</v>
      </c>
      <c r="J4177">
        <v>662</v>
      </c>
      <c r="K4177" s="4">
        <v>265</v>
      </c>
      <c r="L4177" t="s">
        <v>17</v>
      </c>
    </row>
    <row r="4178" spans="1:12" x14ac:dyDescent="0.35">
      <c r="A4178" t="s">
        <v>23</v>
      </c>
      <c r="B4178">
        <v>1128299</v>
      </c>
      <c r="C4178" s="1">
        <v>44482</v>
      </c>
      <c r="D4178" t="s">
        <v>13</v>
      </c>
      <c r="E4178" t="s">
        <v>57</v>
      </c>
      <c r="F4178" t="s">
        <v>58</v>
      </c>
      <c r="G4178" t="s">
        <v>32</v>
      </c>
      <c r="H4178" s="2">
        <v>42</v>
      </c>
      <c r="I4178">
        <v>105</v>
      </c>
      <c r="J4178">
        <v>441</v>
      </c>
      <c r="K4178" s="4">
        <v>207</v>
      </c>
      <c r="L4178" t="s">
        <v>17</v>
      </c>
    </row>
    <row r="4179" spans="1:12" x14ac:dyDescent="0.35">
      <c r="A4179" t="s">
        <v>12</v>
      </c>
      <c r="B4179">
        <v>1185732</v>
      </c>
      <c r="C4179" s="1">
        <v>44487</v>
      </c>
      <c r="D4179" t="s">
        <v>19</v>
      </c>
      <c r="E4179" t="s">
        <v>37</v>
      </c>
      <c r="F4179" t="s">
        <v>38</v>
      </c>
      <c r="G4179" t="s">
        <v>56</v>
      </c>
      <c r="H4179" s="2">
        <v>23</v>
      </c>
      <c r="I4179">
        <v>105</v>
      </c>
      <c r="J4179">
        <v>242</v>
      </c>
      <c r="K4179" s="4">
        <v>121</v>
      </c>
      <c r="L4179" t="s">
        <v>17</v>
      </c>
    </row>
    <row r="4180" spans="1:12" x14ac:dyDescent="0.35">
      <c r="A4180" t="s">
        <v>23</v>
      </c>
      <c r="B4180">
        <v>1197831</v>
      </c>
      <c r="C4180" s="1">
        <v>44248</v>
      </c>
      <c r="D4180" t="s">
        <v>19</v>
      </c>
      <c r="E4180" t="s">
        <v>37</v>
      </c>
      <c r="F4180" t="s">
        <v>38</v>
      </c>
      <c r="G4180" t="s">
        <v>39</v>
      </c>
      <c r="H4180" s="2">
        <v>24</v>
      </c>
      <c r="I4180">
        <v>105</v>
      </c>
      <c r="J4180">
        <v>252</v>
      </c>
      <c r="K4180" s="4">
        <v>113</v>
      </c>
      <c r="L4180" t="s">
        <v>17</v>
      </c>
    </row>
    <row r="4181" spans="1:12" x14ac:dyDescent="0.35">
      <c r="A4181" t="s">
        <v>63</v>
      </c>
      <c r="B4181">
        <v>1197831</v>
      </c>
      <c r="C4181" s="1">
        <v>44520</v>
      </c>
      <c r="D4181" t="s">
        <v>19</v>
      </c>
      <c r="E4181" t="s">
        <v>61</v>
      </c>
      <c r="F4181" t="s">
        <v>62</v>
      </c>
      <c r="G4181" t="s">
        <v>16</v>
      </c>
      <c r="H4181" s="2">
        <v>72</v>
      </c>
      <c r="I4181">
        <v>105</v>
      </c>
      <c r="J4181">
        <v>756</v>
      </c>
      <c r="K4181" s="4">
        <v>378</v>
      </c>
      <c r="L4181" t="s">
        <v>17</v>
      </c>
    </row>
    <row r="4182" spans="1:12" x14ac:dyDescent="0.35">
      <c r="A4182" t="s">
        <v>18</v>
      </c>
      <c r="B4182">
        <v>1185732</v>
      </c>
      <c r="C4182" s="1">
        <v>44539</v>
      </c>
      <c r="D4182" t="s">
        <v>33</v>
      </c>
      <c r="E4182" t="s">
        <v>81</v>
      </c>
      <c r="F4182" t="s">
        <v>82</v>
      </c>
      <c r="G4182" t="s">
        <v>32</v>
      </c>
      <c r="H4182" s="2">
        <v>49</v>
      </c>
      <c r="I4182">
        <v>105</v>
      </c>
      <c r="J4182">
        <v>515</v>
      </c>
      <c r="K4182" s="4">
        <v>237</v>
      </c>
      <c r="L4182" t="s">
        <v>17</v>
      </c>
    </row>
    <row r="4183" spans="1:12" x14ac:dyDescent="0.35">
      <c r="A4183" t="s">
        <v>18</v>
      </c>
      <c r="B4183">
        <v>1185732</v>
      </c>
      <c r="C4183" s="1">
        <v>44244</v>
      </c>
      <c r="D4183" t="s">
        <v>43</v>
      </c>
      <c r="E4183" t="s">
        <v>64</v>
      </c>
      <c r="F4183" t="s">
        <v>65</v>
      </c>
      <c r="G4183" t="s">
        <v>16</v>
      </c>
      <c r="H4183" s="2">
        <v>24</v>
      </c>
      <c r="I4183">
        <v>105</v>
      </c>
      <c r="J4183">
        <v>252</v>
      </c>
      <c r="K4183" s="4">
        <v>136</v>
      </c>
      <c r="L4183" t="s">
        <v>17</v>
      </c>
    </row>
    <row r="4184" spans="1:12" x14ac:dyDescent="0.35">
      <c r="A4184" t="s">
        <v>42</v>
      </c>
      <c r="B4184">
        <v>1185732</v>
      </c>
      <c r="C4184" s="1">
        <v>44422</v>
      </c>
      <c r="D4184" t="s">
        <v>43</v>
      </c>
      <c r="E4184" t="s">
        <v>95</v>
      </c>
      <c r="F4184" t="s">
        <v>96</v>
      </c>
      <c r="G4184" t="s">
        <v>32</v>
      </c>
      <c r="H4184" s="2">
        <v>42</v>
      </c>
      <c r="I4184">
        <v>105</v>
      </c>
      <c r="J4184">
        <v>441</v>
      </c>
      <c r="K4184" s="4">
        <v>221</v>
      </c>
      <c r="L4184" t="s">
        <v>17</v>
      </c>
    </row>
    <row r="4185" spans="1:12" x14ac:dyDescent="0.35">
      <c r="A4185" t="s">
        <v>63</v>
      </c>
      <c r="B4185">
        <v>1185732</v>
      </c>
      <c r="C4185" s="1">
        <v>44355</v>
      </c>
      <c r="D4185" t="s">
        <v>43</v>
      </c>
      <c r="E4185" t="s">
        <v>83</v>
      </c>
      <c r="F4185" t="s">
        <v>84</v>
      </c>
      <c r="G4185" t="s">
        <v>39</v>
      </c>
      <c r="H4185" s="2">
        <v>44</v>
      </c>
      <c r="I4185">
        <v>105</v>
      </c>
      <c r="J4185">
        <v>462</v>
      </c>
      <c r="K4185" s="4">
        <v>213</v>
      </c>
      <c r="L4185" t="s">
        <v>17</v>
      </c>
    </row>
    <row r="4186" spans="1:12" x14ac:dyDescent="0.35">
      <c r="A4186" t="s">
        <v>63</v>
      </c>
      <c r="B4186">
        <v>1185732</v>
      </c>
      <c r="C4186" s="1">
        <v>44415</v>
      </c>
      <c r="D4186" t="s">
        <v>43</v>
      </c>
      <c r="E4186" t="s">
        <v>83</v>
      </c>
      <c r="F4186" t="s">
        <v>84</v>
      </c>
      <c r="G4186" t="s">
        <v>16</v>
      </c>
      <c r="H4186" s="2">
        <v>52</v>
      </c>
      <c r="I4186">
        <v>105</v>
      </c>
      <c r="J4186">
        <v>546</v>
      </c>
      <c r="K4186" s="4">
        <v>289</v>
      </c>
      <c r="L4186" t="s">
        <v>17</v>
      </c>
    </row>
    <row r="4187" spans="1:12" x14ac:dyDescent="0.35">
      <c r="A4187" t="s">
        <v>23</v>
      </c>
      <c r="B4187">
        <v>1185732</v>
      </c>
      <c r="C4187" s="1">
        <v>44536</v>
      </c>
      <c r="D4187" t="s">
        <v>43</v>
      </c>
      <c r="E4187" t="s">
        <v>83</v>
      </c>
      <c r="F4187" t="s">
        <v>84</v>
      </c>
      <c r="G4187" t="s">
        <v>39</v>
      </c>
      <c r="H4187" s="2">
        <v>49</v>
      </c>
      <c r="I4187">
        <v>105</v>
      </c>
      <c r="J4187">
        <v>515</v>
      </c>
      <c r="K4187" s="4">
        <v>247</v>
      </c>
      <c r="L4187" t="s">
        <v>17</v>
      </c>
    </row>
    <row r="4188" spans="1:12" x14ac:dyDescent="0.35">
      <c r="A4188" t="s">
        <v>23</v>
      </c>
      <c r="B4188">
        <v>1185732</v>
      </c>
      <c r="C4188" s="1">
        <v>44412</v>
      </c>
      <c r="D4188" t="s">
        <v>43</v>
      </c>
      <c r="E4188" t="s">
        <v>108</v>
      </c>
      <c r="F4188" t="s">
        <v>109</v>
      </c>
      <c r="G4188" t="s">
        <v>16</v>
      </c>
      <c r="H4188" s="2">
        <v>55</v>
      </c>
      <c r="I4188">
        <v>105</v>
      </c>
      <c r="J4188">
        <v>578</v>
      </c>
      <c r="K4188" s="4">
        <v>289</v>
      </c>
      <c r="L4188" t="s">
        <v>17</v>
      </c>
    </row>
    <row r="4189" spans="1:12" x14ac:dyDescent="0.35">
      <c r="A4189" t="s">
        <v>23</v>
      </c>
      <c r="B4189">
        <v>1185732</v>
      </c>
      <c r="C4189" s="1">
        <v>44390</v>
      </c>
      <c r="D4189" t="s">
        <v>43</v>
      </c>
      <c r="E4189" t="s">
        <v>112</v>
      </c>
      <c r="F4189" t="s">
        <v>113</v>
      </c>
      <c r="G4189" t="s">
        <v>39</v>
      </c>
      <c r="H4189" s="2">
        <v>49</v>
      </c>
      <c r="I4189">
        <v>105</v>
      </c>
      <c r="J4189">
        <v>515</v>
      </c>
      <c r="K4189" s="4">
        <v>221</v>
      </c>
      <c r="L4189" t="s">
        <v>17</v>
      </c>
    </row>
    <row r="4190" spans="1:12" x14ac:dyDescent="0.35">
      <c r="A4190" t="s">
        <v>51</v>
      </c>
      <c r="B4190">
        <v>1185732</v>
      </c>
      <c r="C4190" s="1">
        <v>44543</v>
      </c>
      <c r="D4190" t="s">
        <v>43</v>
      </c>
      <c r="E4190" t="s">
        <v>112</v>
      </c>
      <c r="F4190" t="s">
        <v>113</v>
      </c>
      <c r="G4190" t="s">
        <v>39</v>
      </c>
      <c r="H4190" s="2">
        <v>53</v>
      </c>
      <c r="I4190">
        <v>105</v>
      </c>
      <c r="J4190">
        <v>557</v>
      </c>
      <c r="K4190" s="4">
        <v>223</v>
      </c>
      <c r="L4190" t="s">
        <v>17</v>
      </c>
    </row>
    <row r="4191" spans="1:12" x14ac:dyDescent="0.35">
      <c r="A4191" t="s">
        <v>51</v>
      </c>
      <c r="B4191">
        <v>1185732</v>
      </c>
      <c r="C4191" s="1">
        <v>44419</v>
      </c>
      <c r="D4191" t="s">
        <v>43</v>
      </c>
      <c r="E4191" t="s">
        <v>125</v>
      </c>
      <c r="F4191" t="s">
        <v>126</v>
      </c>
      <c r="G4191" t="s">
        <v>32</v>
      </c>
      <c r="H4191" s="2">
        <v>48</v>
      </c>
      <c r="I4191">
        <v>105</v>
      </c>
      <c r="J4191">
        <v>504</v>
      </c>
      <c r="K4191" s="4">
        <v>232</v>
      </c>
      <c r="L4191" t="s">
        <v>17</v>
      </c>
    </row>
    <row r="4192" spans="1:12" x14ac:dyDescent="0.35">
      <c r="A4192" t="s">
        <v>51</v>
      </c>
      <c r="B4192">
        <v>1185732</v>
      </c>
      <c r="C4192" s="1">
        <v>44426</v>
      </c>
      <c r="D4192" t="s">
        <v>43</v>
      </c>
      <c r="E4192" t="s">
        <v>127</v>
      </c>
      <c r="F4192" t="s">
        <v>128</v>
      </c>
      <c r="G4192" t="s">
        <v>32</v>
      </c>
      <c r="H4192" s="2">
        <v>52</v>
      </c>
      <c r="I4192">
        <v>105</v>
      </c>
      <c r="J4192">
        <v>546</v>
      </c>
      <c r="K4192" s="4">
        <v>246</v>
      </c>
      <c r="L4192" t="s">
        <v>17</v>
      </c>
    </row>
    <row r="4193" spans="1:12" x14ac:dyDescent="0.35">
      <c r="A4193" t="s">
        <v>42</v>
      </c>
      <c r="B4193">
        <v>1185732</v>
      </c>
      <c r="C4193" s="1">
        <v>44547</v>
      </c>
      <c r="D4193" t="s">
        <v>43</v>
      </c>
      <c r="E4193" t="s">
        <v>127</v>
      </c>
      <c r="F4193" t="s">
        <v>128</v>
      </c>
      <c r="G4193" t="s">
        <v>70</v>
      </c>
      <c r="H4193" s="2">
        <v>74</v>
      </c>
      <c r="I4193">
        <v>105</v>
      </c>
      <c r="J4193">
        <v>777</v>
      </c>
      <c r="K4193" s="4">
        <v>334</v>
      </c>
      <c r="L4193" t="s">
        <v>17</v>
      </c>
    </row>
    <row r="4194" spans="1:12" x14ac:dyDescent="0.35">
      <c r="A4194" t="s">
        <v>42</v>
      </c>
      <c r="B4194">
        <v>1185732</v>
      </c>
      <c r="C4194" s="1">
        <v>44526</v>
      </c>
      <c r="D4194" t="s">
        <v>43</v>
      </c>
      <c r="E4194" t="s">
        <v>135</v>
      </c>
      <c r="F4194" t="s">
        <v>136</v>
      </c>
      <c r="G4194" t="s">
        <v>16</v>
      </c>
      <c r="H4194" s="2">
        <v>52</v>
      </c>
      <c r="I4194">
        <v>105</v>
      </c>
      <c r="J4194">
        <v>546</v>
      </c>
      <c r="K4194" s="4">
        <v>191</v>
      </c>
      <c r="L4194" t="s">
        <v>27</v>
      </c>
    </row>
    <row r="4195" spans="1:12" x14ac:dyDescent="0.35">
      <c r="A4195" t="s">
        <v>18</v>
      </c>
      <c r="B4195">
        <v>1128299</v>
      </c>
      <c r="C4195" s="1">
        <v>43859</v>
      </c>
      <c r="D4195" t="s">
        <v>48</v>
      </c>
      <c r="E4195" t="s">
        <v>116</v>
      </c>
      <c r="F4195" t="s">
        <v>117</v>
      </c>
      <c r="G4195" t="s">
        <v>56</v>
      </c>
      <c r="H4195" s="2">
        <v>47</v>
      </c>
      <c r="I4195">
        <v>105</v>
      </c>
      <c r="J4195">
        <v>494</v>
      </c>
      <c r="K4195" s="4">
        <v>227</v>
      </c>
      <c r="L4195" t="s">
        <v>27</v>
      </c>
    </row>
    <row r="4196" spans="1:12" x14ac:dyDescent="0.35">
      <c r="A4196" t="s">
        <v>18</v>
      </c>
      <c r="B4196">
        <v>1128299</v>
      </c>
      <c r="C4196" s="1">
        <v>43866</v>
      </c>
      <c r="D4196" t="s">
        <v>48</v>
      </c>
      <c r="E4196" t="s">
        <v>116</v>
      </c>
      <c r="F4196" t="s">
        <v>117</v>
      </c>
      <c r="G4196" t="s">
        <v>70</v>
      </c>
      <c r="H4196" s="2">
        <v>47</v>
      </c>
      <c r="I4196">
        <v>105</v>
      </c>
      <c r="J4196">
        <v>494</v>
      </c>
      <c r="K4196" s="4">
        <v>321</v>
      </c>
      <c r="L4196" t="s">
        <v>27</v>
      </c>
    </row>
    <row r="4197" spans="1:12" x14ac:dyDescent="0.35">
      <c r="A4197" t="s">
        <v>23</v>
      </c>
      <c r="B4197">
        <v>1197831</v>
      </c>
      <c r="C4197" s="1">
        <v>44287</v>
      </c>
      <c r="D4197" t="s">
        <v>19</v>
      </c>
      <c r="E4197" t="s">
        <v>74</v>
      </c>
      <c r="F4197" t="s">
        <v>75</v>
      </c>
      <c r="G4197" t="s">
        <v>70</v>
      </c>
      <c r="H4197" s="2">
        <v>20</v>
      </c>
      <c r="I4197">
        <v>105</v>
      </c>
      <c r="J4197">
        <v>210</v>
      </c>
      <c r="K4197" s="4">
        <v>80</v>
      </c>
      <c r="L4197" t="s">
        <v>27</v>
      </c>
    </row>
    <row r="4198" spans="1:12" x14ac:dyDescent="0.35">
      <c r="A4198" t="s">
        <v>23</v>
      </c>
      <c r="B4198">
        <v>1197831</v>
      </c>
      <c r="C4198" s="1">
        <v>44460</v>
      </c>
      <c r="D4198" t="s">
        <v>19</v>
      </c>
      <c r="E4198" t="s">
        <v>24</v>
      </c>
      <c r="F4198" t="s">
        <v>25</v>
      </c>
      <c r="G4198" t="s">
        <v>56</v>
      </c>
      <c r="H4198" s="2">
        <v>44</v>
      </c>
      <c r="I4198">
        <v>105</v>
      </c>
      <c r="J4198">
        <v>462</v>
      </c>
      <c r="K4198" s="4">
        <v>305</v>
      </c>
      <c r="L4198" t="s">
        <v>27</v>
      </c>
    </row>
    <row r="4199" spans="1:12" x14ac:dyDescent="0.35">
      <c r="A4199" t="s">
        <v>23</v>
      </c>
      <c r="B4199">
        <v>1197831</v>
      </c>
      <c r="C4199" s="1">
        <v>44467</v>
      </c>
      <c r="D4199" t="s">
        <v>19</v>
      </c>
      <c r="E4199" t="s">
        <v>24</v>
      </c>
      <c r="F4199" t="s">
        <v>25</v>
      </c>
      <c r="G4199" t="s">
        <v>70</v>
      </c>
      <c r="H4199" s="2">
        <v>22</v>
      </c>
      <c r="I4199">
        <v>105</v>
      </c>
      <c r="J4199">
        <v>231</v>
      </c>
      <c r="K4199" s="4">
        <v>113</v>
      </c>
      <c r="L4199" t="s">
        <v>27</v>
      </c>
    </row>
    <row r="4200" spans="1:12" x14ac:dyDescent="0.35">
      <c r="A4200" t="s">
        <v>12</v>
      </c>
      <c r="B4200">
        <v>1128299</v>
      </c>
      <c r="C4200" s="1">
        <v>44303</v>
      </c>
      <c r="D4200" t="s">
        <v>13</v>
      </c>
      <c r="E4200" t="s">
        <v>14</v>
      </c>
      <c r="F4200" t="s">
        <v>15</v>
      </c>
      <c r="G4200" t="s">
        <v>39</v>
      </c>
      <c r="H4200" s="2">
        <v>51</v>
      </c>
      <c r="I4200">
        <v>105</v>
      </c>
      <c r="J4200">
        <v>536</v>
      </c>
      <c r="K4200" s="4">
        <v>145</v>
      </c>
      <c r="L4200" t="s">
        <v>27</v>
      </c>
    </row>
    <row r="4201" spans="1:12" x14ac:dyDescent="0.35">
      <c r="A4201" t="s">
        <v>42</v>
      </c>
      <c r="B4201">
        <v>1128299</v>
      </c>
      <c r="C4201" s="1">
        <v>44341</v>
      </c>
      <c r="D4201" t="s">
        <v>13</v>
      </c>
      <c r="E4201" t="s">
        <v>99</v>
      </c>
      <c r="F4201" t="s">
        <v>100</v>
      </c>
      <c r="G4201" t="s">
        <v>39</v>
      </c>
      <c r="H4201" s="2">
        <v>40</v>
      </c>
      <c r="I4201">
        <v>105</v>
      </c>
      <c r="J4201">
        <v>420</v>
      </c>
      <c r="K4201" s="4">
        <v>172</v>
      </c>
      <c r="L4201" t="s">
        <v>27</v>
      </c>
    </row>
    <row r="4202" spans="1:12" x14ac:dyDescent="0.35">
      <c r="A4202" t="s">
        <v>42</v>
      </c>
      <c r="B4202">
        <v>1128299</v>
      </c>
      <c r="C4202" s="1">
        <v>44493</v>
      </c>
      <c r="D4202" t="s">
        <v>13</v>
      </c>
      <c r="E4202" t="s">
        <v>99</v>
      </c>
      <c r="F4202" t="s">
        <v>100</v>
      </c>
      <c r="G4202" t="s">
        <v>70</v>
      </c>
      <c r="H4202" s="2">
        <v>42</v>
      </c>
      <c r="I4202">
        <v>105</v>
      </c>
      <c r="J4202">
        <v>441</v>
      </c>
      <c r="K4202" s="4">
        <v>207</v>
      </c>
      <c r="L4202" t="s">
        <v>27</v>
      </c>
    </row>
    <row r="4203" spans="1:12" x14ac:dyDescent="0.35">
      <c r="A4203" t="s">
        <v>18</v>
      </c>
      <c r="B4203">
        <v>1185732</v>
      </c>
      <c r="C4203" s="1">
        <v>44265</v>
      </c>
      <c r="D4203" t="s">
        <v>48</v>
      </c>
      <c r="E4203" t="s">
        <v>49</v>
      </c>
      <c r="F4203" t="s">
        <v>50</v>
      </c>
      <c r="G4203" t="s">
        <v>39</v>
      </c>
      <c r="H4203" s="2">
        <v>22</v>
      </c>
      <c r="I4203">
        <v>105</v>
      </c>
      <c r="J4203">
        <v>231</v>
      </c>
      <c r="K4203" s="4">
        <v>92</v>
      </c>
      <c r="L4203" t="s">
        <v>27</v>
      </c>
    </row>
    <row r="4204" spans="1:12" x14ac:dyDescent="0.35">
      <c r="A4204" t="s">
        <v>18</v>
      </c>
      <c r="B4204">
        <v>1185732</v>
      </c>
      <c r="C4204" s="1">
        <v>44451</v>
      </c>
      <c r="D4204" t="s">
        <v>48</v>
      </c>
      <c r="E4204" t="s">
        <v>49</v>
      </c>
      <c r="F4204" t="s">
        <v>50</v>
      </c>
      <c r="G4204" t="s">
        <v>32</v>
      </c>
      <c r="H4204" s="2">
        <v>7</v>
      </c>
      <c r="I4204">
        <v>105</v>
      </c>
      <c r="J4204">
        <v>74</v>
      </c>
      <c r="K4204" s="4">
        <v>31</v>
      </c>
      <c r="L4204" t="s">
        <v>27</v>
      </c>
    </row>
    <row r="4205" spans="1:12" x14ac:dyDescent="0.35">
      <c r="A4205" t="s">
        <v>18</v>
      </c>
      <c r="B4205">
        <v>1128299</v>
      </c>
      <c r="C4205" s="1">
        <v>44220</v>
      </c>
      <c r="D4205" t="s">
        <v>48</v>
      </c>
      <c r="E4205" t="s">
        <v>49</v>
      </c>
      <c r="F4205" t="s">
        <v>50</v>
      </c>
      <c r="G4205" t="s">
        <v>32</v>
      </c>
      <c r="H4205" s="2">
        <v>31</v>
      </c>
      <c r="I4205">
        <v>105</v>
      </c>
      <c r="J4205">
        <v>326</v>
      </c>
      <c r="K4205" s="4">
        <v>127</v>
      </c>
      <c r="L4205" t="s">
        <v>27</v>
      </c>
    </row>
    <row r="4206" spans="1:12" x14ac:dyDescent="0.35">
      <c r="A4206" t="s">
        <v>42</v>
      </c>
      <c r="B4206">
        <v>1128299</v>
      </c>
      <c r="C4206" s="1">
        <v>44370</v>
      </c>
      <c r="D4206" t="s">
        <v>48</v>
      </c>
      <c r="E4206" t="s">
        <v>123</v>
      </c>
      <c r="F4206" t="s">
        <v>124</v>
      </c>
      <c r="G4206" t="s">
        <v>56</v>
      </c>
      <c r="H4206" s="2">
        <v>38</v>
      </c>
      <c r="I4206">
        <v>105</v>
      </c>
      <c r="J4206">
        <v>399</v>
      </c>
      <c r="K4206" s="4">
        <v>160</v>
      </c>
      <c r="L4206" t="s">
        <v>27</v>
      </c>
    </row>
    <row r="4207" spans="1:12" x14ac:dyDescent="0.35">
      <c r="A4207" t="s">
        <v>12</v>
      </c>
      <c r="B4207">
        <v>1185732</v>
      </c>
      <c r="C4207" s="1">
        <v>44487</v>
      </c>
      <c r="D4207" t="s">
        <v>19</v>
      </c>
      <c r="E4207" t="s">
        <v>37</v>
      </c>
      <c r="F4207" t="s">
        <v>38</v>
      </c>
      <c r="G4207" t="s">
        <v>70</v>
      </c>
      <c r="H4207" s="2">
        <v>25</v>
      </c>
      <c r="I4207">
        <v>105</v>
      </c>
      <c r="J4207">
        <v>263</v>
      </c>
      <c r="K4207" s="4">
        <v>110</v>
      </c>
      <c r="L4207" t="s">
        <v>27</v>
      </c>
    </row>
    <row r="4208" spans="1:12" x14ac:dyDescent="0.35">
      <c r="A4208" t="s">
        <v>18</v>
      </c>
      <c r="B4208">
        <v>1197831</v>
      </c>
      <c r="C4208" s="1">
        <v>44520</v>
      </c>
      <c r="D4208" t="s">
        <v>19</v>
      </c>
      <c r="E4208" t="s">
        <v>54</v>
      </c>
      <c r="F4208" t="s">
        <v>55</v>
      </c>
      <c r="G4208" t="s">
        <v>70</v>
      </c>
      <c r="H4208" s="2">
        <v>56</v>
      </c>
      <c r="I4208">
        <v>105</v>
      </c>
      <c r="J4208">
        <v>588</v>
      </c>
      <c r="K4208" s="4">
        <v>241</v>
      </c>
      <c r="L4208" t="s">
        <v>27</v>
      </c>
    </row>
    <row r="4209" spans="1:12" x14ac:dyDescent="0.35">
      <c r="A4209" t="s">
        <v>18</v>
      </c>
      <c r="B4209">
        <v>1197831</v>
      </c>
      <c r="C4209" s="1">
        <v>44368</v>
      </c>
      <c r="D4209" t="s">
        <v>19</v>
      </c>
      <c r="E4209" t="s">
        <v>61</v>
      </c>
      <c r="F4209" t="s">
        <v>62</v>
      </c>
      <c r="G4209" t="s">
        <v>70</v>
      </c>
      <c r="H4209" s="2">
        <v>41</v>
      </c>
      <c r="I4209">
        <v>105</v>
      </c>
      <c r="J4209">
        <v>431</v>
      </c>
      <c r="K4209" s="4">
        <v>164</v>
      </c>
      <c r="L4209" t="s">
        <v>27</v>
      </c>
    </row>
    <row r="4210" spans="1:12" x14ac:dyDescent="0.35">
      <c r="A4210" t="s">
        <v>18</v>
      </c>
      <c r="B4210">
        <v>1197831</v>
      </c>
      <c r="C4210" s="1">
        <v>44428</v>
      </c>
      <c r="D4210" t="s">
        <v>19</v>
      </c>
      <c r="E4210" t="s">
        <v>61</v>
      </c>
      <c r="F4210" t="s">
        <v>62</v>
      </c>
      <c r="G4210" t="s">
        <v>70</v>
      </c>
      <c r="H4210" s="2">
        <v>40</v>
      </c>
      <c r="I4210">
        <v>105</v>
      </c>
      <c r="J4210">
        <v>420</v>
      </c>
      <c r="K4210" s="4">
        <v>155</v>
      </c>
      <c r="L4210" t="s">
        <v>27</v>
      </c>
    </row>
    <row r="4211" spans="1:12" x14ac:dyDescent="0.35">
      <c r="A4211" t="s">
        <v>63</v>
      </c>
      <c r="B4211">
        <v>1197831</v>
      </c>
      <c r="C4211" s="1">
        <v>44212</v>
      </c>
      <c r="D4211" t="s">
        <v>19</v>
      </c>
      <c r="E4211" t="s">
        <v>61</v>
      </c>
      <c r="F4211" t="s">
        <v>62</v>
      </c>
      <c r="G4211" t="s">
        <v>39</v>
      </c>
      <c r="H4211" s="2">
        <v>16</v>
      </c>
      <c r="I4211">
        <v>105</v>
      </c>
      <c r="J4211">
        <v>168</v>
      </c>
      <c r="K4211" s="4">
        <v>64</v>
      </c>
      <c r="L4211" t="s">
        <v>27</v>
      </c>
    </row>
    <row r="4212" spans="1:12" x14ac:dyDescent="0.35">
      <c r="A4212" t="s">
        <v>42</v>
      </c>
      <c r="B4212">
        <v>1185732</v>
      </c>
      <c r="C4212" s="1">
        <v>44504</v>
      </c>
      <c r="D4212" t="s">
        <v>43</v>
      </c>
      <c r="E4212" t="s">
        <v>108</v>
      </c>
      <c r="F4212" t="s">
        <v>109</v>
      </c>
      <c r="G4212" t="s">
        <v>39</v>
      </c>
      <c r="H4212" s="2">
        <v>37</v>
      </c>
      <c r="I4212">
        <v>105</v>
      </c>
      <c r="J4212">
        <v>389</v>
      </c>
      <c r="K4212" s="4">
        <v>179</v>
      </c>
      <c r="L4212" t="s">
        <v>27</v>
      </c>
    </row>
    <row r="4213" spans="1:12" x14ac:dyDescent="0.35">
      <c r="A4213" t="s">
        <v>42</v>
      </c>
      <c r="B4213">
        <v>1185732</v>
      </c>
      <c r="C4213" s="1">
        <v>44355</v>
      </c>
      <c r="D4213" t="s">
        <v>43</v>
      </c>
      <c r="E4213" t="s">
        <v>110</v>
      </c>
      <c r="F4213" t="s">
        <v>111</v>
      </c>
      <c r="G4213" t="s">
        <v>39</v>
      </c>
      <c r="H4213" s="2">
        <v>35</v>
      </c>
      <c r="I4213">
        <v>105</v>
      </c>
      <c r="J4213">
        <v>368</v>
      </c>
      <c r="K4213" s="4">
        <v>143</v>
      </c>
      <c r="L4213" t="s">
        <v>27</v>
      </c>
    </row>
    <row r="4214" spans="1:12" x14ac:dyDescent="0.35">
      <c r="A4214" t="s">
        <v>23</v>
      </c>
      <c r="B4214">
        <v>1185732</v>
      </c>
      <c r="C4214" s="1">
        <v>44507</v>
      </c>
      <c r="D4214" t="s">
        <v>43</v>
      </c>
      <c r="E4214" t="s">
        <v>110</v>
      </c>
      <c r="F4214" t="s">
        <v>111</v>
      </c>
      <c r="G4214" t="s">
        <v>26</v>
      </c>
      <c r="H4214" s="2">
        <v>40</v>
      </c>
      <c r="I4214">
        <v>105</v>
      </c>
      <c r="J4214">
        <v>420</v>
      </c>
      <c r="K4214" s="4">
        <v>176</v>
      </c>
      <c r="L4214" t="s">
        <v>27</v>
      </c>
    </row>
    <row r="4215" spans="1:12" x14ac:dyDescent="0.35">
      <c r="A4215" t="s">
        <v>23</v>
      </c>
      <c r="B4215">
        <v>1185732</v>
      </c>
      <c r="C4215" s="1">
        <v>44390</v>
      </c>
      <c r="D4215" t="s">
        <v>43</v>
      </c>
      <c r="E4215" t="s">
        <v>112</v>
      </c>
      <c r="F4215" t="s">
        <v>113</v>
      </c>
      <c r="G4215" t="s">
        <v>39</v>
      </c>
      <c r="H4215" s="2">
        <v>36</v>
      </c>
      <c r="I4215">
        <v>105</v>
      </c>
      <c r="J4215">
        <v>378</v>
      </c>
      <c r="K4215" s="4">
        <v>140</v>
      </c>
      <c r="L4215" t="s">
        <v>27</v>
      </c>
    </row>
    <row r="4216" spans="1:12" x14ac:dyDescent="0.35">
      <c r="A4216" t="s">
        <v>51</v>
      </c>
      <c r="B4216">
        <v>1185732</v>
      </c>
      <c r="C4216" s="1">
        <v>44543</v>
      </c>
      <c r="D4216" t="s">
        <v>43</v>
      </c>
      <c r="E4216" t="s">
        <v>112</v>
      </c>
      <c r="F4216" t="s">
        <v>113</v>
      </c>
      <c r="G4216" t="s">
        <v>56</v>
      </c>
      <c r="H4216" s="2">
        <v>43</v>
      </c>
      <c r="I4216">
        <v>105</v>
      </c>
      <c r="J4216">
        <v>452</v>
      </c>
      <c r="K4216" s="4">
        <v>126</v>
      </c>
      <c r="L4216" t="s">
        <v>27</v>
      </c>
    </row>
    <row r="4217" spans="1:12" x14ac:dyDescent="0.35">
      <c r="A4217" t="s">
        <v>51</v>
      </c>
      <c r="B4217">
        <v>1185732</v>
      </c>
      <c r="C4217" s="1">
        <v>44359</v>
      </c>
      <c r="D4217" t="s">
        <v>43</v>
      </c>
      <c r="E4217" t="s">
        <v>125</v>
      </c>
      <c r="F4217" t="s">
        <v>126</v>
      </c>
      <c r="G4217" t="s">
        <v>70</v>
      </c>
      <c r="H4217" s="2">
        <v>44</v>
      </c>
      <c r="I4217">
        <v>105</v>
      </c>
      <c r="J4217">
        <v>462</v>
      </c>
      <c r="K4217" s="4">
        <v>189</v>
      </c>
      <c r="L4217" t="s">
        <v>27</v>
      </c>
    </row>
    <row r="4218" spans="1:12" x14ac:dyDescent="0.35">
      <c r="A4218" t="s">
        <v>51</v>
      </c>
      <c r="B4218">
        <v>1185732</v>
      </c>
      <c r="C4218" s="1">
        <v>44272</v>
      </c>
      <c r="D4218" t="s">
        <v>43</v>
      </c>
      <c r="E4218" t="s">
        <v>127</v>
      </c>
      <c r="F4218" t="s">
        <v>128</v>
      </c>
      <c r="G4218" t="s">
        <v>32</v>
      </c>
      <c r="H4218" s="2">
        <v>32</v>
      </c>
      <c r="I4218">
        <v>105</v>
      </c>
      <c r="J4218">
        <v>336</v>
      </c>
      <c r="K4218" s="4">
        <v>114</v>
      </c>
      <c r="L4218" t="s">
        <v>27</v>
      </c>
    </row>
    <row r="4219" spans="1:12" x14ac:dyDescent="0.35">
      <c r="A4219" t="s">
        <v>42</v>
      </c>
      <c r="B4219">
        <v>1185732</v>
      </c>
      <c r="C4219" s="1">
        <v>44220</v>
      </c>
      <c r="D4219" t="s">
        <v>43</v>
      </c>
      <c r="E4219" t="s">
        <v>127</v>
      </c>
      <c r="F4219" t="s">
        <v>128</v>
      </c>
      <c r="G4219" t="s">
        <v>16</v>
      </c>
      <c r="H4219" s="2">
        <v>41</v>
      </c>
      <c r="I4219">
        <v>105</v>
      </c>
      <c r="J4219">
        <v>431</v>
      </c>
      <c r="K4219" s="4">
        <v>138</v>
      </c>
      <c r="L4219" t="s">
        <v>27</v>
      </c>
    </row>
    <row r="4220" spans="1:12" x14ac:dyDescent="0.35">
      <c r="A4220" t="s">
        <v>42</v>
      </c>
      <c r="B4220">
        <v>1185732</v>
      </c>
      <c r="C4220" s="1">
        <v>44545</v>
      </c>
      <c r="D4220" t="s">
        <v>43</v>
      </c>
      <c r="E4220" t="s">
        <v>135</v>
      </c>
      <c r="F4220" t="s">
        <v>136</v>
      </c>
      <c r="G4220" t="s">
        <v>26</v>
      </c>
      <c r="H4220" s="2">
        <v>55</v>
      </c>
      <c r="I4220">
        <v>104</v>
      </c>
      <c r="J4220">
        <v>572</v>
      </c>
      <c r="K4220" s="4">
        <v>355</v>
      </c>
      <c r="L4220" t="s">
        <v>17</v>
      </c>
    </row>
    <row r="4221" spans="1:12" x14ac:dyDescent="0.35">
      <c r="A4221" t="s">
        <v>18</v>
      </c>
      <c r="B4221">
        <v>1128299</v>
      </c>
      <c r="C4221" s="1">
        <v>43846</v>
      </c>
      <c r="D4221" t="s">
        <v>48</v>
      </c>
      <c r="E4221" t="s">
        <v>116</v>
      </c>
      <c r="F4221" t="s">
        <v>117</v>
      </c>
      <c r="G4221" t="s">
        <v>32</v>
      </c>
      <c r="H4221" s="2">
        <v>52</v>
      </c>
      <c r="I4221">
        <v>104</v>
      </c>
      <c r="J4221">
        <v>541</v>
      </c>
      <c r="K4221" s="4">
        <v>287</v>
      </c>
      <c r="L4221" t="s">
        <v>17</v>
      </c>
    </row>
    <row r="4222" spans="1:12" x14ac:dyDescent="0.35">
      <c r="A4222" t="s">
        <v>18</v>
      </c>
      <c r="B4222">
        <v>1128299</v>
      </c>
      <c r="C4222" s="1">
        <v>43857</v>
      </c>
      <c r="D4222" t="s">
        <v>48</v>
      </c>
      <c r="E4222" t="s">
        <v>116</v>
      </c>
      <c r="F4222" t="s">
        <v>117</v>
      </c>
      <c r="G4222" t="s">
        <v>39</v>
      </c>
      <c r="H4222" s="2">
        <v>60</v>
      </c>
      <c r="I4222">
        <v>104</v>
      </c>
      <c r="J4222">
        <v>624</v>
      </c>
      <c r="K4222" s="4">
        <v>268</v>
      </c>
      <c r="L4222" t="s">
        <v>17</v>
      </c>
    </row>
    <row r="4223" spans="1:12" x14ac:dyDescent="0.35">
      <c r="A4223" t="s">
        <v>23</v>
      </c>
      <c r="B4223">
        <v>1197831</v>
      </c>
      <c r="C4223" s="1">
        <v>44426</v>
      </c>
      <c r="D4223" t="s">
        <v>19</v>
      </c>
      <c r="E4223" t="s">
        <v>24</v>
      </c>
      <c r="F4223" t="s">
        <v>25</v>
      </c>
      <c r="G4223" t="s">
        <v>16</v>
      </c>
      <c r="H4223" s="2">
        <v>34</v>
      </c>
      <c r="I4223">
        <v>104</v>
      </c>
      <c r="J4223">
        <v>354</v>
      </c>
      <c r="K4223" s="4">
        <v>265</v>
      </c>
      <c r="L4223" t="s">
        <v>17</v>
      </c>
    </row>
    <row r="4224" spans="1:12" x14ac:dyDescent="0.35">
      <c r="A4224" t="s">
        <v>51</v>
      </c>
      <c r="B4224">
        <v>1185732</v>
      </c>
      <c r="C4224" s="1">
        <v>44429</v>
      </c>
      <c r="D4224" t="s">
        <v>48</v>
      </c>
      <c r="E4224" t="s">
        <v>137</v>
      </c>
      <c r="F4224" t="s">
        <v>138</v>
      </c>
      <c r="G4224" t="s">
        <v>16</v>
      </c>
      <c r="H4224" s="2">
        <v>67</v>
      </c>
      <c r="I4224">
        <v>104</v>
      </c>
      <c r="J4224">
        <v>697</v>
      </c>
      <c r="K4224" s="4">
        <v>293</v>
      </c>
      <c r="L4224" t="s">
        <v>17</v>
      </c>
    </row>
    <row r="4225" spans="1:12" x14ac:dyDescent="0.35">
      <c r="A4225" t="s">
        <v>12</v>
      </c>
      <c r="B4225">
        <v>1128299</v>
      </c>
      <c r="C4225" s="1">
        <v>44510</v>
      </c>
      <c r="D4225" t="s">
        <v>48</v>
      </c>
      <c r="E4225" t="s">
        <v>129</v>
      </c>
      <c r="F4225" t="s">
        <v>130</v>
      </c>
      <c r="G4225" t="s">
        <v>56</v>
      </c>
      <c r="H4225" s="2">
        <v>60</v>
      </c>
      <c r="I4225">
        <v>104</v>
      </c>
      <c r="J4225">
        <v>624</v>
      </c>
      <c r="K4225" s="4">
        <v>243</v>
      </c>
      <c r="L4225" t="s">
        <v>17</v>
      </c>
    </row>
    <row r="4226" spans="1:12" x14ac:dyDescent="0.35">
      <c r="A4226" t="s">
        <v>12</v>
      </c>
      <c r="B4226">
        <v>1128299</v>
      </c>
      <c r="C4226" s="1">
        <v>44486</v>
      </c>
      <c r="D4226" t="s">
        <v>13</v>
      </c>
      <c r="E4226" t="s">
        <v>14</v>
      </c>
      <c r="F4226" t="s">
        <v>15</v>
      </c>
      <c r="G4226" t="s">
        <v>16</v>
      </c>
      <c r="H4226" s="2">
        <v>65</v>
      </c>
      <c r="I4226">
        <v>104</v>
      </c>
      <c r="J4226">
        <v>676</v>
      </c>
      <c r="K4226" s="4">
        <v>392</v>
      </c>
      <c r="L4226" t="s">
        <v>17</v>
      </c>
    </row>
    <row r="4227" spans="1:12" x14ac:dyDescent="0.35">
      <c r="A4227" t="s">
        <v>42</v>
      </c>
      <c r="B4227">
        <v>1128299</v>
      </c>
      <c r="C4227" s="1">
        <v>44371</v>
      </c>
      <c r="D4227" t="s">
        <v>13</v>
      </c>
      <c r="E4227" t="s">
        <v>99</v>
      </c>
      <c r="F4227" t="s">
        <v>100</v>
      </c>
      <c r="G4227" t="s">
        <v>70</v>
      </c>
      <c r="H4227" s="2">
        <v>81</v>
      </c>
      <c r="I4227">
        <v>104</v>
      </c>
      <c r="J4227">
        <v>842</v>
      </c>
      <c r="K4227" s="4">
        <v>430</v>
      </c>
      <c r="L4227" t="s">
        <v>17</v>
      </c>
    </row>
    <row r="4228" spans="1:12" x14ac:dyDescent="0.35">
      <c r="A4228" t="s">
        <v>18</v>
      </c>
      <c r="B4228">
        <v>1185732</v>
      </c>
      <c r="C4228" s="1">
        <v>44480</v>
      </c>
      <c r="D4228" t="s">
        <v>48</v>
      </c>
      <c r="E4228" t="s">
        <v>49</v>
      </c>
      <c r="F4228" t="s">
        <v>50</v>
      </c>
      <c r="G4228" t="s">
        <v>16</v>
      </c>
      <c r="H4228" s="2">
        <v>32</v>
      </c>
      <c r="I4228">
        <v>104</v>
      </c>
      <c r="J4228">
        <v>333</v>
      </c>
      <c r="K4228" s="4">
        <v>206</v>
      </c>
      <c r="L4228" t="s">
        <v>17</v>
      </c>
    </row>
    <row r="4229" spans="1:12" x14ac:dyDescent="0.35">
      <c r="A4229" t="s">
        <v>23</v>
      </c>
      <c r="B4229">
        <v>1197831</v>
      </c>
      <c r="C4229" s="1">
        <v>44444</v>
      </c>
      <c r="D4229" t="s">
        <v>48</v>
      </c>
      <c r="E4229" t="s">
        <v>79</v>
      </c>
      <c r="F4229" t="s">
        <v>80</v>
      </c>
      <c r="G4229" t="s">
        <v>70</v>
      </c>
      <c r="H4229" s="2">
        <v>50</v>
      </c>
      <c r="I4229">
        <v>104</v>
      </c>
      <c r="J4229">
        <v>520</v>
      </c>
      <c r="K4229" s="4">
        <v>239</v>
      </c>
      <c r="L4229" t="s">
        <v>17</v>
      </c>
    </row>
    <row r="4230" spans="1:12" x14ac:dyDescent="0.35">
      <c r="A4230" t="s">
        <v>63</v>
      </c>
      <c r="B4230">
        <v>1128299</v>
      </c>
      <c r="C4230" s="1">
        <v>44253</v>
      </c>
      <c r="D4230" t="s">
        <v>48</v>
      </c>
      <c r="E4230" t="s">
        <v>114</v>
      </c>
      <c r="F4230" t="s">
        <v>115</v>
      </c>
      <c r="G4230" t="s">
        <v>16</v>
      </c>
      <c r="H4230" s="2">
        <v>41</v>
      </c>
      <c r="I4230">
        <v>104</v>
      </c>
      <c r="J4230">
        <v>426</v>
      </c>
      <c r="K4230" s="4">
        <v>162</v>
      </c>
      <c r="L4230" t="s">
        <v>17</v>
      </c>
    </row>
    <row r="4231" spans="1:12" x14ac:dyDescent="0.35">
      <c r="A4231" t="s">
        <v>23</v>
      </c>
      <c r="B4231">
        <v>1128299</v>
      </c>
      <c r="C4231" s="1">
        <v>44240</v>
      </c>
      <c r="D4231" t="s">
        <v>48</v>
      </c>
      <c r="E4231" t="s">
        <v>114</v>
      </c>
      <c r="F4231" t="s">
        <v>115</v>
      </c>
      <c r="G4231" t="s">
        <v>32</v>
      </c>
      <c r="H4231" s="2">
        <v>37</v>
      </c>
      <c r="I4231">
        <v>104</v>
      </c>
      <c r="J4231">
        <v>385</v>
      </c>
      <c r="K4231" s="4">
        <v>192</v>
      </c>
      <c r="L4231" t="s">
        <v>17</v>
      </c>
    </row>
    <row r="4232" spans="1:12" x14ac:dyDescent="0.35">
      <c r="A4232" t="s">
        <v>12</v>
      </c>
      <c r="B4232">
        <v>1197831</v>
      </c>
      <c r="C4232" s="1">
        <v>44368</v>
      </c>
      <c r="D4232" t="s">
        <v>19</v>
      </c>
      <c r="E4232" t="s">
        <v>54</v>
      </c>
      <c r="F4232" t="s">
        <v>55</v>
      </c>
      <c r="G4232" t="s">
        <v>32</v>
      </c>
      <c r="H4232" s="2">
        <v>38</v>
      </c>
      <c r="I4232">
        <v>104</v>
      </c>
      <c r="J4232">
        <v>395</v>
      </c>
      <c r="K4232" s="4">
        <v>213</v>
      </c>
      <c r="L4232" t="s">
        <v>17</v>
      </c>
    </row>
    <row r="4233" spans="1:12" x14ac:dyDescent="0.35">
      <c r="A4233" t="s">
        <v>12</v>
      </c>
      <c r="B4233">
        <v>1197831</v>
      </c>
      <c r="C4233" s="1">
        <v>44428</v>
      </c>
      <c r="D4233" t="s">
        <v>19</v>
      </c>
      <c r="E4233" t="s">
        <v>54</v>
      </c>
      <c r="F4233" t="s">
        <v>55</v>
      </c>
      <c r="G4233" t="s">
        <v>56</v>
      </c>
      <c r="H4233" s="2">
        <v>39</v>
      </c>
      <c r="I4233">
        <v>104</v>
      </c>
      <c r="J4233">
        <v>406</v>
      </c>
      <c r="K4233" s="4">
        <v>203</v>
      </c>
      <c r="L4233" t="s">
        <v>17</v>
      </c>
    </row>
    <row r="4234" spans="1:12" x14ac:dyDescent="0.35">
      <c r="A4234" t="s">
        <v>18</v>
      </c>
      <c r="B4234">
        <v>1197831</v>
      </c>
      <c r="C4234" s="1">
        <v>44490</v>
      </c>
      <c r="D4234" t="s">
        <v>19</v>
      </c>
      <c r="E4234" t="s">
        <v>54</v>
      </c>
      <c r="F4234" t="s">
        <v>55</v>
      </c>
      <c r="G4234" t="s">
        <v>16</v>
      </c>
      <c r="H4234" s="2">
        <v>29</v>
      </c>
      <c r="I4234">
        <v>104</v>
      </c>
      <c r="J4234">
        <v>302</v>
      </c>
      <c r="K4234" s="4">
        <v>160</v>
      </c>
      <c r="L4234" t="s">
        <v>17</v>
      </c>
    </row>
    <row r="4235" spans="1:12" x14ac:dyDescent="0.35">
      <c r="A4235" t="s">
        <v>42</v>
      </c>
      <c r="B4235">
        <v>1185732</v>
      </c>
      <c r="C4235" s="1">
        <v>44481</v>
      </c>
      <c r="D4235" t="s">
        <v>33</v>
      </c>
      <c r="E4235" t="s">
        <v>87</v>
      </c>
      <c r="F4235" t="s">
        <v>88</v>
      </c>
      <c r="G4235" t="s">
        <v>26</v>
      </c>
      <c r="H4235" s="2">
        <v>54</v>
      </c>
      <c r="I4235">
        <v>104</v>
      </c>
      <c r="J4235">
        <v>562</v>
      </c>
      <c r="K4235" s="4">
        <v>258</v>
      </c>
      <c r="L4235" t="s">
        <v>17</v>
      </c>
    </row>
    <row r="4236" spans="1:12" x14ac:dyDescent="0.35">
      <c r="A4236" t="s">
        <v>23</v>
      </c>
      <c r="B4236">
        <v>1185732</v>
      </c>
      <c r="C4236" s="1">
        <v>44512</v>
      </c>
      <c r="D4236" t="s">
        <v>33</v>
      </c>
      <c r="E4236" t="s">
        <v>87</v>
      </c>
      <c r="F4236" t="s">
        <v>88</v>
      </c>
      <c r="G4236" t="s">
        <v>26</v>
      </c>
      <c r="H4236" s="2">
        <v>53</v>
      </c>
      <c r="I4236">
        <v>104</v>
      </c>
      <c r="J4236">
        <v>551</v>
      </c>
      <c r="K4236" s="4">
        <v>270</v>
      </c>
      <c r="L4236" t="s">
        <v>17</v>
      </c>
    </row>
    <row r="4237" spans="1:12" x14ac:dyDescent="0.35">
      <c r="A4237" t="s">
        <v>18</v>
      </c>
      <c r="B4237">
        <v>1185732</v>
      </c>
      <c r="C4237" s="1">
        <v>44503</v>
      </c>
      <c r="D4237" t="s">
        <v>33</v>
      </c>
      <c r="E4237" t="s">
        <v>40</v>
      </c>
      <c r="F4237" t="s">
        <v>41</v>
      </c>
      <c r="G4237" t="s">
        <v>26</v>
      </c>
      <c r="H4237" s="2">
        <v>41</v>
      </c>
      <c r="I4237">
        <v>104</v>
      </c>
      <c r="J4237">
        <v>426</v>
      </c>
      <c r="K4237" s="4">
        <v>183</v>
      </c>
      <c r="L4237" t="s">
        <v>17</v>
      </c>
    </row>
    <row r="4238" spans="1:12" x14ac:dyDescent="0.35">
      <c r="A4238" t="s">
        <v>42</v>
      </c>
      <c r="B4238">
        <v>1185732</v>
      </c>
      <c r="C4238" s="1">
        <v>44329</v>
      </c>
      <c r="D4238" t="s">
        <v>43</v>
      </c>
      <c r="E4238" t="s">
        <v>95</v>
      </c>
      <c r="F4238" t="s">
        <v>96</v>
      </c>
      <c r="G4238" t="s">
        <v>16</v>
      </c>
      <c r="H4238" s="2">
        <v>54</v>
      </c>
      <c r="I4238">
        <v>104</v>
      </c>
      <c r="J4238">
        <v>562</v>
      </c>
      <c r="K4238" s="4">
        <v>309</v>
      </c>
      <c r="L4238" t="s">
        <v>17</v>
      </c>
    </row>
    <row r="4239" spans="1:12" x14ac:dyDescent="0.35">
      <c r="A4239" t="s">
        <v>51</v>
      </c>
      <c r="B4239">
        <v>1185732</v>
      </c>
      <c r="C4239" s="1">
        <v>44419</v>
      </c>
      <c r="D4239" t="s">
        <v>43</v>
      </c>
      <c r="E4239" t="s">
        <v>125</v>
      </c>
      <c r="F4239" t="s">
        <v>126</v>
      </c>
      <c r="G4239" t="s">
        <v>16</v>
      </c>
      <c r="H4239" s="2">
        <v>61</v>
      </c>
      <c r="I4239">
        <v>104</v>
      </c>
      <c r="J4239">
        <v>634</v>
      </c>
      <c r="K4239" s="4">
        <v>324</v>
      </c>
      <c r="L4239" t="s">
        <v>17</v>
      </c>
    </row>
    <row r="4240" spans="1:12" x14ac:dyDescent="0.35">
      <c r="A4240" t="s">
        <v>42</v>
      </c>
      <c r="B4240">
        <v>1185732</v>
      </c>
      <c r="C4240" s="1">
        <v>44518</v>
      </c>
      <c r="D4240" t="s">
        <v>43</v>
      </c>
      <c r="E4240" t="s">
        <v>127</v>
      </c>
      <c r="F4240" t="s">
        <v>128</v>
      </c>
      <c r="G4240" t="s">
        <v>32</v>
      </c>
      <c r="H4240" s="2">
        <v>63</v>
      </c>
      <c r="I4240">
        <v>104</v>
      </c>
      <c r="J4240">
        <v>655</v>
      </c>
      <c r="K4240" s="4">
        <v>295</v>
      </c>
      <c r="L4240" t="s">
        <v>17</v>
      </c>
    </row>
    <row r="4241" spans="1:12" x14ac:dyDescent="0.35">
      <c r="A4241" t="s">
        <v>42</v>
      </c>
      <c r="B4241">
        <v>1185732</v>
      </c>
      <c r="C4241" s="1">
        <v>44271</v>
      </c>
      <c r="D4241" t="s">
        <v>19</v>
      </c>
      <c r="E4241" t="s">
        <v>37</v>
      </c>
      <c r="F4241" t="s">
        <v>38</v>
      </c>
      <c r="G4241" t="s">
        <v>70</v>
      </c>
      <c r="H4241" s="2">
        <v>25</v>
      </c>
      <c r="I4241">
        <v>104</v>
      </c>
      <c r="J4241">
        <v>260</v>
      </c>
      <c r="K4241" s="4">
        <v>96</v>
      </c>
      <c r="L4241" t="s">
        <v>27</v>
      </c>
    </row>
    <row r="4242" spans="1:12" x14ac:dyDescent="0.35">
      <c r="A4242" t="s">
        <v>12</v>
      </c>
      <c r="B4242">
        <v>1197831</v>
      </c>
      <c r="C4242" s="1">
        <v>44458</v>
      </c>
      <c r="D4242" t="s">
        <v>19</v>
      </c>
      <c r="E4242" t="s">
        <v>54</v>
      </c>
      <c r="F4242" t="s">
        <v>55</v>
      </c>
      <c r="G4242" t="s">
        <v>56</v>
      </c>
      <c r="H4242" s="2">
        <v>12</v>
      </c>
      <c r="I4242">
        <v>104</v>
      </c>
      <c r="J4242">
        <v>125</v>
      </c>
      <c r="K4242" s="4">
        <v>52</v>
      </c>
      <c r="L4242" t="s">
        <v>27</v>
      </c>
    </row>
    <row r="4243" spans="1:12" x14ac:dyDescent="0.35">
      <c r="A4243" t="s">
        <v>23</v>
      </c>
      <c r="B4243">
        <v>1185732</v>
      </c>
      <c r="C4243" s="1">
        <v>44329</v>
      </c>
      <c r="D4243" t="s">
        <v>43</v>
      </c>
      <c r="E4243" t="s">
        <v>112</v>
      </c>
      <c r="F4243" t="s">
        <v>113</v>
      </c>
      <c r="G4243" t="s">
        <v>16</v>
      </c>
      <c r="H4243" s="2">
        <v>43</v>
      </c>
      <c r="I4243">
        <v>104</v>
      </c>
      <c r="J4243">
        <v>447</v>
      </c>
      <c r="K4243" s="4">
        <v>152</v>
      </c>
      <c r="L4243" t="s">
        <v>27</v>
      </c>
    </row>
    <row r="4244" spans="1:12" x14ac:dyDescent="0.35">
      <c r="A4244" t="s">
        <v>51</v>
      </c>
      <c r="B4244">
        <v>1185732</v>
      </c>
      <c r="C4244" s="1">
        <v>44210</v>
      </c>
      <c r="D4244" t="s">
        <v>43</v>
      </c>
      <c r="E4244" t="s">
        <v>112</v>
      </c>
      <c r="F4244" t="s">
        <v>113</v>
      </c>
      <c r="G4244" t="s">
        <v>16</v>
      </c>
      <c r="H4244" s="2">
        <v>34</v>
      </c>
      <c r="I4244">
        <v>104</v>
      </c>
      <c r="J4244">
        <v>354</v>
      </c>
      <c r="K4244" s="4">
        <v>152</v>
      </c>
      <c r="L4244" t="s">
        <v>27</v>
      </c>
    </row>
    <row r="4245" spans="1:12" x14ac:dyDescent="0.35">
      <c r="A4245" t="s">
        <v>51</v>
      </c>
      <c r="B4245">
        <v>1185732</v>
      </c>
      <c r="C4245" s="1">
        <v>44359</v>
      </c>
      <c r="D4245" t="s">
        <v>43</v>
      </c>
      <c r="E4245" t="s">
        <v>125</v>
      </c>
      <c r="F4245" t="s">
        <v>126</v>
      </c>
      <c r="G4245" t="s">
        <v>32</v>
      </c>
      <c r="H4245" s="2">
        <v>35</v>
      </c>
      <c r="I4245">
        <v>104</v>
      </c>
      <c r="J4245">
        <v>364</v>
      </c>
      <c r="K4245" s="4">
        <v>142</v>
      </c>
      <c r="L4245" t="s">
        <v>27</v>
      </c>
    </row>
    <row r="4246" spans="1:12" x14ac:dyDescent="0.35">
      <c r="A4246" t="s">
        <v>51</v>
      </c>
      <c r="B4246">
        <v>1185732</v>
      </c>
      <c r="C4246" s="1">
        <v>44540</v>
      </c>
      <c r="D4246" t="s">
        <v>43</v>
      </c>
      <c r="E4246" t="s">
        <v>125</v>
      </c>
      <c r="F4246" t="s">
        <v>126</v>
      </c>
      <c r="G4246" t="s">
        <v>70</v>
      </c>
      <c r="H4246" s="2">
        <v>48</v>
      </c>
      <c r="I4246">
        <v>104</v>
      </c>
      <c r="J4246">
        <v>499</v>
      </c>
      <c r="K4246" s="4">
        <v>210</v>
      </c>
      <c r="L4246" t="s">
        <v>27</v>
      </c>
    </row>
    <row r="4247" spans="1:12" x14ac:dyDescent="0.35">
      <c r="A4247" t="s">
        <v>51</v>
      </c>
      <c r="B4247">
        <v>1185732</v>
      </c>
      <c r="C4247" s="1">
        <v>44366</v>
      </c>
      <c r="D4247" t="s">
        <v>43</v>
      </c>
      <c r="E4247" t="s">
        <v>127</v>
      </c>
      <c r="F4247" t="s">
        <v>128</v>
      </c>
      <c r="G4247" t="s">
        <v>56</v>
      </c>
      <c r="H4247" s="2">
        <v>37</v>
      </c>
      <c r="I4247">
        <v>104</v>
      </c>
      <c r="J4247">
        <v>385</v>
      </c>
      <c r="K4247" s="4">
        <v>131</v>
      </c>
      <c r="L4247" t="s">
        <v>27</v>
      </c>
    </row>
    <row r="4248" spans="1:12" x14ac:dyDescent="0.35">
      <c r="A4248" t="s">
        <v>51</v>
      </c>
      <c r="B4248">
        <v>1185732</v>
      </c>
      <c r="C4248" s="1">
        <v>44456</v>
      </c>
      <c r="D4248" t="s">
        <v>43</v>
      </c>
      <c r="E4248" t="s">
        <v>127</v>
      </c>
      <c r="F4248" t="s">
        <v>128</v>
      </c>
      <c r="G4248" t="s">
        <v>16</v>
      </c>
      <c r="H4248" s="2">
        <v>53</v>
      </c>
      <c r="I4248">
        <v>104</v>
      </c>
      <c r="J4248">
        <v>551</v>
      </c>
      <c r="K4248" s="4">
        <v>204</v>
      </c>
      <c r="L4248" t="s">
        <v>27</v>
      </c>
    </row>
    <row r="4249" spans="1:12" x14ac:dyDescent="0.35">
      <c r="A4249" t="s">
        <v>42</v>
      </c>
      <c r="B4249">
        <v>1185732</v>
      </c>
      <c r="C4249" s="1">
        <v>44504</v>
      </c>
      <c r="D4249" t="s">
        <v>43</v>
      </c>
      <c r="E4249" t="s">
        <v>108</v>
      </c>
      <c r="F4249" t="s">
        <v>109</v>
      </c>
      <c r="G4249" t="s">
        <v>32</v>
      </c>
      <c r="H4249" s="2">
        <v>36</v>
      </c>
      <c r="I4249">
        <v>103</v>
      </c>
      <c r="J4249">
        <v>371</v>
      </c>
      <c r="K4249" s="4">
        <v>137</v>
      </c>
      <c r="L4249" t="s">
        <v>27</v>
      </c>
    </row>
    <row r="4250" spans="1:12" x14ac:dyDescent="0.35">
      <c r="A4250" t="s">
        <v>18</v>
      </c>
      <c r="B4250">
        <v>1128299</v>
      </c>
      <c r="C4250" s="1">
        <v>43851</v>
      </c>
      <c r="D4250" t="s">
        <v>48</v>
      </c>
      <c r="E4250" t="s">
        <v>116</v>
      </c>
      <c r="F4250" t="s">
        <v>117</v>
      </c>
      <c r="G4250" t="s">
        <v>39</v>
      </c>
      <c r="H4250" s="2">
        <v>62</v>
      </c>
      <c r="I4250">
        <v>102</v>
      </c>
      <c r="J4250">
        <v>632</v>
      </c>
      <c r="K4250" s="4">
        <v>240</v>
      </c>
      <c r="L4250" t="s">
        <v>17</v>
      </c>
    </row>
    <row r="4251" spans="1:12" x14ac:dyDescent="0.35">
      <c r="A4251" t="s">
        <v>18</v>
      </c>
      <c r="B4251">
        <v>1128299</v>
      </c>
      <c r="C4251" s="1">
        <v>43961</v>
      </c>
      <c r="D4251" t="s">
        <v>48</v>
      </c>
      <c r="E4251" t="s">
        <v>133</v>
      </c>
      <c r="F4251" t="s">
        <v>134</v>
      </c>
      <c r="G4251" t="s">
        <v>32</v>
      </c>
      <c r="H4251" s="2">
        <v>51</v>
      </c>
      <c r="I4251">
        <v>102</v>
      </c>
      <c r="J4251">
        <v>520</v>
      </c>
      <c r="K4251" s="4">
        <v>260</v>
      </c>
      <c r="L4251" t="s">
        <v>17</v>
      </c>
    </row>
    <row r="4252" spans="1:12" x14ac:dyDescent="0.35">
      <c r="A4252" t="s">
        <v>51</v>
      </c>
      <c r="B4252">
        <v>1185732</v>
      </c>
      <c r="C4252" s="1">
        <v>44249</v>
      </c>
      <c r="D4252" t="s">
        <v>48</v>
      </c>
      <c r="E4252" t="s">
        <v>137</v>
      </c>
      <c r="F4252" t="s">
        <v>138</v>
      </c>
      <c r="G4252" t="s">
        <v>16</v>
      </c>
      <c r="H4252" s="2">
        <v>52</v>
      </c>
      <c r="I4252">
        <v>102</v>
      </c>
      <c r="J4252">
        <v>530</v>
      </c>
      <c r="K4252" s="4">
        <v>233</v>
      </c>
      <c r="L4252" t="s">
        <v>17</v>
      </c>
    </row>
    <row r="4253" spans="1:12" x14ac:dyDescent="0.35">
      <c r="A4253" t="s">
        <v>51</v>
      </c>
      <c r="B4253">
        <v>1185732</v>
      </c>
      <c r="C4253" s="1">
        <v>44397</v>
      </c>
      <c r="D4253" t="s">
        <v>48</v>
      </c>
      <c r="E4253" t="s">
        <v>137</v>
      </c>
      <c r="F4253" t="s">
        <v>138</v>
      </c>
      <c r="G4253" t="s">
        <v>32</v>
      </c>
      <c r="H4253" s="2">
        <v>53</v>
      </c>
      <c r="I4253">
        <v>102</v>
      </c>
      <c r="J4253">
        <v>541</v>
      </c>
      <c r="K4253" s="4">
        <v>195</v>
      </c>
      <c r="L4253" t="s">
        <v>17</v>
      </c>
    </row>
    <row r="4254" spans="1:12" x14ac:dyDescent="0.35">
      <c r="A4254" t="s">
        <v>51</v>
      </c>
      <c r="B4254">
        <v>1185732</v>
      </c>
      <c r="C4254" s="1">
        <v>44429</v>
      </c>
      <c r="D4254" t="s">
        <v>48</v>
      </c>
      <c r="E4254" t="s">
        <v>137</v>
      </c>
      <c r="F4254" t="s">
        <v>138</v>
      </c>
      <c r="G4254" t="s">
        <v>32</v>
      </c>
      <c r="H4254" s="2">
        <v>54</v>
      </c>
      <c r="I4254">
        <v>102</v>
      </c>
      <c r="J4254">
        <v>551</v>
      </c>
      <c r="K4254" s="4">
        <v>198</v>
      </c>
      <c r="L4254" t="s">
        <v>17</v>
      </c>
    </row>
    <row r="4255" spans="1:12" x14ac:dyDescent="0.35">
      <c r="A4255" t="s">
        <v>42</v>
      </c>
      <c r="B4255">
        <v>1128299</v>
      </c>
      <c r="C4255" s="1">
        <v>44237</v>
      </c>
      <c r="D4255" t="s">
        <v>48</v>
      </c>
      <c r="E4255" t="s">
        <v>129</v>
      </c>
      <c r="F4255" t="s">
        <v>130</v>
      </c>
      <c r="G4255" t="s">
        <v>16</v>
      </c>
      <c r="H4255" s="2">
        <v>44</v>
      </c>
      <c r="I4255">
        <v>102</v>
      </c>
      <c r="J4255">
        <v>449</v>
      </c>
      <c r="K4255" s="4">
        <v>247</v>
      </c>
      <c r="L4255" t="s">
        <v>17</v>
      </c>
    </row>
    <row r="4256" spans="1:12" x14ac:dyDescent="0.35">
      <c r="A4256" t="s">
        <v>42</v>
      </c>
      <c r="B4256">
        <v>1128299</v>
      </c>
      <c r="C4256" s="1">
        <v>44493</v>
      </c>
      <c r="D4256" t="s">
        <v>13</v>
      </c>
      <c r="E4256" t="s">
        <v>99</v>
      </c>
      <c r="F4256" t="s">
        <v>100</v>
      </c>
      <c r="G4256" t="s">
        <v>26</v>
      </c>
      <c r="H4256" s="2">
        <v>38</v>
      </c>
      <c r="I4256">
        <v>102</v>
      </c>
      <c r="J4256">
        <v>388</v>
      </c>
      <c r="K4256" s="4">
        <v>174</v>
      </c>
      <c r="L4256" t="s">
        <v>17</v>
      </c>
    </row>
    <row r="4257" spans="1:12" x14ac:dyDescent="0.35">
      <c r="A4257" t="s">
        <v>42</v>
      </c>
      <c r="B4257">
        <v>1128299</v>
      </c>
      <c r="C4257" s="1">
        <v>44493</v>
      </c>
      <c r="D4257" t="s">
        <v>13</v>
      </c>
      <c r="E4257" t="s">
        <v>99</v>
      </c>
      <c r="F4257" t="s">
        <v>100</v>
      </c>
      <c r="G4257" t="s">
        <v>16</v>
      </c>
      <c r="H4257" s="2">
        <v>59</v>
      </c>
      <c r="I4257">
        <v>102</v>
      </c>
      <c r="J4257">
        <v>602</v>
      </c>
      <c r="K4257" s="4">
        <v>265</v>
      </c>
      <c r="L4257" t="s">
        <v>17</v>
      </c>
    </row>
    <row r="4258" spans="1:12" x14ac:dyDescent="0.35">
      <c r="A4258" t="s">
        <v>42</v>
      </c>
      <c r="B4258">
        <v>1185732</v>
      </c>
      <c r="C4258" s="1">
        <v>44272</v>
      </c>
      <c r="D4258" t="s">
        <v>33</v>
      </c>
      <c r="E4258" t="s">
        <v>34</v>
      </c>
      <c r="F4258" t="s">
        <v>35</v>
      </c>
      <c r="G4258" t="s">
        <v>16</v>
      </c>
      <c r="H4258" s="2">
        <v>34</v>
      </c>
      <c r="I4258">
        <v>102</v>
      </c>
      <c r="J4258">
        <v>347</v>
      </c>
      <c r="K4258" s="4">
        <v>225</v>
      </c>
      <c r="L4258" t="s">
        <v>17</v>
      </c>
    </row>
    <row r="4259" spans="1:12" x14ac:dyDescent="0.35">
      <c r="A4259" t="s">
        <v>42</v>
      </c>
      <c r="B4259">
        <v>1185732</v>
      </c>
      <c r="C4259" s="1">
        <v>44365</v>
      </c>
      <c r="D4259" t="s">
        <v>33</v>
      </c>
      <c r="E4259" t="s">
        <v>34</v>
      </c>
      <c r="F4259" t="s">
        <v>35</v>
      </c>
      <c r="G4259" t="s">
        <v>70</v>
      </c>
      <c r="H4259" s="2">
        <v>38</v>
      </c>
      <c r="I4259">
        <v>102</v>
      </c>
      <c r="J4259">
        <v>388</v>
      </c>
      <c r="K4259" s="4">
        <v>174</v>
      </c>
      <c r="L4259" t="s">
        <v>17</v>
      </c>
    </row>
    <row r="4260" spans="1:12" x14ac:dyDescent="0.35">
      <c r="A4260" t="s">
        <v>18</v>
      </c>
      <c r="B4260">
        <v>1185732</v>
      </c>
      <c r="C4260" s="1">
        <v>44265</v>
      </c>
      <c r="D4260" t="s">
        <v>48</v>
      </c>
      <c r="E4260" t="s">
        <v>49</v>
      </c>
      <c r="F4260" t="s">
        <v>50</v>
      </c>
      <c r="G4260" t="s">
        <v>39</v>
      </c>
      <c r="H4260" s="2">
        <v>28</v>
      </c>
      <c r="I4260">
        <v>102</v>
      </c>
      <c r="J4260">
        <v>286</v>
      </c>
      <c r="K4260" s="4">
        <v>143</v>
      </c>
      <c r="L4260" t="s">
        <v>17</v>
      </c>
    </row>
    <row r="4261" spans="1:12" x14ac:dyDescent="0.35">
      <c r="A4261" t="s">
        <v>18</v>
      </c>
      <c r="B4261">
        <v>1128299</v>
      </c>
      <c r="C4261" s="1">
        <v>44493</v>
      </c>
      <c r="D4261" t="s">
        <v>48</v>
      </c>
      <c r="E4261" t="s">
        <v>85</v>
      </c>
      <c r="F4261" t="s">
        <v>86</v>
      </c>
      <c r="G4261" t="s">
        <v>26</v>
      </c>
      <c r="H4261" s="2">
        <v>38</v>
      </c>
      <c r="I4261">
        <v>102</v>
      </c>
      <c r="J4261">
        <v>388</v>
      </c>
      <c r="K4261" s="4">
        <v>182</v>
      </c>
      <c r="L4261" t="s">
        <v>17</v>
      </c>
    </row>
    <row r="4262" spans="1:12" x14ac:dyDescent="0.35">
      <c r="A4262" t="s">
        <v>42</v>
      </c>
      <c r="B4262">
        <v>1128299</v>
      </c>
      <c r="C4262" s="1">
        <v>44309</v>
      </c>
      <c r="D4262" t="s">
        <v>48</v>
      </c>
      <c r="E4262" t="s">
        <v>123</v>
      </c>
      <c r="F4262" t="s">
        <v>124</v>
      </c>
      <c r="G4262" t="s">
        <v>32</v>
      </c>
      <c r="H4262" s="2">
        <v>50</v>
      </c>
      <c r="I4262">
        <v>102</v>
      </c>
      <c r="J4262">
        <v>510</v>
      </c>
      <c r="K4262" s="4">
        <v>255</v>
      </c>
      <c r="L4262" t="s">
        <v>17</v>
      </c>
    </row>
    <row r="4263" spans="1:12" x14ac:dyDescent="0.35">
      <c r="A4263" t="s">
        <v>23</v>
      </c>
      <c r="B4263">
        <v>1128299</v>
      </c>
      <c r="C4263" s="1">
        <v>44482</v>
      </c>
      <c r="D4263" t="s">
        <v>13</v>
      </c>
      <c r="E4263" t="s">
        <v>57</v>
      </c>
      <c r="F4263" t="s">
        <v>58</v>
      </c>
      <c r="G4263" t="s">
        <v>16</v>
      </c>
      <c r="H4263" s="2">
        <v>64</v>
      </c>
      <c r="I4263">
        <v>102</v>
      </c>
      <c r="J4263">
        <v>653</v>
      </c>
      <c r="K4263" s="4">
        <v>255</v>
      </c>
      <c r="L4263" t="s">
        <v>17</v>
      </c>
    </row>
    <row r="4264" spans="1:12" x14ac:dyDescent="0.35">
      <c r="A4264" t="s">
        <v>23</v>
      </c>
      <c r="B4264">
        <v>1128299</v>
      </c>
      <c r="C4264" s="1">
        <v>44513</v>
      </c>
      <c r="D4264" t="s">
        <v>13</v>
      </c>
      <c r="E4264" t="s">
        <v>57</v>
      </c>
      <c r="F4264" t="s">
        <v>58</v>
      </c>
      <c r="G4264" t="s">
        <v>70</v>
      </c>
      <c r="H4264" s="2">
        <v>60</v>
      </c>
      <c r="I4264">
        <v>102</v>
      </c>
      <c r="J4264">
        <v>612</v>
      </c>
      <c r="K4264" s="4">
        <v>288</v>
      </c>
      <c r="L4264" t="s">
        <v>17</v>
      </c>
    </row>
    <row r="4265" spans="1:12" x14ac:dyDescent="0.35">
      <c r="A4265" t="s">
        <v>51</v>
      </c>
      <c r="B4265">
        <v>1185732</v>
      </c>
      <c r="C4265" s="1">
        <v>44296</v>
      </c>
      <c r="D4265" t="s">
        <v>33</v>
      </c>
      <c r="E4265" t="s">
        <v>52</v>
      </c>
      <c r="F4265" t="s">
        <v>53</v>
      </c>
      <c r="G4265" t="s">
        <v>56</v>
      </c>
      <c r="H4265" s="2">
        <v>24</v>
      </c>
      <c r="I4265">
        <v>102</v>
      </c>
      <c r="J4265">
        <v>245</v>
      </c>
      <c r="K4265" s="4">
        <v>122</v>
      </c>
      <c r="L4265" t="s">
        <v>17</v>
      </c>
    </row>
    <row r="4266" spans="1:12" x14ac:dyDescent="0.35">
      <c r="A4266" t="s">
        <v>12</v>
      </c>
      <c r="B4266">
        <v>1197831</v>
      </c>
      <c r="C4266" s="1">
        <v>44274</v>
      </c>
      <c r="D4266" t="s">
        <v>19</v>
      </c>
      <c r="E4266" t="s">
        <v>54</v>
      </c>
      <c r="F4266" t="s">
        <v>55</v>
      </c>
      <c r="G4266" t="s">
        <v>16</v>
      </c>
      <c r="H4266" s="2">
        <v>24</v>
      </c>
      <c r="I4266">
        <v>102</v>
      </c>
      <c r="J4266">
        <v>245</v>
      </c>
      <c r="K4266" s="4">
        <v>125</v>
      </c>
      <c r="L4266" t="s">
        <v>17</v>
      </c>
    </row>
    <row r="4267" spans="1:12" x14ac:dyDescent="0.35">
      <c r="A4267" t="s">
        <v>63</v>
      </c>
      <c r="B4267">
        <v>1197831</v>
      </c>
      <c r="C4267" s="1">
        <v>44212</v>
      </c>
      <c r="D4267" t="s">
        <v>19</v>
      </c>
      <c r="E4267" t="s">
        <v>61</v>
      </c>
      <c r="F4267" t="s">
        <v>62</v>
      </c>
      <c r="G4267" t="s">
        <v>16</v>
      </c>
      <c r="H4267" s="2">
        <v>23</v>
      </c>
      <c r="I4267">
        <v>102</v>
      </c>
      <c r="J4267">
        <v>235</v>
      </c>
      <c r="K4267" s="4">
        <v>117</v>
      </c>
      <c r="L4267" t="s">
        <v>17</v>
      </c>
    </row>
    <row r="4268" spans="1:12" x14ac:dyDescent="0.35">
      <c r="A4268" t="s">
        <v>63</v>
      </c>
      <c r="B4268">
        <v>1197831</v>
      </c>
      <c r="C4268" s="1">
        <v>44389</v>
      </c>
      <c r="D4268" t="s">
        <v>33</v>
      </c>
      <c r="E4268" t="s">
        <v>71</v>
      </c>
      <c r="F4268" t="s">
        <v>72</v>
      </c>
      <c r="G4268" t="s">
        <v>32</v>
      </c>
      <c r="H4268" s="2">
        <v>42</v>
      </c>
      <c r="I4268">
        <v>102</v>
      </c>
      <c r="J4268">
        <v>428</v>
      </c>
      <c r="K4268" s="4">
        <v>197</v>
      </c>
      <c r="L4268" t="s">
        <v>17</v>
      </c>
    </row>
    <row r="4269" spans="1:12" x14ac:dyDescent="0.35">
      <c r="A4269" t="s">
        <v>63</v>
      </c>
      <c r="B4269">
        <v>1197831</v>
      </c>
      <c r="C4269" s="1">
        <v>44421</v>
      </c>
      <c r="D4269" t="s">
        <v>33</v>
      </c>
      <c r="E4269" t="s">
        <v>71</v>
      </c>
      <c r="F4269" t="s">
        <v>72</v>
      </c>
      <c r="G4269" t="s">
        <v>32</v>
      </c>
      <c r="H4269" s="2">
        <v>47</v>
      </c>
      <c r="I4269">
        <v>102</v>
      </c>
      <c r="J4269">
        <v>479</v>
      </c>
      <c r="K4269" s="4">
        <v>240</v>
      </c>
      <c r="L4269" t="s">
        <v>17</v>
      </c>
    </row>
    <row r="4270" spans="1:12" x14ac:dyDescent="0.35">
      <c r="A4270" t="s">
        <v>18</v>
      </c>
      <c r="B4270">
        <v>1185732</v>
      </c>
      <c r="C4270" s="1">
        <v>44411</v>
      </c>
      <c r="D4270" t="s">
        <v>33</v>
      </c>
      <c r="E4270" t="s">
        <v>40</v>
      </c>
      <c r="F4270" t="s">
        <v>41</v>
      </c>
      <c r="G4270" t="s">
        <v>16</v>
      </c>
      <c r="H4270" s="2">
        <v>52</v>
      </c>
      <c r="I4270">
        <v>102</v>
      </c>
      <c r="J4270">
        <v>530</v>
      </c>
      <c r="K4270" s="4">
        <v>271</v>
      </c>
      <c r="L4270" t="s">
        <v>17</v>
      </c>
    </row>
    <row r="4271" spans="1:12" x14ac:dyDescent="0.35">
      <c r="A4271" t="s">
        <v>18</v>
      </c>
      <c r="B4271">
        <v>1185732</v>
      </c>
      <c r="C4271" s="1">
        <v>44532</v>
      </c>
      <c r="D4271" t="s">
        <v>33</v>
      </c>
      <c r="E4271" t="s">
        <v>40</v>
      </c>
      <c r="F4271" t="s">
        <v>41</v>
      </c>
      <c r="G4271" t="s">
        <v>39</v>
      </c>
      <c r="H4271" s="2">
        <v>49</v>
      </c>
      <c r="I4271">
        <v>102</v>
      </c>
      <c r="J4271">
        <v>500</v>
      </c>
      <c r="K4271" s="4">
        <v>235</v>
      </c>
      <c r="L4271" t="s">
        <v>17</v>
      </c>
    </row>
    <row r="4272" spans="1:12" x14ac:dyDescent="0.35">
      <c r="A4272" t="s">
        <v>42</v>
      </c>
      <c r="B4272">
        <v>1185732</v>
      </c>
      <c r="C4272" s="1">
        <v>44546</v>
      </c>
      <c r="D4272" t="s">
        <v>43</v>
      </c>
      <c r="E4272" t="s">
        <v>64</v>
      </c>
      <c r="F4272" t="s">
        <v>65</v>
      </c>
      <c r="G4272" t="s">
        <v>56</v>
      </c>
      <c r="H4272" s="2">
        <v>53</v>
      </c>
      <c r="I4272">
        <v>102</v>
      </c>
      <c r="J4272">
        <v>541</v>
      </c>
      <c r="K4272" s="4">
        <v>276</v>
      </c>
      <c r="L4272" t="s">
        <v>17</v>
      </c>
    </row>
    <row r="4273" spans="1:12" x14ac:dyDescent="0.35">
      <c r="A4273" t="s">
        <v>23</v>
      </c>
      <c r="B4273">
        <v>1185732</v>
      </c>
      <c r="C4273" s="1">
        <v>44397</v>
      </c>
      <c r="D4273" t="s">
        <v>43</v>
      </c>
      <c r="E4273" t="s">
        <v>93</v>
      </c>
      <c r="F4273" t="s">
        <v>94</v>
      </c>
      <c r="G4273" t="s">
        <v>16</v>
      </c>
      <c r="H4273" s="2">
        <v>54</v>
      </c>
      <c r="I4273">
        <v>102</v>
      </c>
      <c r="J4273">
        <v>551</v>
      </c>
      <c r="K4273" s="4">
        <v>231</v>
      </c>
      <c r="L4273" t="s">
        <v>17</v>
      </c>
    </row>
    <row r="4274" spans="1:12" x14ac:dyDescent="0.35">
      <c r="A4274" t="s">
        <v>42</v>
      </c>
      <c r="B4274">
        <v>1185732</v>
      </c>
      <c r="C4274" s="1">
        <v>44390</v>
      </c>
      <c r="D4274" t="s">
        <v>43</v>
      </c>
      <c r="E4274" t="s">
        <v>95</v>
      </c>
      <c r="F4274" t="s">
        <v>96</v>
      </c>
      <c r="G4274" t="s">
        <v>32</v>
      </c>
      <c r="H4274" s="2">
        <v>41</v>
      </c>
      <c r="I4274">
        <v>102</v>
      </c>
      <c r="J4274">
        <v>418</v>
      </c>
      <c r="K4274" s="4">
        <v>226</v>
      </c>
      <c r="L4274" t="s">
        <v>17</v>
      </c>
    </row>
    <row r="4275" spans="1:12" x14ac:dyDescent="0.35">
      <c r="A4275" t="s">
        <v>63</v>
      </c>
      <c r="B4275">
        <v>1185732</v>
      </c>
      <c r="C4275" s="1">
        <v>44322</v>
      </c>
      <c r="D4275" t="s">
        <v>43</v>
      </c>
      <c r="E4275" t="s">
        <v>83</v>
      </c>
      <c r="F4275" t="s">
        <v>84</v>
      </c>
      <c r="G4275" t="s">
        <v>16</v>
      </c>
      <c r="H4275" s="2">
        <v>51</v>
      </c>
      <c r="I4275">
        <v>102</v>
      </c>
      <c r="J4275">
        <v>520</v>
      </c>
      <c r="K4275" s="4">
        <v>271</v>
      </c>
      <c r="L4275" t="s">
        <v>17</v>
      </c>
    </row>
    <row r="4276" spans="1:12" x14ac:dyDescent="0.35">
      <c r="A4276" t="s">
        <v>51</v>
      </c>
      <c r="B4276">
        <v>1185732</v>
      </c>
      <c r="C4276" s="1">
        <v>44394</v>
      </c>
      <c r="D4276" t="s">
        <v>43</v>
      </c>
      <c r="E4276" t="s">
        <v>127</v>
      </c>
      <c r="F4276" t="s">
        <v>128</v>
      </c>
      <c r="G4276" t="s">
        <v>70</v>
      </c>
      <c r="H4276" s="2">
        <v>60</v>
      </c>
      <c r="I4276">
        <v>102</v>
      </c>
      <c r="J4276">
        <v>612</v>
      </c>
      <c r="K4276" s="4">
        <v>251</v>
      </c>
      <c r="L4276" t="s">
        <v>17</v>
      </c>
    </row>
    <row r="4277" spans="1:12" x14ac:dyDescent="0.35">
      <c r="A4277" t="s">
        <v>42</v>
      </c>
      <c r="B4277">
        <v>1185732</v>
      </c>
      <c r="C4277" s="1">
        <v>44534</v>
      </c>
      <c r="D4277" t="s">
        <v>43</v>
      </c>
      <c r="E4277" t="s">
        <v>135</v>
      </c>
      <c r="F4277" t="s">
        <v>136</v>
      </c>
      <c r="G4277" t="s">
        <v>39</v>
      </c>
      <c r="H4277" s="2">
        <v>44</v>
      </c>
      <c r="I4277">
        <v>102</v>
      </c>
      <c r="J4277">
        <v>449</v>
      </c>
      <c r="K4277" s="4">
        <v>188</v>
      </c>
      <c r="L4277" t="s">
        <v>27</v>
      </c>
    </row>
    <row r="4278" spans="1:12" x14ac:dyDescent="0.35">
      <c r="A4278" t="s">
        <v>42</v>
      </c>
      <c r="B4278">
        <v>1128299</v>
      </c>
      <c r="C4278" s="1">
        <v>44278</v>
      </c>
      <c r="D4278" t="s">
        <v>13</v>
      </c>
      <c r="E4278" t="s">
        <v>99</v>
      </c>
      <c r="F4278" t="s">
        <v>100</v>
      </c>
      <c r="G4278" t="s">
        <v>16</v>
      </c>
      <c r="H4278" s="2">
        <v>35</v>
      </c>
      <c r="I4278">
        <v>102</v>
      </c>
      <c r="J4278">
        <v>357</v>
      </c>
      <c r="K4278" s="4">
        <v>129</v>
      </c>
      <c r="L4278" t="s">
        <v>27</v>
      </c>
    </row>
    <row r="4279" spans="1:12" x14ac:dyDescent="0.35">
      <c r="A4279" t="s">
        <v>18</v>
      </c>
      <c r="B4279">
        <v>1128299</v>
      </c>
      <c r="C4279" s="1">
        <v>44425</v>
      </c>
      <c r="D4279" t="s">
        <v>19</v>
      </c>
      <c r="E4279" t="s">
        <v>20</v>
      </c>
      <c r="F4279" t="s">
        <v>21</v>
      </c>
      <c r="G4279" t="s">
        <v>16</v>
      </c>
      <c r="H4279" s="2">
        <v>46</v>
      </c>
      <c r="I4279">
        <v>102</v>
      </c>
      <c r="J4279">
        <v>469</v>
      </c>
      <c r="K4279" s="4">
        <v>178</v>
      </c>
      <c r="L4279" t="s">
        <v>27</v>
      </c>
    </row>
    <row r="4280" spans="1:12" x14ac:dyDescent="0.35">
      <c r="A4280" t="s">
        <v>42</v>
      </c>
      <c r="B4280">
        <v>1128299</v>
      </c>
      <c r="C4280" s="1">
        <v>44492</v>
      </c>
      <c r="D4280" t="s">
        <v>48</v>
      </c>
      <c r="E4280" t="s">
        <v>123</v>
      </c>
      <c r="F4280" t="s">
        <v>124</v>
      </c>
      <c r="G4280" t="s">
        <v>56</v>
      </c>
      <c r="H4280" s="2">
        <v>32</v>
      </c>
      <c r="I4280">
        <v>102</v>
      </c>
      <c r="J4280">
        <v>326</v>
      </c>
      <c r="K4280" s="4">
        <v>127</v>
      </c>
      <c r="L4280" t="s">
        <v>27</v>
      </c>
    </row>
    <row r="4281" spans="1:12" x14ac:dyDescent="0.35">
      <c r="A4281" t="s">
        <v>23</v>
      </c>
      <c r="B4281">
        <v>1128299</v>
      </c>
      <c r="C4281" s="1">
        <v>44482</v>
      </c>
      <c r="D4281" t="s">
        <v>13</v>
      </c>
      <c r="E4281" t="s">
        <v>57</v>
      </c>
      <c r="F4281" t="s">
        <v>58</v>
      </c>
      <c r="G4281" t="s">
        <v>70</v>
      </c>
      <c r="H4281" s="2">
        <v>41</v>
      </c>
      <c r="I4281">
        <v>102</v>
      </c>
      <c r="J4281">
        <v>418</v>
      </c>
      <c r="K4281" s="4">
        <v>167</v>
      </c>
      <c r="L4281" t="s">
        <v>27</v>
      </c>
    </row>
    <row r="4282" spans="1:12" x14ac:dyDescent="0.35">
      <c r="A4282" t="s">
        <v>23</v>
      </c>
      <c r="B4282">
        <v>1197831</v>
      </c>
      <c r="C4282" s="1">
        <v>44219</v>
      </c>
      <c r="D4282" t="s">
        <v>19</v>
      </c>
      <c r="E4282" t="s">
        <v>37</v>
      </c>
      <c r="F4282" t="s">
        <v>38</v>
      </c>
      <c r="G4282" t="s">
        <v>56</v>
      </c>
      <c r="H4282" s="2">
        <v>13</v>
      </c>
      <c r="I4282">
        <v>102</v>
      </c>
      <c r="J4282">
        <v>133</v>
      </c>
      <c r="K4282" s="4">
        <v>62</v>
      </c>
      <c r="L4282" t="s">
        <v>27</v>
      </c>
    </row>
    <row r="4283" spans="1:12" x14ac:dyDescent="0.35">
      <c r="A4283" t="s">
        <v>12</v>
      </c>
      <c r="B4283">
        <v>1197831</v>
      </c>
      <c r="C4283" s="1">
        <v>44306</v>
      </c>
      <c r="D4283" t="s">
        <v>19</v>
      </c>
      <c r="E4283" t="s">
        <v>54</v>
      </c>
      <c r="F4283" t="s">
        <v>55</v>
      </c>
      <c r="G4283" t="s">
        <v>39</v>
      </c>
      <c r="H4283" s="2">
        <v>20</v>
      </c>
      <c r="I4283">
        <v>102</v>
      </c>
      <c r="J4283">
        <v>204</v>
      </c>
      <c r="K4283" s="4">
        <v>82</v>
      </c>
      <c r="L4283" t="s">
        <v>27</v>
      </c>
    </row>
    <row r="4284" spans="1:12" x14ac:dyDescent="0.35">
      <c r="A4284" t="s">
        <v>18</v>
      </c>
      <c r="B4284">
        <v>1197831</v>
      </c>
      <c r="C4284" s="1">
        <v>44520</v>
      </c>
      <c r="D4284" t="s">
        <v>19</v>
      </c>
      <c r="E4284" t="s">
        <v>54</v>
      </c>
      <c r="F4284" t="s">
        <v>55</v>
      </c>
      <c r="G4284" t="s">
        <v>32</v>
      </c>
      <c r="H4284" s="2">
        <v>19</v>
      </c>
      <c r="I4284">
        <v>102</v>
      </c>
      <c r="J4284">
        <v>194</v>
      </c>
      <c r="K4284" s="4">
        <v>83</v>
      </c>
      <c r="L4284" t="s">
        <v>27</v>
      </c>
    </row>
    <row r="4285" spans="1:12" x14ac:dyDescent="0.35">
      <c r="A4285" t="s">
        <v>18</v>
      </c>
      <c r="B4285">
        <v>1197831</v>
      </c>
      <c r="C4285" s="1">
        <v>44368</v>
      </c>
      <c r="D4285" t="s">
        <v>19</v>
      </c>
      <c r="E4285" t="s">
        <v>61</v>
      </c>
      <c r="F4285" t="s">
        <v>62</v>
      </c>
      <c r="G4285" t="s">
        <v>56</v>
      </c>
      <c r="H4285" s="2">
        <v>29</v>
      </c>
      <c r="I4285">
        <v>102</v>
      </c>
      <c r="J4285">
        <v>296</v>
      </c>
      <c r="K4285" s="4">
        <v>133</v>
      </c>
      <c r="L4285" t="s">
        <v>27</v>
      </c>
    </row>
    <row r="4286" spans="1:12" x14ac:dyDescent="0.35">
      <c r="A4286" t="s">
        <v>23</v>
      </c>
      <c r="B4286">
        <v>1185732</v>
      </c>
      <c r="C4286" s="1">
        <v>44536</v>
      </c>
      <c r="D4286" t="s">
        <v>43</v>
      </c>
      <c r="E4286" t="s">
        <v>110</v>
      </c>
      <c r="F4286" t="s">
        <v>111</v>
      </c>
      <c r="G4286" t="s">
        <v>39</v>
      </c>
      <c r="H4286" s="2">
        <v>37</v>
      </c>
      <c r="I4286">
        <v>102</v>
      </c>
      <c r="J4286">
        <v>377</v>
      </c>
      <c r="K4286" s="4">
        <v>140</v>
      </c>
      <c r="L4286" t="s">
        <v>27</v>
      </c>
    </row>
    <row r="4287" spans="1:12" x14ac:dyDescent="0.35">
      <c r="A4287" t="s">
        <v>51</v>
      </c>
      <c r="B4287">
        <v>1185732</v>
      </c>
      <c r="C4287" s="1">
        <v>44514</v>
      </c>
      <c r="D4287" t="s">
        <v>43</v>
      </c>
      <c r="E4287" t="s">
        <v>112</v>
      </c>
      <c r="F4287" t="s">
        <v>113</v>
      </c>
      <c r="G4287" t="s">
        <v>39</v>
      </c>
      <c r="H4287" s="2">
        <v>40</v>
      </c>
      <c r="I4287">
        <v>102</v>
      </c>
      <c r="J4287">
        <v>408</v>
      </c>
      <c r="K4287" s="4">
        <v>143</v>
      </c>
      <c r="L4287" t="s">
        <v>27</v>
      </c>
    </row>
    <row r="4288" spans="1:12" x14ac:dyDescent="0.35">
      <c r="A4288" t="s">
        <v>51</v>
      </c>
      <c r="B4288">
        <v>1185732</v>
      </c>
      <c r="C4288" s="1">
        <v>44359</v>
      </c>
      <c r="D4288" t="s">
        <v>43</v>
      </c>
      <c r="E4288" t="s">
        <v>125</v>
      </c>
      <c r="F4288" t="s">
        <v>126</v>
      </c>
      <c r="G4288" t="s">
        <v>56</v>
      </c>
      <c r="H4288" s="2">
        <v>38</v>
      </c>
      <c r="I4288">
        <v>102</v>
      </c>
      <c r="J4288">
        <v>388</v>
      </c>
      <c r="K4288" s="4">
        <v>155</v>
      </c>
      <c r="L4288" t="s">
        <v>27</v>
      </c>
    </row>
    <row r="4289" spans="1:12" x14ac:dyDescent="0.35">
      <c r="A4289" t="s">
        <v>18</v>
      </c>
      <c r="B4289">
        <v>1185732</v>
      </c>
      <c r="C4289" s="1">
        <v>44511</v>
      </c>
      <c r="D4289" t="s">
        <v>43</v>
      </c>
      <c r="E4289" t="s">
        <v>125</v>
      </c>
      <c r="F4289" t="s">
        <v>126</v>
      </c>
      <c r="G4289" t="s">
        <v>32</v>
      </c>
      <c r="H4289" s="2">
        <v>46</v>
      </c>
      <c r="I4289">
        <v>102</v>
      </c>
      <c r="J4289">
        <v>469</v>
      </c>
      <c r="K4289" s="4">
        <v>174</v>
      </c>
      <c r="L4289" t="s">
        <v>27</v>
      </c>
    </row>
    <row r="4290" spans="1:12" x14ac:dyDescent="0.35">
      <c r="A4290" t="s">
        <v>18</v>
      </c>
      <c r="B4290">
        <v>1128299</v>
      </c>
      <c r="C4290" s="1">
        <v>44036</v>
      </c>
      <c r="D4290" t="s">
        <v>48</v>
      </c>
      <c r="E4290" t="s">
        <v>97</v>
      </c>
      <c r="F4290" t="s">
        <v>98</v>
      </c>
      <c r="G4290" t="s">
        <v>16</v>
      </c>
      <c r="H4290" s="2">
        <v>71</v>
      </c>
      <c r="I4290">
        <v>101</v>
      </c>
      <c r="J4290">
        <v>717</v>
      </c>
      <c r="K4290" s="4">
        <v>251</v>
      </c>
      <c r="L4290" t="s">
        <v>17</v>
      </c>
    </row>
    <row r="4291" spans="1:12" x14ac:dyDescent="0.35">
      <c r="A4291" t="s">
        <v>63</v>
      </c>
      <c r="B4291">
        <v>1189833</v>
      </c>
      <c r="C4291" s="1">
        <v>44212</v>
      </c>
      <c r="D4291" t="s">
        <v>33</v>
      </c>
      <c r="E4291" t="s">
        <v>131</v>
      </c>
      <c r="F4291" t="s">
        <v>132</v>
      </c>
      <c r="G4291" t="s">
        <v>39</v>
      </c>
      <c r="H4291" s="2">
        <v>43</v>
      </c>
      <c r="I4291">
        <v>101</v>
      </c>
      <c r="J4291">
        <v>434</v>
      </c>
      <c r="K4291" s="4">
        <v>195</v>
      </c>
      <c r="L4291" t="s">
        <v>17</v>
      </c>
    </row>
    <row r="4292" spans="1:12" x14ac:dyDescent="0.35">
      <c r="A4292" t="s">
        <v>63</v>
      </c>
      <c r="B4292">
        <v>1189833</v>
      </c>
      <c r="C4292" s="1">
        <v>44216</v>
      </c>
      <c r="D4292" t="s">
        <v>33</v>
      </c>
      <c r="E4292" t="s">
        <v>131</v>
      </c>
      <c r="F4292" t="s">
        <v>132</v>
      </c>
      <c r="G4292" t="s">
        <v>16</v>
      </c>
      <c r="H4292" s="2">
        <v>55</v>
      </c>
      <c r="I4292">
        <v>101</v>
      </c>
      <c r="J4292">
        <v>556</v>
      </c>
      <c r="K4292" s="4">
        <v>217</v>
      </c>
      <c r="L4292" t="s">
        <v>17</v>
      </c>
    </row>
    <row r="4293" spans="1:12" x14ac:dyDescent="0.35">
      <c r="A4293" t="s">
        <v>23</v>
      </c>
      <c r="B4293">
        <v>1197831</v>
      </c>
      <c r="C4293" s="1">
        <v>44280</v>
      </c>
      <c r="D4293" t="s">
        <v>19</v>
      </c>
      <c r="E4293" t="s">
        <v>74</v>
      </c>
      <c r="F4293" t="s">
        <v>75</v>
      </c>
      <c r="G4293" t="s">
        <v>56</v>
      </c>
      <c r="H4293" s="2">
        <v>33</v>
      </c>
      <c r="I4293">
        <v>101</v>
      </c>
      <c r="J4293">
        <v>333</v>
      </c>
      <c r="K4293" s="4">
        <v>213</v>
      </c>
      <c r="L4293" t="s">
        <v>17</v>
      </c>
    </row>
    <row r="4294" spans="1:12" x14ac:dyDescent="0.35">
      <c r="A4294" t="s">
        <v>18</v>
      </c>
      <c r="B4294">
        <v>1128299</v>
      </c>
      <c r="C4294" s="1">
        <v>44206</v>
      </c>
      <c r="D4294" t="s">
        <v>43</v>
      </c>
      <c r="E4294" t="s">
        <v>122</v>
      </c>
      <c r="F4294" t="s">
        <v>86</v>
      </c>
      <c r="G4294" t="s">
        <v>32</v>
      </c>
      <c r="H4294" s="2">
        <v>43</v>
      </c>
      <c r="I4294">
        <v>101</v>
      </c>
      <c r="J4294">
        <v>434</v>
      </c>
      <c r="K4294" s="4">
        <v>174</v>
      </c>
      <c r="L4294" t="s">
        <v>17</v>
      </c>
    </row>
    <row r="4295" spans="1:12" x14ac:dyDescent="0.35">
      <c r="A4295" t="s">
        <v>51</v>
      </c>
      <c r="B4295">
        <v>1185732</v>
      </c>
      <c r="C4295" s="1">
        <v>44521</v>
      </c>
      <c r="D4295" t="s">
        <v>48</v>
      </c>
      <c r="E4295" t="s">
        <v>137</v>
      </c>
      <c r="F4295" t="s">
        <v>138</v>
      </c>
      <c r="G4295" t="s">
        <v>16</v>
      </c>
      <c r="H4295" s="2">
        <v>74</v>
      </c>
      <c r="I4295">
        <v>101</v>
      </c>
      <c r="J4295">
        <v>747</v>
      </c>
      <c r="K4295" s="4">
        <v>314</v>
      </c>
      <c r="L4295" t="s">
        <v>17</v>
      </c>
    </row>
    <row r="4296" spans="1:12" x14ac:dyDescent="0.35">
      <c r="A4296" t="s">
        <v>42</v>
      </c>
      <c r="B4296">
        <v>1128299</v>
      </c>
      <c r="C4296" s="1">
        <v>44264</v>
      </c>
      <c r="D4296" t="s">
        <v>48</v>
      </c>
      <c r="E4296" t="s">
        <v>129</v>
      </c>
      <c r="F4296" t="s">
        <v>130</v>
      </c>
      <c r="G4296" t="s">
        <v>32</v>
      </c>
      <c r="H4296" s="2">
        <v>57</v>
      </c>
      <c r="I4296">
        <v>101</v>
      </c>
      <c r="J4296">
        <v>576</v>
      </c>
      <c r="K4296" s="4">
        <v>225</v>
      </c>
      <c r="L4296" t="s">
        <v>17</v>
      </c>
    </row>
    <row r="4297" spans="1:12" x14ac:dyDescent="0.35">
      <c r="A4297" t="s">
        <v>23</v>
      </c>
      <c r="B4297">
        <v>1128299</v>
      </c>
      <c r="C4297" s="1">
        <v>44271</v>
      </c>
      <c r="D4297" t="s">
        <v>13</v>
      </c>
      <c r="E4297" t="s">
        <v>14</v>
      </c>
      <c r="F4297" t="s">
        <v>15</v>
      </c>
      <c r="G4297" t="s">
        <v>16</v>
      </c>
      <c r="H4297" s="2">
        <v>54</v>
      </c>
      <c r="I4297">
        <v>101</v>
      </c>
      <c r="J4297">
        <v>545</v>
      </c>
      <c r="K4297" s="4">
        <v>327</v>
      </c>
      <c r="L4297" t="s">
        <v>17</v>
      </c>
    </row>
    <row r="4298" spans="1:12" x14ac:dyDescent="0.35">
      <c r="A4298" t="s">
        <v>42</v>
      </c>
      <c r="B4298">
        <v>1185732</v>
      </c>
      <c r="C4298" s="1">
        <v>44394</v>
      </c>
      <c r="D4298" t="s">
        <v>33</v>
      </c>
      <c r="E4298" t="s">
        <v>34</v>
      </c>
      <c r="F4298" t="s">
        <v>35</v>
      </c>
      <c r="G4298" t="s">
        <v>56</v>
      </c>
      <c r="H4298" s="2">
        <v>29</v>
      </c>
      <c r="I4298">
        <v>101</v>
      </c>
      <c r="J4298">
        <v>293</v>
      </c>
      <c r="K4298" s="4">
        <v>155</v>
      </c>
      <c r="L4298" t="s">
        <v>17</v>
      </c>
    </row>
    <row r="4299" spans="1:12" x14ac:dyDescent="0.35">
      <c r="A4299" t="s">
        <v>18</v>
      </c>
      <c r="B4299">
        <v>1185732</v>
      </c>
      <c r="C4299" s="1">
        <v>44238</v>
      </c>
      <c r="D4299" t="s">
        <v>33</v>
      </c>
      <c r="E4299" t="s">
        <v>34</v>
      </c>
      <c r="F4299" t="s">
        <v>35</v>
      </c>
      <c r="G4299" t="s">
        <v>39</v>
      </c>
      <c r="H4299" s="2">
        <v>24</v>
      </c>
      <c r="I4299">
        <v>101</v>
      </c>
      <c r="J4299">
        <v>242</v>
      </c>
      <c r="K4299" s="4">
        <v>114</v>
      </c>
      <c r="L4299" t="s">
        <v>17</v>
      </c>
    </row>
    <row r="4300" spans="1:12" x14ac:dyDescent="0.35">
      <c r="A4300" t="s">
        <v>18</v>
      </c>
      <c r="B4300">
        <v>1185732</v>
      </c>
      <c r="C4300" s="1">
        <v>44238</v>
      </c>
      <c r="D4300" t="s">
        <v>48</v>
      </c>
      <c r="E4300" t="s">
        <v>49</v>
      </c>
      <c r="F4300" t="s">
        <v>50</v>
      </c>
      <c r="G4300" t="s">
        <v>70</v>
      </c>
      <c r="H4300" s="2">
        <v>32</v>
      </c>
      <c r="I4300">
        <v>101</v>
      </c>
      <c r="J4300">
        <v>323</v>
      </c>
      <c r="K4300" s="4">
        <v>145</v>
      </c>
      <c r="L4300" t="s">
        <v>17</v>
      </c>
    </row>
    <row r="4301" spans="1:12" x14ac:dyDescent="0.35">
      <c r="A4301" t="s">
        <v>18</v>
      </c>
      <c r="B4301">
        <v>1185732</v>
      </c>
      <c r="C4301" s="1">
        <v>44328</v>
      </c>
      <c r="D4301" t="s">
        <v>48</v>
      </c>
      <c r="E4301" t="s">
        <v>49</v>
      </c>
      <c r="F4301" t="s">
        <v>50</v>
      </c>
      <c r="G4301" t="s">
        <v>39</v>
      </c>
      <c r="H4301" s="2">
        <v>29</v>
      </c>
      <c r="I4301">
        <v>101</v>
      </c>
      <c r="J4301">
        <v>293</v>
      </c>
      <c r="K4301" s="4">
        <v>144</v>
      </c>
      <c r="L4301" t="s">
        <v>17</v>
      </c>
    </row>
    <row r="4302" spans="1:12" x14ac:dyDescent="0.35">
      <c r="A4302" t="s">
        <v>18</v>
      </c>
      <c r="B4302">
        <v>1185732</v>
      </c>
      <c r="C4302" s="1">
        <v>44419</v>
      </c>
      <c r="D4302" t="s">
        <v>48</v>
      </c>
      <c r="E4302" t="s">
        <v>49</v>
      </c>
      <c r="F4302" t="s">
        <v>50</v>
      </c>
      <c r="G4302" t="s">
        <v>56</v>
      </c>
      <c r="H4302" s="2">
        <v>19</v>
      </c>
      <c r="I4302">
        <v>101</v>
      </c>
      <c r="J4302">
        <v>192</v>
      </c>
      <c r="K4302" s="4">
        <v>102</v>
      </c>
      <c r="L4302" t="s">
        <v>17</v>
      </c>
    </row>
    <row r="4303" spans="1:12" x14ac:dyDescent="0.35">
      <c r="A4303" t="s">
        <v>18</v>
      </c>
      <c r="B4303">
        <v>1128299</v>
      </c>
      <c r="C4303" s="1">
        <v>44271</v>
      </c>
      <c r="D4303" t="s">
        <v>19</v>
      </c>
      <c r="E4303" t="s">
        <v>20</v>
      </c>
      <c r="F4303" t="s">
        <v>21</v>
      </c>
      <c r="G4303" t="s">
        <v>39</v>
      </c>
      <c r="H4303" s="2">
        <v>51</v>
      </c>
      <c r="I4303">
        <v>101</v>
      </c>
      <c r="J4303">
        <v>515</v>
      </c>
      <c r="K4303" s="4">
        <v>283</v>
      </c>
      <c r="L4303" t="s">
        <v>17</v>
      </c>
    </row>
    <row r="4304" spans="1:12" x14ac:dyDescent="0.35">
      <c r="A4304" t="s">
        <v>23</v>
      </c>
      <c r="B4304">
        <v>1197831</v>
      </c>
      <c r="C4304" s="1">
        <v>44473</v>
      </c>
      <c r="D4304" t="s">
        <v>48</v>
      </c>
      <c r="E4304" t="s">
        <v>79</v>
      </c>
      <c r="F4304" t="s">
        <v>80</v>
      </c>
      <c r="G4304" t="s">
        <v>56</v>
      </c>
      <c r="H4304" s="2">
        <v>44</v>
      </c>
      <c r="I4304">
        <v>101</v>
      </c>
      <c r="J4304">
        <v>444</v>
      </c>
      <c r="K4304" s="4">
        <v>289</v>
      </c>
      <c r="L4304" t="s">
        <v>17</v>
      </c>
    </row>
    <row r="4305" spans="1:12" x14ac:dyDescent="0.35">
      <c r="A4305" t="s">
        <v>42</v>
      </c>
      <c r="B4305">
        <v>1128299</v>
      </c>
      <c r="C4305" s="1">
        <v>44399</v>
      </c>
      <c r="D4305" t="s">
        <v>48</v>
      </c>
      <c r="E4305" t="s">
        <v>123</v>
      </c>
      <c r="F4305" t="s">
        <v>124</v>
      </c>
      <c r="G4305" t="s">
        <v>56</v>
      </c>
      <c r="H4305" s="2">
        <v>48</v>
      </c>
      <c r="I4305">
        <v>101</v>
      </c>
      <c r="J4305">
        <v>485</v>
      </c>
      <c r="K4305" s="4">
        <v>218</v>
      </c>
      <c r="L4305" t="s">
        <v>17</v>
      </c>
    </row>
    <row r="4306" spans="1:12" x14ac:dyDescent="0.35">
      <c r="A4306" t="s">
        <v>63</v>
      </c>
      <c r="B4306">
        <v>1128299</v>
      </c>
      <c r="C4306" s="1">
        <v>44312</v>
      </c>
      <c r="D4306" t="s">
        <v>48</v>
      </c>
      <c r="E4306" t="s">
        <v>114</v>
      </c>
      <c r="F4306" t="s">
        <v>115</v>
      </c>
      <c r="G4306" t="s">
        <v>16</v>
      </c>
      <c r="H4306" s="2">
        <v>69</v>
      </c>
      <c r="I4306">
        <v>101</v>
      </c>
      <c r="J4306">
        <v>697</v>
      </c>
      <c r="K4306" s="4">
        <v>265</v>
      </c>
      <c r="L4306" t="s">
        <v>17</v>
      </c>
    </row>
    <row r="4307" spans="1:12" x14ac:dyDescent="0.35">
      <c r="A4307" t="s">
        <v>23</v>
      </c>
      <c r="B4307">
        <v>1128299</v>
      </c>
      <c r="C4307" s="1">
        <v>44267</v>
      </c>
      <c r="D4307" t="s">
        <v>13</v>
      </c>
      <c r="E4307" t="s">
        <v>57</v>
      </c>
      <c r="F4307" t="s">
        <v>58</v>
      </c>
      <c r="G4307" t="s">
        <v>39</v>
      </c>
      <c r="H4307" s="2">
        <v>46</v>
      </c>
      <c r="I4307">
        <v>101</v>
      </c>
      <c r="J4307">
        <v>465</v>
      </c>
      <c r="K4307" s="4">
        <v>246</v>
      </c>
      <c r="L4307" t="s">
        <v>17</v>
      </c>
    </row>
    <row r="4308" spans="1:12" x14ac:dyDescent="0.35">
      <c r="A4308" t="s">
        <v>51</v>
      </c>
      <c r="B4308">
        <v>1185732</v>
      </c>
      <c r="C4308" s="1">
        <v>44238</v>
      </c>
      <c r="D4308" t="s">
        <v>33</v>
      </c>
      <c r="E4308" t="s">
        <v>52</v>
      </c>
      <c r="F4308" t="s">
        <v>53</v>
      </c>
      <c r="G4308" t="s">
        <v>56</v>
      </c>
      <c r="H4308" s="2">
        <v>29</v>
      </c>
      <c r="I4308">
        <v>101</v>
      </c>
      <c r="J4308">
        <v>293</v>
      </c>
      <c r="K4308" s="4">
        <v>146</v>
      </c>
      <c r="L4308" t="s">
        <v>17</v>
      </c>
    </row>
    <row r="4309" spans="1:12" x14ac:dyDescent="0.35">
      <c r="A4309" t="s">
        <v>51</v>
      </c>
      <c r="B4309">
        <v>1185732</v>
      </c>
      <c r="C4309" s="1">
        <v>44296</v>
      </c>
      <c r="D4309" t="s">
        <v>33</v>
      </c>
      <c r="E4309" t="s">
        <v>52</v>
      </c>
      <c r="F4309" t="s">
        <v>53</v>
      </c>
      <c r="G4309" t="s">
        <v>70</v>
      </c>
      <c r="H4309" s="2">
        <v>42</v>
      </c>
      <c r="I4309">
        <v>101</v>
      </c>
      <c r="J4309">
        <v>424</v>
      </c>
      <c r="K4309" s="4">
        <v>199</v>
      </c>
      <c r="L4309" t="s">
        <v>17</v>
      </c>
    </row>
    <row r="4310" spans="1:12" x14ac:dyDescent="0.35">
      <c r="A4310" t="s">
        <v>51</v>
      </c>
      <c r="B4310">
        <v>1185732</v>
      </c>
      <c r="C4310" s="1">
        <v>44369</v>
      </c>
      <c r="D4310" t="s">
        <v>13</v>
      </c>
      <c r="E4310" t="s">
        <v>106</v>
      </c>
      <c r="F4310" t="s">
        <v>107</v>
      </c>
      <c r="G4310" t="s">
        <v>16</v>
      </c>
      <c r="H4310" s="2">
        <v>52</v>
      </c>
      <c r="I4310">
        <v>101</v>
      </c>
      <c r="J4310">
        <v>525</v>
      </c>
      <c r="K4310" s="4">
        <v>273</v>
      </c>
      <c r="L4310" t="s">
        <v>17</v>
      </c>
    </row>
    <row r="4311" spans="1:12" x14ac:dyDescent="0.35">
      <c r="A4311" t="s">
        <v>42</v>
      </c>
      <c r="B4311">
        <v>1185732</v>
      </c>
      <c r="C4311" s="1">
        <v>44216</v>
      </c>
      <c r="D4311" t="s">
        <v>13</v>
      </c>
      <c r="E4311" t="s">
        <v>106</v>
      </c>
      <c r="F4311" t="s">
        <v>107</v>
      </c>
      <c r="G4311" t="s">
        <v>56</v>
      </c>
      <c r="H4311" s="2">
        <v>23</v>
      </c>
      <c r="I4311">
        <v>101</v>
      </c>
      <c r="J4311">
        <v>232</v>
      </c>
      <c r="K4311" s="4">
        <v>123</v>
      </c>
      <c r="L4311" t="s">
        <v>17</v>
      </c>
    </row>
    <row r="4312" spans="1:12" x14ac:dyDescent="0.35">
      <c r="A4312" t="s">
        <v>42</v>
      </c>
      <c r="B4312">
        <v>1185732</v>
      </c>
      <c r="C4312" s="1">
        <v>44303</v>
      </c>
      <c r="D4312" t="s">
        <v>19</v>
      </c>
      <c r="E4312" t="s">
        <v>37</v>
      </c>
      <c r="F4312" t="s">
        <v>38</v>
      </c>
      <c r="G4312" t="s">
        <v>32</v>
      </c>
      <c r="H4312" s="2">
        <v>14</v>
      </c>
      <c r="I4312">
        <v>101</v>
      </c>
      <c r="J4312">
        <v>141</v>
      </c>
      <c r="K4312" s="4">
        <v>78</v>
      </c>
      <c r="L4312" t="s">
        <v>17</v>
      </c>
    </row>
    <row r="4313" spans="1:12" x14ac:dyDescent="0.35">
      <c r="A4313" t="s">
        <v>42</v>
      </c>
      <c r="B4313">
        <v>1185732</v>
      </c>
      <c r="C4313" s="1">
        <v>44332</v>
      </c>
      <c r="D4313" t="s">
        <v>19</v>
      </c>
      <c r="E4313" t="s">
        <v>37</v>
      </c>
      <c r="F4313" t="s">
        <v>38</v>
      </c>
      <c r="G4313" t="s">
        <v>56</v>
      </c>
      <c r="H4313" s="2">
        <v>33</v>
      </c>
      <c r="I4313">
        <v>101</v>
      </c>
      <c r="J4313">
        <v>333</v>
      </c>
      <c r="K4313" s="4">
        <v>170</v>
      </c>
      <c r="L4313" t="s">
        <v>17</v>
      </c>
    </row>
    <row r="4314" spans="1:12" x14ac:dyDescent="0.35">
      <c r="A4314" t="s">
        <v>18</v>
      </c>
      <c r="B4314">
        <v>1197831</v>
      </c>
      <c r="C4314" s="1">
        <v>44219</v>
      </c>
      <c r="D4314" t="s">
        <v>19</v>
      </c>
      <c r="E4314" t="s">
        <v>54</v>
      </c>
      <c r="F4314" t="s">
        <v>55</v>
      </c>
      <c r="G4314" t="s">
        <v>16</v>
      </c>
      <c r="H4314" s="2">
        <v>23</v>
      </c>
      <c r="I4314">
        <v>101</v>
      </c>
      <c r="J4314">
        <v>232</v>
      </c>
      <c r="K4314" s="4">
        <v>121</v>
      </c>
      <c r="L4314" t="s">
        <v>17</v>
      </c>
    </row>
    <row r="4315" spans="1:12" x14ac:dyDescent="0.35">
      <c r="A4315" t="s">
        <v>63</v>
      </c>
      <c r="B4315">
        <v>1197831</v>
      </c>
      <c r="C4315" s="1">
        <v>44549</v>
      </c>
      <c r="D4315" t="s">
        <v>19</v>
      </c>
      <c r="E4315" t="s">
        <v>61</v>
      </c>
      <c r="F4315" t="s">
        <v>62</v>
      </c>
      <c r="G4315" t="s">
        <v>32</v>
      </c>
      <c r="H4315" s="2">
        <v>55</v>
      </c>
      <c r="I4315">
        <v>101</v>
      </c>
      <c r="J4315">
        <v>556</v>
      </c>
      <c r="K4315" s="4">
        <v>278</v>
      </c>
      <c r="L4315" t="s">
        <v>17</v>
      </c>
    </row>
    <row r="4316" spans="1:12" x14ac:dyDescent="0.35">
      <c r="A4316" t="s">
        <v>18</v>
      </c>
      <c r="B4316">
        <v>1185732</v>
      </c>
      <c r="C4316" s="1">
        <v>44386</v>
      </c>
      <c r="D4316" t="s">
        <v>33</v>
      </c>
      <c r="E4316" t="s">
        <v>81</v>
      </c>
      <c r="F4316" t="s">
        <v>82</v>
      </c>
      <c r="G4316" t="s">
        <v>16</v>
      </c>
      <c r="H4316" s="2">
        <v>54</v>
      </c>
      <c r="I4316">
        <v>101</v>
      </c>
      <c r="J4316">
        <v>545</v>
      </c>
      <c r="K4316" s="4">
        <v>278</v>
      </c>
      <c r="L4316" t="s">
        <v>17</v>
      </c>
    </row>
    <row r="4317" spans="1:12" x14ac:dyDescent="0.35">
      <c r="A4317" t="s">
        <v>63</v>
      </c>
      <c r="B4317">
        <v>1185732</v>
      </c>
      <c r="C4317" s="1">
        <v>44415</v>
      </c>
      <c r="D4317" t="s">
        <v>43</v>
      </c>
      <c r="E4317" t="s">
        <v>83</v>
      </c>
      <c r="F4317" t="s">
        <v>84</v>
      </c>
      <c r="G4317" t="s">
        <v>39</v>
      </c>
      <c r="H4317" s="2">
        <v>42</v>
      </c>
      <c r="I4317">
        <v>101</v>
      </c>
      <c r="J4317">
        <v>424</v>
      </c>
      <c r="K4317" s="4">
        <v>199</v>
      </c>
      <c r="L4317" t="s">
        <v>17</v>
      </c>
    </row>
    <row r="4318" spans="1:12" x14ac:dyDescent="0.35">
      <c r="A4318" t="s">
        <v>23</v>
      </c>
      <c r="B4318">
        <v>1185732</v>
      </c>
      <c r="C4318" s="1">
        <v>44536</v>
      </c>
      <c r="D4318" t="s">
        <v>43</v>
      </c>
      <c r="E4318" t="s">
        <v>83</v>
      </c>
      <c r="F4318" t="s">
        <v>84</v>
      </c>
      <c r="G4318" t="s">
        <v>16</v>
      </c>
      <c r="H4318" s="2">
        <v>59</v>
      </c>
      <c r="I4318">
        <v>101</v>
      </c>
      <c r="J4318">
        <v>596</v>
      </c>
      <c r="K4318" s="4">
        <v>322</v>
      </c>
      <c r="L4318" t="s">
        <v>17</v>
      </c>
    </row>
    <row r="4319" spans="1:12" x14ac:dyDescent="0.35">
      <c r="A4319" t="s">
        <v>42</v>
      </c>
      <c r="B4319">
        <v>1185732</v>
      </c>
      <c r="C4319" s="1">
        <v>44533</v>
      </c>
      <c r="D4319" t="s">
        <v>43</v>
      </c>
      <c r="E4319" t="s">
        <v>108</v>
      </c>
      <c r="F4319" t="s">
        <v>109</v>
      </c>
      <c r="G4319" t="s">
        <v>39</v>
      </c>
      <c r="H4319" s="2">
        <v>51</v>
      </c>
      <c r="I4319">
        <v>101</v>
      </c>
      <c r="J4319">
        <v>515</v>
      </c>
      <c r="K4319" s="4">
        <v>263</v>
      </c>
      <c r="L4319" t="s">
        <v>17</v>
      </c>
    </row>
    <row r="4320" spans="1:12" x14ac:dyDescent="0.35">
      <c r="A4320" t="s">
        <v>23</v>
      </c>
      <c r="B4320">
        <v>1185732</v>
      </c>
      <c r="C4320" s="1">
        <v>44362</v>
      </c>
      <c r="D4320" t="s">
        <v>43</v>
      </c>
      <c r="E4320" t="s">
        <v>112</v>
      </c>
      <c r="F4320" t="s">
        <v>113</v>
      </c>
      <c r="G4320" t="s">
        <v>16</v>
      </c>
      <c r="H4320" s="2">
        <v>54</v>
      </c>
      <c r="I4320">
        <v>101</v>
      </c>
      <c r="J4320">
        <v>545</v>
      </c>
      <c r="K4320" s="4">
        <v>218</v>
      </c>
      <c r="L4320" t="s">
        <v>17</v>
      </c>
    </row>
    <row r="4321" spans="1:12" x14ac:dyDescent="0.35">
      <c r="A4321" t="s">
        <v>42</v>
      </c>
      <c r="B4321">
        <v>1128299</v>
      </c>
      <c r="C4321" s="1">
        <v>44493</v>
      </c>
      <c r="D4321" t="s">
        <v>13</v>
      </c>
      <c r="E4321" t="s">
        <v>99</v>
      </c>
      <c r="F4321" t="s">
        <v>100</v>
      </c>
      <c r="G4321" t="s">
        <v>56</v>
      </c>
      <c r="H4321" s="2">
        <v>31</v>
      </c>
      <c r="I4321">
        <v>101</v>
      </c>
      <c r="J4321">
        <v>313</v>
      </c>
      <c r="K4321" s="4">
        <v>116</v>
      </c>
      <c r="L4321" t="s">
        <v>27</v>
      </c>
    </row>
    <row r="4322" spans="1:12" x14ac:dyDescent="0.35">
      <c r="A4322" t="s">
        <v>18</v>
      </c>
      <c r="B4322">
        <v>1128299</v>
      </c>
      <c r="C4322" s="1">
        <v>44334</v>
      </c>
      <c r="D4322" t="s">
        <v>19</v>
      </c>
      <c r="E4322" t="s">
        <v>20</v>
      </c>
      <c r="F4322" t="s">
        <v>21</v>
      </c>
      <c r="G4322" t="s">
        <v>56</v>
      </c>
      <c r="H4322" s="2">
        <v>33</v>
      </c>
      <c r="I4322">
        <v>101</v>
      </c>
      <c r="J4322">
        <v>333</v>
      </c>
      <c r="K4322" s="4">
        <v>143</v>
      </c>
      <c r="L4322" t="s">
        <v>27</v>
      </c>
    </row>
    <row r="4323" spans="1:12" x14ac:dyDescent="0.35">
      <c r="A4323" t="s">
        <v>63</v>
      </c>
      <c r="B4323">
        <v>1128299</v>
      </c>
      <c r="C4323" s="1">
        <v>44222</v>
      </c>
      <c r="D4323" t="s">
        <v>48</v>
      </c>
      <c r="E4323" t="s">
        <v>123</v>
      </c>
      <c r="F4323" t="s">
        <v>124</v>
      </c>
      <c r="G4323" t="s">
        <v>56</v>
      </c>
      <c r="H4323" s="2">
        <v>30</v>
      </c>
      <c r="I4323">
        <v>101</v>
      </c>
      <c r="J4323">
        <v>303</v>
      </c>
      <c r="K4323" s="4">
        <v>115</v>
      </c>
      <c r="L4323" t="s">
        <v>27</v>
      </c>
    </row>
    <row r="4324" spans="1:12" x14ac:dyDescent="0.35">
      <c r="A4324" t="s">
        <v>63</v>
      </c>
      <c r="B4324">
        <v>1197831</v>
      </c>
      <c r="C4324" s="1">
        <v>44490</v>
      </c>
      <c r="D4324" t="s">
        <v>19</v>
      </c>
      <c r="E4324" t="s">
        <v>61</v>
      </c>
      <c r="F4324" t="s">
        <v>62</v>
      </c>
      <c r="G4324" t="s">
        <v>16</v>
      </c>
      <c r="H4324" s="2">
        <v>22</v>
      </c>
      <c r="I4324">
        <v>101</v>
      </c>
      <c r="J4324">
        <v>222</v>
      </c>
      <c r="K4324" s="4">
        <v>104</v>
      </c>
      <c r="L4324" t="s">
        <v>27</v>
      </c>
    </row>
    <row r="4325" spans="1:12" x14ac:dyDescent="0.35">
      <c r="A4325" t="s">
        <v>51</v>
      </c>
      <c r="B4325">
        <v>1185732</v>
      </c>
      <c r="C4325" s="1">
        <v>44210</v>
      </c>
      <c r="D4325" t="s">
        <v>43</v>
      </c>
      <c r="E4325" t="s">
        <v>112</v>
      </c>
      <c r="F4325" t="s">
        <v>113</v>
      </c>
      <c r="G4325" t="s">
        <v>32</v>
      </c>
      <c r="H4325" s="2">
        <v>27</v>
      </c>
      <c r="I4325">
        <v>101</v>
      </c>
      <c r="J4325">
        <v>273</v>
      </c>
      <c r="K4325" s="4">
        <v>109</v>
      </c>
      <c r="L4325" t="s">
        <v>27</v>
      </c>
    </row>
    <row r="4326" spans="1:12" x14ac:dyDescent="0.35">
      <c r="A4326" t="s">
        <v>51</v>
      </c>
      <c r="B4326">
        <v>1185732</v>
      </c>
      <c r="C4326" s="1">
        <v>44540</v>
      </c>
      <c r="D4326" t="s">
        <v>43</v>
      </c>
      <c r="E4326" t="s">
        <v>125</v>
      </c>
      <c r="F4326" t="s">
        <v>126</v>
      </c>
      <c r="G4326" t="s">
        <v>56</v>
      </c>
      <c r="H4326" s="2">
        <v>44</v>
      </c>
      <c r="I4326">
        <v>101</v>
      </c>
      <c r="J4326">
        <v>444</v>
      </c>
      <c r="K4326" s="4">
        <v>187</v>
      </c>
      <c r="L4326" t="s">
        <v>27</v>
      </c>
    </row>
    <row r="4327" spans="1:12" x14ac:dyDescent="0.35">
      <c r="A4327" t="s">
        <v>51</v>
      </c>
      <c r="B4327">
        <v>1185732</v>
      </c>
      <c r="C4327" s="1">
        <v>44217</v>
      </c>
      <c r="D4327" t="s">
        <v>43</v>
      </c>
      <c r="E4327" t="s">
        <v>125</v>
      </c>
      <c r="F4327" t="s">
        <v>126</v>
      </c>
      <c r="G4327" t="s">
        <v>32</v>
      </c>
      <c r="H4327" s="2">
        <v>28</v>
      </c>
      <c r="I4327">
        <v>101</v>
      </c>
      <c r="J4327">
        <v>283</v>
      </c>
      <c r="K4327" s="4">
        <v>102</v>
      </c>
      <c r="L4327" t="s">
        <v>27</v>
      </c>
    </row>
    <row r="4328" spans="1:12" x14ac:dyDescent="0.35">
      <c r="A4328" t="s">
        <v>51</v>
      </c>
      <c r="B4328">
        <v>1185732</v>
      </c>
      <c r="C4328" s="1">
        <v>44217</v>
      </c>
      <c r="D4328" t="s">
        <v>43</v>
      </c>
      <c r="E4328" t="s">
        <v>125</v>
      </c>
      <c r="F4328" t="s">
        <v>126</v>
      </c>
      <c r="G4328" t="s">
        <v>16</v>
      </c>
      <c r="H4328" s="2">
        <v>35</v>
      </c>
      <c r="I4328">
        <v>101</v>
      </c>
      <c r="J4328">
        <v>354</v>
      </c>
      <c r="K4328" s="4">
        <v>141</v>
      </c>
      <c r="L4328" t="s">
        <v>27</v>
      </c>
    </row>
    <row r="4329" spans="1:12" x14ac:dyDescent="0.35">
      <c r="A4329" t="s">
        <v>51</v>
      </c>
      <c r="B4329">
        <v>1185732</v>
      </c>
      <c r="C4329" s="1">
        <v>44304</v>
      </c>
      <c r="D4329" t="s">
        <v>43</v>
      </c>
      <c r="E4329" t="s">
        <v>127</v>
      </c>
      <c r="F4329" t="s">
        <v>128</v>
      </c>
      <c r="G4329" t="s">
        <v>16</v>
      </c>
      <c r="H4329" s="2">
        <v>33</v>
      </c>
      <c r="I4329">
        <v>101</v>
      </c>
      <c r="J4329">
        <v>333</v>
      </c>
      <c r="K4329" s="4">
        <v>123</v>
      </c>
      <c r="L4329" t="s">
        <v>27</v>
      </c>
    </row>
    <row r="4330" spans="1:12" x14ac:dyDescent="0.35">
      <c r="A4330" t="s">
        <v>51</v>
      </c>
      <c r="B4330">
        <v>1185732</v>
      </c>
      <c r="C4330" s="1">
        <v>44333</v>
      </c>
      <c r="D4330" t="s">
        <v>43</v>
      </c>
      <c r="E4330" t="s">
        <v>127</v>
      </c>
      <c r="F4330" t="s">
        <v>128</v>
      </c>
      <c r="G4330" t="s">
        <v>32</v>
      </c>
      <c r="H4330" s="2">
        <v>42</v>
      </c>
      <c r="I4330">
        <v>101</v>
      </c>
      <c r="J4330">
        <v>424</v>
      </c>
      <c r="K4330" s="4">
        <v>144</v>
      </c>
      <c r="L4330" t="s">
        <v>27</v>
      </c>
    </row>
    <row r="4331" spans="1:12" x14ac:dyDescent="0.35">
      <c r="A4331" t="s">
        <v>42</v>
      </c>
      <c r="B4331">
        <v>1185732</v>
      </c>
      <c r="C4331" s="1">
        <v>44369</v>
      </c>
      <c r="D4331" t="s">
        <v>33</v>
      </c>
      <c r="E4331" t="s">
        <v>118</v>
      </c>
      <c r="F4331" t="s">
        <v>119</v>
      </c>
      <c r="G4331" t="s">
        <v>70</v>
      </c>
      <c r="H4331" s="2">
        <v>60</v>
      </c>
      <c r="I4331">
        <v>100</v>
      </c>
      <c r="J4331" s="3">
        <v>6000</v>
      </c>
      <c r="K4331" s="4">
        <v>2100</v>
      </c>
      <c r="L4331" t="s">
        <v>27</v>
      </c>
    </row>
    <row r="4332" spans="1:12" x14ac:dyDescent="0.35">
      <c r="A4332" t="s">
        <v>42</v>
      </c>
      <c r="B4332">
        <v>1185732</v>
      </c>
      <c r="C4332" s="1">
        <v>44374</v>
      </c>
      <c r="D4332" t="s">
        <v>33</v>
      </c>
      <c r="E4332" t="s">
        <v>118</v>
      </c>
      <c r="F4332" t="s">
        <v>119</v>
      </c>
      <c r="G4332" t="s">
        <v>56</v>
      </c>
      <c r="H4332" s="2">
        <v>50</v>
      </c>
      <c r="I4332">
        <v>100</v>
      </c>
      <c r="J4332" s="3">
        <v>5000</v>
      </c>
      <c r="K4332" s="4">
        <v>2000</v>
      </c>
      <c r="L4332" t="s">
        <v>27</v>
      </c>
    </row>
    <row r="4333" spans="1:12" x14ac:dyDescent="0.35">
      <c r="A4333" t="s">
        <v>42</v>
      </c>
      <c r="B4333">
        <v>1185732</v>
      </c>
      <c r="C4333" s="1">
        <v>44518</v>
      </c>
      <c r="D4333" t="s">
        <v>43</v>
      </c>
      <c r="E4333" t="s">
        <v>135</v>
      </c>
      <c r="F4333" t="s">
        <v>136</v>
      </c>
      <c r="G4333" t="s">
        <v>56</v>
      </c>
      <c r="H4333" s="2">
        <v>55</v>
      </c>
      <c r="I4333">
        <v>100</v>
      </c>
      <c r="J4333" s="3">
        <v>5500</v>
      </c>
      <c r="K4333" s="4">
        <v>1925</v>
      </c>
      <c r="L4333" t="s">
        <v>27</v>
      </c>
    </row>
    <row r="4334" spans="1:12" x14ac:dyDescent="0.35">
      <c r="A4334" t="s">
        <v>42</v>
      </c>
      <c r="B4334">
        <v>1185732</v>
      </c>
      <c r="C4334" s="1">
        <v>44548</v>
      </c>
      <c r="D4334" t="s">
        <v>43</v>
      </c>
      <c r="E4334" t="s">
        <v>135</v>
      </c>
      <c r="F4334" t="s">
        <v>136</v>
      </c>
      <c r="G4334" t="s">
        <v>56</v>
      </c>
      <c r="H4334" s="2">
        <v>50</v>
      </c>
      <c r="I4334">
        <v>100</v>
      </c>
      <c r="J4334" s="3">
        <v>5000</v>
      </c>
      <c r="K4334" s="4">
        <v>1750</v>
      </c>
      <c r="L4334" t="s">
        <v>27</v>
      </c>
    </row>
    <row r="4335" spans="1:12" x14ac:dyDescent="0.35">
      <c r="A4335" t="s">
        <v>42</v>
      </c>
      <c r="B4335">
        <v>1185732</v>
      </c>
      <c r="C4335" s="1">
        <v>44549</v>
      </c>
      <c r="D4335" t="s">
        <v>43</v>
      </c>
      <c r="E4335" t="s">
        <v>135</v>
      </c>
      <c r="F4335" t="s">
        <v>136</v>
      </c>
      <c r="G4335" t="s">
        <v>70</v>
      </c>
      <c r="H4335" s="2">
        <v>60</v>
      </c>
      <c r="I4335">
        <v>100</v>
      </c>
      <c r="J4335" s="3">
        <v>6000</v>
      </c>
      <c r="K4335" s="4">
        <v>1800</v>
      </c>
      <c r="L4335" t="s">
        <v>27</v>
      </c>
    </row>
    <row r="4336" spans="1:12" x14ac:dyDescent="0.35">
      <c r="A4336" t="s">
        <v>42</v>
      </c>
      <c r="B4336">
        <v>1185732</v>
      </c>
      <c r="C4336" s="1">
        <v>44124</v>
      </c>
      <c r="D4336" t="s">
        <v>13</v>
      </c>
      <c r="E4336" t="s">
        <v>14</v>
      </c>
      <c r="F4336" t="s">
        <v>73</v>
      </c>
      <c r="G4336" t="s">
        <v>56</v>
      </c>
      <c r="H4336" s="2">
        <v>30</v>
      </c>
      <c r="I4336">
        <v>100</v>
      </c>
      <c r="J4336" s="3">
        <v>3000</v>
      </c>
      <c r="K4336" s="4">
        <v>1050</v>
      </c>
      <c r="L4336" t="s">
        <v>36</v>
      </c>
    </row>
    <row r="4337" spans="1:12" x14ac:dyDescent="0.35">
      <c r="A4337" t="s">
        <v>42</v>
      </c>
      <c r="B4337">
        <v>1185732</v>
      </c>
      <c r="C4337" s="1">
        <v>44140</v>
      </c>
      <c r="D4337" t="s">
        <v>33</v>
      </c>
      <c r="E4337" t="s">
        <v>104</v>
      </c>
      <c r="F4337" t="s">
        <v>105</v>
      </c>
      <c r="G4337" t="s">
        <v>39</v>
      </c>
      <c r="H4337" s="2">
        <v>40</v>
      </c>
      <c r="I4337">
        <v>100</v>
      </c>
      <c r="J4337" s="3">
        <v>4000</v>
      </c>
      <c r="K4337" s="4">
        <v>1200</v>
      </c>
      <c r="L4337" t="s">
        <v>36</v>
      </c>
    </row>
    <row r="4338" spans="1:12" x14ac:dyDescent="0.35">
      <c r="A4338" t="s">
        <v>42</v>
      </c>
      <c r="B4338">
        <v>1185732</v>
      </c>
      <c r="C4338" s="1">
        <v>44141</v>
      </c>
      <c r="D4338" t="s">
        <v>33</v>
      </c>
      <c r="E4338" t="s">
        <v>104</v>
      </c>
      <c r="F4338" t="s">
        <v>105</v>
      </c>
      <c r="G4338" t="s">
        <v>32</v>
      </c>
      <c r="H4338" s="2">
        <v>30</v>
      </c>
      <c r="I4338">
        <v>100</v>
      </c>
      <c r="J4338" s="3">
        <v>3000</v>
      </c>
      <c r="K4338" s="4">
        <v>900</v>
      </c>
      <c r="L4338" t="s">
        <v>36</v>
      </c>
    </row>
    <row r="4339" spans="1:12" x14ac:dyDescent="0.35">
      <c r="A4339" t="s">
        <v>42</v>
      </c>
      <c r="B4339">
        <v>1185732</v>
      </c>
      <c r="C4339" s="1">
        <v>44177</v>
      </c>
      <c r="D4339" t="s">
        <v>33</v>
      </c>
      <c r="E4339" t="s">
        <v>104</v>
      </c>
      <c r="F4339" t="s">
        <v>105</v>
      </c>
      <c r="G4339" t="s">
        <v>32</v>
      </c>
      <c r="H4339" s="2">
        <v>35</v>
      </c>
      <c r="I4339">
        <v>100</v>
      </c>
      <c r="J4339" s="3">
        <v>3500</v>
      </c>
      <c r="K4339" s="4">
        <v>1050</v>
      </c>
      <c r="L4339" t="s">
        <v>27</v>
      </c>
    </row>
    <row r="4340" spans="1:12" x14ac:dyDescent="0.35">
      <c r="A4340" t="s">
        <v>42</v>
      </c>
      <c r="B4340">
        <v>1185732</v>
      </c>
      <c r="C4340" s="1">
        <v>44350</v>
      </c>
      <c r="D4340" t="s">
        <v>33</v>
      </c>
      <c r="E4340" t="s">
        <v>120</v>
      </c>
      <c r="F4340" t="s">
        <v>121</v>
      </c>
      <c r="G4340" t="s">
        <v>39</v>
      </c>
      <c r="H4340" s="2">
        <v>40</v>
      </c>
      <c r="I4340">
        <v>100</v>
      </c>
      <c r="J4340" s="3">
        <v>4000</v>
      </c>
      <c r="K4340" s="4">
        <v>1400</v>
      </c>
      <c r="L4340" t="s">
        <v>27</v>
      </c>
    </row>
    <row r="4341" spans="1:12" x14ac:dyDescent="0.35">
      <c r="A4341" t="s">
        <v>42</v>
      </c>
      <c r="B4341">
        <v>1185732</v>
      </c>
      <c r="C4341" s="1">
        <v>44363</v>
      </c>
      <c r="D4341" t="s">
        <v>33</v>
      </c>
      <c r="E4341" t="s">
        <v>120</v>
      </c>
      <c r="F4341" t="s">
        <v>121</v>
      </c>
      <c r="G4341" t="s">
        <v>32</v>
      </c>
      <c r="H4341" s="2">
        <v>35</v>
      </c>
      <c r="I4341">
        <v>100</v>
      </c>
      <c r="J4341" s="3">
        <v>3500</v>
      </c>
      <c r="K4341" s="4">
        <v>1225</v>
      </c>
      <c r="L4341" t="s">
        <v>27</v>
      </c>
    </row>
    <row r="4342" spans="1:12" x14ac:dyDescent="0.35">
      <c r="A4342" t="s">
        <v>42</v>
      </c>
      <c r="B4342">
        <v>1185732</v>
      </c>
      <c r="C4342" s="1">
        <v>44383</v>
      </c>
      <c r="D4342" t="s">
        <v>33</v>
      </c>
      <c r="E4342" t="s">
        <v>120</v>
      </c>
      <c r="F4342" t="s">
        <v>121</v>
      </c>
      <c r="G4342" t="s">
        <v>70</v>
      </c>
      <c r="H4342" s="2">
        <v>40</v>
      </c>
      <c r="I4342">
        <v>100</v>
      </c>
      <c r="J4342" s="3">
        <v>4000</v>
      </c>
      <c r="K4342" s="4">
        <v>1400</v>
      </c>
      <c r="L4342" t="s">
        <v>27</v>
      </c>
    </row>
    <row r="4343" spans="1:12" x14ac:dyDescent="0.35">
      <c r="A4343" t="s">
        <v>42</v>
      </c>
      <c r="B4343">
        <v>1185732</v>
      </c>
      <c r="C4343" s="1">
        <v>44387</v>
      </c>
      <c r="D4343" t="s">
        <v>33</v>
      </c>
      <c r="E4343" t="s">
        <v>120</v>
      </c>
      <c r="F4343" t="s">
        <v>121</v>
      </c>
      <c r="G4343" t="s">
        <v>32</v>
      </c>
      <c r="H4343" s="2">
        <v>20</v>
      </c>
      <c r="I4343">
        <v>100</v>
      </c>
      <c r="J4343" s="3">
        <v>2000</v>
      </c>
      <c r="K4343" s="4">
        <v>700</v>
      </c>
      <c r="L4343" t="s">
        <v>27</v>
      </c>
    </row>
    <row r="4344" spans="1:12" x14ac:dyDescent="0.35">
      <c r="A4344" t="s">
        <v>42</v>
      </c>
      <c r="B4344">
        <v>1185732</v>
      </c>
      <c r="C4344" s="1">
        <v>44401</v>
      </c>
      <c r="D4344" t="s">
        <v>33</v>
      </c>
      <c r="E4344" t="s">
        <v>120</v>
      </c>
      <c r="F4344" t="s">
        <v>121</v>
      </c>
      <c r="G4344" t="s">
        <v>70</v>
      </c>
      <c r="H4344" s="2">
        <v>50</v>
      </c>
      <c r="I4344">
        <v>100</v>
      </c>
      <c r="J4344" s="3">
        <v>5000</v>
      </c>
      <c r="K4344" s="4">
        <v>1750</v>
      </c>
      <c r="L4344" t="s">
        <v>27</v>
      </c>
    </row>
    <row r="4345" spans="1:12" x14ac:dyDescent="0.35">
      <c r="A4345" t="s">
        <v>51</v>
      </c>
      <c r="B4345">
        <v>1185732</v>
      </c>
      <c r="C4345" s="1">
        <v>44484</v>
      </c>
      <c r="D4345" t="s">
        <v>19</v>
      </c>
      <c r="E4345" t="s">
        <v>24</v>
      </c>
      <c r="F4345" t="s">
        <v>25</v>
      </c>
      <c r="G4345" t="s">
        <v>56</v>
      </c>
      <c r="H4345" s="2">
        <v>35</v>
      </c>
      <c r="I4345">
        <v>100</v>
      </c>
      <c r="J4345" s="3">
        <v>3500</v>
      </c>
      <c r="K4345" s="4">
        <v>1050</v>
      </c>
      <c r="L4345" t="s">
        <v>27</v>
      </c>
    </row>
    <row r="4346" spans="1:12" x14ac:dyDescent="0.35">
      <c r="A4346" t="s">
        <v>51</v>
      </c>
      <c r="B4346">
        <v>1185732</v>
      </c>
      <c r="C4346" s="1">
        <v>44497</v>
      </c>
      <c r="D4346" t="s">
        <v>43</v>
      </c>
      <c r="E4346" t="s">
        <v>122</v>
      </c>
      <c r="F4346" t="s">
        <v>86</v>
      </c>
      <c r="G4346" t="s">
        <v>70</v>
      </c>
      <c r="H4346" s="2">
        <v>50</v>
      </c>
      <c r="I4346">
        <v>100</v>
      </c>
      <c r="J4346" s="3">
        <v>5000</v>
      </c>
      <c r="K4346" s="4">
        <v>1250</v>
      </c>
      <c r="L4346" t="s">
        <v>27</v>
      </c>
    </row>
    <row r="4347" spans="1:12" x14ac:dyDescent="0.35">
      <c r="A4347" t="s">
        <v>51</v>
      </c>
      <c r="B4347">
        <v>1185732</v>
      </c>
      <c r="C4347" s="1">
        <v>44488</v>
      </c>
      <c r="D4347" t="s">
        <v>43</v>
      </c>
      <c r="E4347" t="s">
        <v>122</v>
      </c>
      <c r="F4347" t="s">
        <v>86</v>
      </c>
      <c r="G4347" t="s">
        <v>56</v>
      </c>
      <c r="H4347" s="2">
        <v>55</v>
      </c>
      <c r="I4347">
        <v>100</v>
      </c>
      <c r="J4347" s="3">
        <v>5500</v>
      </c>
      <c r="K4347" s="4">
        <v>1650</v>
      </c>
      <c r="L4347" t="s">
        <v>27</v>
      </c>
    </row>
    <row r="4348" spans="1:12" x14ac:dyDescent="0.35">
      <c r="A4348" t="s">
        <v>51</v>
      </c>
      <c r="B4348">
        <v>1185732</v>
      </c>
      <c r="C4348" s="1">
        <v>44488</v>
      </c>
      <c r="D4348" t="s">
        <v>43</v>
      </c>
      <c r="E4348" t="s">
        <v>122</v>
      </c>
      <c r="F4348" t="s">
        <v>86</v>
      </c>
      <c r="G4348" t="s">
        <v>70</v>
      </c>
      <c r="H4348" s="2">
        <v>65</v>
      </c>
      <c r="I4348">
        <v>100</v>
      </c>
      <c r="J4348" s="3">
        <v>6500</v>
      </c>
      <c r="K4348" s="4">
        <v>1625</v>
      </c>
      <c r="L4348" t="s">
        <v>27</v>
      </c>
    </row>
    <row r="4349" spans="1:12" x14ac:dyDescent="0.35">
      <c r="A4349" t="s">
        <v>42</v>
      </c>
      <c r="B4349">
        <v>1128299</v>
      </c>
      <c r="C4349" s="1">
        <v>44278</v>
      </c>
      <c r="D4349" t="s">
        <v>13</v>
      </c>
      <c r="E4349" t="s">
        <v>99</v>
      </c>
      <c r="F4349" t="s">
        <v>100</v>
      </c>
      <c r="G4349" t="s">
        <v>70</v>
      </c>
      <c r="H4349" s="2">
        <v>55</v>
      </c>
      <c r="I4349">
        <v>100</v>
      </c>
      <c r="J4349" s="3">
        <v>5500</v>
      </c>
      <c r="K4349" s="4">
        <v>2200</v>
      </c>
      <c r="L4349" t="s">
        <v>36</v>
      </c>
    </row>
    <row r="4350" spans="1:12" x14ac:dyDescent="0.35">
      <c r="A4350" t="s">
        <v>18</v>
      </c>
      <c r="B4350">
        <v>1128299</v>
      </c>
      <c r="C4350" s="1">
        <v>44278</v>
      </c>
      <c r="D4350" t="s">
        <v>48</v>
      </c>
      <c r="E4350" t="s">
        <v>85</v>
      </c>
      <c r="F4350" t="s">
        <v>86</v>
      </c>
      <c r="G4350" t="s">
        <v>70</v>
      </c>
      <c r="H4350" s="2">
        <v>55</v>
      </c>
      <c r="I4350">
        <v>100</v>
      </c>
      <c r="J4350" s="3">
        <v>5500</v>
      </c>
      <c r="K4350" s="4">
        <v>2200</v>
      </c>
      <c r="L4350" t="s">
        <v>36</v>
      </c>
    </row>
    <row r="4351" spans="1:12" x14ac:dyDescent="0.35">
      <c r="A4351" t="s">
        <v>51</v>
      </c>
      <c r="B4351">
        <v>1185732</v>
      </c>
      <c r="C4351" s="1">
        <v>44276</v>
      </c>
      <c r="D4351" t="s">
        <v>13</v>
      </c>
      <c r="E4351" t="s">
        <v>106</v>
      </c>
      <c r="F4351" t="s">
        <v>107</v>
      </c>
      <c r="G4351" t="s">
        <v>56</v>
      </c>
      <c r="H4351" s="2">
        <v>40</v>
      </c>
      <c r="I4351">
        <v>100</v>
      </c>
      <c r="J4351" s="3">
        <v>4000</v>
      </c>
      <c r="K4351" s="4">
        <v>1600</v>
      </c>
      <c r="L4351" t="s">
        <v>17</v>
      </c>
    </row>
    <row r="4352" spans="1:12" x14ac:dyDescent="0.35">
      <c r="A4352" t="s">
        <v>51</v>
      </c>
      <c r="B4352">
        <v>1185732</v>
      </c>
      <c r="C4352" s="1">
        <v>44308</v>
      </c>
      <c r="D4352" t="s">
        <v>13</v>
      </c>
      <c r="E4352" t="s">
        <v>106</v>
      </c>
      <c r="F4352" t="s">
        <v>107</v>
      </c>
      <c r="G4352" t="s">
        <v>56</v>
      </c>
      <c r="H4352" s="2">
        <v>45</v>
      </c>
      <c r="I4352">
        <v>100</v>
      </c>
      <c r="J4352" s="3">
        <v>4500</v>
      </c>
      <c r="K4352" s="4">
        <v>1800</v>
      </c>
      <c r="L4352" t="s">
        <v>17</v>
      </c>
    </row>
    <row r="4353" spans="1:12" x14ac:dyDescent="0.35">
      <c r="A4353" t="s">
        <v>63</v>
      </c>
      <c r="B4353">
        <v>1197831</v>
      </c>
      <c r="C4353" s="1">
        <v>44267</v>
      </c>
      <c r="D4353" t="s">
        <v>33</v>
      </c>
      <c r="E4353" t="s">
        <v>71</v>
      </c>
      <c r="F4353" t="s">
        <v>72</v>
      </c>
      <c r="G4353" t="s">
        <v>56</v>
      </c>
      <c r="H4353" s="2">
        <v>20</v>
      </c>
      <c r="I4353">
        <v>100</v>
      </c>
      <c r="J4353" s="3">
        <v>2000</v>
      </c>
      <c r="K4353" s="4">
        <v>700</v>
      </c>
      <c r="L4353" t="s">
        <v>17</v>
      </c>
    </row>
    <row r="4354" spans="1:12" x14ac:dyDescent="0.35">
      <c r="A4354" t="s">
        <v>42</v>
      </c>
      <c r="B4354">
        <v>1185732</v>
      </c>
      <c r="C4354" s="1">
        <v>44239</v>
      </c>
      <c r="D4354" t="s">
        <v>33</v>
      </c>
      <c r="E4354" t="s">
        <v>87</v>
      </c>
      <c r="F4354" t="s">
        <v>88</v>
      </c>
      <c r="G4354" t="s">
        <v>56</v>
      </c>
      <c r="H4354" s="2">
        <v>35</v>
      </c>
      <c r="I4354">
        <v>100</v>
      </c>
      <c r="J4354" s="3">
        <v>3500</v>
      </c>
      <c r="K4354" s="4">
        <v>1050</v>
      </c>
      <c r="L4354" t="s">
        <v>17</v>
      </c>
    </row>
    <row r="4355" spans="1:12" x14ac:dyDescent="0.35">
      <c r="A4355" t="s">
        <v>42</v>
      </c>
      <c r="B4355">
        <v>1185732</v>
      </c>
      <c r="C4355" s="1">
        <v>44298</v>
      </c>
      <c r="D4355" t="s">
        <v>33</v>
      </c>
      <c r="E4355" t="s">
        <v>87</v>
      </c>
      <c r="F4355" t="s">
        <v>88</v>
      </c>
      <c r="G4355" t="s">
        <v>70</v>
      </c>
      <c r="H4355" s="2">
        <v>60</v>
      </c>
      <c r="I4355">
        <v>100</v>
      </c>
      <c r="J4355" s="3">
        <v>6000</v>
      </c>
      <c r="K4355" s="4">
        <v>2100</v>
      </c>
      <c r="L4355" t="s">
        <v>17</v>
      </c>
    </row>
    <row r="4356" spans="1:12" x14ac:dyDescent="0.35">
      <c r="A4356" t="s">
        <v>42</v>
      </c>
      <c r="B4356">
        <v>1185732</v>
      </c>
      <c r="C4356" s="1">
        <v>44329</v>
      </c>
      <c r="D4356" t="s">
        <v>33</v>
      </c>
      <c r="E4356" t="s">
        <v>87</v>
      </c>
      <c r="F4356" t="s">
        <v>88</v>
      </c>
      <c r="G4356" t="s">
        <v>56</v>
      </c>
      <c r="H4356" s="2">
        <v>45</v>
      </c>
      <c r="I4356">
        <v>100</v>
      </c>
      <c r="J4356" s="3">
        <v>4500</v>
      </c>
      <c r="K4356" s="4">
        <v>1350</v>
      </c>
      <c r="L4356" t="s">
        <v>17</v>
      </c>
    </row>
    <row r="4357" spans="1:12" x14ac:dyDescent="0.35">
      <c r="A4357" t="s">
        <v>23</v>
      </c>
      <c r="B4357">
        <v>1185732</v>
      </c>
      <c r="C4357" s="1">
        <v>44236</v>
      </c>
      <c r="D4357" t="s">
        <v>33</v>
      </c>
      <c r="E4357" t="s">
        <v>89</v>
      </c>
      <c r="F4357" t="s">
        <v>90</v>
      </c>
      <c r="G4357" t="s">
        <v>56</v>
      </c>
      <c r="H4357" s="2">
        <v>30</v>
      </c>
      <c r="I4357">
        <v>100</v>
      </c>
      <c r="J4357" s="3">
        <v>3000</v>
      </c>
      <c r="K4357" s="4">
        <v>900</v>
      </c>
      <c r="L4357" t="s">
        <v>17</v>
      </c>
    </row>
    <row r="4358" spans="1:12" x14ac:dyDescent="0.35">
      <c r="A4358" t="s">
        <v>23</v>
      </c>
      <c r="B4358">
        <v>1185732</v>
      </c>
      <c r="C4358" s="1">
        <v>44295</v>
      </c>
      <c r="D4358" t="s">
        <v>33</v>
      </c>
      <c r="E4358" t="s">
        <v>89</v>
      </c>
      <c r="F4358" t="s">
        <v>90</v>
      </c>
      <c r="G4358" t="s">
        <v>70</v>
      </c>
      <c r="H4358" s="2">
        <v>60</v>
      </c>
      <c r="I4358">
        <v>100</v>
      </c>
      <c r="J4358" s="3">
        <v>6000</v>
      </c>
      <c r="K4358" s="4">
        <v>2100</v>
      </c>
      <c r="L4358" t="s">
        <v>36</v>
      </c>
    </row>
    <row r="4359" spans="1:12" x14ac:dyDescent="0.35">
      <c r="A4359" t="s">
        <v>23</v>
      </c>
      <c r="B4359">
        <v>1185732</v>
      </c>
      <c r="C4359" s="1">
        <v>44326</v>
      </c>
      <c r="D4359" t="s">
        <v>33</v>
      </c>
      <c r="E4359" t="s">
        <v>89</v>
      </c>
      <c r="F4359" t="s">
        <v>90</v>
      </c>
      <c r="G4359" t="s">
        <v>56</v>
      </c>
      <c r="H4359" s="2">
        <v>40</v>
      </c>
      <c r="I4359">
        <v>100</v>
      </c>
      <c r="J4359" s="3">
        <v>4000</v>
      </c>
      <c r="K4359" s="4">
        <v>1200</v>
      </c>
      <c r="L4359" t="s">
        <v>36</v>
      </c>
    </row>
    <row r="4360" spans="1:12" x14ac:dyDescent="0.35">
      <c r="A4360" t="s">
        <v>42</v>
      </c>
      <c r="B4360">
        <v>1185732</v>
      </c>
      <c r="C4360" s="1">
        <v>44202</v>
      </c>
      <c r="D4360" t="s">
        <v>33</v>
      </c>
      <c r="E4360" t="s">
        <v>89</v>
      </c>
      <c r="F4360" t="s">
        <v>90</v>
      </c>
      <c r="G4360" t="s">
        <v>56</v>
      </c>
      <c r="H4360" s="2">
        <v>25</v>
      </c>
      <c r="I4360">
        <v>100</v>
      </c>
      <c r="J4360" s="3">
        <v>2500</v>
      </c>
      <c r="K4360" s="4">
        <v>750</v>
      </c>
      <c r="L4360" t="s">
        <v>36</v>
      </c>
    </row>
    <row r="4361" spans="1:12" x14ac:dyDescent="0.35">
      <c r="A4361" t="s">
        <v>42</v>
      </c>
      <c r="B4361">
        <v>1185732</v>
      </c>
      <c r="C4361" s="1">
        <v>44260</v>
      </c>
      <c r="D4361" t="s">
        <v>33</v>
      </c>
      <c r="E4361" t="s">
        <v>91</v>
      </c>
      <c r="F4361" t="s">
        <v>92</v>
      </c>
      <c r="G4361" t="s">
        <v>56</v>
      </c>
      <c r="H4361" s="2">
        <v>15</v>
      </c>
      <c r="I4361">
        <v>100</v>
      </c>
      <c r="J4361" s="3">
        <v>1500</v>
      </c>
      <c r="K4361" s="4">
        <v>450</v>
      </c>
      <c r="L4361" t="s">
        <v>36</v>
      </c>
    </row>
    <row r="4362" spans="1:12" x14ac:dyDescent="0.35">
      <c r="A4362" t="s">
        <v>42</v>
      </c>
      <c r="B4362">
        <v>1185732</v>
      </c>
      <c r="C4362" s="1">
        <v>44292</v>
      </c>
      <c r="D4362" t="s">
        <v>33</v>
      </c>
      <c r="E4362" t="s">
        <v>91</v>
      </c>
      <c r="F4362" t="s">
        <v>92</v>
      </c>
      <c r="G4362" t="s">
        <v>56</v>
      </c>
      <c r="H4362" s="2">
        <v>15</v>
      </c>
      <c r="I4362">
        <v>100</v>
      </c>
      <c r="J4362" s="3">
        <v>1500</v>
      </c>
      <c r="K4362" s="4">
        <v>450</v>
      </c>
      <c r="L4362" t="s">
        <v>36</v>
      </c>
    </row>
    <row r="4363" spans="1:12" x14ac:dyDescent="0.35">
      <c r="A4363" t="s">
        <v>18</v>
      </c>
      <c r="B4363">
        <v>1185732</v>
      </c>
      <c r="C4363" s="1">
        <v>44199</v>
      </c>
      <c r="D4363" t="s">
        <v>33</v>
      </c>
      <c r="E4363" t="s">
        <v>91</v>
      </c>
      <c r="F4363" t="s">
        <v>92</v>
      </c>
      <c r="G4363" t="s">
        <v>56</v>
      </c>
      <c r="H4363" s="2">
        <v>25</v>
      </c>
      <c r="I4363">
        <v>100</v>
      </c>
      <c r="J4363" s="3">
        <v>2500</v>
      </c>
      <c r="K4363" s="4">
        <v>750</v>
      </c>
      <c r="L4363" t="s">
        <v>36</v>
      </c>
    </row>
    <row r="4364" spans="1:12" x14ac:dyDescent="0.35">
      <c r="A4364" t="s">
        <v>18</v>
      </c>
      <c r="B4364">
        <v>1185732</v>
      </c>
      <c r="C4364" s="1">
        <v>44289</v>
      </c>
      <c r="D4364" t="s">
        <v>33</v>
      </c>
      <c r="E4364" t="s">
        <v>40</v>
      </c>
      <c r="F4364" t="s">
        <v>41</v>
      </c>
      <c r="G4364" t="s">
        <v>70</v>
      </c>
      <c r="H4364" s="2">
        <v>60</v>
      </c>
      <c r="I4364">
        <v>100</v>
      </c>
      <c r="J4364" s="3">
        <v>6000</v>
      </c>
      <c r="K4364" s="4">
        <v>3000</v>
      </c>
      <c r="L4364" t="s">
        <v>36</v>
      </c>
    </row>
    <row r="4365" spans="1:12" x14ac:dyDescent="0.35">
      <c r="A4365" t="s">
        <v>18</v>
      </c>
      <c r="B4365">
        <v>1185732</v>
      </c>
      <c r="C4365" s="1">
        <v>44336</v>
      </c>
      <c r="D4365" t="s">
        <v>43</v>
      </c>
      <c r="E4365" t="s">
        <v>93</v>
      </c>
      <c r="F4365" t="s">
        <v>94</v>
      </c>
      <c r="G4365" t="s">
        <v>56</v>
      </c>
      <c r="H4365" s="2">
        <v>40</v>
      </c>
      <c r="I4365">
        <v>100</v>
      </c>
      <c r="J4365" s="3">
        <v>4000</v>
      </c>
      <c r="K4365" s="4">
        <v>1400</v>
      </c>
      <c r="L4365" t="s">
        <v>36</v>
      </c>
    </row>
    <row r="4366" spans="1:12" x14ac:dyDescent="0.35">
      <c r="A4366" t="s">
        <v>23</v>
      </c>
      <c r="B4366">
        <v>1185732</v>
      </c>
      <c r="C4366" s="1">
        <v>44459</v>
      </c>
      <c r="D4366" t="s">
        <v>43</v>
      </c>
      <c r="E4366" t="s">
        <v>93</v>
      </c>
      <c r="F4366" t="s">
        <v>94</v>
      </c>
      <c r="G4366" t="s">
        <v>56</v>
      </c>
      <c r="H4366" s="2">
        <v>40</v>
      </c>
      <c r="I4366">
        <v>100</v>
      </c>
      <c r="J4366" s="3">
        <v>4000</v>
      </c>
      <c r="K4366" s="4">
        <v>1400</v>
      </c>
      <c r="L4366" t="s">
        <v>36</v>
      </c>
    </row>
    <row r="4367" spans="1:12" x14ac:dyDescent="0.35">
      <c r="A4367" t="s">
        <v>23</v>
      </c>
      <c r="B4367">
        <v>1185732</v>
      </c>
      <c r="C4367" s="1">
        <v>44459</v>
      </c>
      <c r="D4367" t="s">
        <v>43</v>
      </c>
      <c r="E4367" t="s">
        <v>93</v>
      </c>
      <c r="F4367" t="s">
        <v>94</v>
      </c>
      <c r="G4367" t="s">
        <v>70</v>
      </c>
      <c r="H4367" s="2">
        <v>50</v>
      </c>
      <c r="I4367">
        <v>100</v>
      </c>
      <c r="J4367" s="3">
        <v>5000</v>
      </c>
      <c r="K4367" s="4">
        <v>1500</v>
      </c>
      <c r="L4367" t="s">
        <v>36</v>
      </c>
    </row>
    <row r="4368" spans="1:12" x14ac:dyDescent="0.35">
      <c r="A4368" t="s">
        <v>23</v>
      </c>
      <c r="B4368">
        <v>1185732</v>
      </c>
      <c r="C4368" s="1">
        <v>44491</v>
      </c>
      <c r="D4368" t="s">
        <v>43</v>
      </c>
      <c r="E4368" t="s">
        <v>93</v>
      </c>
      <c r="F4368" t="s">
        <v>94</v>
      </c>
      <c r="G4368" t="s">
        <v>32</v>
      </c>
      <c r="H4368" s="2">
        <v>50</v>
      </c>
      <c r="I4368">
        <v>100</v>
      </c>
      <c r="J4368" s="3">
        <v>5000</v>
      </c>
      <c r="K4368" s="4">
        <v>1750</v>
      </c>
      <c r="L4368" t="s">
        <v>36</v>
      </c>
    </row>
    <row r="4369" spans="1:12" x14ac:dyDescent="0.35">
      <c r="A4369" t="s">
        <v>63</v>
      </c>
      <c r="B4369">
        <v>1185732</v>
      </c>
      <c r="C4369" s="1">
        <v>44235</v>
      </c>
      <c r="D4369" t="s">
        <v>43</v>
      </c>
      <c r="E4369" t="s">
        <v>83</v>
      </c>
      <c r="F4369" t="s">
        <v>84</v>
      </c>
      <c r="G4369" t="s">
        <v>56</v>
      </c>
      <c r="H4369" s="2">
        <v>30</v>
      </c>
      <c r="I4369">
        <v>100</v>
      </c>
      <c r="J4369" s="3">
        <v>3000</v>
      </c>
      <c r="K4369" s="4">
        <v>1200</v>
      </c>
      <c r="L4369" t="s">
        <v>36</v>
      </c>
    </row>
    <row r="4370" spans="1:12" x14ac:dyDescent="0.35">
      <c r="A4370" t="s">
        <v>63</v>
      </c>
      <c r="B4370">
        <v>1185732</v>
      </c>
      <c r="C4370" s="1">
        <v>44293</v>
      </c>
      <c r="D4370" t="s">
        <v>43</v>
      </c>
      <c r="E4370" t="s">
        <v>83</v>
      </c>
      <c r="F4370" t="s">
        <v>84</v>
      </c>
      <c r="G4370" t="s">
        <v>56</v>
      </c>
      <c r="H4370" s="2">
        <v>30</v>
      </c>
      <c r="I4370">
        <v>100</v>
      </c>
      <c r="J4370" s="3">
        <v>3000</v>
      </c>
      <c r="K4370" s="4">
        <v>1200</v>
      </c>
      <c r="L4370" t="s">
        <v>36</v>
      </c>
    </row>
    <row r="4371" spans="1:12" x14ac:dyDescent="0.35">
      <c r="A4371" t="s">
        <v>63</v>
      </c>
      <c r="B4371">
        <v>1185732</v>
      </c>
      <c r="C4371" s="1">
        <v>44293</v>
      </c>
      <c r="D4371" t="s">
        <v>43</v>
      </c>
      <c r="E4371" t="s">
        <v>83</v>
      </c>
      <c r="F4371" t="s">
        <v>84</v>
      </c>
      <c r="G4371" t="s">
        <v>70</v>
      </c>
      <c r="H4371" s="2">
        <v>45</v>
      </c>
      <c r="I4371">
        <v>100</v>
      </c>
      <c r="J4371" s="3">
        <v>4500</v>
      </c>
      <c r="K4371" s="4">
        <v>1350</v>
      </c>
      <c r="L4371" t="s">
        <v>36</v>
      </c>
    </row>
    <row r="4372" spans="1:12" x14ac:dyDescent="0.35">
      <c r="A4372" t="s">
        <v>23</v>
      </c>
      <c r="B4372">
        <v>1185732</v>
      </c>
      <c r="C4372" s="1">
        <v>44258</v>
      </c>
      <c r="D4372" t="s">
        <v>43</v>
      </c>
      <c r="E4372" t="s">
        <v>108</v>
      </c>
      <c r="F4372" t="s">
        <v>109</v>
      </c>
      <c r="G4372" t="s">
        <v>56</v>
      </c>
      <c r="H4372" s="2">
        <v>35</v>
      </c>
      <c r="I4372">
        <v>100</v>
      </c>
      <c r="J4372" s="3">
        <v>3500</v>
      </c>
      <c r="K4372" s="4">
        <v>1050</v>
      </c>
      <c r="L4372" t="s">
        <v>36</v>
      </c>
    </row>
    <row r="4373" spans="1:12" x14ac:dyDescent="0.35">
      <c r="A4373" t="s">
        <v>42</v>
      </c>
      <c r="B4373">
        <v>1185732</v>
      </c>
      <c r="C4373" s="1">
        <v>44445</v>
      </c>
      <c r="D4373" t="s">
        <v>43</v>
      </c>
      <c r="E4373" t="s">
        <v>110</v>
      </c>
      <c r="F4373" t="s">
        <v>111</v>
      </c>
      <c r="G4373" t="s">
        <v>56</v>
      </c>
      <c r="H4373" s="2">
        <v>40</v>
      </c>
      <c r="I4373">
        <v>100</v>
      </c>
      <c r="J4373" s="3">
        <v>4000</v>
      </c>
      <c r="K4373" s="4">
        <v>1600</v>
      </c>
      <c r="L4373" t="s">
        <v>36</v>
      </c>
    </row>
    <row r="4374" spans="1:12" x14ac:dyDescent="0.35">
      <c r="A4374" t="s">
        <v>42</v>
      </c>
      <c r="B4374">
        <v>1185732</v>
      </c>
      <c r="C4374" s="1">
        <v>44445</v>
      </c>
      <c r="D4374" t="s">
        <v>43</v>
      </c>
      <c r="E4374" t="s">
        <v>110</v>
      </c>
      <c r="F4374" t="s">
        <v>111</v>
      </c>
      <c r="G4374" t="s">
        <v>70</v>
      </c>
      <c r="H4374" s="2">
        <v>50</v>
      </c>
      <c r="I4374">
        <v>100</v>
      </c>
      <c r="J4374" s="3">
        <v>5000</v>
      </c>
      <c r="K4374" s="4">
        <v>1500</v>
      </c>
      <c r="L4374" t="s">
        <v>36</v>
      </c>
    </row>
    <row r="4375" spans="1:12" x14ac:dyDescent="0.35">
      <c r="A4375" t="s">
        <v>42</v>
      </c>
      <c r="B4375">
        <v>1185732</v>
      </c>
      <c r="C4375" s="1">
        <v>44477</v>
      </c>
      <c r="D4375" t="s">
        <v>43</v>
      </c>
      <c r="E4375" t="s">
        <v>110</v>
      </c>
      <c r="F4375" t="s">
        <v>111</v>
      </c>
      <c r="G4375" t="s">
        <v>32</v>
      </c>
      <c r="H4375" s="2">
        <v>50</v>
      </c>
      <c r="I4375">
        <v>100</v>
      </c>
      <c r="J4375" s="3">
        <v>5000</v>
      </c>
      <c r="K4375" s="4">
        <v>2000</v>
      </c>
      <c r="L4375" t="s">
        <v>36</v>
      </c>
    </row>
    <row r="4376" spans="1:12" x14ac:dyDescent="0.35">
      <c r="A4376" t="s">
        <v>23</v>
      </c>
      <c r="B4376">
        <v>1185732</v>
      </c>
      <c r="C4376" s="1">
        <v>44213</v>
      </c>
      <c r="D4376" t="s">
        <v>43</v>
      </c>
      <c r="E4376" t="s">
        <v>110</v>
      </c>
      <c r="F4376" t="s">
        <v>111</v>
      </c>
      <c r="G4376" t="s">
        <v>56</v>
      </c>
      <c r="H4376" s="2">
        <v>35</v>
      </c>
      <c r="I4376">
        <v>100</v>
      </c>
      <c r="J4376" s="3">
        <v>3500</v>
      </c>
      <c r="K4376" s="4">
        <v>875</v>
      </c>
      <c r="L4376" t="s">
        <v>36</v>
      </c>
    </row>
    <row r="4377" spans="1:12" x14ac:dyDescent="0.35">
      <c r="A4377" t="s">
        <v>23</v>
      </c>
      <c r="B4377">
        <v>1185732</v>
      </c>
      <c r="C4377" s="1">
        <v>44268</v>
      </c>
      <c r="D4377" t="s">
        <v>43</v>
      </c>
      <c r="E4377" t="s">
        <v>112</v>
      </c>
      <c r="F4377" t="s">
        <v>113</v>
      </c>
      <c r="G4377" t="s">
        <v>70</v>
      </c>
      <c r="H4377" s="2">
        <v>50</v>
      </c>
      <c r="I4377">
        <v>100</v>
      </c>
      <c r="J4377" s="3">
        <v>5000</v>
      </c>
      <c r="K4377" s="4">
        <v>1250</v>
      </c>
      <c r="L4377" t="s">
        <v>36</v>
      </c>
    </row>
    <row r="4378" spans="1:12" x14ac:dyDescent="0.35">
      <c r="A4378" t="s">
        <v>23</v>
      </c>
      <c r="B4378">
        <v>1185732</v>
      </c>
      <c r="C4378" s="1">
        <v>44484</v>
      </c>
      <c r="D4378" t="s">
        <v>43</v>
      </c>
      <c r="E4378" t="s">
        <v>112</v>
      </c>
      <c r="F4378" t="s">
        <v>113</v>
      </c>
      <c r="G4378" t="s">
        <v>56</v>
      </c>
      <c r="H4378" s="2">
        <v>55</v>
      </c>
      <c r="I4378">
        <v>100</v>
      </c>
      <c r="J4378" s="3">
        <v>5500</v>
      </c>
      <c r="K4378" s="4">
        <v>1375</v>
      </c>
      <c r="L4378" t="s">
        <v>36</v>
      </c>
    </row>
    <row r="4379" spans="1:12" x14ac:dyDescent="0.35">
      <c r="A4379" t="s">
        <v>23</v>
      </c>
      <c r="B4379">
        <v>1185732</v>
      </c>
      <c r="C4379" s="1">
        <v>44484</v>
      </c>
      <c r="D4379" t="s">
        <v>43</v>
      </c>
      <c r="E4379" t="s">
        <v>112</v>
      </c>
      <c r="F4379" t="s">
        <v>113</v>
      </c>
      <c r="G4379" t="s">
        <v>70</v>
      </c>
      <c r="H4379" s="2">
        <v>65</v>
      </c>
      <c r="I4379">
        <v>100</v>
      </c>
      <c r="J4379" s="3">
        <v>6500</v>
      </c>
      <c r="K4379" s="4">
        <v>1625</v>
      </c>
      <c r="L4379" t="s">
        <v>36</v>
      </c>
    </row>
    <row r="4380" spans="1:12" x14ac:dyDescent="0.35">
      <c r="A4380" t="s">
        <v>23</v>
      </c>
      <c r="B4380">
        <v>1197831</v>
      </c>
      <c r="C4380" s="1">
        <v>44477</v>
      </c>
      <c r="D4380" t="s">
        <v>19</v>
      </c>
      <c r="E4380" t="s">
        <v>59</v>
      </c>
      <c r="F4380" t="s">
        <v>68</v>
      </c>
      <c r="G4380" t="s">
        <v>70</v>
      </c>
      <c r="H4380" s="2">
        <v>36</v>
      </c>
      <c r="I4380">
        <v>100</v>
      </c>
      <c r="J4380">
        <v>360</v>
      </c>
      <c r="K4380" s="4">
        <v>162</v>
      </c>
      <c r="L4380" t="s">
        <v>17</v>
      </c>
    </row>
    <row r="4381" spans="1:12" x14ac:dyDescent="0.35">
      <c r="A4381" t="s">
        <v>18</v>
      </c>
      <c r="B4381">
        <v>1128299</v>
      </c>
      <c r="C4381" s="1">
        <v>43952</v>
      </c>
      <c r="D4381" t="s">
        <v>48</v>
      </c>
      <c r="E4381" t="s">
        <v>133</v>
      </c>
      <c r="F4381" t="s">
        <v>134</v>
      </c>
      <c r="G4381" t="s">
        <v>16</v>
      </c>
      <c r="H4381" s="2">
        <v>74</v>
      </c>
      <c r="I4381">
        <v>100</v>
      </c>
      <c r="J4381">
        <v>740</v>
      </c>
      <c r="K4381" s="4">
        <v>259</v>
      </c>
      <c r="L4381" t="s">
        <v>17</v>
      </c>
    </row>
    <row r="4382" spans="1:12" x14ac:dyDescent="0.35">
      <c r="A4382" t="s">
        <v>18</v>
      </c>
      <c r="B4382">
        <v>1128299</v>
      </c>
      <c r="C4382" s="1">
        <v>43956</v>
      </c>
      <c r="D4382" t="s">
        <v>48</v>
      </c>
      <c r="E4382" t="s">
        <v>133</v>
      </c>
      <c r="F4382" t="s">
        <v>134</v>
      </c>
      <c r="G4382" t="s">
        <v>56</v>
      </c>
      <c r="H4382" s="2">
        <v>59</v>
      </c>
      <c r="I4382">
        <v>100</v>
      </c>
      <c r="J4382">
        <v>590</v>
      </c>
      <c r="K4382" s="4">
        <v>283</v>
      </c>
      <c r="L4382" t="s">
        <v>17</v>
      </c>
    </row>
    <row r="4383" spans="1:12" x14ac:dyDescent="0.35">
      <c r="A4383" t="s">
        <v>63</v>
      </c>
      <c r="B4383">
        <v>1189833</v>
      </c>
      <c r="C4383" s="1">
        <v>44245</v>
      </c>
      <c r="D4383" t="s">
        <v>33</v>
      </c>
      <c r="E4383" t="s">
        <v>131</v>
      </c>
      <c r="F4383" t="s">
        <v>132</v>
      </c>
      <c r="G4383" t="s">
        <v>70</v>
      </c>
      <c r="H4383" s="2">
        <v>50</v>
      </c>
      <c r="I4383">
        <v>100</v>
      </c>
      <c r="J4383">
        <v>500</v>
      </c>
      <c r="K4383" s="4">
        <v>365</v>
      </c>
      <c r="L4383" t="s">
        <v>17</v>
      </c>
    </row>
    <row r="4384" spans="1:12" x14ac:dyDescent="0.35">
      <c r="A4384" t="s">
        <v>23</v>
      </c>
      <c r="B4384">
        <v>1197831</v>
      </c>
      <c r="C4384" s="1">
        <v>44316</v>
      </c>
      <c r="D4384" t="s">
        <v>19</v>
      </c>
      <c r="E4384" t="s">
        <v>74</v>
      </c>
      <c r="F4384" t="s">
        <v>75</v>
      </c>
      <c r="G4384" t="s">
        <v>56</v>
      </c>
      <c r="H4384" s="2">
        <v>53</v>
      </c>
      <c r="I4384">
        <v>100</v>
      </c>
      <c r="J4384">
        <v>530</v>
      </c>
      <c r="K4384" s="4">
        <v>371</v>
      </c>
      <c r="L4384" t="s">
        <v>17</v>
      </c>
    </row>
    <row r="4385" spans="1:12" x14ac:dyDescent="0.35">
      <c r="A4385" t="s">
        <v>51</v>
      </c>
      <c r="B4385">
        <v>1185732</v>
      </c>
      <c r="C4385" s="1">
        <v>44336</v>
      </c>
      <c r="D4385" t="s">
        <v>48</v>
      </c>
      <c r="E4385" t="s">
        <v>137</v>
      </c>
      <c r="F4385" t="s">
        <v>138</v>
      </c>
      <c r="G4385" t="s">
        <v>16</v>
      </c>
      <c r="H4385" s="2">
        <v>67</v>
      </c>
      <c r="I4385">
        <v>100</v>
      </c>
      <c r="J4385">
        <v>670</v>
      </c>
      <c r="K4385" s="4">
        <v>275</v>
      </c>
      <c r="L4385" t="s">
        <v>17</v>
      </c>
    </row>
    <row r="4386" spans="1:12" x14ac:dyDescent="0.35">
      <c r="A4386" t="s">
        <v>23</v>
      </c>
      <c r="B4386">
        <v>1128299</v>
      </c>
      <c r="C4386" s="1">
        <v>44271</v>
      </c>
      <c r="D4386" t="s">
        <v>13</v>
      </c>
      <c r="E4386" t="s">
        <v>14</v>
      </c>
      <c r="F4386" t="s">
        <v>15</v>
      </c>
      <c r="G4386" t="s">
        <v>39</v>
      </c>
      <c r="H4386" s="2">
        <v>58</v>
      </c>
      <c r="I4386">
        <v>100</v>
      </c>
      <c r="J4386">
        <v>580</v>
      </c>
      <c r="K4386" s="4">
        <v>220</v>
      </c>
      <c r="L4386" t="s">
        <v>17</v>
      </c>
    </row>
    <row r="4387" spans="1:12" x14ac:dyDescent="0.35">
      <c r="A4387" t="s">
        <v>12</v>
      </c>
      <c r="B4387">
        <v>1128299</v>
      </c>
      <c r="C4387" s="1">
        <v>44486</v>
      </c>
      <c r="D4387" t="s">
        <v>13</v>
      </c>
      <c r="E4387" t="s">
        <v>14</v>
      </c>
      <c r="F4387" t="s">
        <v>15</v>
      </c>
      <c r="G4387" t="s">
        <v>26</v>
      </c>
      <c r="H4387" s="2">
        <v>47</v>
      </c>
      <c r="I4387">
        <v>100</v>
      </c>
      <c r="J4387">
        <v>470</v>
      </c>
      <c r="K4387" s="4">
        <v>207</v>
      </c>
      <c r="L4387" t="s">
        <v>17</v>
      </c>
    </row>
    <row r="4388" spans="1:12" x14ac:dyDescent="0.35">
      <c r="A4388" t="s">
        <v>42</v>
      </c>
      <c r="B4388">
        <v>1185732</v>
      </c>
      <c r="C4388" s="1">
        <v>44458</v>
      </c>
      <c r="D4388" t="s">
        <v>33</v>
      </c>
      <c r="E4388" t="s">
        <v>34</v>
      </c>
      <c r="F4388" t="s">
        <v>35</v>
      </c>
      <c r="G4388" t="s">
        <v>39</v>
      </c>
      <c r="H4388" s="2">
        <v>28</v>
      </c>
      <c r="I4388">
        <v>100</v>
      </c>
      <c r="J4388">
        <v>280</v>
      </c>
      <c r="K4388" s="4">
        <v>132</v>
      </c>
      <c r="L4388" t="s">
        <v>17</v>
      </c>
    </row>
    <row r="4389" spans="1:12" x14ac:dyDescent="0.35">
      <c r="A4389" t="s">
        <v>18</v>
      </c>
      <c r="B4389">
        <v>1185732</v>
      </c>
      <c r="C4389" s="1">
        <v>44265</v>
      </c>
      <c r="D4389" t="s">
        <v>48</v>
      </c>
      <c r="E4389" t="s">
        <v>49</v>
      </c>
      <c r="F4389" t="s">
        <v>50</v>
      </c>
      <c r="G4389" t="s">
        <v>16</v>
      </c>
      <c r="H4389" s="2">
        <v>29</v>
      </c>
      <c r="I4389">
        <v>100</v>
      </c>
      <c r="J4389">
        <v>290</v>
      </c>
      <c r="K4389" s="4">
        <v>186</v>
      </c>
      <c r="L4389" t="s">
        <v>17</v>
      </c>
    </row>
    <row r="4390" spans="1:12" x14ac:dyDescent="0.35">
      <c r="A4390" t="s">
        <v>18</v>
      </c>
      <c r="B4390">
        <v>1185732</v>
      </c>
      <c r="C4390" s="1">
        <v>44480</v>
      </c>
      <c r="D4390" t="s">
        <v>48</v>
      </c>
      <c r="E4390" t="s">
        <v>49</v>
      </c>
      <c r="F4390" t="s">
        <v>50</v>
      </c>
      <c r="G4390" t="s">
        <v>39</v>
      </c>
      <c r="H4390" s="2">
        <v>19</v>
      </c>
      <c r="I4390">
        <v>100</v>
      </c>
      <c r="J4390">
        <v>190</v>
      </c>
      <c r="K4390" s="4">
        <v>95</v>
      </c>
      <c r="L4390" t="s">
        <v>17</v>
      </c>
    </row>
    <row r="4391" spans="1:12" x14ac:dyDescent="0.35">
      <c r="A4391" t="s">
        <v>18</v>
      </c>
      <c r="B4391">
        <v>1128299</v>
      </c>
      <c r="C4391" s="1">
        <v>44213</v>
      </c>
      <c r="D4391" t="s">
        <v>48</v>
      </c>
      <c r="E4391" t="s">
        <v>85</v>
      </c>
      <c r="F4391" t="s">
        <v>86</v>
      </c>
      <c r="G4391" t="s">
        <v>26</v>
      </c>
      <c r="H4391" s="2">
        <v>33</v>
      </c>
      <c r="I4391">
        <v>100</v>
      </c>
      <c r="J4391">
        <v>330</v>
      </c>
      <c r="K4391" s="4">
        <v>168</v>
      </c>
      <c r="L4391" t="s">
        <v>17</v>
      </c>
    </row>
    <row r="4392" spans="1:12" x14ac:dyDescent="0.35">
      <c r="A4392" t="s">
        <v>18</v>
      </c>
      <c r="B4392">
        <v>1128299</v>
      </c>
      <c r="C4392" s="1">
        <v>44213</v>
      </c>
      <c r="D4392" t="s">
        <v>48</v>
      </c>
      <c r="E4392" t="s">
        <v>85</v>
      </c>
      <c r="F4392" t="s">
        <v>86</v>
      </c>
      <c r="G4392" t="s">
        <v>39</v>
      </c>
      <c r="H4392" s="2">
        <v>42</v>
      </c>
      <c r="I4392">
        <v>100</v>
      </c>
      <c r="J4392">
        <v>420</v>
      </c>
      <c r="K4392" s="4">
        <v>227</v>
      </c>
      <c r="L4392" t="s">
        <v>17</v>
      </c>
    </row>
    <row r="4393" spans="1:12" x14ac:dyDescent="0.35">
      <c r="A4393" t="s">
        <v>18</v>
      </c>
      <c r="B4393">
        <v>1128299</v>
      </c>
      <c r="C4393" s="1">
        <v>44334</v>
      </c>
      <c r="D4393" t="s">
        <v>19</v>
      </c>
      <c r="E4393" t="s">
        <v>20</v>
      </c>
      <c r="F4393" t="s">
        <v>21</v>
      </c>
      <c r="G4393" t="s">
        <v>39</v>
      </c>
      <c r="H4393" s="2">
        <v>47</v>
      </c>
      <c r="I4393">
        <v>100</v>
      </c>
      <c r="J4393">
        <v>470</v>
      </c>
      <c r="K4393" s="4">
        <v>244</v>
      </c>
      <c r="L4393" t="s">
        <v>17</v>
      </c>
    </row>
    <row r="4394" spans="1:12" x14ac:dyDescent="0.35">
      <c r="A4394" t="s">
        <v>18</v>
      </c>
      <c r="B4394">
        <v>1128299</v>
      </c>
      <c r="C4394" s="1">
        <v>44486</v>
      </c>
      <c r="D4394" t="s">
        <v>19</v>
      </c>
      <c r="E4394" t="s">
        <v>20</v>
      </c>
      <c r="F4394" t="s">
        <v>21</v>
      </c>
      <c r="G4394" t="s">
        <v>32</v>
      </c>
      <c r="H4394" s="2">
        <v>42</v>
      </c>
      <c r="I4394">
        <v>100</v>
      </c>
      <c r="J4394">
        <v>420</v>
      </c>
      <c r="K4394" s="4">
        <v>210</v>
      </c>
      <c r="L4394" t="s">
        <v>17</v>
      </c>
    </row>
    <row r="4395" spans="1:12" x14ac:dyDescent="0.35">
      <c r="A4395" t="s">
        <v>23</v>
      </c>
      <c r="B4395">
        <v>1128299</v>
      </c>
      <c r="C4395" s="1">
        <v>44453</v>
      </c>
      <c r="D4395" t="s">
        <v>13</v>
      </c>
      <c r="E4395" t="s">
        <v>57</v>
      </c>
      <c r="F4395" t="s">
        <v>58</v>
      </c>
      <c r="G4395" t="s">
        <v>70</v>
      </c>
      <c r="H4395" s="2">
        <v>54</v>
      </c>
      <c r="I4395">
        <v>100</v>
      </c>
      <c r="J4395">
        <v>540</v>
      </c>
      <c r="K4395" s="4">
        <v>259</v>
      </c>
      <c r="L4395" t="s">
        <v>17</v>
      </c>
    </row>
    <row r="4396" spans="1:12" x14ac:dyDescent="0.35">
      <c r="A4396" t="s">
        <v>42</v>
      </c>
      <c r="B4396">
        <v>1185732</v>
      </c>
      <c r="C4396" s="1">
        <v>44271</v>
      </c>
      <c r="D4396" t="s">
        <v>19</v>
      </c>
      <c r="E4396" t="s">
        <v>37</v>
      </c>
      <c r="F4396" t="s">
        <v>38</v>
      </c>
      <c r="G4396" t="s">
        <v>39</v>
      </c>
      <c r="H4396" s="2">
        <v>24</v>
      </c>
      <c r="I4396">
        <v>100</v>
      </c>
      <c r="J4396">
        <v>240</v>
      </c>
      <c r="K4396" s="4">
        <v>113</v>
      </c>
      <c r="L4396" t="s">
        <v>17</v>
      </c>
    </row>
    <row r="4397" spans="1:12" x14ac:dyDescent="0.35">
      <c r="A4397" t="s">
        <v>12</v>
      </c>
      <c r="B4397">
        <v>1185732</v>
      </c>
      <c r="C4397" s="1">
        <v>44455</v>
      </c>
      <c r="D4397" t="s">
        <v>19</v>
      </c>
      <c r="E4397" t="s">
        <v>37</v>
      </c>
      <c r="F4397" t="s">
        <v>38</v>
      </c>
      <c r="G4397" t="s">
        <v>56</v>
      </c>
      <c r="H4397" s="2">
        <v>19</v>
      </c>
      <c r="I4397">
        <v>100</v>
      </c>
      <c r="J4397">
        <v>190</v>
      </c>
      <c r="K4397" s="4">
        <v>105</v>
      </c>
      <c r="L4397" t="s">
        <v>17</v>
      </c>
    </row>
    <row r="4398" spans="1:12" x14ac:dyDescent="0.35">
      <c r="A4398" t="s">
        <v>42</v>
      </c>
      <c r="B4398">
        <v>1185732</v>
      </c>
      <c r="C4398" s="1">
        <v>44517</v>
      </c>
      <c r="D4398" t="s">
        <v>43</v>
      </c>
      <c r="E4398" t="s">
        <v>64</v>
      </c>
      <c r="F4398" t="s">
        <v>65</v>
      </c>
      <c r="G4398" t="s">
        <v>16</v>
      </c>
      <c r="H4398" s="2">
        <v>64</v>
      </c>
      <c r="I4398">
        <v>100</v>
      </c>
      <c r="J4398">
        <v>640</v>
      </c>
      <c r="K4398" s="4">
        <v>326</v>
      </c>
      <c r="L4398" t="s">
        <v>17</v>
      </c>
    </row>
    <row r="4399" spans="1:12" x14ac:dyDescent="0.35">
      <c r="A4399" t="s">
        <v>63</v>
      </c>
      <c r="B4399">
        <v>1185732</v>
      </c>
      <c r="C4399" s="1">
        <v>44543</v>
      </c>
      <c r="D4399" t="s">
        <v>43</v>
      </c>
      <c r="E4399" t="s">
        <v>95</v>
      </c>
      <c r="F4399" t="s">
        <v>96</v>
      </c>
      <c r="G4399" t="s">
        <v>39</v>
      </c>
      <c r="H4399" s="2">
        <v>50</v>
      </c>
      <c r="I4399">
        <v>100</v>
      </c>
      <c r="J4399">
        <v>500</v>
      </c>
      <c r="K4399" s="4">
        <v>240</v>
      </c>
      <c r="L4399" t="s">
        <v>17</v>
      </c>
    </row>
    <row r="4400" spans="1:12" x14ac:dyDescent="0.35">
      <c r="A4400" t="s">
        <v>51</v>
      </c>
      <c r="B4400">
        <v>1185732</v>
      </c>
      <c r="C4400" s="1">
        <v>44540</v>
      </c>
      <c r="D4400" t="s">
        <v>43</v>
      </c>
      <c r="E4400" t="s">
        <v>125</v>
      </c>
      <c r="F4400" t="s">
        <v>126</v>
      </c>
      <c r="G4400" t="s">
        <v>39</v>
      </c>
      <c r="H4400" s="2">
        <v>55</v>
      </c>
      <c r="I4400">
        <v>100</v>
      </c>
      <c r="J4400">
        <v>550</v>
      </c>
      <c r="K4400" s="4">
        <v>303</v>
      </c>
      <c r="L4400" t="s">
        <v>17</v>
      </c>
    </row>
    <row r="4401" spans="1:12" x14ac:dyDescent="0.35">
      <c r="A4401" t="s">
        <v>42</v>
      </c>
      <c r="B4401">
        <v>1185732</v>
      </c>
      <c r="C4401" s="1">
        <v>44528</v>
      </c>
      <c r="D4401" t="s">
        <v>43</v>
      </c>
      <c r="E4401" t="s">
        <v>135</v>
      </c>
      <c r="F4401" t="s">
        <v>136</v>
      </c>
      <c r="G4401" t="s">
        <v>39</v>
      </c>
      <c r="H4401" s="2">
        <v>45</v>
      </c>
      <c r="I4401">
        <v>99</v>
      </c>
      <c r="J4401">
        <v>446</v>
      </c>
      <c r="K4401" s="4">
        <v>174</v>
      </c>
      <c r="L4401" t="s">
        <v>27</v>
      </c>
    </row>
    <row r="4402" spans="1:12" x14ac:dyDescent="0.35">
      <c r="A4402" t="s">
        <v>12</v>
      </c>
      <c r="B4402">
        <v>1128299</v>
      </c>
      <c r="C4402" s="1">
        <v>44457</v>
      </c>
      <c r="D4402" t="s">
        <v>13</v>
      </c>
      <c r="E4402" t="s">
        <v>14</v>
      </c>
      <c r="F4402" t="s">
        <v>15</v>
      </c>
      <c r="G4402" t="s">
        <v>16</v>
      </c>
      <c r="H4402" s="2">
        <v>42</v>
      </c>
      <c r="I4402">
        <v>99</v>
      </c>
      <c r="J4402">
        <v>416</v>
      </c>
      <c r="K4402" s="4">
        <v>204</v>
      </c>
      <c r="L4402" t="s">
        <v>27</v>
      </c>
    </row>
    <row r="4403" spans="1:12" x14ac:dyDescent="0.35">
      <c r="A4403" t="s">
        <v>42</v>
      </c>
      <c r="B4403">
        <v>1128299</v>
      </c>
      <c r="C4403" s="1">
        <v>44523</v>
      </c>
      <c r="D4403" t="s">
        <v>48</v>
      </c>
      <c r="E4403" t="s">
        <v>123</v>
      </c>
      <c r="F4403" t="s">
        <v>124</v>
      </c>
      <c r="G4403" t="s">
        <v>70</v>
      </c>
      <c r="H4403" s="2">
        <v>44</v>
      </c>
      <c r="I4403">
        <v>99</v>
      </c>
      <c r="J4403">
        <v>436</v>
      </c>
      <c r="K4403" s="4">
        <v>157</v>
      </c>
      <c r="L4403" t="s">
        <v>27</v>
      </c>
    </row>
    <row r="4404" spans="1:12" x14ac:dyDescent="0.35">
      <c r="A4404" t="s">
        <v>23</v>
      </c>
      <c r="B4404">
        <v>1128299</v>
      </c>
      <c r="C4404" s="1">
        <v>44209</v>
      </c>
      <c r="D4404" t="s">
        <v>48</v>
      </c>
      <c r="E4404" t="s">
        <v>114</v>
      </c>
      <c r="F4404" t="s">
        <v>115</v>
      </c>
      <c r="G4404" t="s">
        <v>56</v>
      </c>
      <c r="H4404" s="2">
        <v>28</v>
      </c>
      <c r="I4404">
        <v>99</v>
      </c>
      <c r="J4404">
        <v>277</v>
      </c>
      <c r="K4404" s="4">
        <v>116</v>
      </c>
      <c r="L4404" t="s">
        <v>27</v>
      </c>
    </row>
    <row r="4405" spans="1:12" x14ac:dyDescent="0.35">
      <c r="A4405" t="s">
        <v>12</v>
      </c>
      <c r="B4405">
        <v>1197831</v>
      </c>
      <c r="C4405" s="1">
        <v>44490</v>
      </c>
      <c r="D4405" t="s">
        <v>19</v>
      </c>
      <c r="E4405" t="s">
        <v>54</v>
      </c>
      <c r="F4405" t="s">
        <v>55</v>
      </c>
      <c r="G4405" t="s">
        <v>32</v>
      </c>
      <c r="H4405" s="2">
        <v>16</v>
      </c>
      <c r="I4405">
        <v>99</v>
      </c>
      <c r="J4405">
        <v>158</v>
      </c>
      <c r="K4405" s="4">
        <v>73</v>
      </c>
      <c r="L4405" t="s">
        <v>27</v>
      </c>
    </row>
    <row r="4406" spans="1:12" x14ac:dyDescent="0.35">
      <c r="A4406" t="s">
        <v>42</v>
      </c>
      <c r="B4406">
        <v>1185732</v>
      </c>
      <c r="C4406" s="1">
        <v>44533</v>
      </c>
      <c r="D4406" t="s">
        <v>43</v>
      </c>
      <c r="E4406" t="s">
        <v>108</v>
      </c>
      <c r="F4406" t="s">
        <v>109</v>
      </c>
      <c r="G4406" t="s">
        <v>70</v>
      </c>
      <c r="H4406" s="2">
        <v>42</v>
      </c>
      <c r="I4406">
        <v>99</v>
      </c>
      <c r="J4406">
        <v>416</v>
      </c>
      <c r="K4406" s="4">
        <v>146</v>
      </c>
      <c r="L4406" t="s">
        <v>27</v>
      </c>
    </row>
    <row r="4407" spans="1:12" x14ac:dyDescent="0.35">
      <c r="A4407" t="s">
        <v>51</v>
      </c>
      <c r="B4407">
        <v>1185732</v>
      </c>
      <c r="C4407" s="1">
        <v>44481</v>
      </c>
      <c r="D4407" t="s">
        <v>43</v>
      </c>
      <c r="E4407" t="s">
        <v>125</v>
      </c>
      <c r="F4407" t="s">
        <v>126</v>
      </c>
      <c r="G4407" t="s">
        <v>39</v>
      </c>
      <c r="H4407" s="2">
        <v>44</v>
      </c>
      <c r="I4407">
        <v>99</v>
      </c>
      <c r="J4407">
        <v>436</v>
      </c>
      <c r="K4407" s="4">
        <v>213</v>
      </c>
      <c r="L4407" t="s">
        <v>27</v>
      </c>
    </row>
    <row r="4408" spans="1:12" x14ac:dyDescent="0.35">
      <c r="A4408" t="s">
        <v>51</v>
      </c>
      <c r="B4408">
        <v>1185732</v>
      </c>
      <c r="C4408" s="1">
        <v>44272</v>
      </c>
      <c r="D4408" t="s">
        <v>43</v>
      </c>
      <c r="E4408" t="s">
        <v>127</v>
      </c>
      <c r="F4408" t="s">
        <v>128</v>
      </c>
      <c r="G4408" t="s">
        <v>16</v>
      </c>
      <c r="H4408" s="2">
        <v>36</v>
      </c>
      <c r="I4408">
        <v>99</v>
      </c>
      <c r="J4408">
        <v>356</v>
      </c>
      <c r="K4408" s="4">
        <v>135</v>
      </c>
      <c r="L4408" t="s">
        <v>27</v>
      </c>
    </row>
    <row r="4409" spans="1:12" x14ac:dyDescent="0.35">
      <c r="A4409" t="s">
        <v>42</v>
      </c>
      <c r="B4409">
        <v>1185732</v>
      </c>
      <c r="C4409" s="1">
        <v>44488</v>
      </c>
      <c r="D4409" t="s">
        <v>43</v>
      </c>
      <c r="E4409" t="s">
        <v>127</v>
      </c>
      <c r="F4409" t="s">
        <v>128</v>
      </c>
      <c r="G4409" t="s">
        <v>39</v>
      </c>
      <c r="H4409" s="2">
        <v>44</v>
      </c>
      <c r="I4409">
        <v>99</v>
      </c>
      <c r="J4409">
        <v>436</v>
      </c>
      <c r="K4409" s="4">
        <v>192</v>
      </c>
      <c r="L4409" t="s">
        <v>27</v>
      </c>
    </row>
    <row r="4410" spans="1:12" x14ac:dyDescent="0.35">
      <c r="A4410" t="s">
        <v>42</v>
      </c>
      <c r="B4410">
        <v>1185732</v>
      </c>
      <c r="C4410" s="1">
        <v>44220</v>
      </c>
      <c r="D4410" t="s">
        <v>43</v>
      </c>
      <c r="E4410" t="s">
        <v>127</v>
      </c>
      <c r="F4410" t="s">
        <v>128</v>
      </c>
      <c r="G4410" t="s">
        <v>32</v>
      </c>
      <c r="H4410" s="2">
        <v>35</v>
      </c>
      <c r="I4410">
        <v>99</v>
      </c>
      <c r="J4410">
        <v>347</v>
      </c>
      <c r="K4410" s="4">
        <v>94</v>
      </c>
      <c r="L4410" t="s">
        <v>27</v>
      </c>
    </row>
    <row r="4411" spans="1:12" x14ac:dyDescent="0.35">
      <c r="A4411" t="s">
        <v>42</v>
      </c>
      <c r="B4411">
        <v>1185732</v>
      </c>
      <c r="C4411" s="1">
        <v>44532</v>
      </c>
      <c r="D4411" t="s">
        <v>43</v>
      </c>
      <c r="E4411" t="s">
        <v>135</v>
      </c>
      <c r="F4411" t="s">
        <v>136</v>
      </c>
      <c r="G4411" t="s">
        <v>16</v>
      </c>
      <c r="H4411" s="2">
        <v>64</v>
      </c>
      <c r="I4411">
        <v>98</v>
      </c>
      <c r="J4411">
        <v>627</v>
      </c>
      <c r="K4411" s="4">
        <v>263</v>
      </c>
      <c r="L4411" t="s">
        <v>17</v>
      </c>
    </row>
    <row r="4412" spans="1:12" x14ac:dyDescent="0.35">
      <c r="A4412" t="s">
        <v>18</v>
      </c>
      <c r="B4412">
        <v>1128299</v>
      </c>
      <c r="C4412" s="1">
        <v>43928</v>
      </c>
      <c r="D4412" t="s">
        <v>48</v>
      </c>
      <c r="E4412" t="s">
        <v>133</v>
      </c>
      <c r="F4412" t="s">
        <v>134</v>
      </c>
      <c r="G4412" t="s">
        <v>16</v>
      </c>
      <c r="H4412" s="2">
        <v>72</v>
      </c>
      <c r="I4412">
        <v>98</v>
      </c>
      <c r="J4412">
        <v>706</v>
      </c>
      <c r="K4412" s="4">
        <v>176</v>
      </c>
      <c r="L4412" t="s">
        <v>17</v>
      </c>
    </row>
    <row r="4413" spans="1:12" x14ac:dyDescent="0.35">
      <c r="A4413" t="s">
        <v>18</v>
      </c>
      <c r="B4413">
        <v>1128299</v>
      </c>
      <c r="C4413" s="1">
        <v>43931</v>
      </c>
      <c r="D4413" t="s">
        <v>48</v>
      </c>
      <c r="E4413" t="s">
        <v>133</v>
      </c>
      <c r="F4413" t="s">
        <v>134</v>
      </c>
      <c r="G4413" t="s">
        <v>32</v>
      </c>
      <c r="H4413" s="2">
        <v>59</v>
      </c>
      <c r="I4413">
        <v>98</v>
      </c>
      <c r="J4413">
        <v>578</v>
      </c>
      <c r="K4413" s="4">
        <v>347</v>
      </c>
      <c r="L4413" t="s">
        <v>17</v>
      </c>
    </row>
    <row r="4414" spans="1:12" x14ac:dyDescent="0.35">
      <c r="A4414" t="s">
        <v>18</v>
      </c>
      <c r="B4414">
        <v>1128299</v>
      </c>
      <c r="C4414" s="1">
        <v>44034</v>
      </c>
      <c r="D4414" t="s">
        <v>48</v>
      </c>
      <c r="E4414" t="s">
        <v>97</v>
      </c>
      <c r="F4414" t="s">
        <v>98</v>
      </c>
      <c r="G4414" t="s">
        <v>56</v>
      </c>
      <c r="H4414" s="2">
        <v>58</v>
      </c>
      <c r="I4414">
        <v>98</v>
      </c>
      <c r="J4414">
        <v>568</v>
      </c>
      <c r="K4414" s="4">
        <v>250</v>
      </c>
      <c r="L4414" t="s">
        <v>17</v>
      </c>
    </row>
    <row r="4415" spans="1:12" x14ac:dyDescent="0.35">
      <c r="A4415" t="s">
        <v>42</v>
      </c>
      <c r="B4415">
        <v>1185732</v>
      </c>
      <c r="C4415" s="1">
        <v>44162</v>
      </c>
      <c r="D4415" t="s">
        <v>33</v>
      </c>
      <c r="E4415" t="s">
        <v>104</v>
      </c>
      <c r="F4415" t="s">
        <v>105</v>
      </c>
      <c r="G4415" t="s">
        <v>16</v>
      </c>
      <c r="H4415" s="2">
        <v>54</v>
      </c>
      <c r="I4415">
        <v>98</v>
      </c>
      <c r="J4415">
        <v>529</v>
      </c>
      <c r="K4415" s="4">
        <v>291</v>
      </c>
      <c r="L4415" t="s">
        <v>17</v>
      </c>
    </row>
    <row r="4416" spans="1:12" x14ac:dyDescent="0.35">
      <c r="A4416" t="s">
        <v>42</v>
      </c>
      <c r="B4416">
        <v>1185732</v>
      </c>
      <c r="C4416" s="1">
        <v>44175</v>
      </c>
      <c r="D4416" t="s">
        <v>33</v>
      </c>
      <c r="E4416" t="s">
        <v>104</v>
      </c>
      <c r="F4416" t="s">
        <v>105</v>
      </c>
      <c r="G4416" t="s">
        <v>26</v>
      </c>
      <c r="H4416" s="2">
        <v>41</v>
      </c>
      <c r="I4416">
        <v>98</v>
      </c>
      <c r="J4416">
        <v>402</v>
      </c>
      <c r="K4416" s="4">
        <v>189</v>
      </c>
      <c r="L4416" t="s">
        <v>17</v>
      </c>
    </row>
    <row r="4417" spans="1:12" x14ac:dyDescent="0.35">
      <c r="A4417" t="s">
        <v>63</v>
      </c>
      <c r="B4417">
        <v>1189833</v>
      </c>
      <c r="C4417" s="1">
        <v>44196</v>
      </c>
      <c r="D4417" t="s">
        <v>33</v>
      </c>
      <c r="E4417" t="s">
        <v>104</v>
      </c>
      <c r="F4417" t="s">
        <v>105</v>
      </c>
      <c r="G4417" t="s">
        <v>56</v>
      </c>
      <c r="H4417" s="2">
        <v>44</v>
      </c>
      <c r="I4417">
        <v>98</v>
      </c>
      <c r="J4417">
        <v>431</v>
      </c>
      <c r="K4417" s="4">
        <v>224</v>
      </c>
      <c r="L4417" t="s">
        <v>17</v>
      </c>
    </row>
    <row r="4418" spans="1:12" x14ac:dyDescent="0.35">
      <c r="A4418" t="s">
        <v>63</v>
      </c>
      <c r="B4418">
        <v>1189833</v>
      </c>
      <c r="C4418" s="1">
        <v>44251</v>
      </c>
      <c r="D4418" t="s">
        <v>33</v>
      </c>
      <c r="E4418" t="s">
        <v>131</v>
      </c>
      <c r="F4418" t="s">
        <v>132</v>
      </c>
      <c r="G4418" t="s">
        <v>70</v>
      </c>
      <c r="H4418" s="2">
        <v>54</v>
      </c>
      <c r="I4418">
        <v>98</v>
      </c>
      <c r="J4418">
        <v>529</v>
      </c>
      <c r="K4418" s="4">
        <v>397</v>
      </c>
      <c r="L4418" t="s">
        <v>17</v>
      </c>
    </row>
    <row r="4419" spans="1:12" x14ac:dyDescent="0.35">
      <c r="A4419" t="s">
        <v>23</v>
      </c>
      <c r="B4419">
        <v>1197831</v>
      </c>
      <c r="C4419" s="1">
        <v>44322</v>
      </c>
      <c r="D4419" t="s">
        <v>19</v>
      </c>
      <c r="E4419" t="s">
        <v>74</v>
      </c>
      <c r="F4419" t="s">
        <v>75</v>
      </c>
      <c r="G4419" t="s">
        <v>56</v>
      </c>
      <c r="H4419" s="2">
        <v>38</v>
      </c>
      <c r="I4419">
        <v>98</v>
      </c>
      <c r="J4419">
        <v>372</v>
      </c>
      <c r="K4419" s="4">
        <v>261</v>
      </c>
      <c r="L4419" t="s">
        <v>17</v>
      </c>
    </row>
    <row r="4420" spans="1:12" x14ac:dyDescent="0.35">
      <c r="A4420" t="s">
        <v>23</v>
      </c>
      <c r="B4420">
        <v>1197831</v>
      </c>
      <c r="C4420" s="1">
        <v>44418</v>
      </c>
      <c r="D4420" t="s">
        <v>19</v>
      </c>
      <c r="E4420" t="s">
        <v>24</v>
      </c>
      <c r="F4420" t="s">
        <v>25</v>
      </c>
      <c r="G4420" t="s">
        <v>56</v>
      </c>
      <c r="H4420" s="2">
        <v>32</v>
      </c>
      <c r="I4420">
        <v>98</v>
      </c>
      <c r="J4420">
        <v>314</v>
      </c>
      <c r="K4420" s="4">
        <v>194</v>
      </c>
      <c r="L4420" t="s">
        <v>17</v>
      </c>
    </row>
    <row r="4421" spans="1:12" x14ac:dyDescent="0.35">
      <c r="A4421" t="s">
        <v>51</v>
      </c>
      <c r="B4421">
        <v>1185732</v>
      </c>
      <c r="C4421" s="1">
        <v>44518</v>
      </c>
      <c r="D4421" t="s">
        <v>43</v>
      </c>
      <c r="E4421" t="s">
        <v>122</v>
      </c>
      <c r="F4421" t="s">
        <v>86</v>
      </c>
      <c r="G4421" t="s">
        <v>26</v>
      </c>
      <c r="H4421" s="2">
        <v>62</v>
      </c>
      <c r="I4421">
        <v>98</v>
      </c>
      <c r="J4421">
        <v>608</v>
      </c>
      <c r="K4421" s="4">
        <v>298</v>
      </c>
      <c r="L4421" t="s">
        <v>17</v>
      </c>
    </row>
    <row r="4422" spans="1:12" x14ac:dyDescent="0.35">
      <c r="A4422" t="s">
        <v>18</v>
      </c>
      <c r="B4422">
        <v>1128299</v>
      </c>
      <c r="C4422" s="1">
        <v>44206</v>
      </c>
      <c r="D4422" t="s">
        <v>43</v>
      </c>
      <c r="E4422" t="s">
        <v>122</v>
      </c>
      <c r="F4422" t="s">
        <v>86</v>
      </c>
      <c r="G4422" t="s">
        <v>26</v>
      </c>
      <c r="H4422" s="2">
        <v>33</v>
      </c>
      <c r="I4422">
        <v>98</v>
      </c>
      <c r="J4422">
        <v>323</v>
      </c>
      <c r="K4422" s="4">
        <v>113</v>
      </c>
      <c r="L4422" t="s">
        <v>17</v>
      </c>
    </row>
    <row r="4423" spans="1:12" x14ac:dyDescent="0.35">
      <c r="A4423" t="s">
        <v>42</v>
      </c>
      <c r="B4423">
        <v>1128299</v>
      </c>
      <c r="C4423" s="1">
        <v>44237</v>
      </c>
      <c r="D4423" t="s">
        <v>48</v>
      </c>
      <c r="E4423" t="s">
        <v>137</v>
      </c>
      <c r="F4423" t="s">
        <v>138</v>
      </c>
      <c r="G4423" t="s">
        <v>39</v>
      </c>
      <c r="H4423" s="2">
        <v>42</v>
      </c>
      <c r="I4423">
        <v>98</v>
      </c>
      <c r="J4423">
        <v>412</v>
      </c>
      <c r="K4423" s="4">
        <v>132</v>
      </c>
      <c r="L4423" t="s">
        <v>17</v>
      </c>
    </row>
    <row r="4424" spans="1:12" x14ac:dyDescent="0.35">
      <c r="A4424" t="s">
        <v>42</v>
      </c>
      <c r="B4424">
        <v>1128299</v>
      </c>
      <c r="C4424" s="1">
        <v>44327</v>
      </c>
      <c r="D4424" t="s">
        <v>48</v>
      </c>
      <c r="E4424" t="s">
        <v>129</v>
      </c>
      <c r="F4424" t="s">
        <v>130</v>
      </c>
      <c r="G4424" t="s">
        <v>39</v>
      </c>
      <c r="H4424" s="2">
        <v>58</v>
      </c>
      <c r="I4424">
        <v>98</v>
      </c>
      <c r="J4424">
        <v>568</v>
      </c>
      <c r="K4424" s="4">
        <v>188</v>
      </c>
      <c r="L4424" t="s">
        <v>17</v>
      </c>
    </row>
    <row r="4425" spans="1:12" x14ac:dyDescent="0.35">
      <c r="A4425" t="s">
        <v>42</v>
      </c>
      <c r="B4425">
        <v>1128299</v>
      </c>
      <c r="C4425" s="1">
        <v>44327</v>
      </c>
      <c r="D4425" t="s">
        <v>48</v>
      </c>
      <c r="E4425" t="s">
        <v>129</v>
      </c>
      <c r="F4425" t="s">
        <v>130</v>
      </c>
      <c r="G4425" t="s">
        <v>32</v>
      </c>
      <c r="H4425" s="2">
        <v>56</v>
      </c>
      <c r="I4425">
        <v>98</v>
      </c>
      <c r="J4425">
        <v>549</v>
      </c>
      <c r="K4425" s="4">
        <v>220</v>
      </c>
      <c r="L4425" t="s">
        <v>17</v>
      </c>
    </row>
    <row r="4426" spans="1:12" x14ac:dyDescent="0.35">
      <c r="A4426" t="s">
        <v>12</v>
      </c>
      <c r="B4426">
        <v>1128299</v>
      </c>
      <c r="C4426" s="1">
        <v>44303</v>
      </c>
      <c r="D4426" t="s">
        <v>13</v>
      </c>
      <c r="E4426" t="s">
        <v>14</v>
      </c>
      <c r="F4426" t="s">
        <v>15</v>
      </c>
      <c r="G4426" t="s">
        <v>39</v>
      </c>
      <c r="H4426" s="2">
        <v>66</v>
      </c>
      <c r="I4426">
        <v>98</v>
      </c>
      <c r="J4426">
        <v>647</v>
      </c>
      <c r="K4426" s="4">
        <v>226</v>
      </c>
      <c r="L4426" t="s">
        <v>17</v>
      </c>
    </row>
    <row r="4427" spans="1:12" x14ac:dyDescent="0.35">
      <c r="A4427" t="s">
        <v>12</v>
      </c>
      <c r="B4427">
        <v>1128299</v>
      </c>
      <c r="C4427" s="1">
        <v>44486</v>
      </c>
      <c r="D4427" t="s">
        <v>13</v>
      </c>
      <c r="E4427" t="s">
        <v>14</v>
      </c>
      <c r="F4427" t="s">
        <v>15</v>
      </c>
      <c r="G4427" t="s">
        <v>70</v>
      </c>
      <c r="H4427" s="2">
        <v>59</v>
      </c>
      <c r="I4427">
        <v>98</v>
      </c>
      <c r="J4427">
        <v>578</v>
      </c>
      <c r="K4427" s="4">
        <v>179</v>
      </c>
      <c r="L4427" t="s">
        <v>17</v>
      </c>
    </row>
    <row r="4428" spans="1:12" x14ac:dyDescent="0.35">
      <c r="A4428" t="s">
        <v>42</v>
      </c>
      <c r="B4428">
        <v>1128299</v>
      </c>
      <c r="C4428" s="1">
        <v>44341</v>
      </c>
      <c r="D4428" t="s">
        <v>13</v>
      </c>
      <c r="E4428" t="s">
        <v>99</v>
      </c>
      <c r="F4428" t="s">
        <v>100</v>
      </c>
      <c r="G4428" t="s">
        <v>39</v>
      </c>
      <c r="H4428" s="2">
        <v>51</v>
      </c>
      <c r="I4428">
        <v>98</v>
      </c>
      <c r="J4428">
        <v>500</v>
      </c>
      <c r="K4428" s="4">
        <v>225</v>
      </c>
      <c r="L4428" t="s">
        <v>17</v>
      </c>
    </row>
    <row r="4429" spans="1:12" x14ac:dyDescent="0.35">
      <c r="A4429" t="s">
        <v>42</v>
      </c>
      <c r="B4429">
        <v>1128299</v>
      </c>
      <c r="C4429" s="1">
        <v>44493</v>
      </c>
      <c r="D4429" t="s">
        <v>13</v>
      </c>
      <c r="E4429" t="s">
        <v>99</v>
      </c>
      <c r="F4429" t="s">
        <v>100</v>
      </c>
      <c r="G4429" t="s">
        <v>56</v>
      </c>
      <c r="H4429" s="2">
        <v>41</v>
      </c>
      <c r="I4429">
        <v>98</v>
      </c>
      <c r="J4429">
        <v>402</v>
      </c>
      <c r="K4429" s="4">
        <v>197</v>
      </c>
      <c r="L4429" t="s">
        <v>17</v>
      </c>
    </row>
    <row r="4430" spans="1:12" x14ac:dyDescent="0.35">
      <c r="A4430" t="s">
        <v>42</v>
      </c>
      <c r="B4430">
        <v>1185732</v>
      </c>
      <c r="C4430" s="1">
        <v>44214</v>
      </c>
      <c r="D4430" t="s">
        <v>33</v>
      </c>
      <c r="E4430" t="s">
        <v>45</v>
      </c>
      <c r="F4430" t="s">
        <v>46</v>
      </c>
      <c r="G4430" t="s">
        <v>70</v>
      </c>
      <c r="H4430" s="2">
        <v>39</v>
      </c>
      <c r="I4430">
        <v>98</v>
      </c>
      <c r="J4430">
        <v>382</v>
      </c>
      <c r="K4430" s="4">
        <v>187</v>
      </c>
      <c r="L4430" t="s">
        <v>17</v>
      </c>
    </row>
    <row r="4431" spans="1:12" x14ac:dyDescent="0.35">
      <c r="A4431" t="s">
        <v>18</v>
      </c>
      <c r="B4431">
        <v>1185732</v>
      </c>
      <c r="C4431" s="1">
        <v>44207</v>
      </c>
      <c r="D4431" t="s">
        <v>33</v>
      </c>
      <c r="E4431" t="s">
        <v>34</v>
      </c>
      <c r="F4431" t="s">
        <v>35</v>
      </c>
      <c r="G4431" t="s">
        <v>70</v>
      </c>
      <c r="H4431" s="2">
        <v>33</v>
      </c>
      <c r="I4431">
        <v>98</v>
      </c>
      <c r="J4431">
        <v>323</v>
      </c>
      <c r="K4431" s="4">
        <v>152</v>
      </c>
      <c r="L4431" t="s">
        <v>17</v>
      </c>
    </row>
    <row r="4432" spans="1:12" x14ac:dyDescent="0.35">
      <c r="A4432" t="s">
        <v>18</v>
      </c>
      <c r="B4432">
        <v>1185732</v>
      </c>
      <c r="C4432" s="1">
        <v>44297</v>
      </c>
      <c r="D4432" t="s">
        <v>48</v>
      </c>
      <c r="E4432" t="s">
        <v>49</v>
      </c>
      <c r="F4432" t="s">
        <v>50</v>
      </c>
      <c r="G4432" t="s">
        <v>32</v>
      </c>
      <c r="H4432" s="2">
        <v>14</v>
      </c>
      <c r="I4432">
        <v>98</v>
      </c>
      <c r="J4432">
        <v>137</v>
      </c>
      <c r="K4432" s="4">
        <v>63</v>
      </c>
      <c r="L4432" t="s">
        <v>17</v>
      </c>
    </row>
    <row r="4433" spans="1:12" x14ac:dyDescent="0.35">
      <c r="A4433" t="s">
        <v>18</v>
      </c>
      <c r="B4433">
        <v>1185732</v>
      </c>
      <c r="C4433" s="1">
        <v>44328</v>
      </c>
      <c r="D4433" t="s">
        <v>48</v>
      </c>
      <c r="E4433" t="s">
        <v>49</v>
      </c>
      <c r="F4433" t="s">
        <v>50</v>
      </c>
      <c r="G4433" t="s">
        <v>32</v>
      </c>
      <c r="H4433" s="2">
        <v>25</v>
      </c>
      <c r="I4433">
        <v>98</v>
      </c>
      <c r="J4433">
        <v>245</v>
      </c>
      <c r="K4433" s="4">
        <v>123</v>
      </c>
      <c r="L4433" t="s">
        <v>17</v>
      </c>
    </row>
    <row r="4434" spans="1:12" x14ac:dyDescent="0.35">
      <c r="A4434" t="s">
        <v>18</v>
      </c>
      <c r="B4434">
        <v>1128299</v>
      </c>
      <c r="C4434" s="1">
        <v>44220</v>
      </c>
      <c r="D4434" t="s">
        <v>48</v>
      </c>
      <c r="E4434" t="s">
        <v>49</v>
      </c>
      <c r="F4434" t="s">
        <v>50</v>
      </c>
      <c r="G4434" t="s">
        <v>26</v>
      </c>
      <c r="H4434" s="2">
        <v>27</v>
      </c>
      <c r="I4434">
        <v>98</v>
      </c>
      <c r="J4434">
        <v>265</v>
      </c>
      <c r="K4434" s="4">
        <v>127</v>
      </c>
      <c r="L4434" t="s">
        <v>17</v>
      </c>
    </row>
    <row r="4435" spans="1:12" x14ac:dyDescent="0.35">
      <c r="A4435" t="s">
        <v>42</v>
      </c>
      <c r="B4435">
        <v>1128299</v>
      </c>
      <c r="C4435" s="1">
        <v>44340</v>
      </c>
      <c r="D4435" t="s">
        <v>48</v>
      </c>
      <c r="E4435" t="s">
        <v>123</v>
      </c>
      <c r="F4435" t="s">
        <v>124</v>
      </c>
      <c r="G4435" t="s">
        <v>16</v>
      </c>
      <c r="H4435" s="2">
        <v>64</v>
      </c>
      <c r="I4435">
        <v>98</v>
      </c>
      <c r="J4435">
        <v>627</v>
      </c>
      <c r="K4435" s="4">
        <v>226</v>
      </c>
      <c r="L4435" t="s">
        <v>17</v>
      </c>
    </row>
    <row r="4436" spans="1:12" x14ac:dyDescent="0.35">
      <c r="A4436" t="s">
        <v>42</v>
      </c>
      <c r="B4436">
        <v>1128299</v>
      </c>
      <c r="C4436" s="1">
        <v>44523</v>
      </c>
      <c r="D4436" t="s">
        <v>48</v>
      </c>
      <c r="E4436" t="s">
        <v>123</v>
      </c>
      <c r="F4436" t="s">
        <v>124</v>
      </c>
      <c r="G4436" t="s">
        <v>56</v>
      </c>
      <c r="H4436" s="2">
        <v>42</v>
      </c>
      <c r="I4436">
        <v>98</v>
      </c>
      <c r="J4436">
        <v>412</v>
      </c>
      <c r="K4436" s="4">
        <v>193</v>
      </c>
      <c r="L4436" t="s">
        <v>17</v>
      </c>
    </row>
    <row r="4437" spans="1:12" x14ac:dyDescent="0.35">
      <c r="A4437" t="s">
        <v>63</v>
      </c>
      <c r="B4437">
        <v>1128299</v>
      </c>
      <c r="C4437" s="1">
        <v>44280</v>
      </c>
      <c r="D4437" t="s">
        <v>48</v>
      </c>
      <c r="E4437" t="s">
        <v>114</v>
      </c>
      <c r="F4437" t="s">
        <v>115</v>
      </c>
      <c r="G4437" t="s">
        <v>16</v>
      </c>
      <c r="H4437" s="2">
        <v>50</v>
      </c>
      <c r="I4437">
        <v>98</v>
      </c>
      <c r="J4437">
        <v>490</v>
      </c>
      <c r="K4437" s="4">
        <v>186</v>
      </c>
      <c r="L4437" t="s">
        <v>17</v>
      </c>
    </row>
    <row r="4438" spans="1:12" x14ac:dyDescent="0.35">
      <c r="A4438" t="s">
        <v>63</v>
      </c>
      <c r="B4438">
        <v>1128299</v>
      </c>
      <c r="C4438" s="1">
        <v>44312</v>
      </c>
      <c r="D4438" t="s">
        <v>48</v>
      </c>
      <c r="E4438" t="s">
        <v>114</v>
      </c>
      <c r="F4438" t="s">
        <v>115</v>
      </c>
      <c r="G4438" t="s">
        <v>39</v>
      </c>
      <c r="H4438" s="2">
        <v>59</v>
      </c>
      <c r="I4438">
        <v>98</v>
      </c>
      <c r="J4438">
        <v>578</v>
      </c>
      <c r="K4438" s="4">
        <v>289</v>
      </c>
      <c r="L4438" t="s">
        <v>17</v>
      </c>
    </row>
    <row r="4439" spans="1:12" x14ac:dyDescent="0.35">
      <c r="A4439" t="s">
        <v>23</v>
      </c>
      <c r="B4439">
        <v>1128299</v>
      </c>
      <c r="C4439" s="1">
        <v>44240</v>
      </c>
      <c r="D4439" t="s">
        <v>13</v>
      </c>
      <c r="E4439" t="s">
        <v>57</v>
      </c>
      <c r="F4439" t="s">
        <v>58</v>
      </c>
      <c r="G4439" t="s">
        <v>16</v>
      </c>
      <c r="H4439" s="2">
        <v>37</v>
      </c>
      <c r="I4439">
        <v>98</v>
      </c>
      <c r="J4439">
        <v>363</v>
      </c>
      <c r="K4439" s="4">
        <v>131</v>
      </c>
      <c r="L4439" t="s">
        <v>17</v>
      </c>
    </row>
    <row r="4440" spans="1:12" x14ac:dyDescent="0.35">
      <c r="A4440" t="s">
        <v>51</v>
      </c>
      <c r="B4440">
        <v>1185732</v>
      </c>
      <c r="C4440" s="1">
        <v>44264</v>
      </c>
      <c r="D4440" t="s">
        <v>33</v>
      </c>
      <c r="E4440" t="s">
        <v>52</v>
      </c>
      <c r="F4440" t="s">
        <v>53</v>
      </c>
      <c r="G4440" t="s">
        <v>56</v>
      </c>
      <c r="H4440" s="2">
        <v>24</v>
      </c>
      <c r="I4440">
        <v>98</v>
      </c>
      <c r="J4440">
        <v>235</v>
      </c>
      <c r="K4440" s="4">
        <v>122</v>
      </c>
      <c r="L4440" t="s">
        <v>17</v>
      </c>
    </row>
    <row r="4441" spans="1:12" x14ac:dyDescent="0.35">
      <c r="A4441" t="s">
        <v>42</v>
      </c>
      <c r="B4441">
        <v>1185732</v>
      </c>
      <c r="C4441" s="1">
        <v>44551</v>
      </c>
      <c r="D4441" t="s">
        <v>13</v>
      </c>
      <c r="E4441" t="s">
        <v>106</v>
      </c>
      <c r="F4441" t="s">
        <v>107</v>
      </c>
      <c r="G4441" t="s">
        <v>39</v>
      </c>
      <c r="H4441" s="2">
        <v>52</v>
      </c>
      <c r="I4441">
        <v>98</v>
      </c>
      <c r="J4441">
        <v>510</v>
      </c>
      <c r="K4441" s="4">
        <v>245</v>
      </c>
      <c r="L4441" t="s">
        <v>17</v>
      </c>
    </row>
    <row r="4442" spans="1:12" x14ac:dyDescent="0.35">
      <c r="A4442" t="s">
        <v>42</v>
      </c>
      <c r="B4442">
        <v>1185732</v>
      </c>
      <c r="C4442" s="1">
        <v>44551</v>
      </c>
      <c r="D4442" t="s">
        <v>13</v>
      </c>
      <c r="E4442" t="s">
        <v>106</v>
      </c>
      <c r="F4442" t="s">
        <v>107</v>
      </c>
      <c r="G4442" t="s">
        <v>16</v>
      </c>
      <c r="H4442" s="2">
        <v>64</v>
      </c>
      <c r="I4442">
        <v>98</v>
      </c>
      <c r="J4442">
        <v>627</v>
      </c>
      <c r="K4442" s="4">
        <v>332</v>
      </c>
      <c r="L4442" t="s">
        <v>17</v>
      </c>
    </row>
    <row r="4443" spans="1:12" x14ac:dyDescent="0.35">
      <c r="A4443" t="s">
        <v>12</v>
      </c>
      <c r="B4443">
        <v>1185732</v>
      </c>
      <c r="C4443" s="1">
        <v>44487</v>
      </c>
      <c r="D4443" t="s">
        <v>19</v>
      </c>
      <c r="E4443" t="s">
        <v>37</v>
      </c>
      <c r="F4443" t="s">
        <v>38</v>
      </c>
      <c r="G4443" t="s">
        <v>32</v>
      </c>
      <c r="H4443" s="2">
        <v>24</v>
      </c>
      <c r="I4443">
        <v>98</v>
      </c>
      <c r="J4443">
        <v>235</v>
      </c>
      <c r="K4443" s="4">
        <v>127</v>
      </c>
      <c r="L4443" t="s">
        <v>17</v>
      </c>
    </row>
    <row r="4444" spans="1:12" x14ac:dyDescent="0.35">
      <c r="A4444" t="s">
        <v>12</v>
      </c>
      <c r="B4444">
        <v>1185732</v>
      </c>
      <c r="C4444" s="1">
        <v>44487</v>
      </c>
      <c r="D4444" t="s">
        <v>19</v>
      </c>
      <c r="E4444" t="s">
        <v>37</v>
      </c>
      <c r="F4444" t="s">
        <v>38</v>
      </c>
      <c r="G4444" t="s">
        <v>70</v>
      </c>
      <c r="H4444" s="2">
        <v>32</v>
      </c>
      <c r="I4444">
        <v>98</v>
      </c>
      <c r="J4444">
        <v>314</v>
      </c>
      <c r="K4444" s="4">
        <v>157</v>
      </c>
      <c r="L4444" t="s">
        <v>17</v>
      </c>
    </row>
    <row r="4445" spans="1:12" x14ac:dyDescent="0.35">
      <c r="A4445" t="s">
        <v>12</v>
      </c>
      <c r="B4445">
        <v>1197831</v>
      </c>
      <c r="C4445" s="1">
        <v>44248</v>
      </c>
      <c r="D4445" t="s">
        <v>19</v>
      </c>
      <c r="E4445" t="s">
        <v>54</v>
      </c>
      <c r="F4445" t="s">
        <v>55</v>
      </c>
      <c r="G4445" t="s">
        <v>70</v>
      </c>
      <c r="H4445" s="2">
        <v>34</v>
      </c>
      <c r="I4445">
        <v>98</v>
      </c>
      <c r="J4445">
        <v>333</v>
      </c>
      <c r="K4445" s="4">
        <v>150</v>
      </c>
      <c r="L4445" t="s">
        <v>17</v>
      </c>
    </row>
    <row r="4446" spans="1:12" x14ac:dyDescent="0.35">
      <c r="A4446" t="s">
        <v>12</v>
      </c>
      <c r="B4446">
        <v>1197831</v>
      </c>
      <c r="C4446" s="1">
        <v>44274</v>
      </c>
      <c r="D4446" t="s">
        <v>19</v>
      </c>
      <c r="E4446" t="s">
        <v>54</v>
      </c>
      <c r="F4446" t="s">
        <v>55</v>
      </c>
      <c r="G4446" t="s">
        <v>39</v>
      </c>
      <c r="H4446" s="2">
        <v>20</v>
      </c>
      <c r="I4446">
        <v>98</v>
      </c>
      <c r="J4446">
        <v>196</v>
      </c>
      <c r="K4446" s="4">
        <v>88</v>
      </c>
      <c r="L4446" t="s">
        <v>17</v>
      </c>
    </row>
    <row r="4447" spans="1:12" x14ac:dyDescent="0.35">
      <c r="A4447" t="s">
        <v>12</v>
      </c>
      <c r="B4447">
        <v>1197831</v>
      </c>
      <c r="C4447" s="1">
        <v>44368</v>
      </c>
      <c r="D4447" t="s">
        <v>19</v>
      </c>
      <c r="E4447" t="s">
        <v>54</v>
      </c>
      <c r="F4447" t="s">
        <v>55</v>
      </c>
      <c r="G4447" t="s">
        <v>56</v>
      </c>
      <c r="H4447" s="2">
        <v>37</v>
      </c>
      <c r="I4447">
        <v>98</v>
      </c>
      <c r="J4447">
        <v>363</v>
      </c>
      <c r="K4447" s="4">
        <v>189</v>
      </c>
      <c r="L4447" t="s">
        <v>17</v>
      </c>
    </row>
    <row r="4448" spans="1:12" x14ac:dyDescent="0.35">
      <c r="A4448" t="s">
        <v>12</v>
      </c>
      <c r="B4448">
        <v>1197831</v>
      </c>
      <c r="C4448" s="1">
        <v>44368</v>
      </c>
      <c r="D4448" t="s">
        <v>19</v>
      </c>
      <c r="E4448" t="s">
        <v>54</v>
      </c>
      <c r="F4448" t="s">
        <v>55</v>
      </c>
      <c r="G4448" t="s">
        <v>70</v>
      </c>
      <c r="H4448" s="2">
        <v>54</v>
      </c>
      <c r="I4448">
        <v>98</v>
      </c>
      <c r="J4448">
        <v>529</v>
      </c>
      <c r="K4448" s="4">
        <v>254</v>
      </c>
      <c r="L4448" t="s">
        <v>17</v>
      </c>
    </row>
    <row r="4449" spans="1:12" x14ac:dyDescent="0.35">
      <c r="A4449" t="s">
        <v>18</v>
      </c>
      <c r="B4449">
        <v>1197831</v>
      </c>
      <c r="C4449" s="1">
        <v>44219</v>
      </c>
      <c r="D4449" t="s">
        <v>19</v>
      </c>
      <c r="E4449" t="s">
        <v>54</v>
      </c>
      <c r="F4449" t="s">
        <v>55</v>
      </c>
      <c r="G4449" t="s">
        <v>32</v>
      </c>
      <c r="H4449" s="2">
        <v>15</v>
      </c>
      <c r="I4449">
        <v>98</v>
      </c>
      <c r="J4449">
        <v>147</v>
      </c>
      <c r="K4449" s="4">
        <v>81</v>
      </c>
      <c r="L4449" t="s">
        <v>17</v>
      </c>
    </row>
    <row r="4450" spans="1:12" x14ac:dyDescent="0.35">
      <c r="A4450" t="s">
        <v>18</v>
      </c>
      <c r="B4450">
        <v>1197831</v>
      </c>
      <c r="C4450" s="1">
        <v>44248</v>
      </c>
      <c r="D4450" t="s">
        <v>19</v>
      </c>
      <c r="E4450" t="s">
        <v>61</v>
      </c>
      <c r="F4450" t="s">
        <v>62</v>
      </c>
      <c r="G4450" t="s">
        <v>16</v>
      </c>
      <c r="H4450" s="2">
        <v>18</v>
      </c>
      <c r="I4450">
        <v>98</v>
      </c>
      <c r="J4450">
        <v>176</v>
      </c>
      <c r="K4450" s="4">
        <v>90</v>
      </c>
      <c r="L4450" t="s">
        <v>17</v>
      </c>
    </row>
    <row r="4451" spans="1:12" x14ac:dyDescent="0.35">
      <c r="A4451" t="s">
        <v>18</v>
      </c>
      <c r="B4451">
        <v>1197831</v>
      </c>
      <c r="C4451" s="1">
        <v>44335</v>
      </c>
      <c r="D4451" t="s">
        <v>19</v>
      </c>
      <c r="E4451" t="s">
        <v>61</v>
      </c>
      <c r="F4451" t="s">
        <v>62</v>
      </c>
      <c r="G4451" t="s">
        <v>16</v>
      </c>
      <c r="H4451" s="2">
        <v>42</v>
      </c>
      <c r="I4451">
        <v>98</v>
      </c>
      <c r="J4451">
        <v>412</v>
      </c>
      <c r="K4451" s="4">
        <v>214</v>
      </c>
      <c r="L4451" t="s">
        <v>17</v>
      </c>
    </row>
    <row r="4452" spans="1:12" x14ac:dyDescent="0.35">
      <c r="A4452" t="s">
        <v>18</v>
      </c>
      <c r="B4452">
        <v>1197831</v>
      </c>
      <c r="C4452" s="1">
        <v>44396</v>
      </c>
      <c r="D4452" t="s">
        <v>19</v>
      </c>
      <c r="E4452" t="s">
        <v>61</v>
      </c>
      <c r="F4452" t="s">
        <v>62</v>
      </c>
      <c r="G4452" t="s">
        <v>70</v>
      </c>
      <c r="H4452" s="2">
        <v>59</v>
      </c>
      <c r="I4452">
        <v>98</v>
      </c>
      <c r="J4452">
        <v>578</v>
      </c>
      <c r="K4452" s="4">
        <v>266</v>
      </c>
      <c r="L4452" t="s">
        <v>17</v>
      </c>
    </row>
    <row r="4453" spans="1:12" x14ac:dyDescent="0.35">
      <c r="A4453" t="s">
        <v>18</v>
      </c>
      <c r="B4453">
        <v>1197831</v>
      </c>
      <c r="C4453" s="1">
        <v>44458</v>
      </c>
      <c r="D4453" t="s">
        <v>19</v>
      </c>
      <c r="E4453" t="s">
        <v>61</v>
      </c>
      <c r="F4453" t="s">
        <v>62</v>
      </c>
      <c r="G4453" t="s">
        <v>39</v>
      </c>
      <c r="H4453" s="2">
        <v>38</v>
      </c>
      <c r="I4453">
        <v>98</v>
      </c>
      <c r="J4453">
        <v>372</v>
      </c>
      <c r="K4453" s="4">
        <v>168</v>
      </c>
      <c r="L4453" t="s">
        <v>17</v>
      </c>
    </row>
    <row r="4454" spans="1:12" x14ac:dyDescent="0.35">
      <c r="A4454" t="s">
        <v>63</v>
      </c>
      <c r="B4454">
        <v>1197831</v>
      </c>
      <c r="C4454" s="1">
        <v>44241</v>
      </c>
      <c r="D4454" t="s">
        <v>33</v>
      </c>
      <c r="E4454" t="s">
        <v>71</v>
      </c>
      <c r="F4454" t="s">
        <v>72</v>
      </c>
      <c r="G4454" t="s">
        <v>16</v>
      </c>
      <c r="H4454" s="2">
        <v>18</v>
      </c>
      <c r="I4454">
        <v>98</v>
      </c>
      <c r="J4454">
        <v>176</v>
      </c>
      <c r="K4454" s="4">
        <v>86</v>
      </c>
      <c r="L4454" t="s">
        <v>17</v>
      </c>
    </row>
    <row r="4455" spans="1:12" x14ac:dyDescent="0.35">
      <c r="A4455" t="s">
        <v>23</v>
      </c>
      <c r="B4455">
        <v>1185732</v>
      </c>
      <c r="C4455" s="1">
        <v>44385</v>
      </c>
      <c r="D4455" t="s">
        <v>33</v>
      </c>
      <c r="E4455" t="s">
        <v>89</v>
      </c>
      <c r="F4455" t="s">
        <v>90</v>
      </c>
      <c r="G4455" t="s">
        <v>16</v>
      </c>
      <c r="H4455" s="2">
        <v>54</v>
      </c>
      <c r="I4455">
        <v>98</v>
      </c>
      <c r="J4455">
        <v>529</v>
      </c>
      <c r="K4455" s="4">
        <v>286</v>
      </c>
      <c r="L4455" t="s">
        <v>17</v>
      </c>
    </row>
    <row r="4456" spans="1:12" x14ac:dyDescent="0.35">
      <c r="A4456" t="s">
        <v>42</v>
      </c>
      <c r="B4456">
        <v>1185732</v>
      </c>
      <c r="C4456" s="1">
        <v>44414</v>
      </c>
      <c r="D4456" t="s">
        <v>33</v>
      </c>
      <c r="E4456" t="s">
        <v>91</v>
      </c>
      <c r="F4456" t="s">
        <v>92</v>
      </c>
      <c r="G4456" t="s">
        <v>16</v>
      </c>
      <c r="H4456" s="2">
        <v>53</v>
      </c>
      <c r="I4456">
        <v>98</v>
      </c>
      <c r="J4456">
        <v>519</v>
      </c>
      <c r="K4456" s="4">
        <v>286</v>
      </c>
      <c r="L4456" t="s">
        <v>17</v>
      </c>
    </row>
    <row r="4457" spans="1:12" x14ac:dyDescent="0.35">
      <c r="A4457" t="s">
        <v>18</v>
      </c>
      <c r="B4457">
        <v>1185732</v>
      </c>
      <c r="C4457" s="1">
        <v>44350</v>
      </c>
      <c r="D4457" t="s">
        <v>33</v>
      </c>
      <c r="E4457" t="s">
        <v>40</v>
      </c>
      <c r="F4457" t="s">
        <v>41</v>
      </c>
      <c r="G4457" t="s">
        <v>16</v>
      </c>
      <c r="H4457" s="2">
        <v>51</v>
      </c>
      <c r="I4457">
        <v>98</v>
      </c>
      <c r="J4457">
        <v>500</v>
      </c>
      <c r="K4457" s="4">
        <v>275</v>
      </c>
      <c r="L4457" t="s">
        <v>17</v>
      </c>
    </row>
    <row r="4458" spans="1:12" x14ac:dyDescent="0.35">
      <c r="A4458" t="s">
        <v>18</v>
      </c>
      <c r="B4458">
        <v>1185732</v>
      </c>
      <c r="C4458" s="1">
        <v>44510</v>
      </c>
      <c r="D4458" t="s">
        <v>33</v>
      </c>
      <c r="E4458" t="s">
        <v>81</v>
      </c>
      <c r="F4458" t="s">
        <v>82</v>
      </c>
      <c r="G4458" t="s">
        <v>39</v>
      </c>
      <c r="H4458" s="2">
        <v>33</v>
      </c>
      <c r="I4458">
        <v>98</v>
      </c>
      <c r="J4458">
        <v>323</v>
      </c>
      <c r="K4458" s="4">
        <v>178</v>
      </c>
      <c r="L4458" t="s">
        <v>17</v>
      </c>
    </row>
    <row r="4459" spans="1:12" x14ac:dyDescent="0.35">
      <c r="A4459" t="s">
        <v>18</v>
      </c>
      <c r="B4459">
        <v>1185732</v>
      </c>
      <c r="C4459" s="1">
        <v>44393</v>
      </c>
      <c r="D4459" t="s">
        <v>43</v>
      </c>
      <c r="E4459" t="s">
        <v>64</v>
      </c>
      <c r="F4459" t="s">
        <v>65</v>
      </c>
      <c r="G4459" t="s">
        <v>32</v>
      </c>
      <c r="H4459" s="2">
        <v>49</v>
      </c>
      <c r="I4459">
        <v>98</v>
      </c>
      <c r="J4459">
        <v>480</v>
      </c>
      <c r="K4459" s="4">
        <v>255</v>
      </c>
      <c r="L4459" t="s">
        <v>17</v>
      </c>
    </row>
    <row r="4460" spans="1:12" x14ac:dyDescent="0.35">
      <c r="A4460" t="s">
        <v>42</v>
      </c>
      <c r="B4460">
        <v>1185732</v>
      </c>
      <c r="C4460" s="1">
        <v>44242</v>
      </c>
      <c r="D4460" t="s">
        <v>43</v>
      </c>
      <c r="E4460" t="s">
        <v>95</v>
      </c>
      <c r="F4460" t="s">
        <v>96</v>
      </c>
      <c r="G4460" t="s">
        <v>16</v>
      </c>
      <c r="H4460" s="2">
        <v>39</v>
      </c>
      <c r="I4460">
        <v>98</v>
      </c>
      <c r="J4460">
        <v>382</v>
      </c>
      <c r="K4460" s="4">
        <v>203</v>
      </c>
      <c r="L4460" t="s">
        <v>17</v>
      </c>
    </row>
    <row r="4461" spans="1:12" x14ac:dyDescent="0.35">
      <c r="A4461" t="s">
        <v>63</v>
      </c>
      <c r="B4461">
        <v>1185732</v>
      </c>
      <c r="C4461" s="1">
        <v>44514</v>
      </c>
      <c r="D4461" t="s">
        <v>43</v>
      </c>
      <c r="E4461" t="s">
        <v>95</v>
      </c>
      <c r="F4461" t="s">
        <v>96</v>
      </c>
      <c r="G4461" t="s">
        <v>16</v>
      </c>
      <c r="H4461" s="2">
        <v>64</v>
      </c>
      <c r="I4461">
        <v>98</v>
      </c>
      <c r="J4461">
        <v>627</v>
      </c>
      <c r="K4461" s="4">
        <v>345</v>
      </c>
      <c r="L4461" t="s">
        <v>17</v>
      </c>
    </row>
    <row r="4462" spans="1:12" x14ac:dyDescent="0.35">
      <c r="A4462" t="s">
        <v>63</v>
      </c>
      <c r="B4462">
        <v>1185732</v>
      </c>
      <c r="C4462" s="1">
        <v>44543</v>
      </c>
      <c r="D4462" t="s">
        <v>43</v>
      </c>
      <c r="E4462" t="s">
        <v>95</v>
      </c>
      <c r="F4462" t="s">
        <v>96</v>
      </c>
      <c r="G4462" t="s">
        <v>56</v>
      </c>
      <c r="H4462" s="2">
        <v>53</v>
      </c>
      <c r="I4462">
        <v>98</v>
      </c>
      <c r="J4462">
        <v>519</v>
      </c>
      <c r="K4462" s="4">
        <v>280</v>
      </c>
      <c r="L4462" t="s">
        <v>17</v>
      </c>
    </row>
    <row r="4463" spans="1:12" x14ac:dyDescent="0.35">
      <c r="A4463" t="s">
        <v>63</v>
      </c>
      <c r="B4463">
        <v>1185732</v>
      </c>
      <c r="C4463" s="1">
        <v>44383</v>
      </c>
      <c r="D4463" t="s">
        <v>43</v>
      </c>
      <c r="E4463" t="s">
        <v>83</v>
      </c>
      <c r="F4463" t="s">
        <v>84</v>
      </c>
      <c r="G4463" t="s">
        <v>39</v>
      </c>
      <c r="H4463" s="2">
        <v>42</v>
      </c>
      <c r="I4463">
        <v>98</v>
      </c>
      <c r="J4463">
        <v>412</v>
      </c>
      <c r="K4463" s="4">
        <v>206</v>
      </c>
      <c r="L4463" t="s">
        <v>17</v>
      </c>
    </row>
    <row r="4464" spans="1:12" x14ac:dyDescent="0.35">
      <c r="A4464" t="s">
        <v>51</v>
      </c>
      <c r="B4464">
        <v>1185732</v>
      </c>
      <c r="C4464" s="1">
        <v>44514</v>
      </c>
      <c r="D4464" t="s">
        <v>43</v>
      </c>
      <c r="E4464" t="s">
        <v>112</v>
      </c>
      <c r="F4464" t="s">
        <v>113</v>
      </c>
      <c r="G4464" t="s">
        <v>16</v>
      </c>
      <c r="H4464" s="2">
        <v>64</v>
      </c>
      <c r="I4464">
        <v>98</v>
      </c>
      <c r="J4464">
        <v>627</v>
      </c>
      <c r="K4464" s="4">
        <v>282</v>
      </c>
      <c r="L4464" t="s">
        <v>17</v>
      </c>
    </row>
    <row r="4465" spans="1:12" x14ac:dyDescent="0.35">
      <c r="A4465" t="s">
        <v>51</v>
      </c>
      <c r="B4465">
        <v>1185732</v>
      </c>
      <c r="C4465" s="1">
        <v>44543</v>
      </c>
      <c r="D4465" t="s">
        <v>43</v>
      </c>
      <c r="E4465" t="s">
        <v>112</v>
      </c>
      <c r="F4465" t="s">
        <v>113</v>
      </c>
      <c r="G4465" t="s">
        <v>32</v>
      </c>
      <c r="H4465" s="2">
        <v>51</v>
      </c>
      <c r="I4465">
        <v>98</v>
      </c>
      <c r="J4465">
        <v>500</v>
      </c>
      <c r="K4465" s="4">
        <v>195</v>
      </c>
      <c r="L4465" t="s">
        <v>17</v>
      </c>
    </row>
    <row r="4466" spans="1:12" x14ac:dyDescent="0.35">
      <c r="A4466" t="s">
        <v>51</v>
      </c>
      <c r="B4466">
        <v>1185732</v>
      </c>
      <c r="C4466" s="1">
        <v>44210</v>
      </c>
      <c r="D4466" t="s">
        <v>43</v>
      </c>
      <c r="E4466" t="s">
        <v>112</v>
      </c>
      <c r="F4466" t="s">
        <v>113</v>
      </c>
      <c r="G4466" t="s">
        <v>16</v>
      </c>
      <c r="H4466" s="2">
        <v>44</v>
      </c>
      <c r="I4466">
        <v>98</v>
      </c>
      <c r="J4466">
        <v>431</v>
      </c>
      <c r="K4466" s="4">
        <v>220</v>
      </c>
      <c r="L4466" t="s">
        <v>17</v>
      </c>
    </row>
    <row r="4467" spans="1:12" x14ac:dyDescent="0.35">
      <c r="A4467" t="s">
        <v>51</v>
      </c>
      <c r="B4467">
        <v>1185732</v>
      </c>
      <c r="C4467" s="1">
        <v>44387</v>
      </c>
      <c r="D4467" t="s">
        <v>43</v>
      </c>
      <c r="E4467" t="s">
        <v>125</v>
      </c>
      <c r="F4467" t="s">
        <v>126</v>
      </c>
      <c r="G4467" t="s">
        <v>32</v>
      </c>
      <c r="H4467" s="2">
        <v>46</v>
      </c>
      <c r="I4467">
        <v>98</v>
      </c>
      <c r="J4467">
        <v>451</v>
      </c>
      <c r="K4467" s="4">
        <v>216</v>
      </c>
      <c r="L4467" t="s">
        <v>17</v>
      </c>
    </row>
    <row r="4468" spans="1:12" x14ac:dyDescent="0.35">
      <c r="A4468" t="s">
        <v>51</v>
      </c>
      <c r="B4468">
        <v>1185732</v>
      </c>
      <c r="C4468" s="1">
        <v>44246</v>
      </c>
      <c r="D4468" t="s">
        <v>43</v>
      </c>
      <c r="E4468" t="s">
        <v>127</v>
      </c>
      <c r="F4468" t="s">
        <v>128</v>
      </c>
      <c r="G4468" t="s">
        <v>16</v>
      </c>
      <c r="H4468" s="2">
        <v>46</v>
      </c>
      <c r="I4468">
        <v>98</v>
      </c>
      <c r="J4468">
        <v>451</v>
      </c>
      <c r="K4468" s="4">
        <v>216</v>
      </c>
      <c r="L4468" t="s">
        <v>17</v>
      </c>
    </row>
    <row r="4469" spans="1:12" x14ac:dyDescent="0.35">
      <c r="A4469" t="s">
        <v>51</v>
      </c>
      <c r="B4469">
        <v>1185732</v>
      </c>
      <c r="C4469" s="1">
        <v>44304</v>
      </c>
      <c r="D4469" t="s">
        <v>43</v>
      </c>
      <c r="E4469" t="s">
        <v>127</v>
      </c>
      <c r="F4469" t="s">
        <v>128</v>
      </c>
      <c r="G4469" t="s">
        <v>16</v>
      </c>
      <c r="H4469" s="2">
        <v>46</v>
      </c>
      <c r="I4469">
        <v>98</v>
      </c>
      <c r="J4469">
        <v>451</v>
      </c>
      <c r="K4469" s="4">
        <v>207</v>
      </c>
      <c r="L4469" t="s">
        <v>17</v>
      </c>
    </row>
    <row r="4470" spans="1:12" x14ac:dyDescent="0.35">
      <c r="A4470" t="s">
        <v>51</v>
      </c>
      <c r="B4470">
        <v>1185732</v>
      </c>
      <c r="C4470" s="1">
        <v>44333</v>
      </c>
      <c r="D4470" t="s">
        <v>43</v>
      </c>
      <c r="E4470" t="s">
        <v>127</v>
      </c>
      <c r="F4470" t="s">
        <v>128</v>
      </c>
      <c r="G4470" t="s">
        <v>32</v>
      </c>
      <c r="H4470" s="2">
        <v>51</v>
      </c>
      <c r="I4470">
        <v>98</v>
      </c>
      <c r="J4470">
        <v>500</v>
      </c>
      <c r="K4470" s="4">
        <v>210</v>
      </c>
      <c r="L4470" t="s">
        <v>17</v>
      </c>
    </row>
    <row r="4471" spans="1:12" x14ac:dyDescent="0.35">
      <c r="A4471" t="s">
        <v>51</v>
      </c>
      <c r="B4471">
        <v>1185732</v>
      </c>
      <c r="C4471" s="1">
        <v>44456</v>
      </c>
      <c r="D4471" t="s">
        <v>43</v>
      </c>
      <c r="E4471" t="s">
        <v>127</v>
      </c>
      <c r="F4471" t="s">
        <v>128</v>
      </c>
      <c r="G4471" t="s">
        <v>16</v>
      </c>
      <c r="H4471" s="2">
        <v>68</v>
      </c>
      <c r="I4471">
        <v>98</v>
      </c>
      <c r="J4471">
        <v>666</v>
      </c>
      <c r="K4471" s="4">
        <v>307</v>
      </c>
      <c r="L4471" t="s">
        <v>17</v>
      </c>
    </row>
    <row r="4472" spans="1:12" x14ac:dyDescent="0.35">
      <c r="A4472" t="s">
        <v>42</v>
      </c>
      <c r="B4472">
        <v>1185732</v>
      </c>
      <c r="C4472" s="1">
        <v>44518</v>
      </c>
      <c r="D4472" t="s">
        <v>43</v>
      </c>
      <c r="E4472" t="s">
        <v>127</v>
      </c>
      <c r="F4472" t="s">
        <v>128</v>
      </c>
      <c r="G4472" t="s">
        <v>39</v>
      </c>
      <c r="H4472" s="2">
        <v>62</v>
      </c>
      <c r="I4472">
        <v>98</v>
      </c>
      <c r="J4472">
        <v>608</v>
      </c>
      <c r="K4472" s="4">
        <v>316</v>
      </c>
      <c r="L4472" t="s">
        <v>17</v>
      </c>
    </row>
    <row r="4473" spans="1:12" x14ac:dyDescent="0.35">
      <c r="A4473" t="s">
        <v>23</v>
      </c>
      <c r="B4473">
        <v>1197831</v>
      </c>
      <c r="C4473" s="1">
        <v>44466</v>
      </c>
      <c r="D4473" t="s">
        <v>19</v>
      </c>
      <c r="E4473" t="s">
        <v>24</v>
      </c>
      <c r="F4473" t="s">
        <v>25</v>
      </c>
      <c r="G4473" t="s">
        <v>56</v>
      </c>
      <c r="H4473" s="2">
        <v>26</v>
      </c>
      <c r="I4473">
        <v>98</v>
      </c>
      <c r="J4473">
        <v>255</v>
      </c>
      <c r="K4473" s="4">
        <v>171</v>
      </c>
      <c r="L4473" t="s">
        <v>27</v>
      </c>
    </row>
    <row r="4474" spans="1:12" x14ac:dyDescent="0.35">
      <c r="A4474" t="s">
        <v>42</v>
      </c>
      <c r="B4474">
        <v>1128299</v>
      </c>
      <c r="C4474" s="1">
        <v>44278</v>
      </c>
      <c r="D4474" t="s">
        <v>13</v>
      </c>
      <c r="E4474" t="s">
        <v>99</v>
      </c>
      <c r="F4474" t="s">
        <v>100</v>
      </c>
      <c r="G4474" t="s">
        <v>39</v>
      </c>
      <c r="H4474" s="2">
        <v>35</v>
      </c>
      <c r="I4474">
        <v>98</v>
      </c>
      <c r="J4474">
        <v>343</v>
      </c>
      <c r="K4474" s="4">
        <v>141</v>
      </c>
      <c r="L4474" t="s">
        <v>27</v>
      </c>
    </row>
    <row r="4475" spans="1:12" x14ac:dyDescent="0.35">
      <c r="A4475" t="s">
        <v>18</v>
      </c>
      <c r="B4475">
        <v>1128299</v>
      </c>
      <c r="C4475" s="1">
        <v>44251</v>
      </c>
      <c r="D4475" t="s">
        <v>48</v>
      </c>
      <c r="E4475" t="s">
        <v>85</v>
      </c>
      <c r="F4475" t="s">
        <v>86</v>
      </c>
      <c r="G4475" t="s">
        <v>16</v>
      </c>
      <c r="H4475" s="2">
        <v>28</v>
      </c>
      <c r="I4475">
        <v>98</v>
      </c>
      <c r="J4475">
        <v>274</v>
      </c>
      <c r="K4475" s="4">
        <v>96</v>
      </c>
      <c r="L4475" t="s">
        <v>27</v>
      </c>
    </row>
    <row r="4476" spans="1:12" x14ac:dyDescent="0.35">
      <c r="A4476" t="s">
        <v>18</v>
      </c>
      <c r="B4476">
        <v>1128299</v>
      </c>
      <c r="C4476" s="1">
        <v>44278</v>
      </c>
      <c r="D4476" t="s">
        <v>48</v>
      </c>
      <c r="E4476" t="s">
        <v>85</v>
      </c>
      <c r="F4476" t="s">
        <v>86</v>
      </c>
      <c r="G4476" t="s">
        <v>39</v>
      </c>
      <c r="H4476" s="2">
        <v>40</v>
      </c>
      <c r="I4476">
        <v>98</v>
      </c>
      <c r="J4476">
        <v>392</v>
      </c>
      <c r="K4476" s="4">
        <v>161</v>
      </c>
      <c r="L4476" t="s">
        <v>27</v>
      </c>
    </row>
    <row r="4477" spans="1:12" x14ac:dyDescent="0.35">
      <c r="A4477" t="s">
        <v>42</v>
      </c>
      <c r="B4477">
        <v>1185732</v>
      </c>
      <c r="C4477" s="1">
        <v>44245</v>
      </c>
      <c r="D4477" t="s">
        <v>19</v>
      </c>
      <c r="E4477" t="s">
        <v>37</v>
      </c>
      <c r="F4477" t="s">
        <v>38</v>
      </c>
      <c r="G4477" t="s">
        <v>56</v>
      </c>
      <c r="H4477" s="2">
        <v>19</v>
      </c>
      <c r="I4477">
        <v>98</v>
      </c>
      <c r="J4477">
        <v>186</v>
      </c>
      <c r="K4477" s="4">
        <v>86</v>
      </c>
      <c r="L4477" t="s">
        <v>27</v>
      </c>
    </row>
    <row r="4478" spans="1:12" x14ac:dyDescent="0.35">
      <c r="A4478" t="s">
        <v>42</v>
      </c>
      <c r="B4478">
        <v>1185732</v>
      </c>
      <c r="C4478" s="1">
        <v>44303</v>
      </c>
      <c r="D4478" t="s">
        <v>19</v>
      </c>
      <c r="E4478" t="s">
        <v>37</v>
      </c>
      <c r="F4478" t="s">
        <v>38</v>
      </c>
      <c r="G4478" t="s">
        <v>70</v>
      </c>
      <c r="H4478" s="2">
        <v>30</v>
      </c>
      <c r="I4478">
        <v>98</v>
      </c>
      <c r="J4478">
        <v>294</v>
      </c>
      <c r="K4478" s="4">
        <v>118</v>
      </c>
      <c r="L4478" t="s">
        <v>27</v>
      </c>
    </row>
    <row r="4479" spans="1:12" x14ac:dyDescent="0.35">
      <c r="A4479" t="s">
        <v>18</v>
      </c>
      <c r="B4479">
        <v>1197831</v>
      </c>
      <c r="C4479" s="1">
        <v>44248</v>
      </c>
      <c r="D4479" t="s">
        <v>19</v>
      </c>
      <c r="E4479" t="s">
        <v>54</v>
      </c>
      <c r="F4479" t="s">
        <v>55</v>
      </c>
      <c r="G4479" t="s">
        <v>32</v>
      </c>
      <c r="H4479" s="2">
        <v>12</v>
      </c>
      <c r="I4479">
        <v>98</v>
      </c>
      <c r="J4479">
        <v>118</v>
      </c>
      <c r="K4479" s="4">
        <v>55</v>
      </c>
      <c r="L4479" t="s">
        <v>27</v>
      </c>
    </row>
    <row r="4480" spans="1:12" x14ac:dyDescent="0.35">
      <c r="A4480" t="s">
        <v>63</v>
      </c>
      <c r="B4480">
        <v>1197831</v>
      </c>
      <c r="C4480" s="1">
        <v>44549</v>
      </c>
      <c r="D4480" t="s">
        <v>19</v>
      </c>
      <c r="E4480" t="s">
        <v>61</v>
      </c>
      <c r="F4480" t="s">
        <v>62</v>
      </c>
      <c r="G4480" t="s">
        <v>70</v>
      </c>
      <c r="H4480" s="2">
        <v>55</v>
      </c>
      <c r="I4480">
        <v>98</v>
      </c>
      <c r="J4480">
        <v>539</v>
      </c>
      <c r="K4480" s="4">
        <v>216</v>
      </c>
      <c r="L4480" t="s">
        <v>27</v>
      </c>
    </row>
    <row r="4481" spans="1:12" x14ac:dyDescent="0.35">
      <c r="A4481" t="s">
        <v>23</v>
      </c>
      <c r="B4481">
        <v>1185732</v>
      </c>
      <c r="C4481" s="1">
        <v>44422</v>
      </c>
      <c r="D4481" t="s">
        <v>43</v>
      </c>
      <c r="E4481" t="s">
        <v>112</v>
      </c>
      <c r="F4481" t="s">
        <v>113</v>
      </c>
      <c r="G4481" t="s">
        <v>16</v>
      </c>
      <c r="H4481" s="2">
        <v>46</v>
      </c>
      <c r="I4481">
        <v>98</v>
      </c>
      <c r="J4481">
        <v>451</v>
      </c>
      <c r="K4481" s="4">
        <v>158</v>
      </c>
      <c r="L4481" t="s">
        <v>27</v>
      </c>
    </row>
    <row r="4482" spans="1:12" x14ac:dyDescent="0.35">
      <c r="A4482" t="s">
        <v>18</v>
      </c>
      <c r="B4482">
        <v>1185732</v>
      </c>
      <c r="C4482" s="1">
        <v>44511</v>
      </c>
      <c r="D4482" t="s">
        <v>43</v>
      </c>
      <c r="E4482" t="s">
        <v>125</v>
      </c>
      <c r="F4482" t="s">
        <v>126</v>
      </c>
      <c r="G4482" t="s">
        <v>39</v>
      </c>
      <c r="H4482" s="2">
        <v>47</v>
      </c>
      <c r="I4482">
        <v>98</v>
      </c>
      <c r="J4482">
        <v>461</v>
      </c>
      <c r="K4482" s="4">
        <v>226</v>
      </c>
      <c r="L4482" t="s">
        <v>27</v>
      </c>
    </row>
    <row r="4483" spans="1:12" x14ac:dyDescent="0.35">
      <c r="A4483" t="s">
        <v>18</v>
      </c>
      <c r="B4483">
        <v>1185732</v>
      </c>
      <c r="C4483" s="1">
        <v>44511</v>
      </c>
      <c r="D4483" t="s">
        <v>43</v>
      </c>
      <c r="E4483" t="s">
        <v>125</v>
      </c>
      <c r="F4483" t="s">
        <v>126</v>
      </c>
      <c r="G4483" t="s">
        <v>32</v>
      </c>
      <c r="H4483" s="2">
        <v>57</v>
      </c>
      <c r="I4483">
        <v>96</v>
      </c>
      <c r="J4483">
        <v>547</v>
      </c>
      <c r="K4483" s="4">
        <v>263</v>
      </c>
      <c r="L4483" t="s">
        <v>17</v>
      </c>
    </row>
    <row r="4484" spans="1:12" x14ac:dyDescent="0.35">
      <c r="A4484" t="s">
        <v>23</v>
      </c>
      <c r="B4484">
        <v>1197831</v>
      </c>
      <c r="C4484" s="1">
        <v>44435</v>
      </c>
      <c r="D4484" t="s">
        <v>19</v>
      </c>
      <c r="E4484" t="s">
        <v>59</v>
      </c>
      <c r="F4484" t="s">
        <v>68</v>
      </c>
      <c r="G4484" t="s">
        <v>70</v>
      </c>
      <c r="H4484" s="2">
        <v>29</v>
      </c>
      <c r="I4484">
        <v>96</v>
      </c>
      <c r="J4484">
        <v>278</v>
      </c>
      <c r="K4484" s="4">
        <v>103</v>
      </c>
      <c r="L4484" t="s">
        <v>27</v>
      </c>
    </row>
    <row r="4485" spans="1:12" x14ac:dyDescent="0.35">
      <c r="A4485" t="s">
        <v>18</v>
      </c>
      <c r="B4485">
        <v>1128299</v>
      </c>
      <c r="C4485" s="1">
        <v>43908</v>
      </c>
      <c r="D4485" t="s">
        <v>48</v>
      </c>
      <c r="E4485" t="s">
        <v>116</v>
      </c>
      <c r="F4485" t="s">
        <v>117</v>
      </c>
      <c r="G4485" t="s">
        <v>56</v>
      </c>
      <c r="H4485" s="2">
        <v>26</v>
      </c>
      <c r="I4485">
        <v>96</v>
      </c>
      <c r="J4485">
        <v>250</v>
      </c>
      <c r="K4485" s="4">
        <v>85</v>
      </c>
      <c r="L4485" t="s">
        <v>27</v>
      </c>
    </row>
    <row r="4486" spans="1:12" x14ac:dyDescent="0.35">
      <c r="A4486" t="s">
        <v>12</v>
      </c>
      <c r="B4486">
        <v>1128299</v>
      </c>
      <c r="C4486" s="1">
        <v>44425</v>
      </c>
      <c r="D4486" t="s">
        <v>13</v>
      </c>
      <c r="E4486" t="s">
        <v>14</v>
      </c>
      <c r="F4486" t="s">
        <v>15</v>
      </c>
      <c r="G4486" t="s">
        <v>16</v>
      </c>
      <c r="H4486" s="2">
        <v>60</v>
      </c>
      <c r="I4486">
        <v>96</v>
      </c>
      <c r="J4486">
        <v>576</v>
      </c>
      <c r="K4486" s="4">
        <v>282</v>
      </c>
      <c r="L4486" t="s">
        <v>27</v>
      </c>
    </row>
    <row r="4487" spans="1:12" x14ac:dyDescent="0.35">
      <c r="A4487" t="s">
        <v>12</v>
      </c>
      <c r="B4487">
        <v>1128299</v>
      </c>
      <c r="C4487" s="1">
        <v>44457</v>
      </c>
      <c r="D4487" t="s">
        <v>13</v>
      </c>
      <c r="E4487" t="s">
        <v>14</v>
      </c>
      <c r="F4487" t="s">
        <v>15</v>
      </c>
      <c r="G4487" t="s">
        <v>32</v>
      </c>
      <c r="H4487" s="2">
        <v>39</v>
      </c>
      <c r="I4487">
        <v>96</v>
      </c>
      <c r="J4487">
        <v>374</v>
      </c>
      <c r="K4487" s="4">
        <v>124</v>
      </c>
      <c r="L4487" t="s">
        <v>27</v>
      </c>
    </row>
    <row r="4488" spans="1:12" x14ac:dyDescent="0.35">
      <c r="A4488" t="s">
        <v>18</v>
      </c>
      <c r="B4488">
        <v>1128299</v>
      </c>
      <c r="C4488" s="1">
        <v>44271</v>
      </c>
      <c r="D4488" t="s">
        <v>19</v>
      </c>
      <c r="E4488" t="s">
        <v>20</v>
      </c>
      <c r="F4488" t="s">
        <v>21</v>
      </c>
      <c r="G4488" t="s">
        <v>56</v>
      </c>
      <c r="H4488" s="2">
        <v>43</v>
      </c>
      <c r="I4488">
        <v>96</v>
      </c>
      <c r="J4488">
        <v>413</v>
      </c>
      <c r="K4488" s="4">
        <v>178</v>
      </c>
      <c r="L4488" t="s">
        <v>27</v>
      </c>
    </row>
    <row r="4489" spans="1:12" x14ac:dyDescent="0.35">
      <c r="A4489" t="s">
        <v>18</v>
      </c>
      <c r="B4489">
        <v>1128299</v>
      </c>
      <c r="C4489" s="1">
        <v>44457</v>
      </c>
      <c r="D4489" t="s">
        <v>19</v>
      </c>
      <c r="E4489" t="s">
        <v>20</v>
      </c>
      <c r="F4489" t="s">
        <v>21</v>
      </c>
      <c r="G4489" t="s">
        <v>32</v>
      </c>
      <c r="H4489" s="2">
        <v>30</v>
      </c>
      <c r="I4489">
        <v>96</v>
      </c>
      <c r="J4489">
        <v>288</v>
      </c>
      <c r="K4489" s="4">
        <v>132</v>
      </c>
      <c r="L4489" t="s">
        <v>27</v>
      </c>
    </row>
    <row r="4490" spans="1:12" x14ac:dyDescent="0.35">
      <c r="A4490" t="s">
        <v>63</v>
      </c>
      <c r="B4490">
        <v>1128299</v>
      </c>
      <c r="C4490" s="1">
        <v>44312</v>
      </c>
      <c r="D4490" t="s">
        <v>48</v>
      </c>
      <c r="E4490" t="s">
        <v>114</v>
      </c>
      <c r="F4490" t="s">
        <v>115</v>
      </c>
      <c r="G4490" t="s">
        <v>56</v>
      </c>
      <c r="H4490" s="2">
        <v>37</v>
      </c>
      <c r="I4490">
        <v>96</v>
      </c>
      <c r="J4490">
        <v>355</v>
      </c>
      <c r="K4490" s="4">
        <v>139</v>
      </c>
      <c r="L4490" t="s">
        <v>27</v>
      </c>
    </row>
    <row r="4491" spans="1:12" x14ac:dyDescent="0.35">
      <c r="A4491" t="s">
        <v>23</v>
      </c>
      <c r="B4491">
        <v>1128299</v>
      </c>
      <c r="C4491" s="1">
        <v>44299</v>
      </c>
      <c r="D4491" t="s">
        <v>13</v>
      </c>
      <c r="E4491" t="s">
        <v>57</v>
      </c>
      <c r="F4491" t="s">
        <v>58</v>
      </c>
      <c r="G4491" t="s">
        <v>56</v>
      </c>
      <c r="H4491" s="2">
        <v>40</v>
      </c>
      <c r="I4491">
        <v>96</v>
      </c>
      <c r="J4491">
        <v>384</v>
      </c>
      <c r="K4491" s="4">
        <v>173</v>
      </c>
      <c r="L4491" t="s">
        <v>27</v>
      </c>
    </row>
    <row r="4492" spans="1:12" x14ac:dyDescent="0.35">
      <c r="A4492" t="s">
        <v>42</v>
      </c>
      <c r="B4492">
        <v>1185732</v>
      </c>
      <c r="C4492" s="1">
        <v>44303</v>
      </c>
      <c r="D4492" t="s">
        <v>19</v>
      </c>
      <c r="E4492" t="s">
        <v>37</v>
      </c>
      <c r="F4492" t="s">
        <v>38</v>
      </c>
      <c r="G4492" t="s">
        <v>56</v>
      </c>
      <c r="H4492" s="2">
        <v>16</v>
      </c>
      <c r="I4492">
        <v>96</v>
      </c>
      <c r="J4492">
        <v>154</v>
      </c>
      <c r="K4492" s="4">
        <v>66</v>
      </c>
      <c r="L4492" t="s">
        <v>27</v>
      </c>
    </row>
    <row r="4493" spans="1:12" x14ac:dyDescent="0.35">
      <c r="A4493" t="s">
        <v>12</v>
      </c>
      <c r="B4493">
        <v>1197831</v>
      </c>
      <c r="C4493" s="1">
        <v>44306</v>
      </c>
      <c r="D4493" t="s">
        <v>19</v>
      </c>
      <c r="E4493" t="s">
        <v>54</v>
      </c>
      <c r="F4493" t="s">
        <v>55</v>
      </c>
      <c r="G4493" t="s">
        <v>32</v>
      </c>
      <c r="H4493" s="2">
        <v>11</v>
      </c>
      <c r="I4493">
        <v>96</v>
      </c>
      <c r="J4493">
        <v>106</v>
      </c>
      <c r="K4493" s="4">
        <v>50</v>
      </c>
      <c r="L4493" t="s">
        <v>27</v>
      </c>
    </row>
    <row r="4494" spans="1:12" x14ac:dyDescent="0.35">
      <c r="A4494" t="s">
        <v>63</v>
      </c>
      <c r="B4494">
        <v>1197831</v>
      </c>
      <c r="C4494" s="1">
        <v>44520</v>
      </c>
      <c r="D4494" t="s">
        <v>19</v>
      </c>
      <c r="E4494" t="s">
        <v>61</v>
      </c>
      <c r="F4494" t="s">
        <v>62</v>
      </c>
      <c r="G4494" t="s">
        <v>39</v>
      </c>
      <c r="H4494" s="2">
        <v>11</v>
      </c>
      <c r="I4494">
        <v>96</v>
      </c>
      <c r="J4494">
        <v>106</v>
      </c>
      <c r="K4494" s="4">
        <v>40</v>
      </c>
      <c r="L4494" t="s">
        <v>27</v>
      </c>
    </row>
    <row r="4495" spans="1:12" x14ac:dyDescent="0.35">
      <c r="A4495" t="s">
        <v>23</v>
      </c>
      <c r="B4495">
        <v>1185732</v>
      </c>
      <c r="C4495" s="1">
        <v>44232</v>
      </c>
      <c r="D4495" t="s">
        <v>43</v>
      </c>
      <c r="E4495" t="s">
        <v>108</v>
      </c>
      <c r="F4495" t="s">
        <v>109</v>
      </c>
      <c r="G4495" t="s">
        <v>16</v>
      </c>
      <c r="H4495" s="2">
        <v>32</v>
      </c>
      <c r="I4495">
        <v>96</v>
      </c>
      <c r="J4495">
        <v>307</v>
      </c>
      <c r="K4495" s="4">
        <v>120</v>
      </c>
      <c r="L4495" t="s">
        <v>27</v>
      </c>
    </row>
    <row r="4496" spans="1:12" x14ac:dyDescent="0.35">
      <c r="A4496" t="s">
        <v>23</v>
      </c>
      <c r="B4496">
        <v>1185732</v>
      </c>
      <c r="C4496" s="1">
        <v>44352</v>
      </c>
      <c r="D4496" t="s">
        <v>43</v>
      </c>
      <c r="E4496" t="s">
        <v>108</v>
      </c>
      <c r="F4496" t="s">
        <v>109</v>
      </c>
      <c r="G4496" t="s">
        <v>32</v>
      </c>
      <c r="H4496" s="2">
        <v>35</v>
      </c>
      <c r="I4496">
        <v>96</v>
      </c>
      <c r="J4496">
        <v>336</v>
      </c>
      <c r="K4496" s="4">
        <v>111</v>
      </c>
      <c r="L4496" t="s">
        <v>27</v>
      </c>
    </row>
    <row r="4497" spans="1:12" x14ac:dyDescent="0.35">
      <c r="A4497" t="s">
        <v>42</v>
      </c>
      <c r="B4497">
        <v>1185732</v>
      </c>
      <c r="C4497" s="1">
        <v>44533</v>
      </c>
      <c r="D4497" t="s">
        <v>43</v>
      </c>
      <c r="E4497" t="s">
        <v>108</v>
      </c>
      <c r="F4497" t="s">
        <v>109</v>
      </c>
      <c r="G4497" t="s">
        <v>56</v>
      </c>
      <c r="H4497" s="2">
        <v>38</v>
      </c>
      <c r="I4497">
        <v>96</v>
      </c>
      <c r="J4497">
        <v>365</v>
      </c>
      <c r="K4497" s="4">
        <v>128</v>
      </c>
      <c r="L4497" t="s">
        <v>27</v>
      </c>
    </row>
    <row r="4498" spans="1:12" x14ac:dyDescent="0.35">
      <c r="A4498" t="s">
        <v>42</v>
      </c>
      <c r="B4498">
        <v>1185732</v>
      </c>
      <c r="C4498" s="1">
        <v>44415</v>
      </c>
      <c r="D4498" t="s">
        <v>43</v>
      </c>
      <c r="E4498" t="s">
        <v>110</v>
      </c>
      <c r="F4498" t="s">
        <v>111</v>
      </c>
      <c r="G4498" t="s">
        <v>16</v>
      </c>
      <c r="H4498" s="2">
        <v>38</v>
      </c>
      <c r="I4498">
        <v>96</v>
      </c>
      <c r="J4498">
        <v>365</v>
      </c>
      <c r="K4498" s="4">
        <v>171</v>
      </c>
      <c r="L4498" t="s">
        <v>27</v>
      </c>
    </row>
    <row r="4499" spans="1:12" x14ac:dyDescent="0.35">
      <c r="A4499" t="s">
        <v>51</v>
      </c>
      <c r="B4499">
        <v>1185732</v>
      </c>
      <c r="C4499" s="1">
        <v>44265</v>
      </c>
      <c r="D4499" t="s">
        <v>43</v>
      </c>
      <c r="E4499" t="s">
        <v>125</v>
      </c>
      <c r="F4499" t="s">
        <v>126</v>
      </c>
      <c r="G4499" t="s">
        <v>16</v>
      </c>
      <c r="H4499" s="2">
        <v>29</v>
      </c>
      <c r="I4499">
        <v>96</v>
      </c>
      <c r="J4499">
        <v>278</v>
      </c>
      <c r="K4499" s="4">
        <v>128</v>
      </c>
      <c r="L4499" t="s">
        <v>27</v>
      </c>
    </row>
    <row r="4500" spans="1:12" x14ac:dyDescent="0.35">
      <c r="A4500" t="s">
        <v>51</v>
      </c>
      <c r="B4500">
        <v>1185732</v>
      </c>
      <c r="C4500" s="1">
        <v>44326</v>
      </c>
      <c r="D4500" t="s">
        <v>43</v>
      </c>
      <c r="E4500" t="s">
        <v>125</v>
      </c>
      <c r="F4500" t="s">
        <v>126</v>
      </c>
      <c r="G4500" t="s">
        <v>32</v>
      </c>
      <c r="H4500" s="2">
        <v>37</v>
      </c>
      <c r="I4500">
        <v>96</v>
      </c>
      <c r="J4500">
        <v>355</v>
      </c>
      <c r="K4500" s="4">
        <v>131</v>
      </c>
      <c r="L4500" t="s">
        <v>27</v>
      </c>
    </row>
    <row r="4501" spans="1:12" x14ac:dyDescent="0.35">
      <c r="A4501" t="s">
        <v>51</v>
      </c>
      <c r="B4501">
        <v>1185732</v>
      </c>
      <c r="C4501" s="1">
        <v>44387</v>
      </c>
      <c r="D4501" t="s">
        <v>43</v>
      </c>
      <c r="E4501" t="s">
        <v>125</v>
      </c>
      <c r="F4501" t="s">
        <v>126</v>
      </c>
      <c r="G4501" t="s">
        <v>56</v>
      </c>
      <c r="H4501" s="2">
        <v>36</v>
      </c>
      <c r="I4501">
        <v>96</v>
      </c>
      <c r="J4501">
        <v>346</v>
      </c>
      <c r="K4501" s="4">
        <v>145</v>
      </c>
      <c r="L4501" t="s">
        <v>27</v>
      </c>
    </row>
    <row r="4502" spans="1:12" x14ac:dyDescent="0.35">
      <c r="A4502" t="s">
        <v>51</v>
      </c>
      <c r="B4502">
        <v>1185732</v>
      </c>
      <c r="C4502" s="1">
        <v>44511</v>
      </c>
      <c r="D4502" t="s">
        <v>43</v>
      </c>
      <c r="E4502" t="s">
        <v>125</v>
      </c>
      <c r="F4502" t="s">
        <v>126</v>
      </c>
      <c r="G4502" t="s">
        <v>56</v>
      </c>
      <c r="H4502" s="2">
        <v>42</v>
      </c>
      <c r="I4502">
        <v>96</v>
      </c>
      <c r="J4502">
        <v>403</v>
      </c>
      <c r="K4502" s="4">
        <v>157</v>
      </c>
      <c r="L4502" t="s">
        <v>27</v>
      </c>
    </row>
    <row r="4503" spans="1:12" x14ac:dyDescent="0.35">
      <c r="A4503" t="s">
        <v>51</v>
      </c>
      <c r="B4503">
        <v>1185732</v>
      </c>
      <c r="C4503" s="1">
        <v>44246</v>
      </c>
      <c r="D4503" t="s">
        <v>43</v>
      </c>
      <c r="E4503" t="s">
        <v>125</v>
      </c>
      <c r="F4503" t="s">
        <v>126</v>
      </c>
      <c r="G4503" t="s">
        <v>32</v>
      </c>
      <c r="H4503" s="2">
        <v>31</v>
      </c>
      <c r="I4503">
        <v>96</v>
      </c>
      <c r="J4503">
        <v>298</v>
      </c>
      <c r="K4503" s="4">
        <v>101</v>
      </c>
      <c r="L4503" t="s">
        <v>27</v>
      </c>
    </row>
    <row r="4504" spans="1:12" x14ac:dyDescent="0.35">
      <c r="A4504" t="s">
        <v>51</v>
      </c>
      <c r="B4504">
        <v>1185732</v>
      </c>
      <c r="C4504" s="1">
        <v>44246</v>
      </c>
      <c r="D4504" t="s">
        <v>43</v>
      </c>
      <c r="E4504" t="s">
        <v>127</v>
      </c>
      <c r="F4504" t="s">
        <v>128</v>
      </c>
      <c r="G4504" t="s">
        <v>70</v>
      </c>
      <c r="H4504" s="2">
        <v>41</v>
      </c>
      <c r="I4504">
        <v>96</v>
      </c>
      <c r="J4504">
        <v>394</v>
      </c>
      <c r="K4504" s="4">
        <v>130</v>
      </c>
      <c r="L4504" t="s">
        <v>27</v>
      </c>
    </row>
    <row r="4505" spans="1:12" x14ac:dyDescent="0.35">
      <c r="A4505" t="s">
        <v>42</v>
      </c>
      <c r="B4505">
        <v>1185732</v>
      </c>
      <c r="C4505" s="1">
        <v>44518</v>
      </c>
      <c r="D4505" t="s">
        <v>43</v>
      </c>
      <c r="E4505" t="s">
        <v>127</v>
      </c>
      <c r="F4505" t="s">
        <v>128</v>
      </c>
      <c r="G4505" t="s">
        <v>70</v>
      </c>
      <c r="H4505" s="2">
        <v>59</v>
      </c>
      <c r="I4505">
        <v>96</v>
      </c>
      <c r="J4505">
        <v>566</v>
      </c>
      <c r="K4505" s="4">
        <v>193</v>
      </c>
      <c r="L4505" t="s">
        <v>27</v>
      </c>
    </row>
    <row r="4506" spans="1:12" x14ac:dyDescent="0.35">
      <c r="A4506" t="s">
        <v>42</v>
      </c>
      <c r="B4506">
        <v>1185732</v>
      </c>
      <c r="C4506" s="1">
        <v>44399</v>
      </c>
      <c r="D4506" t="s">
        <v>33</v>
      </c>
      <c r="E4506" t="s">
        <v>120</v>
      </c>
      <c r="F4506" t="s">
        <v>121</v>
      </c>
      <c r="G4506" t="s">
        <v>32</v>
      </c>
      <c r="H4506" s="2">
        <v>30</v>
      </c>
      <c r="I4506">
        <v>95</v>
      </c>
      <c r="J4506" s="3">
        <v>2850</v>
      </c>
      <c r="K4506" s="4">
        <v>998</v>
      </c>
      <c r="L4506" t="s">
        <v>27</v>
      </c>
    </row>
    <row r="4507" spans="1:12" x14ac:dyDescent="0.35">
      <c r="A4507" t="s">
        <v>42</v>
      </c>
      <c r="B4507">
        <v>1185732</v>
      </c>
      <c r="C4507" s="1">
        <v>44538</v>
      </c>
      <c r="D4507" t="s">
        <v>43</v>
      </c>
      <c r="E4507" t="s">
        <v>135</v>
      </c>
      <c r="F4507" t="s">
        <v>136</v>
      </c>
      <c r="G4507" t="s">
        <v>16</v>
      </c>
      <c r="H4507" s="2">
        <v>64</v>
      </c>
      <c r="I4507">
        <v>95</v>
      </c>
      <c r="J4507">
        <v>608</v>
      </c>
      <c r="K4507" s="4">
        <v>261</v>
      </c>
      <c r="L4507" t="s">
        <v>17</v>
      </c>
    </row>
    <row r="4508" spans="1:12" x14ac:dyDescent="0.35">
      <c r="A4508" t="s">
        <v>18</v>
      </c>
      <c r="B4508">
        <v>1128299</v>
      </c>
      <c r="C4508" s="1">
        <v>43855</v>
      </c>
      <c r="D4508" t="s">
        <v>48</v>
      </c>
      <c r="E4508" t="s">
        <v>116</v>
      </c>
      <c r="F4508" t="s">
        <v>117</v>
      </c>
      <c r="G4508" t="s">
        <v>16</v>
      </c>
      <c r="H4508" s="2">
        <v>78</v>
      </c>
      <c r="I4508">
        <v>95</v>
      </c>
      <c r="J4508">
        <v>741</v>
      </c>
      <c r="K4508" s="4">
        <v>252</v>
      </c>
      <c r="L4508" t="s">
        <v>17</v>
      </c>
    </row>
    <row r="4509" spans="1:12" x14ac:dyDescent="0.35">
      <c r="A4509" t="s">
        <v>18</v>
      </c>
      <c r="B4509">
        <v>1128299</v>
      </c>
      <c r="C4509" s="1">
        <v>43922</v>
      </c>
      <c r="D4509" t="s">
        <v>48</v>
      </c>
      <c r="E4509" t="s">
        <v>133</v>
      </c>
      <c r="F4509" t="s">
        <v>134</v>
      </c>
      <c r="G4509" t="s">
        <v>16</v>
      </c>
      <c r="H4509" s="2">
        <v>52</v>
      </c>
      <c r="I4509">
        <v>95</v>
      </c>
      <c r="J4509">
        <v>494</v>
      </c>
      <c r="K4509" s="4">
        <v>143</v>
      </c>
      <c r="L4509" t="s">
        <v>17</v>
      </c>
    </row>
    <row r="4510" spans="1:12" x14ac:dyDescent="0.35">
      <c r="A4510" t="s">
        <v>23</v>
      </c>
      <c r="B4510">
        <v>1197831</v>
      </c>
      <c r="C4510" s="1">
        <v>44269</v>
      </c>
      <c r="D4510" t="s">
        <v>19</v>
      </c>
      <c r="E4510" t="s">
        <v>74</v>
      </c>
      <c r="F4510" t="s">
        <v>75</v>
      </c>
      <c r="G4510" t="s">
        <v>70</v>
      </c>
      <c r="H4510" s="2">
        <v>39</v>
      </c>
      <c r="I4510">
        <v>95</v>
      </c>
      <c r="J4510">
        <v>371</v>
      </c>
      <c r="K4510" s="4">
        <v>148</v>
      </c>
      <c r="L4510" t="s">
        <v>17</v>
      </c>
    </row>
    <row r="4511" spans="1:12" x14ac:dyDescent="0.35">
      <c r="A4511" t="s">
        <v>23</v>
      </c>
      <c r="B4511">
        <v>1197831</v>
      </c>
      <c r="C4511" s="1">
        <v>44460</v>
      </c>
      <c r="D4511" t="s">
        <v>19</v>
      </c>
      <c r="E4511" t="s">
        <v>24</v>
      </c>
      <c r="F4511" t="s">
        <v>25</v>
      </c>
      <c r="G4511" t="s">
        <v>56</v>
      </c>
      <c r="H4511" s="2">
        <v>58</v>
      </c>
      <c r="I4511">
        <v>95</v>
      </c>
      <c r="J4511">
        <v>551</v>
      </c>
      <c r="K4511" s="4">
        <v>391</v>
      </c>
      <c r="L4511" t="s">
        <v>17</v>
      </c>
    </row>
    <row r="4512" spans="1:12" x14ac:dyDescent="0.35">
      <c r="A4512" t="s">
        <v>42</v>
      </c>
      <c r="B4512">
        <v>1128299</v>
      </c>
      <c r="C4512" s="1">
        <v>44493</v>
      </c>
      <c r="D4512" t="s">
        <v>13</v>
      </c>
      <c r="E4512" t="s">
        <v>99</v>
      </c>
      <c r="F4512" t="s">
        <v>100</v>
      </c>
      <c r="G4512" t="s">
        <v>32</v>
      </c>
      <c r="H4512" s="2">
        <v>46</v>
      </c>
      <c r="I4512">
        <v>95</v>
      </c>
      <c r="J4512">
        <v>437</v>
      </c>
      <c r="K4512" s="4">
        <v>201</v>
      </c>
      <c r="L4512" t="s">
        <v>17</v>
      </c>
    </row>
    <row r="4513" spans="1:12" x14ac:dyDescent="0.35">
      <c r="A4513" t="s">
        <v>42</v>
      </c>
      <c r="B4513">
        <v>1185732</v>
      </c>
      <c r="C4513" s="1">
        <v>44272</v>
      </c>
      <c r="D4513" t="s">
        <v>33</v>
      </c>
      <c r="E4513" t="s">
        <v>34</v>
      </c>
      <c r="F4513" t="s">
        <v>35</v>
      </c>
      <c r="G4513" t="s">
        <v>32</v>
      </c>
      <c r="H4513" s="2">
        <v>23</v>
      </c>
      <c r="I4513">
        <v>95</v>
      </c>
      <c r="J4513">
        <v>219</v>
      </c>
      <c r="K4513" s="4">
        <v>101</v>
      </c>
      <c r="L4513" t="s">
        <v>17</v>
      </c>
    </row>
    <row r="4514" spans="1:12" x14ac:dyDescent="0.35">
      <c r="A4514" t="s">
        <v>42</v>
      </c>
      <c r="B4514">
        <v>1185732</v>
      </c>
      <c r="C4514" s="1">
        <v>44458</v>
      </c>
      <c r="D4514" t="s">
        <v>33</v>
      </c>
      <c r="E4514" t="s">
        <v>34</v>
      </c>
      <c r="F4514" t="s">
        <v>35</v>
      </c>
      <c r="G4514" t="s">
        <v>16</v>
      </c>
      <c r="H4514" s="2">
        <v>28</v>
      </c>
      <c r="I4514">
        <v>95</v>
      </c>
      <c r="J4514">
        <v>266</v>
      </c>
      <c r="K4514" s="4">
        <v>170</v>
      </c>
      <c r="L4514" t="s">
        <v>17</v>
      </c>
    </row>
    <row r="4515" spans="1:12" x14ac:dyDescent="0.35">
      <c r="A4515" t="s">
        <v>18</v>
      </c>
      <c r="B4515">
        <v>1128299</v>
      </c>
      <c r="C4515" s="1">
        <v>44341</v>
      </c>
      <c r="D4515" t="s">
        <v>48</v>
      </c>
      <c r="E4515" t="s">
        <v>85</v>
      </c>
      <c r="F4515" t="s">
        <v>86</v>
      </c>
      <c r="G4515" t="s">
        <v>32</v>
      </c>
      <c r="H4515" s="2">
        <v>50</v>
      </c>
      <c r="I4515">
        <v>95</v>
      </c>
      <c r="J4515">
        <v>475</v>
      </c>
      <c r="K4515" s="4">
        <v>238</v>
      </c>
      <c r="L4515" t="s">
        <v>17</v>
      </c>
    </row>
    <row r="4516" spans="1:12" x14ac:dyDescent="0.35">
      <c r="A4516" t="s">
        <v>18</v>
      </c>
      <c r="B4516">
        <v>1128299</v>
      </c>
      <c r="C4516" s="1">
        <v>44271</v>
      </c>
      <c r="D4516" t="s">
        <v>19</v>
      </c>
      <c r="E4516" t="s">
        <v>20</v>
      </c>
      <c r="F4516" t="s">
        <v>21</v>
      </c>
      <c r="G4516" t="s">
        <v>16</v>
      </c>
      <c r="H4516" s="2">
        <v>41</v>
      </c>
      <c r="I4516">
        <v>95</v>
      </c>
      <c r="J4516">
        <v>390</v>
      </c>
      <c r="K4516" s="4">
        <v>175</v>
      </c>
      <c r="L4516" t="s">
        <v>17</v>
      </c>
    </row>
    <row r="4517" spans="1:12" x14ac:dyDescent="0.35">
      <c r="A4517" t="s">
        <v>18</v>
      </c>
      <c r="B4517">
        <v>1128299</v>
      </c>
      <c r="C4517" s="1">
        <v>44486</v>
      </c>
      <c r="D4517" t="s">
        <v>19</v>
      </c>
      <c r="E4517" t="s">
        <v>20</v>
      </c>
      <c r="F4517" t="s">
        <v>21</v>
      </c>
      <c r="G4517" t="s">
        <v>70</v>
      </c>
      <c r="H4517" s="2">
        <v>47</v>
      </c>
      <c r="I4517">
        <v>95</v>
      </c>
      <c r="J4517">
        <v>447</v>
      </c>
      <c r="K4517" s="4">
        <v>263</v>
      </c>
      <c r="L4517" t="s">
        <v>17</v>
      </c>
    </row>
    <row r="4518" spans="1:12" x14ac:dyDescent="0.35">
      <c r="A4518" t="s">
        <v>42</v>
      </c>
      <c r="B4518">
        <v>1128299</v>
      </c>
      <c r="C4518" s="1">
        <v>44277</v>
      </c>
      <c r="D4518" t="s">
        <v>48</v>
      </c>
      <c r="E4518" t="s">
        <v>123</v>
      </c>
      <c r="F4518" t="s">
        <v>124</v>
      </c>
      <c r="G4518" t="s">
        <v>39</v>
      </c>
      <c r="H4518" s="2">
        <v>48</v>
      </c>
      <c r="I4518">
        <v>95</v>
      </c>
      <c r="J4518">
        <v>456</v>
      </c>
      <c r="K4518" s="4">
        <v>251</v>
      </c>
      <c r="L4518" t="s">
        <v>17</v>
      </c>
    </row>
    <row r="4519" spans="1:12" x14ac:dyDescent="0.35">
      <c r="A4519" t="s">
        <v>42</v>
      </c>
      <c r="B4519">
        <v>1128299</v>
      </c>
      <c r="C4519" s="1">
        <v>44370</v>
      </c>
      <c r="D4519" t="s">
        <v>48</v>
      </c>
      <c r="E4519" t="s">
        <v>123</v>
      </c>
      <c r="F4519" t="s">
        <v>124</v>
      </c>
      <c r="G4519" t="s">
        <v>56</v>
      </c>
      <c r="H4519" s="2">
        <v>46</v>
      </c>
      <c r="I4519">
        <v>95</v>
      </c>
      <c r="J4519">
        <v>437</v>
      </c>
      <c r="K4519" s="4">
        <v>219</v>
      </c>
      <c r="L4519" t="s">
        <v>17</v>
      </c>
    </row>
    <row r="4520" spans="1:12" x14ac:dyDescent="0.35">
      <c r="A4520" t="s">
        <v>63</v>
      </c>
      <c r="B4520">
        <v>1128299</v>
      </c>
      <c r="C4520" s="1">
        <v>44495</v>
      </c>
      <c r="D4520" t="s">
        <v>48</v>
      </c>
      <c r="E4520" t="s">
        <v>114</v>
      </c>
      <c r="F4520" t="s">
        <v>115</v>
      </c>
      <c r="G4520" t="s">
        <v>56</v>
      </c>
      <c r="H4520" s="2">
        <v>46</v>
      </c>
      <c r="I4520">
        <v>95</v>
      </c>
      <c r="J4520">
        <v>437</v>
      </c>
      <c r="K4520" s="4">
        <v>214</v>
      </c>
      <c r="L4520" t="s">
        <v>17</v>
      </c>
    </row>
    <row r="4521" spans="1:12" x14ac:dyDescent="0.35">
      <c r="A4521" t="s">
        <v>23</v>
      </c>
      <c r="B4521">
        <v>1128299</v>
      </c>
      <c r="C4521" s="1">
        <v>44267</v>
      </c>
      <c r="D4521" t="s">
        <v>13</v>
      </c>
      <c r="E4521" t="s">
        <v>57</v>
      </c>
      <c r="F4521" t="s">
        <v>58</v>
      </c>
      <c r="G4521" t="s">
        <v>16</v>
      </c>
      <c r="H4521" s="2">
        <v>48</v>
      </c>
      <c r="I4521">
        <v>95</v>
      </c>
      <c r="J4521">
        <v>456</v>
      </c>
      <c r="K4521" s="4">
        <v>164</v>
      </c>
      <c r="L4521" t="s">
        <v>17</v>
      </c>
    </row>
    <row r="4522" spans="1:12" x14ac:dyDescent="0.35">
      <c r="A4522" t="s">
        <v>51</v>
      </c>
      <c r="B4522">
        <v>1185732</v>
      </c>
      <c r="C4522" s="1">
        <v>44398</v>
      </c>
      <c r="D4522" t="s">
        <v>13</v>
      </c>
      <c r="E4522" t="s">
        <v>106</v>
      </c>
      <c r="F4522" t="s">
        <v>107</v>
      </c>
      <c r="G4522" t="s">
        <v>39</v>
      </c>
      <c r="H4522" s="2">
        <v>44</v>
      </c>
      <c r="I4522">
        <v>95</v>
      </c>
      <c r="J4522">
        <v>418</v>
      </c>
      <c r="K4522" s="4">
        <v>205</v>
      </c>
      <c r="L4522" t="s">
        <v>17</v>
      </c>
    </row>
    <row r="4523" spans="1:12" x14ac:dyDescent="0.35">
      <c r="A4523" t="s">
        <v>23</v>
      </c>
      <c r="B4523">
        <v>1197831</v>
      </c>
      <c r="C4523" s="1">
        <v>44219</v>
      </c>
      <c r="D4523" t="s">
        <v>19</v>
      </c>
      <c r="E4523" t="s">
        <v>37</v>
      </c>
      <c r="F4523" t="s">
        <v>38</v>
      </c>
      <c r="G4523" t="s">
        <v>70</v>
      </c>
      <c r="H4523" s="2">
        <v>34</v>
      </c>
      <c r="I4523">
        <v>95</v>
      </c>
      <c r="J4523">
        <v>323</v>
      </c>
      <c r="K4523" s="4">
        <v>155</v>
      </c>
      <c r="L4523" t="s">
        <v>17</v>
      </c>
    </row>
    <row r="4524" spans="1:12" x14ac:dyDescent="0.35">
      <c r="A4524" t="s">
        <v>42</v>
      </c>
      <c r="B4524">
        <v>1197831</v>
      </c>
      <c r="C4524" s="1">
        <v>44542</v>
      </c>
      <c r="D4524" t="s">
        <v>33</v>
      </c>
      <c r="E4524" t="s">
        <v>71</v>
      </c>
      <c r="F4524" t="s">
        <v>72</v>
      </c>
      <c r="G4524" t="s">
        <v>32</v>
      </c>
      <c r="H4524" s="2">
        <v>58</v>
      </c>
      <c r="I4524">
        <v>95</v>
      </c>
      <c r="J4524">
        <v>551</v>
      </c>
      <c r="K4524" s="4">
        <v>253</v>
      </c>
      <c r="L4524" t="s">
        <v>17</v>
      </c>
    </row>
    <row r="4525" spans="1:12" x14ac:dyDescent="0.35">
      <c r="A4525" t="s">
        <v>23</v>
      </c>
      <c r="B4525">
        <v>1185732</v>
      </c>
      <c r="C4525" s="1">
        <v>44417</v>
      </c>
      <c r="D4525" t="s">
        <v>33</v>
      </c>
      <c r="E4525" t="s">
        <v>89</v>
      </c>
      <c r="F4525" t="s">
        <v>90</v>
      </c>
      <c r="G4525" t="s">
        <v>16</v>
      </c>
      <c r="H4525" s="2">
        <v>54</v>
      </c>
      <c r="I4525">
        <v>95</v>
      </c>
      <c r="J4525">
        <v>513</v>
      </c>
      <c r="K4525" s="4">
        <v>272</v>
      </c>
      <c r="L4525" t="s">
        <v>17</v>
      </c>
    </row>
    <row r="4526" spans="1:12" x14ac:dyDescent="0.35">
      <c r="A4526" t="s">
        <v>18</v>
      </c>
      <c r="B4526">
        <v>1185732</v>
      </c>
      <c r="C4526" s="1">
        <v>44334</v>
      </c>
      <c r="D4526" t="s">
        <v>43</v>
      </c>
      <c r="E4526" t="s">
        <v>64</v>
      </c>
      <c r="F4526" t="s">
        <v>65</v>
      </c>
      <c r="G4526" t="s">
        <v>16</v>
      </c>
      <c r="H4526" s="2">
        <v>52</v>
      </c>
      <c r="I4526">
        <v>95</v>
      </c>
      <c r="J4526">
        <v>494</v>
      </c>
      <c r="K4526" s="4">
        <v>272</v>
      </c>
      <c r="L4526" t="s">
        <v>17</v>
      </c>
    </row>
    <row r="4527" spans="1:12" x14ac:dyDescent="0.35">
      <c r="A4527" t="s">
        <v>42</v>
      </c>
      <c r="B4527">
        <v>1185732</v>
      </c>
      <c r="C4527" s="1">
        <v>44517</v>
      </c>
      <c r="D4527" t="s">
        <v>43</v>
      </c>
      <c r="E4527" t="s">
        <v>64</v>
      </c>
      <c r="F4527" t="s">
        <v>65</v>
      </c>
      <c r="G4527" t="s">
        <v>39</v>
      </c>
      <c r="H4527" s="2">
        <v>33</v>
      </c>
      <c r="I4527">
        <v>95</v>
      </c>
      <c r="J4527">
        <v>314</v>
      </c>
      <c r="K4527" s="4">
        <v>166</v>
      </c>
      <c r="L4527" t="s">
        <v>17</v>
      </c>
    </row>
    <row r="4528" spans="1:12" x14ac:dyDescent="0.35">
      <c r="A4528" t="s">
        <v>42</v>
      </c>
      <c r="B4528">
        <v>1185732</v>
      </c>
      <c r="C4528" s="1">
        <v>44546</v>
      </c>
      <c r="D4528" t="s">
        <v>43</v>
      </c>
      <c r="E4528" t="s">
        <v>64</v>
      </c>
      <c r="F4528" t="s">
        <v>65</v>
      </c>
      <c r="G4528" t="s">
        <v>70</v>
      </c>
      <c r="H4528" s="2">
        <v>61</v>
      </c>
      <c r="I4528">
        <v>95</v>
      </c>
      <c r="J4528">
        <v>580</v>
      </c>
      <c r="K4528" s="4">
        <v>290</v>
      </c>
      <c r="L4528" t="s">
        <v>17</v>
      </c>
    </row>
    <row r="4529" spans="1:12" x14ac:dyDescent="0.35">
      <c r="A4529" t="s">
        <v>42</v>
      </c>
      <c r="B4529">
        <v>1185732</v>
      </c>
      <c r="C4529" s="1">
        <v>44504</v>
      </c>
      <c r="D4529" t="s">
        <v>43</v>
      </c>
      <c r="E4529" t="s">
        <v>108</v>
      </c>
      <c r="F4529" t="s">
        <v>109</v>
      </c>
      <c r="G4529" t="s">
        <v>16</v>
      </c>
      <c r="H4529" s="2">
        <v>67</v>
      </c>
      <c r="I4529">
        <v>95</v>
      </c>
      <c r="J4529">
        <v>637</v>
      </c>
      <c r="K4529" s="4">
        <v>299</v>
      </c>
      <c r="L4529" t="s">
        <v>17</v>
      </c>
    </row>
    <row r="4530" spans="1:12" x14ac:dyDescent="0.35">
      <c r="A4530" t="s">
        <v>23</v>
      </c>
      <c r="B4530">
        <v>1185732</v>
      </c>
      <c r="C4530" s="1">
        <v>44507</v>
      </c>
      <c r="D4530" t="s">
        <v>43</v>
      </c>
      <c r="E4530" t="s">
        <v>110</v>
      </c>
      <c r="F4530" t="s">
        <v>111</v>
      </c>
      <c r="G4530" t="s">
        <v>26</v>
      </c>
      <c r="H4530" s="2">
        <v>55</v>
      </c>
      <c r="I4530">
        <v>95</v>
      </c>
      <c r="J4530">
        <v>523</v>
      </c>
      <c r="K4530" s="4">
        <v>256</v>
      </c>
      <c r="L4530" t="s">
        <v>17</v>
      </c>
    </row>
    <row r="4531" spans="1:12" x14ac:dyDescent="0.35">
      <c r="A4531" t="s">
        <v>51</v>
      </c>
      <c r="B4531">
        <v>1185732</v>
      </c>
      <c r="C4531" s="1">
        <v>44456</v>
      </c>
      <c r="D4531" t="s">
        <v>43</v>
      </c>
      <c r="E4531" t="s">
        <v>127</v>
      </c>
      <c r="F4531" t="s">
        <v>128</v>
      </c>
      <c r="G4531" t="s">
        <v>39</v>
      </c>
      <c r="H4531" s="2">
        <v>54</v>
      </c>
      <c r="I4531">
        <v>95</v>
      </c>
      <c r="J4531">
        <v>513</v>
      </c>
      <c r="K4531" s="4">
        <v>267</v>
      </c>
      <c r="L4531" t="s">
        <v>17</v>
      </c>
    </row>
    <row r="4532" spans="1:12" x14ac:dyDescent="0.35">
      <c r="A4532" t="s">
        <v>42</v>
      </c>
      <c r="B4532">
        <v>1185732</v>
      </c>
      <c r="C4532" s="1">
        <v>44390</v>
      </c>
      <c r="D4532" t="s">
        <v>33</v>
      </c>
      <c r="E4532" t="s">
        <v>118</v>
      </c>
      <c r="F4532" t="s">
        <v>119</v>
      </c>
      <c r="G4532" t="s">
        <v>39</v>
      </c>
      <c r="H4532" s="2">
        <v>41</v>
      </c>
      <c r="I4532">
        <v>94</v>
      </c>
      <c r="J4532">
        <v>385</v>
      </c>
      <c r="K4532" s="4">
        <v>177</v>
      </c>
      <c r="L4532" t="s">
        <v>17</v>
      </c>
    </row>
    <row r="4533" spans="1:12" x14ac:dyDescent="0.35">
      <c r="A4533" t="s">
        <v>42</v>
      </c>
      <c r="B4533">
        <v>1185732</v>
      </c>
      <c r="C4533" s="1">
        <v>44394</v>
      </c>
      <c r="D4533" t="s">
        <v>33</v>
      </c>
      <c r="E4533" t="s">
        <v>118</v>
      </c>
      <c r="F4533" t="s">
        <v>119</v>
      </c>
      <c r="G4533" t="s">
        <v>16</v>
      </c>
      <c r="H4533" s="2">
        <v>50</v>
      </c>
      <c r="I4533">
        <v>94</v>
      </c>
      <c r="J4533">
        <v>470</v>
      </c>
      <c r="K4533" s="4">
        <v>306</v>
      </c>
      <c r="L4533" t="s">
        <v>17</v>
      </c>
    </row>
    <row r="4534" spans="1:12" x14ac:dyDescent="0.35">
      <c r="A4534" t="s">
        <v>23</v>
      </c>
      <c r="B4534">
        <v>1197831</v>
      </c>
      <c r="C4534" s="1">
        <v>44423</v>
      </c>
      <c r="D4534" t="s">
        <v>19</v>
      </c>
      <c r="E4534" t="s">
        <v>59</v>
      </c>
      <c r="F4534" t="s">
        <v>68</v>
      </c>
      <c r="G4534" t="s">
        <v>70</v>
      </c>
      <c r="H4534" s="2">
        <v>37</v>
      </c>
      <c r="I4534">
        <v>94</v>
      </c>
      <c r="J4534">
        <v>348</v>
      </c>
      <c r="K4534" s="4">
        <v>122</v>
      </c>
      <c r="L4534" t="s">
        <v>17</v>
      </c>
    </row>
    <row r="4535" spans="1:12" x14ac:dyDescent="0.35">
      <c r="A4535" t="s">
        <v>18</v>
      </c>
      <c r="B4535">
        <v>1128299</v>
      </c>
      <c r="C4535" s="1">
        <v>43849</v>
      </c>
      <c r="D4535" t="s">
        <v>48</v>
      </c>
      <c r="E4535" t="s">
        <v>116</v>
      </c>
      <c r="F4535" t="s">
        <v>117</v>
      </c>
      <c r="G4535" t="s">
        <v>16</v>
      </c>
      <c r="H4535" s="2">
        <v>54</v>
      </c>
      <c r="I4535">
        <v>94</v>
      </c>
      <c r="J4535">
        <v>508</v>
      </c>
      <c r="K4535" s="4">
        <v>173</v>
      </c>
      <c r="L4535" t="s">
        <v>17</v>
      </c>
    </row>
    <row r="4536" spans="1:12" x14ac:dyDescent="0.35">
      <c r="A4536" t="s">
        <v>18</v>
      </c>
      <c r="B4536">
        <v>1128299</v>
      </c>
      <c r="C4536" s="1">
        <v>43892</v>
      </c>
      <c r="D4536" t="s">
        <v>48</v>
      </c>
      <c r="E4536" t="s">
        <v>116</v>
      </c>
      <c r="F4536" t="s">
        <v>117</v>
      </c>
      <c r="G4536" t="s">
        <v>16</v>
      </c>
      <c r="H4536" s="2">
        <v>68</v>
      </c>
      <c r="I4536">
        <v>94</v>
      </c>
      <c r="J4536">
        <v>639</v>
      </c>
      <c r="K4536" s="4">
        <v>160</v>
      </c>
      <c r="L4536" t="s">
        <v>17</v>
      </c>
    </row>
    <row r="4537" spans="1:12" x14ac:dyDescent="0.35">
      <c r="A4537" t="s">
        <v>18</v>
      </c>
      <c r="B4537">
        <v>1128299</v>
      </c>
      <c r="C4537" s="1">
        <v>43924</v>
      </c>
      <c r="D4537" t="s">
        <v>48</v>
      </c>
      <c r="E4537" t="s">
        <v>133</v>
      </c>
      <c r="F4537" t="s">
        <v>134</v>
      </c>
      <c r="G4537" t="s">
        <v>39</v>
      </c>
      <c r="H4537" s="2">
        <v>59</v>
      </c>
      <c r="I4537">
        <v>94</v>
      </c>
      <c r="J4537">
        <v>555</v>
      </c>
      <c r="K4537" s="4">
        <v>194</v>
      </c>
      <c r="L4537" t="s">
        <v>17</v>
      </c>
    </row>
    <row r="4538" spans="1:12" x14ac:dyDescent="0.35">
      <c r="A4538" t="s">
        <v>18</v>
      </c>
      <c r="B4538">
        <v>1128299</v>
      </c>
      <c r="C4538" s="1">
        <v>44035</v>
      </c>
      <c r="D4538" t="s">
        <v>48</v>
      </c>
      <c r="E4538" t="s">
        <v>97</v>
      </c>
      <c r="F4538" t="s">
        <v>98</v>
      </c>
      <c r="G4538" t="s">
        <v>70</v>
      </c>
      <c r="H4538" s="2">
        <v>69</v>
      </c>
      <c r="I4538">
        <v>94</v>
      </c>
      <c r="J4538">
        <v>649</v>
      </c>
      <c r="K4538" s="4">
        <v>227</v>
      </c>
      <c r="L4538" t="s">
        <v>17</v>
      </c>
    </row>
    <row r="4539" spans="1:12" x14ac:dyDescent="0.35">
      <c r="A4539" t="s">
        <v>42</v>
      </c>
      <c r="B4539">
        <v>1185732</v>
      </c>
      <c r="C4539" s="1">
        <v>44391</v>
      </c>
      <c r="D4539" t="s">
        <v>33</v>
      </c>
      <c r="E4539" t="s">
        <v>120</v>
      </c>
      <c r="F4539" t="s">
        <v>121</v>
      </c>
      <c r="G4539" t="s">
        <v>26</v>
      </c>
      <c r="H4539" s="2">
        <v>36</v>
      </c>
      <c r="I4539">
        <v>94</v>
      </c>
      <c r="J4539">
        <v>338</v>
      </c>
      <c r="K4539" s="4">
        <v>183</v>
      </c>
      <c r="L4539" t="s">
        <v>17</v>
      </c>
    </row>
    <row r="4540" spans="1:12" x14ac:dyDescent="0.35">
      <c r="A4540" t="s">
        <v>42</v>
      </c>
      <c r="B4540">
        <v>1128299</v>
      </c>
      <c r="C4540" s="1">
        <v>44237</v>
      </c>
      <c r="D4540" t="s">
        <v>48</v>
      </c>
      <c r="E4540" t="s">
        <v>137</v>
      </c>
      <c r="F4540" t="s">
        <v>138</v>
      </c>
      <c r="G4540" t="s">
        <v>32</v>
      </c>
      <c r="H4540" s="2">
        <v>44</v>
      </c>
      <c r="I4540">
        <v>94</v>
      </c>
      <c r="J4540">
        <v>414</v>
      </c>
      <c r="K4540" s="4">
        <v>149</v>
      </c>
      <c r="L4540" t="s">
        <v>17</v>
      </c>
    </row>
    <row r="4541" spans="1:12" x14ac:dyDescent="0.35">
      <c r="A4541" t="s">
        <v>42</v>
      </c>
      <c r="B4541">
        <v>1128299</v>
      </c>
      <c r="C4541" s="1">
        <v>44296</v>
      </c>
      <c r="D4541" t="s">
        <v>48</v>
      </c>
      <c r="E4541" t="s">
        <v>129</v>
      </c>
      <c r="F4541" t="s">
        <v>130</v>
      </c>
      <c r="G4541" t="s">
        <v>16</v>
      </c>
      <c r="H4541" s="2">
        <v>66</v>
      </c>
      <c r="I4541">
        <v>94</v>
      </c>
      <c r="J4541">
        <v>620</v>
      </c>
      <c r="K4541" s="4">
        <v>310</v>
      </c>
      <c r="L4541" t="s">
        <v>17</v>
      </c>
    </row>
    <row r="4542" spans="1:12" x14ac:dyDescent="0.35">
      <c r="A4542" t="s">
        <v>23</v>
      </c>
      <c r="B4542">
        <v>1185732</v>
      </c>
      <c r="C4542" s="1">
        <v>44270</v>
      </c>
      <c r="D4542" t="s">
        <v>33</v>
      </c>
      <c r="E4542" t="s">
        <v>45</v>
      </c>
      <c r="F4542" t="s">
        <v>46</v>
      </c>
      <c r="G4542" t="s">
        <v>70</v>
      </c>
      <c r="H4542" s="2">
        <v>43</v>
      </c>
      <c r="I4542">
        <v>94</v>
      </c>
      <c r="J4542">
        <v>404</v>
      </c>
      <c r="K4542" s="4">
        <v>210</v>
      </c>
      <c r="L4542" t="s">
        <v>17</v>
      </c>
    </row>
    <row r="4543" spans="1:12" x14ac:dyDescent="0.35">
      <c r="A4543" t="s">
        <v>42</v>
      </c>
      <c r="B4543">
        <v>1185732</v>
      </c>
      <c r="C4543" s="1">
        <v>44245</v>
      </c>
      <c r="D4543" t="s">
        <v>33</v>
      </c>
      <c r="E4543" t="s">
        <v>45</v>
      </c>
      <c r="F4543" t="s">
        <v>46</v>
      </c>
      <c r="G4543" t="s">
        <v>39</v>
      </c>
      <c r="H4543" s="2">
        <v>28</v>
      </c>
      <c r="I4543">
        <v>94</v>
      </c>
      <c r="J4543">
        <v>263</v>
      </c>
      <c r="K4543" s="4">
        <v>129</v>
      </c>
      <c r="L4543" t="s">
        <v>17</v>
      </c>
    </row>
    <row r="4544" spans="1:12" x14ac:dyDescent="0.35">
      <c r="A4544" t="s">
        <v>42</v>
      </c>
      <c r="B4544">
        <v>1185732</v>
      </c>
      <c r="C4544" s="1">
        <v>44394</v>
      </c>
      <c r="D4544" t="s">
        <v>33</v>
      </c>
      <c r="E4544" t="s">
        <v>34</v>
      </c>
      <c r="F4544" t="s">
        <v>35</v>
      </c>
      <c r="G4544" t="s">
        <v>70</v>
      </c>
      <c r="H4544" s="2">
        <v>37</v>
      </c>
      <c r="I4544">
        <v>94</v>
      </c>
      <c r="J4544">
        <v>348</v>
      </c>
      <c r="K4544" s="4">
        <v>170</v>
      </c>
      <c r="L4544" t="s">
        <v>17</v>
      </c>
    </row>
    <row r="4545" spans="1:12" x14ac:dyDescent="0.35">
      <c r="A4545" t="s">
        <v>18</v>
      </c>
      <c r="B4545">
        <v>1185732</v>
      </c>
      <c r="C4545" s="1">
        <v>44297</v>
      </c>
      <c r="D4545" t="s">
        <v>48</v>
      </c>
      <c r="E4545" t="s">
        <v>49</v>
      </c>
      <c r="F4545" t="s">
        <v>50</v>
      </c>
      <c r="G4545" t="s">
        <v>39</v>
      </c>
      <c r="H4545" s="2">
        <v>25</v>
      </c>
      <c r="I4545">
        <v>94</v>
      </c>
      <c r="J4545">
        <v>235</v>
      </c>
      <c r="K4545" s="4">
        <v>106</v>
      </c>
      <c r="L4545" t="s">
        <v>17</v>
      </c>
    </row>
    <row r="4546" spans="1:12" x14ac:dyDescent="0.35">
      <c r="A4546" t="s">
        <v>42</v>
      </c>
      <c r="B4546">
        <v>1128299</v>
      </c>
      <c r="C4546" s="1">
        <v>44309</v>
      </c>
      <c r="D4546" t="s">
        <v>48</v>
      </c>
      <c r="E4546" t="s">
        <v>123</v>
      </c>
      <c r="F4546" t="s">
        <v>124</v>
      </c>
      <c r="G4546" t="s">
        <v>16</v>
      </c>
      <c r="H4546" s="2">
        <v>67</v>
      </c>
      <c r="I4546">
        <v>94</v>
      </c>
      <c r="J4546">
        <v>630</v>
      </c>
      <c r="K4546" s="4">
        <v>227</v>
      </c>
      <c r="L4546" t="s">
        <v>17</v>
      </c>
    </row>
    <row r="4547" spans="1:12" x14ac:dyDescent="0.35">
      <c r="A4547" t="s">
        <v>42</v>
      </c>
      <c r="B4547">
        <v>1128299</v>
      </c>
      <c r="C4547" s="1">
        <v>44431</v>
      </c>
      <c r="D4547" t="s">
        <v>48</v>
      </c>
      <c r="E4547" t="s">
        <v>123</v>
      </c>
      <c r="F4547" t="s">
        <v>124</v>
      </c>
      <c r="G4547" t="s">
        <v>16</v>
      </c>
      <c r="H4547" s="2">
        <v>65</v>
      </c>
      <c r="I4547">
        <v>94</v>
      </c>
      <c r="J4547">
        <v>611</v>
      </c>
      <c r="K4547" s="4">
        <v>244</v>
      </c>
      <c r="L4547" t="s">
        <v>17</v>
      </c>
    </row>
    <row r="4548" spans="1:12" x14ac:dyDescent="0.35">
      <c r="A4548" t="s">
        <v>23</v>
      </c>
      <c r="B4548">
        <v>1128299</v>
      </c>
      <c r="C4548" s="1">
        <v>44299</v>
      </c>
      <c r="D4548" t="s">
        <v>13</v>
      </c>
      <c r="E4548" t="s">
        <v>57</v>
      </c>
      <c r="F4548" t="s">
        <v>58</v>
      </c>
      <c r="G4548" t="s">
        <v>32</v>
      </c>
      <c r="H4548" s="2">
        <v>50</v>
      </c>
      <c r="I4548">
        <v>94</v>
      </c>
      <c r="J4548">
        <v>470</v>
      </c>
      <c r="K4548" s="4">
        <v>235</v>
      </c>
      <c r="L4548" t="s">
        <v>17</v>
      </c>
    </row>
    <row r="4549" spans="1:12" x14ac:dyDescent="0.35">
      <c r="A4549" t="s">
        <v>51</v>
      </c>
      <c r="B4549">
        <v>1185732</v>
      </c>
      <c r="C4549" s="1">
        <v>44462</v>
      </c>
      <c r="D4549" t="s">
        <v>13</v>
      </c>
      <c r="E4549" t="s">
        <v>106</v>
      </c>
      <c r="F4549" t="s">
        <v>107</v>
      </c>
      <c r="G4549" t="s">
        <v>39</v>
      </c>
      <c r="H4549" s="2">
        <v>44</v>
      </c>
      <c r="I4549">
        <v>94</v>
      </c>
      <c r="J4549">
        <v>414</v>
      </c>
      <c r="K4549" s="4">
        <v>203</v>
      </c>
      <c r="L4549" t="s">
        <v>17</v>
      </c>
    </row>
    <row r="4550" spans="1:12" x14ac:dyDescent="0.35">
      <c r="A4550" t="s">
        <v>12</v>
      </c>
      <c r="B4550">
        <v>1197831</v>
      </c>
      <c r="C4550" s="1">
        <v>44458</v>
      </c>
      <c r="D4550" t="s">
        <v>19</v>
      </c>
      <c r="E4550" t="s">
        <v>54</v>
      </c>
      <c r="F4550" t="s">
        <v>55</v>
      </c>
      <c r="G4550" t="s">
        <v>70</v>
      </c>
      <c r="H4550" s="2">
        <v>23</v>
      </c>
      <c r="I4550">
        <v>94</v>
      </c>
      <c r="J4550">
        <v>216</v>
      </c>
      <c r="K4550" s="4">
        <v>108</v>
      </c>
      <c r="L4550" t="s">
        <v>17</v>
      </c>
    </row>
    <row r="4551" spans="1:12" x14ac:dyDescent="0.35">
      <c r="A4551" t="s">
        <v>18</v>
      </c>
      <c r="B4551">
        <v>1197831</v>
      </c>
      <c r="C4551" s="1">
        <v>44520</v>
      </c>
      <c r="D4551" t="s">
        <v>19</v>
      </c>
      <c r="E4551" t="s">
        <v>54</v>
      </c>
      <c r="F4551" t="s">
        <v>55</v>
      </c>
      <c r="G4551" t="s">
        <v>39</v>
      </c>
      <c r="H4551" s="2">
        <v>14</v>
      </c>
      <c r="I4551">
        <v>94</v>
      </c>
      <c r="J4551">
        <v>132</v>
      </c>
      <c r="K4551" s="4">
        <v>66</v>
      </c>
      <c r="L4551" t="s">
        <v>17</v>
      </c>
    </row>
    <row r="4552" spans="1:12" x14ac:dyDescent="0.35">
      <c r="A4552" t="s">
        <v>18</v>
      </c>
      <c r="B4552">
        <v>1197831</v>
      </c>
      <c r="C4552" s="1">
        <v>44306</v>
      </c>
      <c r="D4552" t="s">
        <v>19</v>
      </c>
      <c r="E4552" t="s">
        <v>61</v>
      </c>
      <c r="F4552" t="s">
        <v>62</v>
      </c>
      <c r="G4552" t="s">
        <v>16</v>
      </c>
      <c r="H4552" s="2">
        <v>28</v>
      </c>
      <c r="I4552">
        <v>94</v>
      </c>
      <c r="J4552">
        <v>263</v>
      </c>
      <c r="K4552" s="4">
        <v>145</v>
      </c>
      <c r="L4552" t="s">
        <v>17</v>
      </c>
    </row>
    <row r="4553" spans="1:12" x14ac:dyDescent="0.35">
      <c r="A4553" t="s">
        <v>18</v>
      </c>
      <c r="B4553">
        <v>1197831</v>
      </c>
      <c r="C4553" s="1">
        <v>44396</v>
      </c>
      <c r="D4553" t="s">
        <v>19</v>
      </c>
      <c r="E4553" t="s">
        <v>61</v>
      </c>
      <c r="F4553" t="s">
        <v>62</v>
      </c>
      <c r="G4553" t="s">
        <v>32</v>
      </c>
      <c r="H4553" s="2">
        <v>44</v>
      </c>
      <c r="I4553">
        <v>94</v>
      </c>
      <c r="J4553">
        <v>414</v>
      </c>
      <c r="K4553" s="4">
        <v>223</v>
      </c>
      <c r="L4553" t="s">
        <v>17</v>
      </c>
    </row>
    <row r="4554" spans="1:12" x14ac:dyDescent="0.35">
      <c r="A4554" t="s">
        <v>63</v>
      </c>
      <c r="B4554">
        <v>1197831</v>
      </c>
      <c r="C4554" s="1">
        <v>44549</v>
      </c>
      <c r="D4554" t="s">
        <v>19</v>
      </c>
      <c r="E4554" t="s">
        <v>61</v>
      </c>
      <c r="F4554" t="s">
        <v>62</v>
      </c>
      <c r="G4554" t="s">
        <v>56</v>
      </c>
      <c r="H4554" s="2">
        <v>54</v>
      </c>
      <c r="I4554">
        <v>94</v>
      </c>
      <c r="J4554">
        <v>508</v>
      </c>
      <c r="K4554" s="4">
        <v>269</v>
      </c>
      <c r="L4554" t="s">
        <v>17</v>
      </c>
    </row>
    <row r="4555" spans="1:12" x14ac:dyDescent="0.35">
      <c r="A4555" t="s">
        <v>63</v>
      </c>
      <c r="B4555">
        <v>1197831</v>
      </c>
      <c r="C4555" s="1">
        <v>44328</v>
      </c>
      <c r="D4555" t="s">
        <v>33</v>
      </c>
      <c r="E4555" t="s">
        <v>71</v>
      </c>
      <c r="F4555" t="s">
        <v>72</v>
      </c>
      <c r="G4555" t="s">
        <v>16</v>
      </c>
      <c r="H4555" s="2">
        <v>42</v>
      </c>
      <c r="I4555">
        <v>94</v>
      </c>
      <c r="J4555">
        <v>395</v>
      </c>
      <c r="K4555" s="4">
        <v>178</v>
      </c>
      <c r="L4555" t="s">
        <v>17</v>
      </c>
    </row>
    <row r="4556" spans="1:12" x14ac:dyDescent="0.35">
      <c r="A4556" t="s">
        <v>63</v>
      </c>
      <c r="B4556">
        <v>1197831</v>
      </c>
      <c r="C4556" s="1">
        <v>44361</v>
      </c>
      <c r="D4556" t="s">
        <v>33</v>
      </c>
      <c r="E4556" t="s">
        <v>71</v>
      </c>
      <c r="F4556" t="s">
        <v>72</v>
      </c>
      <c r="G4556" t="s">
        <v>39</v>
      </c>
      <c r="H4556" s="2">
        <v>32</v>
      </c>
      <c r="I4556">
        <v>94</v>
      </c>
      <c r="J4556">
        <v>301</v>
      </c>
      <c r="K4556" s="4">
        <v>144</v>
      </c>
      <c r="L4556" t="s">
        <v>17</v>
      </c>
    </row>
    <row r="4557" spans="1:12" x14ac:dyDescent="0.35">
      <c r="A4557" t="s">
        <v>63</v>
      </c>
      <c r="B4557">
        <v>1197831</v>
      </c>
      <c r="C4557" s="1">
        <v>44451</v>
      </c>
      <c r="D4557" t="s">
        <v>33</v>
      </c>
      <c r="E4557" t="s">
        <v>71</v>
      </c>
      <c r="F4557" t="s">
        <v>72</v>
      </c>
      <c r="G4557" t="s">
        <v>16</v>
      </c>
      <c r="H4557" s="2">
        <v>29</v>
      </c>
      <c r="I4557">
        <v>94</v>
      </c>
      <c r="J4557">
        <v>273</v>
      </c>
      <c r="K4557" s="4">
        <v>134</v>
      </c>
      <c r="L4557" t="s">
        <v>17</v>
      </c>
    </row>
    <row r="4558" spans="1:12" x14ac:dyDescent="0.35">
      <c r="A4558" t="s">
        <v>42</v>
      </c>
      <c r="B4558">
        <v>1185732</v>
      </c>
      <c r="C4558" s="1">
        <v>44359</v>
      </c>
      <c r="D4558" t="s">
        <v>33</v>
      </c>
      <c r="E4558" t="s">
        <v>87</v>
      </c>
      <c r="F4558" t="s">
        <v>88</v>
      </c>
      <c r="G4558" t="s">
        <v>16</v>
      </c>
      <c r="H4558" s="2">
        <v>50</v>
      </c>
      <c r="I4558">
        <v>94</v>
      </c>
      <c r="J4558">
        <v>470</v>
      </c>
      <c r="K4558" s="4">
        <v>249</v>
      </c>
      <c r="L4558" t="s">
        <v>17</v>
      </c>
    </row>
    <row r="4559" spans="1:12" x14ac:dyDescent="0.35">
      <c r="A4559" t="s">
        <v>42</v>
      </c>
      <c r="B4559">
        <v>1185732</v>
      </c>
      <c r="C4559" s="1">
        <v>44388</v>
      </c>
      <c r="D4559" t="s">
        <v>33</v>
      </c>
      <c r="E4559" t="s">
        <v>87</v>
      </c>
      <c r="F4559" t="s">
        <v>88</v>
      </c>
      <c r="G4559" t="s">
        <v>16</v>
      </c>
      <c r="H4559" s="2">
        <v>53</v>
      </c>
      <c r="I4559">
        <v>94</v>
      </c>
      <c r="J4559">
        <v>498</v>
      </c>
      <c r="K4559" s="4">
        <v>264</v>
      </c>
      <c r="L4559" t="s">
        <v>17</v>
      </c>
    </row>
    <row r="4560" spans="1:12" x14ac:dyDescent="0.35">
      <c r="A4560" t="s">
        <v>42</v>
      </c>
      <c r="B4560">
        <v>1185732</v>
      </c>
      <c r="C4560" s="1">
        <v>44382</v>
      </c>
      <c r="D4560" t="s">
        <v>33</v>
      </c>
      <c r="E4560" t="s">
        <v>91</v>
      </c>
      <c r="F4560" t="s">
        <v>92</v>
      </c>
      <c r="G4560" t="s">
        <v>16</v>
      </c>
      <c r="H4560" s="2">
        <v>51</v>
      </c>
      <c r="I4560">
        <v>94</v>
      </c>
      <c r="J4560">
        <v>479</v>
      </c>
      <c r="K4560" s="4">
        <v>240</v>
      </c>
      <c r="L4560" t="s">
        <v>17</v>
      </c>
    </row>
    <row r="4561" spans="1:12" x14ac:dyDescent="0.35">
      <c r="A4561" t="s">
        <v>18</v>
      </c>
      <c r="B4561">
        <v>1185732</v>
      </c>
      <c r="C4561" s="1">
        <v>44379</v>
      </c>
      <c r="D4561" t="s">
        <v>33</v>
      </c>
      <c r="E4561" t="s">
        <v>40</v>
      </c>
      <c r="F4561" t="s">
        <v>41</v>
      </c>
      <c r="G4561" t="s">
        <v>16</v>
      </c>
      <c r="H4561" s="2">
        <v>52</v>
      </c>
      <c r="I4561">
        <v>94</v>
      </c>
      <c r="J4561">
        <v>489</v>
      </c>
      <c r="K4561" s="4">
        <v>264</v>
      </c>
      <c r="L4561" t="s">
        <v>17</v>
      </c>
    </row>
    <row r="4562" spans="1:12" x14ac:dyDescent="0.35">
      <c r="A4562" t="s">
        <v>18</v>
      </c>
      <c r="B4562">
        <v>1185732</v>
      </c>
      <c r="C4562" s="1">
        <v>44357</v>
      </c>
      <c r="D4562" t="s">
        <v>33</v>
      </c>
      <c r="E4562" t="s">
        <v>81</v>
      </c>
      <c r="F4562" t="s">
        <v>82</v>
      </c>
      <c r="G4562" t="s">
        <v>39</v>
      </c>
      <c r="H4562" s="2">
        <v>32</v>
      </c>
      <c r="I4562">
        <v>94</v>
      </c>
      <c r="J4562">
        <v>301</v>
      </c>
      <c r="K4562" s="4">
        <v>159</v>
      </c>
      <c r="L4562" t="s">
        <v>17</v>
      </c>
    </row>
    <row r="4563" spans="1:12" x14ac:dyDescent="0.35">
      <c r="A4563" t="s">
        <v>18</v>
      </c>
      <c r="B4563">
        <v>1185732</v>
      </c>
      <c r="C4563" s="1">
        <v>44303</v>
      </c>
      <c r="D4563" t="s">
        <v>43</v>
      </c>
      <c r="E4563" t="s">
        <v>64</v>
      </c>
      <c r="F4563" t="s">
        <v>65</v>
      </c>
      <c r="G4563" t="s">
        <v>16</v>
      </c>
      <c r="H4563" s="2">
        <v>47</v>
      </c>
      <c r="I4563">
        <v>94</v>
      </c>
      <c r="J4563">
        <v>442</v>
      </c>
      <c r="K4563" s="4">
        <v>225</v>
      </c>
      <c r="L4563" t="s">
        <v>17</v>
      </c>
    </row>
    <row r="4564" spans="1:12" x14ac:dyDescent="0.35">
      <c r="A4564" t="s">
        <v>42</v>
      </c>
      <c r="B4564">
        <v>1185732</v>
      </c>
      <c r="C4564" s="1">
        <v>44390</v>
      </c>
      <c r="D4564" t="s">
        <v>43</v>
      </c>
      <c r="E4564" t="s">
        <v>95</v>
      </c>
      <c r="F4564" t="s">
        <v>96</v>
      </c>
      <c r="G4564" t="s">
        <v>70</v>
      </c>
      <c r="H4564" s="2">
        <v>51</v>
      </c>
      <c r="I4564">
        <v>94</v>
      </c>
      <c r="J4564">
        <v>479</v>
      </c>
      <c r="K4564" s="4">
        <v>197</v>
      </c>
      <c r="L4564" t="s">
        <v>17</v>
      </c>
    </row>
    <row r="4565" spans="1:12" x14ac:dyDescent="0.35">
      <c r="A4565" t="s">
        <v>23</v>
      </c>
      <c r="B4565">
        <v>1185732</v>
      </c>
      <c r="C4565" s="1">
        <v>44352</v>
      </c>
      <c r="D4565" t="s">
        <v>43</v>
      </c>
      <c r="E4565" t="s">
        <v>108</v>
      </c>
      <c r="F4565" t="s">
        <v>109</v>
      </c>
      <c r="G4565" t="s">
        <v>39</v>
      </c>
      <c r="H4565" s="2">
        <v>48</v>
      </c>
      <c r="I4565">
        <v>94</v>
      </c>
      <c r="J4565">
        <v>451</v>
      </c>
      <c r="K4565" s="4">
        <v>226</v>
      </c>
      <c r="L4565" t="s">
        <v>17</v>
      </c>
    </row>
    <row r="4566" spans="1:12" x14ac:dyDescent="0.35">
      <c r="A4566" t="s">
        <v>42</v>
      </c>
      <c r="B4566">
        <v>1185732</v>
      </c>
      <c r="C4566" s="1">
        <v>44477</v>
      </c>
      <c r="D4566" t="s">
        <v>43</v>
      </c>
      <c r="E4566" t="s">
        <v>110</v>
      </c>
      <c r="F4566" t="s">
        <v>111</v>
      </c>
      <c r="G4566" t="s">
        <v>26</v>
      </c>
      <c r="H4566" s="2">
        <v>53</v>
      </c>
      <c r="I4566">
        <v>94</v>
      </c>
      <c r="J4566">
        <v>498</v>
      </c>
      <c r="K4566" s="4">
        <v>249</v>
      </c>
      <c r="L4566" t="s">
        <v>17</v>
      </c>
    </row>
    <row r="4567" spans="1:12" x14ac:dyDescent="0.35">
      <c r="A4567" t="s">
        <v>23</v>
      </c>
      <c r="B4567">
        <v>1185732</v>
      </c>
      <c r="C4567" s="1">
        <v>44362</v>
      </c>
      <c r="D4567" t="s">
        <v>43</v>
      </c>
      <c r="E4567" t="s">
        <v>112</v>
      </c>
      <c r="F4567" t="s">
        <v>113</v>
      </c>
      <c r="G4567" t="s">
        <v>39</v>
      </c>
      <c r="H4567" s="2">
        <v>47</v>
      </c>
      <c r="I4567">
        <v>94</v>
      </c>
      <c r="J4567">
        <v>442</v>
      </c>
      <c r="K4567" s="4">
        <v>186</v>
      </c>
      <c r="L4567" t="s">
        <v>17</v>
      </c>
    </row>
    <row r="4568" spans="1:12" x14ac:dyDescent="0.35">
      <c r="A4568" t="s">
        <v>51</v>
      </c>
      <c r="B4568">
        <v>1185732</v>
      </c>
      <c r="C4568" s="1">
        <v>44210</v>
      </c>
      <c r="D4568" t="s">
        <v>43</v>
      </c>
      <c r="E4568" t="s">
        <v>112</v>
      </c>
      <c r="F4568" t="s">
        <v>113</v>
      </c>
      <c r="G4568" t="s">
        <v>39</v>
      </c>
      <c r="H4568" s="2">
        <v>42</v>
      </c>
      <c r="I4568">
        <v>94</v>
      </c>
      <c r="J4568">
        <v>395</v>
      </c>
      <c r="K4568" s="4">
        <v>237</v>
      </c>
      <c r="L4568" t="s">
        <v>17</v>
      </c>
    </row>
    <row r="4569" spans="1:12" x14ac:dyDescent="0.35">
      <c r="A4569" t="s">
        <v>51</v>
      </c>
      <c r="B4569">
        <v>1185732</v>
      </c>
      <c r="C4569" s="1">
        <v>44387</v>
      </c>
      <c r="D4569" t="s">
        <v>43</v>
      </c>
      <c r="E4569" t="s">
        <v>125</v>
      </c>
      <c r="F4569" t="s">
        <v>126</v>
      </c>
      <c r="G4569" t="s">
        <v>70</v>
      </c>
      <c r="H4569" s="2">
        <v>54</v>
      </c>
      <c r="I4569">
        <v>94</v>
      </c>
      <c r="J4569">
        <v>508</v>
      </c>
      <c r="K4569" s="4">
        <v>239</v>
      </c>
      <c r="L4569" t="s">
        <v>17</v>
      </c>
    </row>
    <row r="4570" spans="1:12" x14ac:dyDescent="0.35">
      <c r="A4570" t="s">
        <v>51</v>
      </c>
      <c r="B4570">
        <v>1185732</v>
      </c>
      <c r="C4570" s="1">
        <v>44511</v>
      </c>
      <c r="D4570" t="s">
        <v>43</v>
      </c>
      <c r="E4570" t="s">
        <v>125</v>
      </c>
      <c r="F4570" t="s">
        <v>126</v>
      </c>
      <c r="G4570" t="s">
        <v>16</v>
      </c>
      <c r="H4570" s="2">
        <v>70</v>
      </c>
      <c r="I4570">
        <v>94</v>
      </c>
      <c r="J4570">
        <v>658</v>
      </c>
      <c r="K4570" s="4">
        <v>349</v>
      </c>
      <c r="L4570" t="s">
        <v>17</v>
      </c>
    </row>
    <row r="4571" spans="1:12" x14ac:dyDescent="0.35">
      <c r="A4571" t="s">
        <v>51</v>
      </c>
      <c r="B4571">
        <v>1185732</v>
      </c>
      <c r="C4571" s="1">
        <v>44366</v>
      </c>
      <c r="D4571" t="s">
        <v>43</v>
      </c>
      <c r="E4571" t="s">
        <v>127</v>
      </c>
      <c r="F4571" t="s">
        <v>128</v>
      </c>
      <c r="G4571" t="s">
        <v>70</v>
      </c>
      <c r="H4571" s="2">
        <v>60</v>
      </c>
      <c r="I4571">
        <v>94</v>
      </c>
      <c r="J4571">
        <v>564</v>
      </c>
      <c r="K4571" s="4">
        <v>243</v>
      </c>
      <c r="L4571" t="s">
        <v>17</v>
      </c>
    </row>
    <row r="4572" spans="1:12" x14ac:dyDescent="0.35">
      <c r="A4572" t="s">
        <v>42</v>
      </c>
      <c r="B4572">
        <v>1185732</v>
      </c>
      <c r="C4572" s="1">
        <v>44349</v>
      </c>
      <c r="D4572" t="s">
        <v>48</v>
      </c>
      <c r="E4572" t="s">
        <v>66</v>
      </c>
      <c r="F4572" t="s">
        <v>76</v>
      </c>
      <c r="G4572" t="s">
        <v>32</v>
      </c>
      <c r="H4572" s="2">
        <v>24</v>
      </c>
      <c r="I4572">
        <v>94</v>
      </c>
      <c r="J4572">
        <v>226</v>
      </c>
      <c r="K4572" s="4">
        <v>88</v>
      </c>
      <c r="L4572" t="s">
        <v>27</v>
      </c>
    </row>
    <row r="4573" spans="1:12" x14ac:dyDescent="0.35">
      <c r="A4573" t="s">
        <v>23</v>
      </c>
      <c r="B4573">
        <v>1197831</v>
      </c>
      <c r="C4573" s="1">
        <v>44275</v>
      </c>
      <c r="D4573" t="s">
        <v>19</v>
      </c>
      <c r="E4573" t="s">
        <v>74</v>
      </c>
      <c r="F4573" t="s">
        <v>75</v>
      </c>
      <c r="G4573" t="s">
        <v>70</v>
      </c>
      <c r="H4573" s="2">
        <v>29</v>
      </c>
      <c r="I4573">
        <v>94</v>
      </c>
      <c r="J4573">
        <v>273</v>
      </c>
      <c r="K4573" s="4">
        <v>87</v>
      </c>
      <c r="L4573" t="s">
        <v>27</v>
      </c>
    </row>
    <row r="4574" spans="1:12" x14ac:dyDescent="0.35">
      <c r="A4574" t="s">
        <v>23</v>
      </c>
      <c r="B4574">
        <v>1128299</v>
      </c>
      <c r="C4574" s="1">
        <v>44244</v>
      </c>
      <c r="D4574" t="s">
        <v>13</v>
      </c>
      <c r="E4574" t="s">
        <v>14</v>
      </c>
      <c r="F4574" t="s">
        <v>15</v>
      </c>
      <c r="G4574" t="s">
        <v>56</v>
      </c>
      <c r="H4574" s="2">
        <v>36</v>
      </c>
      <c r="I4574">
        <v>94</v>
      </c>
      <c r="J4574">
        <v>338</v>
      </c>
      <c r="K4574" s="4">
        <v>125</v>
      </c>
      <c r="L4574" t="s">
        <v>27</v>
      </c>
    </row>
    <row r="4575" spans="1:12" x14ac:dyDescent="0.35">
      <c r="A4575" t="s">
        <v>12</v>
      </c>
      <c r="B4575">
        <v>1128299</v>
      </c>
      <c r="C4575" s="1">
        <v>44457</v>
      </c>
      <c r="D4575" t="s">
        <v>13</v>
      </c>
      <c r="E4575" t="s">
        <v>14</v>
      </c>
      <c r="F4575" t="s">
        <v>15</v>
      </c>
      <c r="G4575" t="s">
        <v>70</v>
      </c>
      <c r="H4575" s="2">
        <v>54</v>
      </c>
      <c r="I4575">
        <v>94</v>
      </c>
      <c r="J4575">
        <v>508</v>
      </c>
      <c r="K4575" s="4">
        <v>117</v>
      </c>
      <c r="L4575" t="s">
        <v>27</v>
      </c>
    </row>
    <row r="4576" spans="1:12" x14ac:dyDescent="0.35">
      <c r="A4576" t="s">
        <v>18</v>
      </c>
      <c r="B4576">
        <v>1185732</v>
      </c>
      <c r="C4576" s="1">
        <v>44328</v>
      </c>
      <c r="D4576" t="s">
        <v>48</v>
      </c>
      <c r="E4576" t="s">
        <v>49</v>
      </c>
      <c r="F4576" t="s">
        <v>50</v>
      </c>
      <c r="G4576" t="s">
        <v>56</v>
      </c>
      <c r="H4576" s="2">
        <v>19</v>
      </c>
      <c r="I4576">
        <v>94</v>
      </c>
      <c r="J4576">
        <v>179</v>
      </c>
      <c r="K4576" s="4">
        <v>77</v>
      </c>
      <c r="L4576" t="s">
        <v>27</v>
      </c>
    </row>
    <row r="4577" spans="1:12" x14ac:dyDescent="0.35">
      <c r="A4577" t="s">
        <v>18</v>
      </c>
      <c r="B4577">
        <v>1185732</v>
      </c>
      <c r="C4577" s="1">
        <v>44480</v>
      </c>
      <c r="D4577" t="s">
        <v>48</v>
      </c>
      <c r="E4577" t="s">
        <v>49</v>
      </c>
      <c r="F4577" t="s">
        <v>50</v>
      </c>
      <c r="G4577" t="s">
        <v>56</v>
      </c>
      <c r="H4577" s="2">
        <v>13</v>
      </c>
      <c r="I4577">
        <v>94</v>
      </c>
      <c r="J4577">
        <v>122</v>
      </c>
      <c r="K4577" s="4">
        <v>56</v>
      </c>
      <c r="L4577" t="s">
        <v>27</v>
      </c>
    </row>
    <row r="4578" spans="1:12" x14ac:dyDescent="0.35">
      <c r="A4578" t="s">
        <v>18</v>
      </c>
      <c r="B4578">
        <v>1128299</v>
      </c>
      <c r="C4578" s="1">
        <v>44341</v>
      </c>
      <c r="D4578" t="s">
        <v>48</v>
      </c>
      <c r="E4578" t="s">
        <v>85</v>
      </c>
      <c r="F4578" t="s">
        <v>86</v>
      </c>
      <c r="G4578" t="s">
        <v>56</v>
      </c>
      <c r="H4578" s="2">
        <v>33</v>
      </c>
      <c r="I4578">
        <v>94</v>
      </c>
      <c r="J4578">
        <v>310</v>
      </c>
      <c r="K4578" s="4">
        <v>121</v>
      </c>
      <c r="L4578" t="s">
        <v>27</v>
      </c>
    </row>
    <row r="4579" spans="1:12" x14ac:dyDescent="0.35">
      <c r="A4579" t="s">
        <v>63</v>
      </c>
      <c r="B4579">
        <v>1128299</v>
      </c>
      <c r="C4579" s="1">
        <v>44222</v>
      </c>
      <c r="D4579" t="s">
        <v>48</v>
      </c>
      <c r="E4579" t="s">
        <v>123</v>
      </c>
      <c r="F4579" t="s">
        <v>124</v>
      </c>
      <c r="G4579" t="s">
        <v>70</v>
      </c>
      <c r="H4579" s="2">
        <v>33</v>
      </c>
      <c r="I4579">
        <v>94</v>
      </c>
      <c r="J4579">
        <v>310</v>
      </c>
      <c r="K4579" s="4">
        <v>115</v>
      </c>
      <c r="L4579" t="s">
        <v>27</v>
      </c>
    </row>
    <row r="4580" spans="1:12" x14ac:dyDescent="0.35">
      <c r="A4580" t="s">
        <v>23</v>
      </c>
      <c r="B4580">
        <v>1128299</v>
      </c>
      <c r="C4580" s="1">
        <v>44360</v>
      </c>
      <c r="D4580" t="s">
        <v>13</v>
      </c>
      <c r="E4580" t="s">
        <v>57</v>
      </c>
      <c r="F4580" t="s">
        <v>58</v>
      </c>
      <c r="G4580" t="s">
        <v>70</v>
      </c>
      <c r="H4580" s="2">
        <v>42</v>
      </c>
      <c r="I4580">
        <v>94</v>
      </c>
      <c r="J4580">
        <v>395</v>
      </c>
      <c r="K4580" s="4">
        <v>154</v>
      </c>
      <c r="L4580" t="s">
        <v>27</v>
      </c>
    </row>
    <row r="4581" spans="1:12" x14ac:dyDescent="0.35">
      <c r="A4581" t="s">
        <v>12</v>
      </c>
      <c r="B4581">
        <v>1197831</v>
      </c>
      <c r="C4581" s="1">
        <v>44490</v>
      </c>
      <c r="D4581" t="s">
        <v>19</v>
      </c>
      <c r="E4581" t="s">
        <v>54</v>
      </c>
      <c r="F4581" t="s">
        <v>55</v>
      </c>
      <c r="G4581" t="s">
        <v>56</v>
      </c>
      <c r="H4581" s="2">
        <v>15</v>
      </c>
      <c r="I4581">
        <v>94</v>
      </c>
      <c r="J4581">
        <v>141</v>
      </c>
      <c r="K4581" s="4">
        <v>63</v>
      </c>
      <c r="L4581" t="s">
        <v>27</v>
      </c>
    </row>
    <row r="4582" spans="1:12" x14ac:dyDescent="0.35">
      <c r="A4582" t="s">
        <v>23</v>
      </c>
      <c r="B4582">
        <v>1185732</v>
      </c>
      <c r="C4582" s="1">
        <v>44290</v>
      </c>
      <c r="D4582" t="s">
        <v>43</v>
      </c>
      <c r="E4582" t="s">
        <v>108</v>
      </c>
      <c r="F4582" t="s">
        <v>109</v>
      </c>
      <c r="G4582" t="s">
        <v>16</v>
      </c>
      <c r="H4582" s="2">
        <v>26</v>
      </c>
      <c r="I4582">
        <v>94</v>
      </c>
      <c r="J4582">
        <v>244</v>
      </c>
      <c r="K4582" s="4">
        <v>103</v>
      </c>
      <c r="L4582" t="s">
        <v>27</v>
      </c>
    </row>
    <row r="4583" spans="1:12" x14ac:dyDescent="0.35">
      <c r="A4583" t="s">
        <v>23</v>
      </c>
      <c r="B4583">
        <v>1185732</v>
      </c>
      <c r="C4583" s="1">
        <v>44380</v>
      </c>
      <c r="D4583" t="s">
        <v>43</v>
      </c>
      <c r="E4583" t="s">
        <v>108</v>
      </c>
      <c r="F4583" t="s">
        <v>109</v>
      </c>
      <c r="G4583" t="s">
        <v>56</v>
      </c>
      <c r="H4583" s="2">
        <v>34</v>
      </c>
      <c r="I4583">
        <v>94</v>
      </c>
      <c r="J4583">
        <v>320</v>
      </c>
      <c r="K4583" s="4">
        <v>115</v>
      </c>
      <c r="L4583" t="s">
        <v>27</v>
      </c>
    </row>
    <row r="4584" spans="1:12" x14ac:dyDescent="0.35">
      <c r="A4584" t="s">
        <v>23</v>
      </c>
      <c r="B4584">
        <v>1185732</v>
      </c>
      <c r="C4584" s="1">
        <v>44474</v>
      </c>
      <c r="D4584" t="s">
        <v>43</v>
      </c>
      <c r="E4584" t="s">
        <v>108</v>
      </c>
      <c r="F4584" t="s">
        <v>109</v>
      </c>
      <c r="G4584" t="s">
        <v>39</v>
      </c>
      <c r="H4584" s="2">
        <v>39</v>
      </c>
      <c r="I4584">
        <v>94</v>
      </c>
      <c r="J4584">
        <v>367</v>
      </c>
      <c r="K4584" s="4">
        <v>161</v>
      </c>
      <c r="L4584" t="s">
        <v>27</v>
      </c>
    </row>
    <row r="4585" spans="1:12" x14ac:dyDescent="0.35">
      <c r="A4585" t="s">
        <v>42</v>
      </c>
      <c r="B4585">
        <v>1185732</v>
      </c>
      <c r="C4585" s="1">
        <v>44474</v>
      </c>
      <c r="D4585" t="s">
        <v>43</v>
      </c>
      <c r="E4585" t="s">
        <v>108</v>
      </c>
      <c r="F4585" t="s">
        <v>109</v>
      </c>
      <c r="G4585" t="s">
        <v>16</v>
      </c>
      <c r="H4585" s="2">
        <v>46</v>
      </c>
      <c r="I4585">
        <v>94</v>
      </c>
      <c r="J4585">
        <v>432</v>
      </c>
      <c r="K4585" s="4">
        <v>182</v>
      </c>
      <c r="L4585" t="s">
        <v>27</v>
      </c>
    </row>
    <row r="4586" spans="1:12" x14ac:dyDescent="0.35">
      <c r="A4586" t="s">
        <v>23</v>
      </c>
      <c r="B4586">
        <v>1185732</v>
      </c>
      <c r="C4586" s="1">
        <v>44300</v>
      </c>
      <c r="D4586" t="s">
        <v>43</v>
      </c>
      <c r="E4586" t="s">
        <v>112</v>
      </c>
      <c r="F4586" t="s">
        <v>113</v>
      </c>
      <c r="G4586" t="s">
        <v>16</v>
      </c>
      <c r="H4586" s="2">
        <v>30</v>
      </c>
      <c r="I4586">
        <v>94</v>
      </c>
      <c r="J4586">
        <v>282</v>
      </c>
      <c r="K4586" s="4">
        <v>102</v>
      </c>
      <c r="L4586" t="s">
        <v>27</v>
      </c>
    </row>
    <row r="4587" spans="1:12" x14ac:dyDescent="0.35">
      <c r="A4587" t="s">
        <v>51</v>
      </c>
      <c r="B4587">
        <v>1185732</v>
      </c>
      <c r="C4587" s="1">
        <v>44326</v>
      </c>
      <c r="D4587" t="s">
        <v>43</v>
      </c>
      <c r="E4587" t="s">
        <v>125</v>
      </c>
      <c r="F4587" t="s">
        <v>126</v>
      </c>
      <c r="G4587" t="s">
        <v>39</v>
      </c>
      <c r="H4587" s="2">
        <v>41</v>
      </c>
      <c r="I4587">
        <v>94</v>
      </c>
      <c r="J4587">
        <v>385</v>
      </c>
      <c r="K4587" s="4">
        <v>197</v>
      </c>
      <c r="L4587" t="s">
        <v>27</v>
      </c>
    </row>
    <row r="4588" spans="1:12" x14ac:dyDescent="0.35">
      <c r="A4588" t="s">
        <v>51</v>
      </c>
      <c r="B4588">
        <v>1185732</v>
      </c>
      <c r="C4588" s="1">
        <v>44521</v>
      </c>
      <c r="D4588" t="s">
        <v>48</v>
      </c>
      <c r="E4588" t="s">
        <v>137</v>
      </c>
      <c r="F4588" t="s">
        <v>138</v>
      </c>
      <c r="G4588" t="s">
        <v>32</v>
      </c>
      <c r="H4588" s="2">
        <v>59</v>
      </c>
      <c r="I4588">
        <v>93</v>
      </c>
      <c r="J4588">
        <v>549</v>
      </c>
      <c r="K4588" s="4">
        <v>214</v>
      </c>
      <c r="L4588" t="s">
        <v>17</v>
      </c>
    </row>
    <row r="4589" spans="1:12" x14ac:dyDescent="0.35">
      <c r="A4589" t="s">
        <v>18</v>
      </c>
      <c r="B4589">
        <v>1185732</v>
      </c>
      <c r="C4589" s="1">
        <v>44511</v>
      </c>
      <c r="D4589" t="s">
        <v>48</v>
      </c>
      <c r="E4589" t="s">
        <v>49</v>
      </c>
      <c r="F4589" t="s">
        <v>50</v>
      </c>
      <c r="G4589" t="s">
        <v>32</v>
      </c>
      <c r="H4589" s="2">
        <v>19</v>
      </c>
      <c r="I4589">
        <v>93</v>
      </c>
      <c r="J4589">
        <v>177</v>
      </c>
      <c r="K4589" s="4">
        <v>85</v>
      </c>
      <c r="L4589" t="s">
        <v>17</v>
      </c>
    </row>
    <row r="4590" spans="1:12" x14ac:dyDescent="0.35">
      <c r="A4590" t="s">
        <v>23</v>
      </c>
      <c r="B4590">
        <v>1197831</v>
      </c>
      <c r="C4590" s="1">
        <v>44429</v>
      </c>
      <c r="D4590" t="s">
        <v>19</v>
      </c>
      <c r="E4590" t="s">
        <v>59</v>
      </c>
      <c r="F4590" t="s">
        <v>68</v>
      </c>
      <c r="G4590" t="s">
        <v>70</v>
      </c>
      <c r="H4590" s="2">
        <v>26</v>
      </c>
      <c r="I4590">
        <v>93</v>
      </c>
      <c r="J4590">
        <v>242</v>
      </c>
      <c r="K4590" s="4">
        <v>77</v>
      </c>
      <c r="L4590" t="s">
        <v>27</v>
      </c>
    </row>
    <row r="4591" spans="1:12" x14ac:dyDescent="0.35">
      <c r="A4591" t="s">
        <v>18</v>
      </c>
      <c r="B4591">
        <v>1128299</v>
      </c>
      <c r="C4591" s="1">
        <v>43847</v>
      </c>
      <c r="D4591" t="s">
        <v>48</v>
      </c>
      <c r="E4591" t="s">
        <v>116</v>
      </c>
      <c r="F4591" t="s">
        <v>117</v>
      </c>
      <c r="G4591" t="s">
        <v>56</v>
      </c>
      <c r="H4591" s="2">
        <v>41</v>
      </c>
      <c r="I4591">
        <v>93</v>
      </c>
      <c r="J4591">
        <v>381</v>
      </c>
      <c r="K4591" s="4">
        <v>156</v>
      </c>
      <c r="L4591" t="s">
        <v>27</v>
      </c>
    </row>
    <row r="4592" spans="1:12" x14ac:dyDescent="0.35">
      <c r="A4592" t="s">
        <v>18</v>
      </c>
      <c r="B4592">
        <v>1185732</v>
      </c>
      <c r="C4592" s="1">
        <v>44238</v>
      </c>
      <c r="D4592" t="s">
        <v>48</v>
      </c>
      <c r="E4592" t="s">
        <v>49</v>
      </c>
      <c r="F4592" t="s">
        <v>50</v>
      </c>
      <c r="G4592" t="s">
        <v>56</v>
      </c>
      <c r="H4592" s="2">
        <v>16</v>
      </c>
      <c r="I4592">
        <v>93</v>
      </c>
      <c r="J4592">
        <v>149</v>
      </c>
      <c r="K4592" s="4">
        <v>62</v>
      </c>
      <c r="L4592" t="s">
        <v>27</v>
      </c>
    </row>
    <row r="4593" spans="1:12" x14ac:dyDescent="0.35">
      <c r="A4593" t="s">
        <v>18</v>
      </c>
      <c r="B4593">
        <v>1128299</v>
      </c>
      <c r="C4593" s="1">
        <v>44493</v>
      </c>
      <c r="D4593" t="s">
        <v>48</v>
      </c>
      <c r="E4593" t="s">
        <v>85</v>
      </c>
      <c r="F4593" t="s">
        <v>86</v>
      </c>
      <c r="G4593" t="s">
        <v>70</v>
      </c>
      <c r="H4593" s="2">
        <v>40</v>
      </c>
      <c r="I4593">
        <v>93</v>
      </c>
      <c r="J4593">
        <v>372</v>
      </c>
      <c r="K4593" s="4">
        <v>167</v>
      </c>
      <c r="L4593" t="s">
        <v>27</v>
      </c>
    </row>
    <row r="4594" spans="1:12" x14ac:dyDescent="0.35">
      <c r="A4594" t="s">
        <v>42</v>
      </c>
      <c r="B4594">
        <v>1128299</v>
      </c>
      <c r="C4594" s="1">
        <v>44340</v>
      </c>
      <c r="D4594" t="s">
        <v>48</v>
      </c>
      <c r="E4594" t="s">
        <v>123</v>
      </c>
      <c r="F4594" t="s">
        <v>124</v>
      </c>
      <c r="G4594" t="s">
        <v>56</v>
      </c>
      <c r="H4594" s="2">
        <v>39</v>
      </c>
      <c r="I4594">
        <v>93</v>
      </c>
      <c r="J4594">
        <v>363</v>
      </c>
      <c r="K4594" s="4">
        <v>134</v>
      </c>
      <c r="L4594" t="s">
        <v>27</v>
      </c>
    </row>
    <row r="4595" spans="1:12" x14ac:dyDescent="0.35">
      <c r="A4595" t="s">
        <v>63</v>
      </c>
      <c r="B4595">
        <v>1128299</v>
      </c>
      <c r="C4595" s="1">
        <v>44373</v>
      </c>
      <c r="D4595" t="s">
        <v>48</v>
      </c>
      <c r="E4595" t="s">
        <v>114</v>
      </c>
      <c r="F4595" t="s">
        <v>115</v>
      </c>
      <c r="G4595" t="s">
        <v>70</v>
      </c>
      <c r="H4595" s="2">
        <v>44</v>
      </c>
      <c r="I4595">
        <v>93</v>
      </c>
      <c r="J4595">
        <v>409</v>
      </c>
      <c r="K4595" s="4">
        <v>143</v>
      </c>
      <c r="L4595" t="s">
        <v>27</v>
      </c>
    </row>
    <row r="4596" spans="1:12" x14ac:dyDescent="0.35">
      <c r="A4596" t="s">
        <v>18</v>
      </c>
      <c r="B4596">
        <v>1197831</v>
      </c>
      <c r="C4596" s="1">
        <v>44335</v>
      </c>
      <c r="D4596" t="s">
        <v>19</v>
      </c>
      <c r="E4596" t="s">
        <v>61</v>
      </c>
      <c r="F4596" t="s">
        <v>62</v>
      </c>
      <c r="G4596" t="s">
        <v>39</v>
      </c>
      <c r="H4596" s="2">
        <v>29</v>
      </c>
      <c r="I4596">
        <v>93</v>
      </c>
      <c r="J4596">
        <v>270</v>
      </c>
      <c r="K4596" s="4">
        <v>102</v>
      </c>
      <c r="L4596" t="s">
        <v>27</v>
      </c>
    </row>
    <row r="4597" spans="1:12" x14ac:dyDescent="0.35">
      <c r="A4597" t="s">
        <v>23</v>
      </c>
      <c r="B4597">
        <v>1185732</v>
      </c>
      <c r="C4597" s="1">
        <v>44380</v>
      </c>
      <c r="D4597" t="s">
        <v>43</v>
      </c>
      <c r="E4597" t="s">
        <v>108</v>
      </c>
      <c r="F4597" t="s">
        <v>109</v>
      </c>
      <c r="G4597" t="s">
        <v>70</v>
      </c>
      <c r="H4597" s="2">
        <v>43</v>
      </c>
      <c r="I4597">
        <v>93</v>
      </c>
      <c r="J4597">
        <v>400</v>
      </c>
      <c r="K4597" s="4">
        <v>132</v>
      </c>
      <c r="L4597" t="s">
        <v>27</v>
      </c>
    </row>
    <row r="4598" spans="1:12" x14ac:dyDescent="0.35">
      <c r="A4598" t="s">
        <v>23</v>
      </c>
      <c r="B4598">
        <v>1185732</v>
      </c>
      <c r="C4598" s="1">
        <v>44442</v>
      </c>
      <c r="D4598" t="s">
        <v>43</v>
      </c>
      <c r="E4598" t="s">
        <v>108</v>
      </c>
      <c r="F4598" t="s">
        <v>109</v>
      </c>
      <c r="G4598" t="s">
        <v>39</v>
      </c>
      <c r="H4598" s="2">
        <v>40</v>
      </c>
      <c r="I4598">
        <v>93</v>
      </c>
      <c r="J4598">
        <v>372</v>
      </c>
      <c r="K4598" s="4">
        <v>175</v>
      </c>
      <c r="L4598" t="s">
        <v>27</v>
      </c>
    </row>
    <row r="4599" spans="1:12" x14ac:dyDescent="0.35">
      <c r="A4599" t="s">
        <v>42</v>
      </c>
      <c r="B4599">
        <v>1185732</v>
      </c>
      <c r="C4599" s="1">
        <v>44322</v>
      </c>
      <c r="D4599" t="s">
        <v>43</v>
      </c>
      <c r="E4599" t="s">
        <v>110</v>
      </c>
      <c r="F4599" t="s">
        <v>111</v>
      </c>
      <c r="G4599" t="s">
        <v>16</v>
      </c>
      <c r="H4599" s="2">
        <v>36</v>
      </c>
      <c r="I4599">
        <v>93</v>
      </c>
      <c r="J4599">
        <v>335</v>
      </c>
      <c r="K4599" s="4">
        <v>147</v>
      </c>
      <c r="L4599" t="s">
        <v>27</v>
      </c>
    </row>
    <row r="4600" spans="1:12" x14ac:dyDescent="0.35">
      <c r="A4600" t="s">
        <v>23</v>
      </c>
      <c r="B4600">
        <v>1185732</v>
      </c>
      <c r="C4600" s="1">
        <v>44268</v>
      </c>
      <c r="D4600" t="s">
        <v>43</v>
      </c>
      <c r="E4600" t="s">
        <v>112</v>
      </c>
      <c r="F4600" t="s">
        <v>113</v>
      </c>
      <c r="G4600" t="s">
        <v>56</v>
      </c>
      <c r="H4600" s="2">
        <v>25</v>
      </c>
      <c r="I4600">
        <v>93</v>
      </c>
      <c r="J4600">
        <v>233</v>
      </c>
      <c r="K4600" s="4">
        <v>65</v>
      </c>
      <c r="L4600" t="s">
        <v>27</v>
      </c>
    </row>
    <row r="4601" spans="1:12" x14ac:dyDescent="0.35">
      <c r="A4601" t="s">
        <v>51</v>
      </c>
      <c r="B4601">
        <v>1185732</v>
      </c>
      <c r="C4601" s="1">
        <v>44449</v>
      </c>
      <c r="D4601" t="s">
        <v>43</v>
      </c>
      <c r="E4601" t="s">
        <v>125</v>
      </c>
      <c r="F4601" t="s">
        <v>126</v>
      </c>
      <c r="G4601" t="s">
        <v>16</v>
      </c>
      <c r="H4601" s="2">
        <v>45</v>
      </c>
      <c r="I4601">
        <v>93</v>
      </c>
      <c r="J4601">
        <v>419</v>
      </c>
      <c r="K4601" s="4">
        <v>193</v>
      </c>
      <c r="L4601" t="s">
        <v>27</v>
      </c>
    </row>
    <row r="4602" spans="1:12" x14ac:dyDescent="0.35">
      <c r="A4602" t="s">
        <v>51</v>
      </c>
      <c r="B4602">
        <v>1185732</v>
      </c>
      <c r="C4602" s="1">
        <v>44333</v>
      </c>
      <c r="D4602" t="s">
        <v>43</v>
      </c>
      <c r="E4602" t="s">
        <v>127</v>
      </c>
      <c r="F4602" t="s">
        <v>128</v>
      </c>
      <c r="G4602" t="s">
        <v>39</v>
      </c>
      <c r="H4602" s="2">
        <v>40</v>
      </c>
      <c r="I4602">
        <v>93</v>
      </c>
      <c r="J4602">
        <v>372</v>
      </c>
      <c r="K4602" s="4">
        <v>160</v>
      </c>
      <c r="L4602" t="s">
        <v>27</v>
      </c>
    </row>
    <row r="4603" spans="1:12" x14ac:dyDescent="0.35">
      <c r="A4603" t="s">
        <v>42</v>
      </c>
      <c r="B4603">
        <v>1185732</v>
      </c>
      <c r="C4603" s="1">
        <v>44220</v>
      </c>
      <c r="D4603" t="s">
        <v>43</v>
      </c>
      <c r="E4603" t="s">
        <v>127</v>
      </c>
      <c r="F4603" t="s">
        <v>128</v>
      </c>
      <c r="G4603" t="s">
        <v>39</v>
      </c>
      <c r="H4603" s="2">
        <v>36</v>
      </c>
      <c r="I4603">
        <v>93</v>
      </c>
      <c r="J4603">
        <v>335</v>
      </c>
      <c r="K4603" s="4">
        <v>134</v>
      </c>
      <c r="L4603" t="s">
        <v>27</v>
      </c>
    </row>
    <row r="4604" spans="1:12" x14ac:dyDescent="0.35">
      <c r="A4604" t="s">
        <v>18</v>
      </c>
      <c r="B4604">
        <v>1128299</v>
      </c>
      <c r="C4604" s="1">
        <v>43939</v>
      </c>
      <c r="D4604" t="s">
        <v>48</v>
      </c>
      <c r="E4604" t="s">
        <v>133</v>
      </c>
      <c r="F4604" t="s">
        <v>134</v>
      </c>
      <c r="G4604" t="s">
        <v>70</v>
      </c>
      <c r="H4604" s="2">
        <v>66</v>
      </c>
      <c r="I4604">
        <v>91</v>
      </c>
      <c r="J4604">
        <v>601</v>
      </c>
      <c r="K4604" s="4">
        <v>462</v>
      </c>
      <c r="L4604" t="s">
        <v>17</v>
      </c>
    </row>
    <row r="4605" spans="1:12" x14ac:dyDescent="0.35">
      <c r="A4605" t="s">
        <v>42</v>
      </c>
      <c r="B4605">
        <v>1185732</v>
      </c>
      <c r="C4605" s="1">
        <v>44181</v>
      </c>
      <c r="D4605" t="s">
        <v>33</v>
      </c>
      <c r="E4605" t="s">
        <v>104</v>
      </c>
      <c r="F4605" t="s">
        <v>105</v>
      </c>
      <c r="G4605" t="s">
        <v>26</v>
      </c>
      <c r="H4605" s="2">
        <v>46</v>
      </c>
      <c r="I4605">
        <v>91</v>
      </c>
      <c r="J4605">
        <v>419</v>
      </c>
      <c r="K4605" s="4">
        <v>197</v>
      </c>
      <c r="L4605" t="s">
        <v>17</v>
      </c>
    </row>
    <row r="4606" spans="1:12" x14ac:dyDescent="0.35">
      <c r="A4606" t="s">
        <v>63</v>
      </c>
      <c r="B4606">
        <v>1189833</v>
      </c>
      <c r="C4606" s="1">
        <v>44208</v>
      </c>
      <c r="D4606" t="s">
        <v>33</v>
      </c>
      <c r="E4606" t="s">
        <v>131</v>
      </c>
      <c r="F4606" t="s">
        <v>132</v>
      </c>
      <c r="G4606" t="s">
        <v>56</v>
      </c>
      <c r="H4606" s="2">
        <v>44</v>
      </c>
      <c r="I4606">
        <v>91</v>
      </c>
      <c r="J4606">
        <v>400</v>
      </c>
      <c r="K4606" s="4">
        <v>212</v>
      </c>
      <c r="L4606" t="s">
        <v>17</v>
      </c>
    </row>
    <row r="4607" spans="1:12" x14ac:dyDescent="0.35">
      <c r="A4607" t="s">
        <v>42</v>
      </c>
      <c r="B4607">
        <v>1185732</v>
      </c>
      <c r="C4607" s="1">
        <v>44378</v>
      </c>
      <c r="D4607" t="s">
        <v>33</v>
      </c>
      <c r="E4607" t="s">
        <v>120</v>
      </c>
      <c r="F4607" t="s">
        <v>121</v>
      </c>
      <c r="G4607" t="s">
        <v>16</v>
      </c>
      <c r="H4607" s="2">
        <v>49</v>
      </c>
      <c r="I4607">
        <v>91</v>
      </c>
      <c r="J4607">
        <v>446</v>
      </c>
      <c r="K4607" s="4">
        <v>281</v>
      </c>
      <c r="L4607" t="s">
        <v>17</v>
      </c>
    </row>
    <row r="4608" spans="1:12" x14ac:dyDescent="0.35">
      <c r="A4608" t="s">
        <v>23</v>
      </c>
      <c r="B4608">
        <v>1197831</v>
      </c>
      <c r="C4608" s="1">
        <v>44466</v>
      </c>
      <c r="D4608" t="s">
        <v>19</v>
      </c>
      <c r="E4608" t="s">
        <v>24</v>
      </c>
      <c r="F4608" t="s">
        <v>25</v>
      </c>
      <c r="G4608" t="s">
        <v>56</v>
      </c>
      <c r="H4608" s="2">
        <v>32</v>
      </c>
      <c r="I4608">
        <v>91</v>
      </c>
      <c r="J4608">
        <v>291</v>
      </c>
      <c r="K4608" s="4">
        <v>213</v>
      </c>
      <c r="L4608" t="s">
        <v>17</v>
      </c>
    </row>
    <row r="4609" spans="1:12" x14ac:dyDescent="0.35">
      <c r="A4609" t="s">
        <v>51</v>
      </c>
      <c r="B4609">
        <v>1185732</v>
      </c>
      <c r="C4609" s="1">
        <v>44556</v>
      </c>
      <c r="D4609" t="s">
        <v>43</v>
      </c>
      <c r="E4609" t="s">
        <v>122</v>
      </c>
      <c r="F4609" t="s">
        <v>86</v>
      </c>
      <c r="G4609" t="s">
        <v>16</v>
      </c>
      <c r="H4609" s="2">
        <v>54</v>
      </c>
      <c r="I4609">
        <v>91</v>
      </c>
      <c r="J4609">
        <v>491</v>
      </c>
      <c r="K4609" s="4">
        <v>265</v>
      </c>
      <c r="L4609" t="s">
        <v>17</v>
      </c>
    </row>
    <row r="4610" spans="1:12" x14ac:dyDescent="0.35">
      <c r="A4610" t="s">
        <v>51</v>
      </c>
      <c r="B4610">
        <v>1185732</v>
      </c>
      <c r="C4610" s="1">
        <v>44397</v>
      </c>
      <c r="D4610" t="s">
        <v>48</v>
      </c>
      <c r="E4610" t="s">
        <v>137</v>
      </c>
      <c r="F4610" t="s">
        <v>138</v>
      </c>
      <c r="G4610" t="s">
        <v>70</v>
      </c>
      <c r="H4610" s="2">
        <v>61</v>
      </c>
      <c r="I4610">
        <v>91</v>
      </c>
      <c r="J4610">
        <v>555</v>
      </c>
      <c r="K4610" s="4">
        <v>216</v>
      </c>
      <c r="L4610" t="s">
        <v>17</v>
      </c>
    </row>
    <row r="4611" spans="1:12" x14ac:dyDescent="0.35">
      <c r="A4611" t="s">
        <v>51</v>
      </c>
      <c r="B4611">
        <v>1185732</v>
      </c>
      <c r="C4611" s="1">
        <v>44459</v>
      </c>
      <c r="D4611" t="s">
        <v>48</v>
      </c>
      <c r="E4611" t="s">
        <v>137</v>
      </c>
      <c r="F4611" t="s">
        <v>138</v>
      </c>
      <c r="G4611" t="s">
        <v>39</v>
      </c>
      <c r="H4611" s="2">
        <v>55</v>
      </c>
      <c r="I4611">
        <v>91</v>
      </c>
      <c r="J4611">
        <v>501</v>
      </c>
      <c r="K4611" s="4">
        <v>240</v>
      </c>
      <c r="L4611" t="s">
        <v>17</v>
      </c>
    </row>
    <row r="4612" spans="1:12" x14ac:dyDescent="0.35">
      <c r="A4612" t="s">
        <v>42</v>
      </c>
      <c r="B4612">
        <v>1128299</v>
      </c>
      <c r="C4612" s="1">
        <v>44264</v>
      </c>
      <c r="D4612" t="s">
        <v>48</v>
      </c>
      <c r="E4612" t="s">
        <v>129</v>
      </c>
      <c r="F4612" t="s">
        <v>130</v>
      </c>
      <c r="G4612" t="s">
        <v>39</v>
      </c>
      <c r="H4612" s="2">
        <v>54</v>
      </c>
      <c r="I4612">
        <v>91</v>
      </c>
      <c r="J4612">
        <v>491</v>
      </c>
      <c r="K4612" s="4">
        <v>152</v>
      </c>
      <c r="L4612" t="s">
        <v>17</v>
      </c>
    </row>
    <row r="4613" spans="1:12" x14ac:dyDescent="0.35">
      <c r="A4613" t="s">
        <v>42</v>
      </c>
      <c r="B4613">
        <v>1128299</v>
      </c>
      <c r="C4613" s="1">
        <v>44296</v>
      </c>
      <c r="D4613" t="s">
        <v>48</v>
      </c>
      <c r="E4613" t="s">
        <v>129</v>
      </c>
      <c r="F4613" t="s">
        <v>130</v>
      </c>
      <c r="G4613" t="s">
        <v>32</v>
      </c>
      <c r="H4613" s="2">
        <v>60</v>
      </c>
      <c r="I4613">
        <v>91</v>
      </c>
      <c r="J4613">
        <v>546</v>
      </c>
      <c r="K4613" s="4">
        <v>207</v>
      </c>
      <c r="L4613" t="s">
        <v>17</v>
      </c>
    </row>
    <row r="4614" spans="1:12" x14ac:dyDescent="0.35">
      <c r="A4614" t="s">
        <v>12</v>
      </c>
      <c r="B4614">
        <v>1128299</v>
      </c>
      <c r="C4614" s="1">
        <v>44450</v>
      </c>
      <c r="D4614" t="s">
        <v>48</v>
      </c>
      <c r="E4614" t="s">
        <v>129</v>
      </c>
      <c r="F4614" t="s">
        <v>130</v>
      </c>
      <c r="G4614" t="s">
        <v>70</v>
      </c>
      <c r="H4614" s="2">
        <v>71</v>
      </c>
      <c r="I4614">
        <v>91</v>
      </c>
      <c r="J4614">
        <v>646</v>
      </c>
      <c r="K4614" s="4">
        <v>194</v>
      </c>
      <c r="L4614" t="s">
        <v>17</v>
      </c>
    </row>
    <row r="4615" spans="1:12" x14ac:dyDescent="0.35">
      <c r="A4615" t="s">
        <v>23</v>
      </c>
      <c r="B4615">
        <v>1128299</v>
      </c>
      <c r="C4615" s="1">
        <v>44271</v>
      </c>
      <c r="D4615" t="s">
        <v>13</v>
      </c>
      <c r="E4615" t="s">
        <v>14</v>
      </c>
      <c r="F4615" t="s">
        <v>15</v>
      </c>
      <c r="G4615" t="s">
        <v>56</v>
      </c>
      <c r="H4615" s="2">
        <v>58</v>
      </c>
      <c r="I4615">
        <v>91</v>
      </c>
      <c r="J4615">
        <v>528</v>
      </c>
      <c r="K4615" s="4">
        <v>222</v>
      </c>
      <c r="L4615" t="s">
        <v>17</v>
      </c>
    </row>
    <row r="4616" spans="1:12" x14ac:dyDescent="0.35">
      <c r="A4616" t="s">
        <v>42</v>
      </c>
      <c r="B4616">
        <v>1128299</v>
      </c>
      <c r="C4616" s="1">
        <v>44220</v>
      </c>
      <c r="D4616" t="s">
        <v>48</v>
      </c>
      <c r="E4616" t="s">
        <v>102</v>
      </c>
      <c r="F4616" t="s">
        <v>103</v>
      </c>
      <c r="G4616" t="s">
        <v>26</v>
      </c>
      <c r="H4616" s="2">
        <v>29</v>
      </c>
      <c r="I4616">
        <v>91</v>
      </c>
      <c r="J4616">
        <v>264</v>
      </c>
      <c r="K4616" s="4">
        <v>121</v>
      </c>
      <c r="L4616" t="s">
        <v>17</v>
      </c>
    </row>
    <row r="4617" spans="1:12" x14ac:dyDescent="0.35">
      <c r="A4617" t="s">
        <v>42</v>
      </c>
      <c r="B4617">
        <v>1128299</v>
      </c>
      <c r="C4617" s="1">
        <v>44220</v>
      </c>
      <c r="D4617" t="s">
        <v>48</v>
      </c>
      <c r="E4617" t="s">
        <v>102</v>
      </c>
      <c r="F4617" t="s">
        <v>103</v>
      </c>
      <c r="G4617" t="s">
        <v>32</v>
      </c>
      <c r="H4617" s="2">
        <v>39</v>
      </c>
      <c r="I4617">
        <v>91</v>
      </c>
      <c r="J4617">
        <v>355</v>
      </c>
      <c r="K4617" s="4">
        <v>160</v>
      </c>
      <c r="L4617" t="s">
        <v>17</v>
      </c>
    </row>
    <row r="4618" spans="1:12" x14ac:dyDescent="0.35">
      <c r="A4618" t="s">
        <v>42</v>
      </c>
      <c r="B4618">
        <v>1128299</v>
      </c>
      <c r="C4618" s="1">
        <v>44278</v>
      </c>
      <c r="D4618" t="s">
        <v>13</v>
      </c>
      <c r="E4618" t="s">
        <v>99</v>
      </c>
      <c r="F4618" t="s">
        <v>100</v>
      </c>
      <c r="G4618" t="s">
        <v>32</v>
      </c>
      <c r="H4618" s="2">
        <v>52</v>
      </c>
      <c r="I4618">
        <v>91</v>
      </c>
      <c r="J4618">
        <v>473</v>
      </c>
      <c r="K4618" s="4">
        <v>227</v>
      </c>
      <c r="L4618" t="s">
        <v>17</v>
      </c>
    </row>
    <row r="4619" spans="1:12" x14ac:dyDescent="0.35">
      <c r="A4619" t="s">
        <v>23</v>
      </c>
      <c r="B4619">
        <v>1185732</v>
      </c>
      <c r="C4619" s="1">
        <v>44270</v>
      </c>
      <c r="D4619" t="s">
        <v>33</v>
      </c>
      <c r="E4619" t="s">
        <v>45</v>
      </c>
      <c r="F4619" t="s">
        <v>46</v>
      </c>
      <c r="G4619" t="s">
        <v>56</v>
      </c>
      <c r="H4619" s="2">
        <v>29</v>
      </c>
      <c r="I4619">
        <v>91</v>
      </c>
      <c r="J4619">
        <v>264</v>
      </c>
      <c r="K4619" s="4">
        <v>127</v>
      </c>
      <c r="L4619" t="s">
        <v>17</v>
      </c>
    </row>
    <row r="4620" spans="1:12" x14ac:dyDescent="0.35">
      <c r="A4620" t="s">
        <v>42</v>
      </c>
      <c r="B4620">
        <v>1185732</v>
      </c>
      <c r="C4620" s="1">
        <v>44365</v>
      </c>
      <c r="D4620" t="s">
        <v>33</v>
      </c>
      <c r="E4620" t="s">
        <v>34</v>
      </c>
      <c r="F4620" t="s">
        <v>35</v>
      </c>
      <c r="G4620" t="s">
        <v>39</v>
      </c>
      <c r="H4620" s="2">
        <v>27</v>
      </c>
      <c r="I4620">
        <v>91</v>
      </c>
      <c r="J4620">
        <v>246</v>
      </c>
      <c r="K4620" s="4">
        <v>113</v>
      </c>
      <c r="L4620" t="s">
        <v>17</v>
      </c>
    </row>
    <row r="4621" spans="1:12" x14ac:dyDescent="0.35">
      <c r="A4621" t="s">
        <v>42</v>
      </c>
      <c r="B4621">
        <v>1185732</v>
      </c>
      <c r="C4621" s="1">
        <v>44365</v>
      </c>
      <c r="D4621" t="s">
        <v>33</v>
      </c>
      <c r="E4621" t="s">
        <v>34</v>
      </c>
      <c r="F4621" t="s">
        <v>35</v>
      </c>
      <c r="G4621" t="s">
        <v>56</v>
      </c>
      <c r="H4621" s="2">
        <v>23</v>
      </c>
      <c r="I4621">
        <v>91</v>
      </c>
      <c r="J4621">
        <v>209</v>
      </c>
      <c r="K4621" s="4">
        <v>105</v>
      </c>
      <c r="L4621" t="s">
        <v>17</v>
      </c>
    </row>
    <row r="4622" spans="1:12" x14ac:dyDescent="0.35">
      <c r="A4622" t="s">
        <v>42</v>
      </c>
      <c r="B4622">
        <v>1185732</v>
      </c>
      <c r="C4622" s="1">
        <v>44426</v>
      </c>
      <c r="D4622" t="s">
        <v>33</v>
      </c>
      <c r="E4622" t="s">
        <v>34</v>
      </c>
      <c r="F4622" t="s">
        <v>35</v>
      </c>
      <c r="G4622" t="s">
        <v>56</v>
      </c>
      <c r="H4622" s="2">
        <v>24</v>
      </c>
      <c r="I4622">
        <v>91</v>
      </c>
      <c r="J4622">
        <v>218</v>
      </c>
      <c r="K4622" s="4">
        <v>120</v>
      </c>
      <c r="L4622" t="s">
        <v>17</v>
      </c>
    </row>
    <row r="4623" spans="1:12" x14ac:dyDescent="0.35">
      <c r="A4623" t="s">
        <v>42</v>
      </c>
      <c r="B4623">
        <v>1185732</v>
      </c>
      <c r="C4623" s="1">
        <v>44487</v>
      </c>
      <c r="D4623" t="s">
        <v>33</v>
      </c>
      <c r="E4623" t="s">
        <v>34</v>
      </c>
      <c r="F4623" t="s">
        <v>35</v>
      </c>
      <c r="G4623" t="s">
        <v>39</v>
      </c>
      <c r="H4623" s="2">
        <v>24</v>
      </c>
      <c r="I4623">
        <v>91</v>
      </c>
      <c r="J4623">
        <v>218</v>
      </c>
      <c r="K4623" s="4">
        <v>109</v>
      </c>
      <c r="L4623" t="s">
        <v>17</v>
      </c>
    </row>
    <row r="4624" spans="1:12" x14ac:dyDescent="0.35">
      <c r="A4624" t="s">
        <v>18</v>
      </c>
      <c r="B4624">
        <v>1185732</v>
      </c>
      <c r="C4624" s="1">
        <v>44451</v>
      </c>
      <c r="D4624" t="s">
        <v>48</v>
      </c>
      <c r="E4624" t="s">
        <v>49</v>
      </c>
      <c r="F4624" t="s">
        <v>50</v>
      </c>
      <c r="G4624" t="s">
        <v>32</v>
      </c>
      <c r="H4624" s="2">
        <v>9</v>
      </c>
      <c r="I4624">
        <v>91</v>
      </c>
      <c r="J4624">
        <v>82</v>
      </c>
      <c r="K4624" s="4">
        <v>41</v>
      </c>
      <c r="L4624" t="s">
        <v>17</v>
      </c>
    </row>
    <row r="4625" spans="1:12" x14ac:dyDescent="0.35">
      <c r="A4625" t="s">
        <v>18</v>
      </c>
      <c r="B4625">
        <v>1185732</v>
      </c>
      <c r="C4625" s="1">
        <v>44511</v>
      </c>
      <c r="D4625" t="s">
        <v>48</v>
      </c>
      <c r="E4625" t="s">
        <v>49</v>
      </c>
      <c r="F4625" t="s">
        <v>50</v>
      </c>
      <c r="G4625" t="s">
        <v>70</v>
      </c>
      <c r="H4625" s="2">
        <v>39</v>
      </c>
      <c r="I4625">
        <v>91</v>
      </c>
      <c r="J4625">
        <v>355</v>
      </c>
      <c r="K4625" s="4">
        <v>174</v>
      </c>
      <c r="L4625" t="s">
        <v>17</v>
      </c>
    </row>
    <row r="4626" spans="1:12" x14ac:dyDescent="0.35">
      <c r="A4626" t="s">
        <v>18</v>
      </c>
      <c r="B4626">
        <v>1128299</v>
      </c>
      <c r="C4626" s="1">
        <v>44251</v>
      </c>
      <c r="D4626" t="s">
        <v>48</v>
      </c>
      <c r="E4626" t="s">
        <v>49</v>
      </c>
      <c r="F4626" t="s">
        <v>50</v>
      </c>
      <c r="G4626" t="s">
        <v>39</v>
      </c>
      <c r="H4626" s="2">
        <v>39</v>
      </c>
      <c r="I4626">
        <v>91</v>
      </c>
      <c r="J4626">
        <v>355</v>
      </c>
      <c r="K4626" s="4">
        <v>170</v>
      </c>
      <c r="L4626" t="s">
        <v>17</v>
      </c>
    </row>
    <row r="4627" spans="1:12" x14ac:dyDescent="0.35">
      <c r="A4627" t="s">
        <v>18</v>
      </c>
      <c r="B4627">
        <v>1128299</v>
      </c>
      <c r="C4627" s="1">
        <v>44493</v>
      </c>
      <c r="D4627" t="s">
        <v>48</v>
      </c>
      <c r="E4627" t="s">
        <v>85</v>
      </c>
      <c r="F4627" t="s">
        <v>86</v>
      </c>
      <c r="G4627" t="s">
        <v>32</v>
      </c>
      <c r="H4627" s="2">
        <v>46</v>
      </c>
      <c r="I4627">
        <v>91</v>
      </c>
      <c r="J4627">
        <v>419</v>
      </c>
      <c r="K4627" s="4">
        <v>205</v>
      </c>
      <c r="L4627" t="s">
        <v>17</v>
      </c>
    </row>
    <row r="4628" spans="1:12" x14ac:dyDescent="0.35">
      <c r="A4628" t="s">
        <v>23</v>
      </c>
      <c r="B4628">
        <v>1197831</v>
      </c>
      <c r="C4628" s="1">
        <v>44473</v>
      </c>
      <c r="D4628" t="s">
        <v>48</v>
      </c>
      <c r="E4628" t="s">
        <v>79</v>
      </c>
      <c r="F4628" t="s">
        <v>80</v>
      </c>
      <c r="G4628" t="s">
        <v>70</v>
      </c>
      <c r="H4628" s="2">
        <v>32</v>
      </c>
      <c r="I4628">
        <v>91</v>
      </c>
      <c r="J4628">
        <v>291</v>
      </c>
      <c r="K4628" s="4">
        <v>140</v>
      </c>
      <c r="L4628" t="s">
        <v>17</v>
      </c>
    </row>
    <row r="4629" spans="1:12" x14ac:dyDescent="0.35">
      <c r="A4629" t="s">
        <v>42</v>
      </c>
      <c r="B4629">
        <v>1128299</v>
      </c>
      <c r="C4629" s="1">
        <v>44277</v>
      </c>
      <c r="D4629" t="s">
        <v>48</v>
      </c>
      <c r="E4629" t="s">
        <v>123</v>
      </c>
      <c r="F4629" t="s">
        <v>124</v>
      </c>
      <c r="G4629" t="s">
        <v>32</v>
      </c>
      <c r="H4629" s="2">
        <v>49</v>
      </c>
      <c r="I4629">
        <v>91</v>
      </c>
      <c r="J4629">
        <v>446</v>
      </c>
      <c r="K4629" s="4">
        <v>223</v>
      </c>
      <c r="L4629" t="s">
        <v>17</v>
      </c>
    </row>
    <row r="4630" spans="1:12" x14ac:dyDescent="0.35">
      <c r="A4630" t="s">
        <v>42</v>
      </c>
      <c r="B4630">
        <v>1128299</v>
      </c>
      <c r="C4630" s="1">
        <v>44492</v>
      </c>
      <c r="D4630" t="s">
        <v>48</v>
      </c>
      <c r="E4630" t="s">
        <v>123</v>
      </c>
      <c r="F4630" t="s">
        <v>124</v>
      </c>
      <c r="G4630" t="s">
        <v>32</v>
      </c>
      <c r="H4630" s="2">
        <v>44</v>
      </c>
      <c r="I4630">
        <v>91</v>
      </c>
      <c r="J4630">
        <v>400</v>
      </c>
      <c r="K4630" s="4">
        <v>192</v>
      </c>
      <c r="L4630" t="s">
        <v>17</v>
      </c>
    </row>
    <row r="4631" spans="1:12" x14ac:dyDescent="0.35">
      <c r="A4631" t="s">
        <v>63</v>
      </c>
      <c r="B4631">
        <v>1128299</v>
      </c>
      <c r="C4631" s="1">
        <v>44343</v>
      </c>
      <c r="D4631" t="s">
        <v>48</v>
      </c>
      <c r="E4631" t="s">
        <v>114</v>
      </c>
      <c r="F4631" t="s">
        <v>115</v>
      </c>
      <c r="G4631" t="s">
        <v>56</v>
      </c>
      <c r="H4631" s="2">
        <v>51</v>
      </c>
      <c r="I4631">
        <v>91</v>
      </c>
      <c r="J4631">
        <v>464</v>
      </c>
      <c r="K4631" s="4">
        <v>213</v>
      </c>
      <c r="L4631" t="s">
        <v>17</v>
      </c>
    </row>
    <row r="4632" spans="1:12" x14ac:dyDescent="0.35">
      <c r="A4632" t="s">
        <v>63</v>
      </c>
      <c r="B4632">
        <v>1128299</v>
      </c>
      <c r="C4632" s="1">
        <v>44495</v>
      </c>
      <c r="D4632" t="s">
        <v>48</v>
      </c>
      <c r="E4632" t="s">
        <v>114</v>
      </c>
      <c r="F4632" t="s">
        <v>115</v>
      </c>
      <c r="G4632" t="s">
        <v>70</v>
      </c>
      <c r="H4632" s="2">
        <v>56</v>
      </c>
      <c r="I4632">
        <v>91</v>
      </c>
      <c r="J4632">
        <v>510</v>
      </c>
      <c r="K4632" s="4">
        <v>224</v>
      </c>
      <c r="L4632" t="s">
        <v>17</v>
      </c>
    </row>
    <row r="4633" spans="1:12" x14ac:dyDescent="0.35">
      <c r="A4633" t="s">
        <v>23</v>
      </c>
      <c r="B4633">
        <v>1128299</v>
      </c>
      <c r="C4633" s="1">
        <v>44330</v>
      </c>
      <c r="D4633" t="s">
        <v>13</v>
      </c>
      <c r="E4633" t="s">
        <v>57</v>
      </c>
      <c r="F4633" t="s">
        <v>58</v>
      </c>
      <c r="G4633" t="s">
        <v>56</v>
      </c>
      <c r="H4633" s="2">
        <v>47</v>
      </c>
      <c r="I4633">
        <v>91</v>
      </c>
      <c r="J4633">
        <v>428</v>
      </c>
      <c r="K4633" s="4">
        <v>231</v>
      </c>
      <c r="L4633" t="s">
        <v>17</v>
      </c>
    </row>
    <row r="4634" spans="1:12" x14ac:dyDescent="0.35">
      <c r="A4634" t="s">
        <v>51</v>
      </c>
      <c r="B4634">
        <v>1185732</v>
      </c>
      <c r="C4634" s="1">
        <v>44430</v>
      </c>
      <c r="D4634" t="s">
        <v>13</v>
      </c>
      <c r="E4634" t="s">
        <v>106</v>
      </c>
      <c r="F4634" t="s">
        <v>107</v>
      </c>
      <c r="G4634" t="s">
        <v>39</v>
      </c>
      <c r="H4634" s="2">
        <v>41</v>
      </c>
      <c r="I4634">
        <v>91</v>
      </c>
      <c r="J4634">
        <v>373</v>
      </c>
      <c r="K4634" s="4">
        <v>175</v>
      </c>
      <c r="L4634" t="s">
        <v>17</v>
      </c>
    </row>
    <row r="4635" spans="1:12" x14ac:dyDescent="0.35">
      <c r="A4635" t="s">
        <v>42</v>
      </c>
      <c r="B4635">
        <v>1185732</v>
      </c>
      <c r="C4635" s="1">
        <v>44245</v>
      </c>
      <c r="D4635" t="s">
        <v>19</v>
      </c>
      <c r="E4635" t="s">
        <v>37</v>
      </c>
      <c r="F4635" t="s">
        <v>38</v>
      </c>
      <c r="G4635" t="s">
        <v>56</v>
      </c>
      <c r="H4635" s="2">
        <v>25</v>
      </c>
      <c r="I4635">
        <v>91</v>
      </c>
      <c r="J4635">
        <v>228</v>
      </c>
      <c r="K4635" s="4">
        <v>114</v>
      </c>
      <c r="L4635" t="s">
        <v>17</v>
      </c>
    </row>
    <row r="4636" spans="1:12" x14ac:dyDescent="0.35">
      <c r="A4636" t="s">
        <v>12</v>
      </c>
      <c r="B4636">
        <v>1197831</v>
      </c>
      <c r="C4636" s="1">
        <v>44335</v>
      </c>
      <c r="D4636" t="s">
        <v>19</v>
      </c>
      <c r="E4636" t="s">
        <v>54</v>
      </c>
      <c r="F4636" t="s">
        <v>55</v>
      </c>
      <c r="G4636" t="s">
        <v>32</v>
      </c>
      <c r="H4636" s="2">
        <v>34</v>
      </c>
      <c r="I4636">
        <v>91</v>
      </c>
      <c r="J4636">
        <v>309</v>
      </c>
      <c r="K4636" s="4">
        <v>170</v>
      </c>
      <c r="L4636" t="s">
        <v>17</v>
      </c>
    </row>
    <row r="4637" spans="1:12" x14ac:dyDescent="0.35">
      <c r="A4637" t="s">
        <v>18</v>
      </c>
      <c r="B4637">
        <v>1197831</v>
      </c>
      <c r="C4637" s="1">
        <v>44520</v>
      </c>
      <c r="D4637" t="s">
        <v>19</v>
      </c>
      <c r="E4637" t="s">
        <v>54</v>
      </c>
      <c r="F4637" t="s">
        <v>55</v>
      </c>
      <c r="G4637" t="s">
        <v>70</v>
      </c>
      <c r="H4637" s="2">
        <v>69</v>
      </c>
      <c r="I4637">
        <v>91</v>
      </c>
      <c r="J4637">
        <v>628</v>
      </c>
      <c r="K4637" s="4">
        <v>295</v>
      </c>
      <c r="L4637" t="s">
        <v>17</v>
      </c>
    </row>
    <row r="4638" spans="1:12" x14ac:dyDescent="0.35">
      <c r="A4638" t="s">
        <v>18</v>
      </c>
      <c r="B4638">
        <v>1197831</v>
      </c>
      <c r="C4638" s="1">
        <v>44248</v>
      </c>
      <c r="D4638" t="s">
        <v>19</v>
      </c>
      <c r="E4638" t="s">
        <v>54</v>
      </c>
      <c r="F4638" t="s">
        <v>55</v>
      </c>
      <c r="G4638" t="s">
        <v>32</v>
      </c>
      <c r="H4638" s="2">
        <v>15</v>
      </c>
      <c r="I4638">
        <v>91</v>
      </c>
      <c r="J4638">
        <v>137</v>
      </c>
      <c r="K4638" s="4">
        <v>68</v>
      </c>
      <c r="L4638" t="s">
        <v>17</v>
      </c>
    </row>
    <row r="4639" spans="1:12" x14ac:dyDescent="0.35">
      <c r="A4639" t="s">
        <v>18</v>
      </c>
      <c r="B4639">
        <v>1197831</v>
      </c>
      <c r="C4639" s="1">
        <v>44458</v>
      </c>
      <c r="D4639" t="s">
        <v>19</v>
      </c>
      <c r="E4639" t="s">
        <v>61</v>
      </c>
      <c r="F4639" t="s">
        <v>62</v>
      </c>
      <c r="G4639" t="s">
        <v>16</v>
      </c>
      <c r="H4639" s="2">
        <v>28</v>
      </c>
      <c r="I4639">
        <v>91</v>
      </c>
      <c r="J4639">
        <v>255</v>
      </c>
      <c r="K4639" s="4">
        <v>132</v>
      </c>
      <c r="L4639" t="s">
        <v>17</v>
      </c>
    </row>
    <row r="4640" spans="1:12" x14ac:dyDescent="0.35">
      <c r="A4640" t="s">
        <v>63</v>
      </c>
      <c r="B4640">
        <v>1197831</v>
      </c>
      <c r="C4640" s="1">
        <v>44490</v>
      </c>
      <c r="D4640" t="s">
        <v>19</v>
      </c>
      <c r="E4640" t="s">
        <v>61</v>
      </c>
      <c r="F4640" t="s">
        <v>62</v>
      </c>
      <c r="G4640" t="s">
        <v>16</v>
      </c>
      <c r="H4640" s="2">
        <v>29</v>
      </c>
      <c r="I4640">
        <v>91</v>
      </c>
      <c r="J4640">
        <v>264</v>
      </c>
      <c r="K4640" s="4">
        <v>145</v>
      </c>
      <c r="L4640" t="s">
        <v>17</v>
      </c>
    </row>
    <row r="4641" spans="1:12" x14ac:dyDescent="0.35">
      <c r="A4641" t="s">
        <v>63</v>
      </c>
      <c r="B4641">
        <v>1197831</v>
      </c>
      <c r="C4641" s="1">
        <v>44212</v>
      </c>
      <c r="D4641" t="s">
        <v>19</v>
      </c>
      <c r="E4641" t="s">
        <v>61</v>
      </c>
      <c r="F4641" t="s">
        <v>62</v>
      </c>
      <c r="G4641" t="s">
        <v>39</v>
      </c>
      <c r="H4641" s="2">
        <v>23</v>
      </c>
      <c r="I4641">
        <v>91</v>
      </c>
      <c r="J4641">
        <v>209</v>
      </c>
      <c r="K4641" s="4">
        <v>103</v>
      </c>
      <c r="L4641" t="s">
        <v>17</v>
      </c>
    </row>
    <row r="4642" spans="1:12" x14ac:dyDescent="0.35">
      <c r="A4642" t="s">
        <v>63</v>
      </c>
      <c r="B4642">
        <v>1197831</v>
      </c>
      <c r="C4642" s="1">
        <v>44389</v>
      </c>
      <c r="D4642" t="s">
        <v>33</v>
      </c>
      <c r="E4642" t="s">
        <v>71</v>
      </c>
      <c r="F4642" t="s">
        <v>72</v>
      </c>
      <c r="G4642" t="s">
        <v>70</v>
      </c>
      <c r="H4642" s="2">
        <v>56</v>
      </c>
      <c r="I4642">
        <v>91</v>
      </c>
      <c r="J4642">
        <v>510</v>
      </c>
      <c r="K4642" s="4">
        <v>234</v>
      </c>
      <c r="L4642" t="s">
        <v>17</v>
      </c>
    </row>
    <row r="4643" spans="1:12" x14ac:dyDescent="0.35">
      <c r="A4643" t="s">
        <v>63</v>
      </c>
      <c r="B4643">
        <v>1197831</v>
      </c>
      <c r="C4643" s="1">
        <v>44451</v>
      </c>
      <c r="D4643" t="s">
        <v>33</v>
      </c>
      <c r="E4643" t="s">
        <v>71</v>
      </c>
      <c r="F4643" t="s">
        <v>72</v>
      </c>
      <c r="G4643" t="s">
        <v>39</v>
      </c>
      <c r="H4643" s="2">
        <v>38</v>
      </c>
      <c r="I4643">
        <v>91</v>
      </c>
      <c r="J4643">
        <v>346</v>
      </c>
      <c r="K4643" s="4">
        <v>156</v>
      </c>
      <c r="L4643" t="s">
        <v>17</v>
      </c>
    </row>
    <row r="4644" spans="1:12" x14ac:dyDescent="0.35">
      <c r="A4644" t="s">
        <v>23</v>
      </c>
      <c r="B4644">
        <v>1185732</v>
      </c>
      <c r="C4644" s="1">
        <v>44356</v>
      </c>
      <c r="D4644" t="s">
        <v>33</v>
      </c>
      <c r="E4644" t="s">
        <v>89</v>
      </c>
      <c r="F4644" t="s">
        <v>90</v>
      </c>
      <c r="G4644" t="s">
        <v>16</v>
      </c>
      <c r="H4644" s="2">
        <v>51</v>
      </c>
      <c r="I4644">
        <v>91</v>
      </c>
      <c r="J4644">
        <v>464</v>
      </c>
      <c r="K4644" s="4">
        <v>251</v>
      </c>
      <c r="L4644" t="s">
        <v>17</v>
      </c>
    </row>
    <row r="4645" spans="1:12" x14ac:dyDescent="0.35">
      <c r="A4645" t="s">
        <v>18</v>
      </c>
      <c r="B4645">
        <v>1185732</v>
      </c>
      <c r="C4645" s="1">
        <v>44535</v>
      </c>
      <c r="D4645" t="s">
        <v>33</v>
      </c>
      <c r="E4645" t="s">
        <v>91</v>
      </c>
      <c r="F4645" t="s">
        <v>92</v>
      </c>
      <c r="G4645" t="s">
        <v>39</v>
      </c>
      <c r="H4645" s="2">
        <v>47</v>
      </c>
      <c r="I4645">
        <v>91</v>
      </c>
      <c r="J4645">
        <v>428</v>
      </c>
      <c r="K4645" s="4">
        <v>201</v>
      </c>
      <c r="L4645" t="s">
        <v>17</v>
      </c>
    </row>
    <row r="4646" spans="1:12" x14ac:dyDescent="0.35">
      <c r="A4646" t="s">
        <v>18</v>
      </c>
      <c r="B4646">
        <v>1185732</v>
      </c>
      <c r="C4646" s="1">
        <v>44327</v>
      </c>
      <c r="D4646" t="s">
        <v>33</v>
      </c>
      <c r="E4646" t="s">
        <v>81</v>
      </c>
      <c r="F4646" t="s">
        <v>82</v>
      </c>
      <c r="G4646" t="s">
        <v>16</v>
      </c>
      <c r="H4646" s="2">
        <v>53</v>
      </c>
      <c r="I4646">
        <v>91</v>
      </c>
      <c r="J4646">
        <v>482</v>
      </c>
      <c r="K4646" s="4">
        <v>251</v>
      </c>
      <c r="L4646" t="s">
        <v>17</v>
      </c>
    </row>
    <row r="4647" spans="1:12" x14ac:dyDescent="0.35">
      <c r="A4647" t="s">
        <v>18</v>
      </c>
      <c r="B4647">
        <v>1185732</v>
      </c>
      <c r="C4647" s="1">
        <v>44357</v>
      </c>
      <c r="D4647" t="s">
        <v>33</v>
      </c>
      <c r="E4647" t="s">
        <v>81</v>
      </c>
      <c r="F4647" t="s">
        <v>82</v>
      </c>
      <c r="G4647" t="s">
        <v>16</v>
      </c>
      <c r="H4647" s="2">
        <v>56</v>
      </c>
      <c r="I4647">
        <v>91</v>
      </c>
      <c r="J4647">
        <v>510</v>
      </c>
      <c r="K4647" s="4">
        <v>260</v>
      </c>
      <c r="L4647" t="s">
        <v>17</v>
      </c>
    </row>
    <row r="4648" spans="1:12" x14ac:dyDescent="0.35">
      <c r="A4648" t="s">
        <v>18</v>
      </c>
      <c r="B4648">
        <v>1185732</v>
      </c>
      <c r="C4648" s="1">
        <v>44418</v>
      </c>
      <c r="D4648" t="s">
        <v>33</v>
      </c>
      <c r="E4648" t="s">
        <v>81</v>
      </c>
      <c r="F4648" t="s">
        <v>82</v>
      </c>
      <c r="G4648" t="s">
        <v>16</v>
      </c>
      <c r="H4648" s="2">
        <v>54</v>
      </c>
      <c r="I4648">
        <v>91</v>
      </c>
      <c r="J4648">
        <v>491</v>
      </c>
      <c r="K4648" s="4">
        <v>260</v>
      </c>
      <c r="L4648" t="s">
        <v>17</v>
      </c>
    </row>
    <row r="4649" spans="1:12" x14ac:dyDescent="0.35">
      <c r="A4649" t="s">
        <v>18</v>
      </c>
      <c r="B4649">
        <v>1185732</v>
      </c>
      <c r="C4649" s="1">
        <v>44510</v>
      </c>
      <c r="D4649" t="s">
        <v>33</v>
      </c>
      <c r="E4649" t="s">
        <v>81</v>
      </c>
      <c r="F4649" t="s">
        <v>82</v>
      </c>
      <c r="G4649" t="s">
        <v>16</v>
      </c>
      <c r="H4649" s="2">
        <v>61</v>
      </c>
      <c r="I4649">
        <v>91</v>
      </c>
      <c r="J4649">
        <v>555</v>
      </c>
      <c r="K4649" s="4">
        <v>300</v>
      </c>
      <c r="L4649" t="s">
        <v>17</v>
      </c>
    </row>
    <row r="4650" spans="1:12" x14ac:dyDescent="0.35">
      <c r="A4650" t="s">
        <v>18</v>
      </c>
      <c r="B4650">
        <v>1185732</v>
      </c>
      <c r="C4650" s="1">
        <v>44271</v>
      </c>
      <c r="D4650" t="s">
        <v>43</v>
      </c>
      <c r="E4650" t="s">
        <v>64</v>
      </c>
      <c r="F4650" t="s">
        <v>65</v>
      </c>
      <c r="G4650" t="s">
        <v>32</v>
      </c>
      <c r="H4650" s="2">
        <v>19</v>
      </c>
      <c r="I4650">
        <v>91</v>
      </c>
      <c r="J4650">
        <v>173</v>
      </c>
      <c r="K4650" s="4">
        <v>93</v>
      </c>
      <c r="L4650" t="s">
        <v>17</v>
      </c>
    </row>
    <row r="4651" spans="1:12" x14ac:dyDescent="0.35">
      <c r="A4651" t="s">
        <v>18</v>
      </c>
      <c r="B4651">
        <v>1185732</v>
      </c>
      <c r="C4651" s="1">
        <v>44457</v>
      </c>
      <c r="D4651" t="s">
        <v>43</v>
      </c>
      <c r="E4651" t="s">
        <v>64</v>
      </c>
      <c r="F4651" t="s">
        <v>65</v>
      </c>
      <c r="G4651" t="s">
        <v>39</v>
      </c>
      <c r="H4651" s="2">
        <v>29</v>
      </c>
      <c r="I4651">
        <v>91</v>
      </c>
      <c r="J4651">
        <v>264</v>
      </c>
      <c r="K4651" s="4">
        <v>140</v>
      </c>
      <c r="L4651" t="s">
        <v>17</v>
      </c>
    </row>
    <row r="4652" spans="1:12" x14ac:dyDescent="0.35">
      <c r="A4652" t="s">
        <v>42</v>
      </c>
      <c r="B4652">
        <v>1185732</v>
      </c>
      <c r="C4652" s="1">
        <v>44517</v>
      </c>
      <c r="D4652" t="s">
        <v>43</v>
      </c>
      <c r="E4652" t="s">
        <v>64</v>
      </c>
      <c r="F4652" t="s">
        <v>65</v>
      </c>
      <c r="G4652" t="s">
        <v>56</v>
      </c>
      <c r="H4652" s="2">
        <v>38</v>
      </c>
      <c r="I4652">
        <v>91</v>
      </c>
      <c r="J4652">
        <v>346</v>
      </c>
      <c r="K4652" s="4">
        <v>190</v>
      </c>
      <c r="L4652" t="s">
        <v>17</v>
      </c>
    </row>
    <row r="4653" spans="1:12" x14ac:dyDescent="0.35">
      <c r="A4653" t="s">
        <v>42</v>
      </c>
      <c r="B4653">
        <v>1185732</v>
      </c>
      <c r="C4653" s="1">
        <v>44213</v>
      </c>
      <c r="D4653" t="s">
        <v>43</v>
      </c>
      <c r="E4653" t="s">
        <v>93</v>
      </c>
      <c r="F4653" t="s">
        <v>94</v>
      </c>
      <c r="G4653" t="s">
        <v>32</v>
      </c>
      <c r="H4653" s="2">
        <v>29</v>
      </c>
      <c r="I4653">
        <v>91</v>
      </c>
      <c r="J4653">
        <v>264</v>
      </c>
      <c r="K4653" s="4">
        <v>140</v>
      </c>
      <c r="L4653" t="s">
        <v>17</v>
      </c>
    </row>
    <row r="4654" spans="1:12" x14ac:dyDescent="0.35">
      <c r="A4654" t="s">
        <v>63</v>
      </c>
      <c r="B4654">
        <v>1185732</v>
      </c>
      <c r="C4654" s="1">
        <v>44543</v>
      </c>
      <c r="D4654" t="s">
        <v>43</v>
      </c>
      <c r="E4654" t="s">
        <v>95</v>
      </c>
      <c r="F4654" t="s">
        <v>96</v>
      </c>
      <c r="G4654" t="s">
        <v>70</v>
      </c>
      <c r="H4654" s="2">
        <v>61</v>
      </c>
      <c r="I4654">
        <v>91</v>
      </c>
      <c r="J4654">
        <v>555</v>
      </c>
      <c r="K4654" s="4">
        <v>222</v>
      </c>
      <c r="L4654" t="s">
        <v>17</v>
      </c>
    </row>
    <row r="4655" spans="1:12" x14ac:dyDescent="0.35">
      <c r="A4655" t="s">
        <v>23</v>
      </c>
      <c r="B4655">
        <v>1185732</v>
      </c>
      <c r="C4655" s="1">
        <v>44507</v>
      </c>
      <c r="D4655" t="s">
        <v>43</v>
      </c>
      <c r="E4655" t="s">
        <v>83</v>
      </c>
      <c r="F4655" t="s">
        <v>84</v>
      </c>
      <c r="G4655" t="s">
        <v>16</v>
      </c>
      <c r="H4655" s="2">
        <v>59</v>
      </c>
      <c r="I4655">
        <v>91</v>
      </c>
      <c r="J4655">
        <v>537</v>
      </c>
      <c r="K4655" s="4">
        <v>285</v>
      </c>
      <c r="L4655" t="s">
        <v>17</v>
      </c>
    </row>
    <row r="4656" spans="1:12" x14ac:dyDescent="0.35">
      <c r="A4656" t="s">
        <v>23</v>
      </c>
      <c r="B4656">
        <v>1185732</v>
      </c>
      <c r="C4656" s="1">
        <v>44536</v>
      </c>
      <c r="D4656" t="s">
        <v>43</v>
      </c>
      <c r="E4656" t="s">
        <v>83</v>
      </c>
      <c r="F4656" t="s">
        <v>84</v>
      </c>
      <c r="G4656" t="s">
        <v>32</v>
      </c>
      <c r="H4656" s="2">
        <v>49</v>
      </c>
      <c r="I4656">
        <v>91</v>
      </c>
      <c r="J4656">
        <v>446</v>
      </c>
      <c r="K4656" s="4">
        <v>223</v>
      </c>
      <c r="L4656" t="s">
        <v>17</v>
      </c>
    </row>
    <row r="4657" spans="1:12" x14ac:dyDescent="0.35">
      <c r="A4657" t="s">
        <v>42</v>
      </c>
      <c r="B4657">
        <v>1185732</v>
      </c>
      <c r="C4657" s="1">
        <v>44415</v>
      </c>
      <c r="D4657" t="s">
        <v>43</v>
      </c>
      <c r="E4657" t="s">
        <v>110</v>
      </c>
      <c r="F4657" t="s">
        <v>111</v>
      </c>
      <c r="G4657" t="s">
        <v>39</v>
      </c>
      <c r="H4657" s="2">
        <v>42</v>
      </c>
      <c r="I4657">
        <v>91</v>
      </c>
      <c r="J4657">
        <v>382</v>
      </c>
      <c r="K4657" s="4">
        <v>180</v>
      </c>
      <c r="L4657" t="s">
        <v>17</v>
      </c>
    </row>
    <row r="4658" spans="1:12" x14ac:dyDescent="0.35">
      <c r="A4658" t="s">
        <v>23</v>
      </c>
      <c r="B4658">
        <v>1185732</v>
      </c>
      <c r="C4658" s="1">
        <v>44422</v>
      </c>
      <c r="D4658" t="s">
        <v>43</v>
      </c>
      <c r="E4658" t="s">
        <v>112</v>
      </c>
      <c r="F4658" t="s">
        <v>113</v>
      </c>
      <c r="G4658" t="s">
        <v>16</v>
      </c>
      <c r="H4658" s="2">
        <v>58</v>
      </c>
      <c r="I4658">
        <v>91</v>
      </c>
      <c r="J4658">
        <v>528</v>
      </c>
      <c r="K4658" s="4">
        <v>238</v>
      </c>
      <c r="L4658" t="s">
        <v>17</v>
      </c>
    </row>
    <row r="4659" spans="1:12" x14ac:dyDescent="0.35">
      <c r="A4659" t="s">
        <v>51</v>
      </c>
      <c r="B4659">
        <v>1185732</v>
      </c>
      <c r="C4659" s="1">
        <v>44210</v>
      </c>
      <c r="D4659" t="s">
        <v>43</v>
      </c>
      <c r="E4659" t="s">
        <v>112</v>
      </c>
      <c r="F4659" t="s">
        <v>113</v>
      </c>
      <c r="G4659" t="s">
        <v>32</v>
      </c>
      <c r="H4659" s="2">
        <v>32</v>
      </c>
      <c r="I4659">
        <v>91</v>
      </c>
      <c r="J4659">
        <v>291</v>
      </c>
      <c r="K4659" s="4">
        <v>131</v>
      </c>
      <c r="L4659" t="s">
        <v>17</v>
      </c>
    </row>
    <row r="4660" spans="1:12" x14ac:dyDescent="0.35">
      <c r="A4660" t="s">
        <v>51</v>
      </c>
      <c r="B4660">
        <v>1185732</v>
      </c>
      <c r="C4660" s="1">
        <v>44217</v>
      </c>
      <c r="D4660" t="s">
        <v>43</v>
      </c>
      <c r="E4660" t="s">
        <v>125</v>
      </c>
      <c r="F4660" t="s">
        <v>126</v>
      </c>
      <c r="G4660" t="s">
        <v>39</v>
      </c>
      <c r="H4660" s="2">
        <v>45</v>
      </c>
      <c r="I4660">
        <v>91</v>
      </c>
      <c r="J4660">
        <v>410</v>
      </c>
      <c r="K4660" s="4">
        <v>217</v>
      </c>
      <c r="L4660" t="s">
        <v>17</v>
      </c>
    </row>
    <row r="4661" spans="1:12" x14ac:dyDescent="0.35">
      <c r="A4661" t="s">
        <v>51</v>
      </c>
      <c r="B4661">
        <v>1185732</v>
      </c>
      <c r="C4661" s="1">
        <v>44366</v>
      </c>
      <c r="D4661" t="s">
        <v>43</v>
      </c>
      <c r="E4661" t="s">
        <v>127</v>
      </c>
      <c r="F4661" t="s">
        <v>128</v>
      </c>
      <c r="G4661" t="s">
        <v>56</v>
      </c>
      <c r="H4661" s="2">
        <v>52</v>
      </c>
      <c r="I4661">
        <v>91</v>
      </c>
      <c r="J4661">
        <v>473</v>
      </c>
      <c r="K4661" s="4">
        <v>199</v>
      </c>
      <c r="L4661" t="s">
        <v>17</v>
      </c>
    </row>
    <row r="4662" spans="1:12" x14ac:dyDescent="0.35">
      <c r="A4662" t="s">
        <v>42</v>
      </c>
      <c r="B4662">
        <v>1185732</v>
      </c>
      <c r="C4662" s="1">
        <v>44348</v>
      </c>
      <c r="D4662" t="s">
        <v>48</v>
      </c>
      <c r="E4662" t="s">
        <v>66</v>
      </c>
      <c r="F4662" t="s">
        <v>76</v>
      </c>
      <c r="G4662" t="s">
        <v>39</v>
      </c>
      <c r="H4662" s="2">
        <v>31</v>
      </c>
      <c r="I4662">
        <v>91</v>
      </c>
      <c r="J4662">
        <v>282</v>
      </c>
      <c r="K4662" s="4">
        <v>116</v>
      </c>
      <c r="L4662" t="s">
        <v>27</v>
      </c>
    </row>
    <row r="4663" spans="1:12" x14ac:dyDescent="0.35">
      <c r="A4663" t="s">
        <v>42</v>
      </c>
      <c r="B4663">
        <v>1185732</v>
      </c>
      <c r="C4663" s="1">
        <v>44540</v>
      </c>
      <c r="D4663" t="s">
        <v>43</v>
      </c>
      <c r="E4663" t="s">
        <v>135</v>
      </c>
      <c r="F4663" t="s">
        <v>136</v>
      </c>
      <c r="G4663" t="s">
        <v>39</v>
      </c>
      <c r="H4663" s="2">
        <v>40</v>
      </c>
      <c r="I4663">
        <v>91</v>
      </c>
      <c r="J4663">
        <v>364</v>
      </c>
      <c r="K4663" s="4">
        <v>124</v>
      </c>
      <c r="L4663" t="s">
        <v>27</v>
      </c>
    </row>
    <row r="4664" spans="1:12" x14ac:dyDescent="0.35">
      <c r="A4664" t="s">
        <v>18</v>
      </c>
      <c r="B4664">
        <v>1128299</v>
      </c>
      <c r="C4664" s="1">
        <v>44303</v>
      </c>
      <c r="D4664" t="s">
        <v>19</v>
      </c>
      <c r="E4664" t="s">
        <v>20</v>
      </c>
      <c r="F4664" t="s">
        <v>21</v>
      </c>
      <c r="G4664" t="s">
        <v>56</v>
      </c>
      <c r="H4664" s="2">
        <v>27</v>
      </c>
      <c r="I4664">
        <v>91</v>
      </c>
      <c r="J4664">
        <v>246</v>
      </c>
      <c r="K4664" s="4">
        <v>111</v>
      </c>
      <c r="L4664" t="s">
        <v>27</v>
      </c>
    </row>
    <row r="4665" spans="1:12" x14ac:dyDescent="0.35">
      <c r="A4665" t="s">
        <v>18</v>
      </c>
      <c r="B4665">
        <v>1197831</v>
      </c>
      <c r="C4665" s="1">
        <v>44291</v>
      </c>
      <c r="D4665" t="s">
        <v>48</v>
      </c>
      <c r="E4665" t="s">
        <v>79</v>
      </c>
      <c r="F4665" t="s">
        <v>80</v>
      </c>
      <c r="G4665" t="s">
        <v>70</v>
      </c>
      <c r="H4665" s="2">
        <v>27</v>
      </c>
      <c r="I4665">
        <v>91</v>
      </c>
      <c r="J4665">
        <v>246</v>
      </c>
      <c r="K4665" s="4">
        <v>79</v>
      </c>
      <c r="L4665" t="s">
        <v>27</v>
      </c>
    </row>
    <row r="4666" spans="1:12" x14ac:dyDescent="0.35">
      <c r="A4666" t="s">
        <v>63</v>
      </c>
      <c r="B4666">
        <v>1128299</v>
      </c>
      <c r="C4666" s="1">
        <v>44253</v>
      </c>
      <c r="D4666" t="s">
        <v>48</v>
      </c>
      <c r="E4666" t="s">
        <v>114</v>
      </c>
      <c r="F4666" t="s">
        <v>115</v>
      </c>
      <c r="G4666" t="s">
        <v>56</v>
      </c>
      <c r="H4666" s="2">
        <v>29</v>
      </c>
      <c r="I4666">
        <v>91</v>
      </c>
      <c r="J4666">
        <v>264</v>
      </c>
      <c r="K4666" s="4">
        <v>98</v>
      </c>
      <c r="L4666" t="s">
        <v>27</v>
      </c>
    </row>
    <row r="4667" spans="1:12" x14ac:dyDescent="0.35">
      <c r="A4667" t="s">
        <v>12</v>
      </c>
      <c r="B4667">
        <v>1197831</v>
      </c>
      <c r="C4667" s="1">
        <v>44490</v>
      </c>
      <c r="D4667" t="s">
        <v>19</v>
      </c>
      <c r="E4667" t="s">
        <v>54</v>
      </c>
      <c r="F4667" t="s">
        <v>55</v>
      </c>
      <c r="G4667" t="s">
        <v>70</v>
      </c>
      <c r="H4667" s="2">
        <v>21</v>
      </c>
      <c r="I4667">
        <v>91</v>
      </c>
      <c r="J4667">
        <v>191</v>
      </c>
      <c r="K4667" s="4">
        <v>71</v>
      </c>
      <c r="L4667" t="s">
        <v>27</v>
      </c>
    </row>
    <row r="4668" spans="1:12" x14ac:dyDescent="0.35">
      <c r="A4668" t="s">
        <v>18</v>
      </c>
      <c r="B4668">
        <v>1197831</v>
      </c>
      <c r="C4668" s="1">
        <v>44219</v>
      </c>
      <c r="D4668" t="s">
        <v>19</v>
      </c>
      <c r="E4668" t="s">
        <v>54</v>
      </c>
      <c r="F4668" t="s">
        <v>55</v>
      </c>
      <c r="G4668" t="s">
        <v>70</v>
      </c>
      <c r="H4668" s="2">
        <v>23</v>
      </c>
      <c r="I4668">
        <v>91</v>
      </c>
      <c r="J4668">
        <v>209</v>
      </c>
      <c r="K4668" s="4">
        <v>86</v>
      </c>
      <c r="L4668" t="s">
        <v>27</v>
      </c>
    </row>
    <row r="4669" spans="1:12" x14ac:dyDescent="0.35">
      <c r="A4669" t="s">
        <v>18</v>
      </c>
      <c r="B4669">
        <v>1197831</v>
      </c>
      <c r="C4669" s="1">
        <v>44458</v>
      </c>
      <c r="D4669" t="s">
        <v>19</v>
      </c>
      <c r="E4669" t="s">
        <v>61</v>
      </c>
      <c r="F4669" t="s">
        <v>62</v>
      </c>
      <c r="G4669" t="s">
        <v>32</v>
      </c>
      <c r="H4669" s="2">
        <v>12</v>
      </c>
      <c r="I4669">
        <v>91</v>
      </c>
      <c r="J4669">
        <v>109</v>
      </c>
      <c r="K4669" s="4">
        <v>46</v>
      </c>
      <c r="L4669" t="s">
        <v>27</v>
      </c>
    </row>
    <row r="4670" spans="1:12" x14ac:dyDescent="0.35">
      <c r="A4670" t="s">
        <v>23</v>
      </c>
      <c r="B4670">
        <v>1185732</v>
      </c>
      <c r="C4670" s="1">
        <v>44352</v>
      </c>
      <c r="D4670" t="s">
        <v>43</v>
      </c>
      <c r="E4670" t="s">
        <v>108</v>
      </c>
      <c r="F4670" t="s">
        <v>109</v>
      </c>
      <c r="G4670" t="s">
        <v>70</v>
      </c>
      <c r="H4670" s="2">
        <v>36</v>
      </c>
      <c r="I4670">
        <v>91</v>
      </c>
      <c r="J4670">
        <v>328</v>
      </c>
      <c r="K4670" s="4">
        <v>105</v>
      </c>
      <c r="L4670" t="s">
        <v>27</v>
      </c>
    </row>
    <row r="4671" spans="1:12" x14ac:dyDescent="0.35">
      <c r="A4671" t="s">
        <v>51</v>
      </c>
      <c r="B4671">
        <v>1185732</v>
      </c>
      <c r="C4671" s="1">
        <v>44514</v>
      </c>
      <c r="D4671" t="s">
        <v>43</v>
      </c>
      <c r="E4671" t="s">
        <v>112</v>
      </c>
      <c r="F4671" t="s">
        <v>113</v>
      </c>
      <c r="G4671" t="s">
        <v>32</v>
      </c>
      <c r="H4671" s="2">
        <v>44</v>
      </c>
      <c r="I4671">
        <v>91</v>
      </c>
      <c r="J4671">
        <v>400</v>
      </c>
      <c r="K4671" s="4">
        <v>120</v>
      </c>
      <c r="L4671" t="s">
        <v>27</v>
      </c>
    </row>
    <row r="4672" spans="1:12" x14ac:dyDescent="0.35">
      <c r="A4672" t="s">
        <v>51</v>
      </c>
      <c r="B4672">
        <v>1185732</v>
      </c>
      <c r="C4672" s="1">
        <v>44326</v>
      </c>
      <c r="D4672" t="s">
        <v>43</v>
      </c>
      <c r="E4672" t="s">
        <v>125</v>
      </c>
      <c r="F4672" t="s">
        <v>126</v>
      </c>
      <c r="G4672" t="s">
        <v>70</v>
      </c>
      <c r="H4672" s="2">
        <v>46</v>
      </c>
      <c r="I4672">
        <v>91</v>
      </c>
      <c r="J4672">
        <v>419</v>
      </c>
      <c r="K4672" s="4">
        <v>172</v>
      </c>
      <c r="L4672" t="s">
        <v>27</v>
      </c>
    </row>
    <row r="4673" spans="1:12" x14ac:dyDescent="0.35">
      <c r="A4673" t="s">
        <v>51</v>
      </c>
      <c r="B4673">
        <v>1185732</v>
      </c>
      <c r="C4673" s="1">
        <v>44511</v>
      </c>
      <c r="D4673" t="s">
        <v>43</v>
      </c>
      <c r="E4673" t="s">
        <v>125</v>
      </c>
      <c r="F4673" t="s">
        <v>126</v>
      </c>
      <c r="G4673" t="s">
        <v>70</v>
      </c>
      <c r="H4673" s="2">
        <v>50</v>
      </c>
      <c r="I4673">
        <v>91</v>
      </c>
      <c r="J4673">
        <v>455</v>
      </c>
      <c r="K4673" s="4">
        <v>177</v>
      </c>
      <c r="L4673" t="s">
        <v>27</v>
      </c>
    </row>
    <row r="4674" spans="1:12" x14ac:dyDescent="0.35">
      <c r="A4674" t="s">
        <v>51</v>
      </c>
      <c r="B4674">
        <v>1185732</v>
      </c>
      <c r="C4674" s="1">
        <v>44333</v>
      </c>
      <c r="D4674" t="s">
        <v>43</v>
      </c>
      <c r="E4674" t="s">
        <v>127</v>
      </c>
      <c r="F4674" t="s">
        <v>128</v>
      </c>
      <c r="G4674" t="s">
        <v>56</v>
      </c>
      <c r="H4674" s="2">
        <v>41</v>
      </c>
      <c r="I4674">
        <v>91</v>
      </c>
      <c r="J4674">
        <v>373</v>
      </c>
      <c r="K4674" s="4">
        <v>127</v>
      </c>
      <c r="L4674" t="s">
        <v>27</v>
      </c>
    </row>
    <row r="4675" spans="1:12" x14ac:dyDescent="0.35">
      <c r="A4675" t="s">
        <v>42</v>
      </c>
      <c r="B4675">
        <v>1185732</v>
      </c>
      <c r="C4675" s="1">
        <v>44528</v>
      </c>
      <c r="D4675" t="s">
        <v>43</v>
      </c>
      <c r="E4675" t="s">
        <v>135</v>
      </c>
      <c r="F4675" t="s">
        <v>136</v>
      </c>
      <c r="G4675" t="s">
        <v>39</v>
      </c>
      <c r="H4675" s="2">
        <v>55</v>
      </c>
      <c r="I4675">
        <v>90</v>
      </c>
      <c r="J4675">
        <v>495</v>
      </c>
      <c r="K4675" s="4">
        <v>248</v>
      </c>
      <c r="L4675" t="s">
        <v>17</v>
      </c>
    </row>
    <row r="4676" spans="1:12" x14ac:dyDescent="0.35">
      <c r="A4676" t="s">
        <v>18</v>
      </c>
      <c r="B4676">
        <v>1128299</v>
      </c>
      <c r="C4676" s="1">
        <v>43859</v>
      </c>
      <c r="D4676" t="s">
        <v>48</v>
      </c>
      <c r="E4676" t="s">
        <v>116</v>
      </c>
      <c r="F4676" t="s">
        <v>117</v>
      </c>
      <c r="G4676" t="s">
        <v>56</v>
      </c>
      <c r="H4676" s="2">
        <v>57</v>
      </c>
      <c r="I4676">
        <v>90</v>
      </c>
      <c r="J4676">
        <v>513</v>
      </c>
      <c r="K4676" s="4">
        <v>257</v>
      </c>
      <c r="L4676" t="s">
        <v>17</v>
      </c>
    </row>
    <row r="4677" spans="1:12" x14ac:dyDescent="0.35">
      <c r="A4677" t="s">
        <v>18</v>
      </c>
      <c r="B4677">
        <v>1128299</v>
      </c>
      <c r="C4677" s="1">
        <v>43920</v>
      </c>
      <c r="D4677" t="s">
        <v>48</v>
      </c>
      <c r="E4677" t="s">
        <v>133</v>
      </c>
      <c r="F4677" t="s">
        <v>134</v>
      </c>
      <c r="G4677" t="s">
        <v>56</v>
      </c>
      <c r="H4677" s="2">
        <v>51</v>
      </c>
      <c r="I4677">
        <v>90</v>
      </c>
      <c r="J4677">
        <v>459</v>
      </c>
      <c r="K4677" s="4">
        <v>197</v>
      </c>
      <c r="L4677" t="s">
        <v>17</v>
      </c>
    </row>
    <row r="4678" spans="1:12" x14ac:dyDescent="0.35">
      <c r="A4678" t="s">
        <v>18</v>
      </c>
      <c r="B4678">
        <v>1128299</v>
      </c>
      <c r="C4678" s="1">
        <v>43998</v>
      </c>
      <c r="D4678" t="s">
        <v>48</v>
      </c>
      <c r="E4678" t="s">
        <v>97</v>
      </c>
      <c r="F4678" t="s">
        <v>98</v>
      </c>
      <c r="G4678" t="s">
        <v>56</v>
      </c>
      <c r="H4678" s="2">
        <v>55</v>
      </c>
      <c r="I4678">
        <v>90</v>
      </c>
      <c r="J4678">
        <v>495</v>
      </c>
      <c r="K4678" s="4">
        <v>208</v>
      </c>
      <c r="L4678" t="s">
        <v>17</v>
      </c>
    </row>
    <row r="4679" spans="1:12" x14ac:dyDescent="0.35">
      <c r="A4679" t="s">
        <v>18</v>
      </c>
      <c r="B4679">
        <v>1128299</v>
      </c>
      <c r="C4679" s="1">
        <v>44004</v>
      </c>
      <c r="D4679" t="s">
        <v>48</v>
      </c>
      <c r="E4679" t="s">
        <v>97</v>
      </c>
      <c r="F4679" t="s">
        <v>98</v>
      </c>
      <c r="G4679" t="s">
        <v>56</v>
      </c>
      <c r="H4679" s="2">
        <v>59</v>
      </c>
      <c r="I4679">
        <v>90</v>
      </c>
      <c r="J4679">
        <v>531</v>
      </c>
      <c r="K4679" s="4">
        <v>234</v>
      </c>
      <c r="L4679" t="s">
        <v>17</v>
      </c>
    </row>
    <row r="4680" spans="1:12" x14ac:dyDescent="0.35">
      <c r="A4680" t="s">
        <v>51</v>
      </c>
      <c r="B4680">
        <v>1185732</v>
      </c>
      <c r="C4680" s="1">
        <v>44552</v>
      </c>
      <c r="D4680" t="s">
        <v>43</v>
      </c>
      <c r="E4680" t="s">
        <v>122</v>
      </c>
      <c r="F4680" t="s">
        <v>86</v>
      </c>
      <c r="G4680" t="s">
        <v>39</v>
      </c>
      <c r="H4680" s="2">
        <v>49</v>
      </c>
      <c r="I4680">
        <v>90</v>
      </c>
      <c r="J4680">
        <v>441</v>
      </c>
      <c r="K4680" s="4">
        <v>207</v>
      </c>
      <c r="L4680" t="s">
        <v>17</v>
      </c>
    </row>
    <row r="4681" spans="1:12" x14ac:dyDescent="0.35">
      <c r="A4681" t="s">
        <v>51</v>
      </c>
      <c r="B4681">
        <v>1185732</v>
      </c>
      <c r="C4681" s="1">
        <v>44369</v>
      </c>
      <c r="D4681" t="s">
        <v>48</v>
      </c>
      <c r="E4681" t="s">
        <v>137</v>
      </c>
      <c r="F4681" t="s">
        <v>138</v>
      </c>
      <c r="G4681" t="s">
        <v>56</v>
      </c>
      <c r="H4681" s="2">
        <v>53</v>
      </c>
      <c r="I4681">
        <v>90</v>
      </c>
      <c r="J4681">
        <v>477</v>
      </c>
      <c r="K4681" s="4">
        <v>172</v>
      </c>
      <c r="L4681" t="s">
        <v>17</v>
      </c>
    </row>
    <row r="4682" spans="1:12" x14ac:dyDescent="0.35">
      <c r="A4682" t="s">
        <v>51</v>
      </c>
      <c r="B4682">
        <v>1185732</v>
      </c>
      <c r="C4682" s="1">
        <v>44521</v>
      </c>
      <c r="D4682" t="s">
        <v>48</v>
      </c>
      <c r="E4682" t="s">
        <v>137</v>
      </c>
      <c r="F4682" t="s">
        <v>138</v>
      </c>
      <c r="G4682" t="s">
        <v>56</v>
      </c>
      <c r="H4682" s="2">
        <v>62</v>
      </c>
      <c r="I4682">
        <v>90</v>
      </c>
      <c r="J4682">
        <v>558</v>
      </c>
      <c r="K4682" s="4">
        <v>212</v>
      </c>
      <c r="L4682" t="s">
        <v>17</v>
      </c>
    </row>
    <row r="4683" spans="1:12" x14ac:dyDescent="0.35">
      <c r="A4683" t="s">
        <v>18</v>
      </c>
      <c r="B4683">
        <v>1128299</v>
      </c>
      <c r="C4683" s="1">
        <v>44425</v>
      </c>
      <c r="D4683" t="s">
        <v>19</v>
      </c>
      <c r="E4683" t="s">
        <v>20</v>
      </c>
      <c r="F4683" t="s">
        <v>21</v>
      </c>
      <c r="G4683" t="s">
        <v>16</v>
      </c>
      <c r="H4683" s="2">
        <v>63</v>
      </c>
      <c r="I4683">
        <v>90</v>
      </c>
      <c r="J4683">
        <v>567</v>
      </c>
      <c r="K4683" s="4">
        <v>278</v>
      </c>
      <c r="L4683" t="s">
        <v>17</v>
      </c>
    </row>
    <row r="4684" spans="1:12" x14ac:dyDescent="0.35">
      <c r="A4684" t="s">
        <v>42</v>
      </c>
      <c r="B4684">
        <v>1128299</v>
      </c>
      <c r="C4684" s="1">
        <v>44309</v>
      </c>
      <c r="D4684" t="s">
        <v>48</v>
      </c>
      <c r="E4684" t="s">
        <v>123</v>
      </c>
      <c r="F4684" t="s">
        <v>124</v>
      </c>
      <c r="G4684" t="s">
        <v>39</v>
      </c>
      <c r="H4684" s="2">
        <v>53</v>
      </c>
      <c r="I4684">
        <v>90</v>
      </c>
      <c r="J4684">
        <v>477</v>
      </c>
      <c r="K4684" s="4">
        <v>239</v>
      </c>
      <c r="L4684" t="s">
        <v>17</v>
      </c>
    </row>
    <row r="4685" spans="1:12" x14ac:dyDescent="0.35">
      <c r="A4685" t="s">
        <v>42</v>
      </c>
      <c r="B4685">
        <v>1128299</v>
      </c>
      <c r="C4685" s="1">
        <v>44340</v>
      </c>
      <c r="D4685" t="s">
        <v>48</v>
      </c>
      <c r="E4685" t="s">
        <v>123</v>
      </c>
      <c r="F4685" t="s">
        <v>124</v>
      </c>
      <c r="G4685" t="s">
        <v>56</v>
      </c>
      <c r="H4685" s="2">
        <v>49</v>
      </c>
      <c r="I4685">
        <v>90</v>
      </c>
      <c r="J4685">
        <v>441</v>
      </c>
      <c r="K4685" s="4">
        <v>221</v>
      </c>
      <c r="L4685" t="s">
        <v>17</v>
      </c>
    </row>
    <row r="4686" spans="1:12" x14ac:dyDescent="0.35">
      <c r="A4686" t="s">
        <v>42</v>
      </c>
      <c r="B4686">
        <v>1128299</v>
      </c>
      <c r="C4686" s="1">
        <v>44492</v>
      </c>
      <c r="D4686" t="s">
        <v>48</v>
      </c>
      <c r="E4686" t="s">
        <v>123</v>
      </c>
      <c r="F4686" t="s">
        <v>124</v>
      </c>
      <c r="G4686" t="s">
        <v>56</v>
      </c>
      <c r="H4686" s="2">
        <v>43</v>
      </c>
      <c r="I4686">
        <v>90</v>
      </c>
      <c r="J4686">
        <v>387</v>
      </c>
      <c r="K4686" s="4">
        <v>190</v>
      </c>
      <c r="L4686" t="s">
        <v>17</v>
      </c>
    </row>
    <row r="4687" spans="1:12" x14ac:dyDescent="0.35">
      <c r="A4687" t="s">
        <v>23</v>
      </c>
      <c r="B4687">
        <v>1128299</v>
      </c>
      <c r="C4687" s="1">
        <v>44482</v>
      </c>
      <c r="D4687" t="s">
        <v>13</v>
      </c>
      <c r="E4687" t="s">
        <v>57</v>
      </c>
      <c r="F4687" t="s">
        <v>58</v>
      </c>
      <c r="G4687" t="s">
        <v>70</v>
      </c>
      <c r="H4687" s="2">
        <v>50</v>
      </c>
      <c r="I4687">
        <v>90</v>
      </c>
      <c r="J4687">
        <v>450</v>
      </c>
      <c r="K4687" s="4">
        <v>207</v>
      </c>
      <c r="L4687" t="s">
        <v>17</v>
      </c>
    </row>
    <row r="4688" spans="1:12" x14ac:dyDescent="0.35">
      <c r="A4688" t="s">
        <v>18</v>
      </c>
      <c r="B4688">
        <v>1197831</v>
      </c>
      <c r="C4688" s="1">
        <v>44520</v>
      </c>
      <c r="D4688" t="s">
        <v>19</v>
      </c>
      <c r="E4688" t="s">
        <v>54</v>
      </c>
      <c r="F4688" t="s">
        <v>55</v>
      </c>
      <c r="G4688" t="s">
        <v>32</v>
      </c>
      <c r="H4688" s="2">
        <v>23</v>
      </c>
      <c r="I4688">
        <v>90</v>
      </c>
      <c r="J4688">
        <v>207</v>
      </c>
      <c r="K4688" s="4">
        <v>106</v>
      </c>
      <c r="L4688" t="s">
        <v>17</v>
      </c>
    </row>
    <row r="4689" spans="1:12" x14ac:dyDescent="0.35">
      <c r="A4689" t="s">
        <v>63</v>
      </c>
      <c r="B4689">
        <v>1197831</v>
      </c>
      <c r="C4689" s="1">
        <v>44421</v>
      </c>
      <c r="D4689" t="s">
        <v>33</v>
      </c>
      <c r="E4689" t="s">
        <v>71</v>
      </c>
      <c r="F4689" t="s">
        <v>72</v>
      </c>
      <c r="G4689" t="s">
        <v>56</v>
      </c>
      <c r="H4689" s="2">
        <v>37</v>
      </c>
      <c r="I4689">
        <v>90</v>
      </c>
      <c r="J4689">
        <v>333</v>
      </c>
      <c r="K4689" s="4">
        <v>163</v>
      </c>
      <c r="L4689" t="s">
        <v>17</v>
      </c>
    </row>
    <row r="4690" spans="1:12" x14ac:dyDescent="0.35">
      <c r="A4690" t="s">
        <v>42</v>
      </c>
      <c r="B4690">
        <v>1197831</v>
      </c>
      <c r="C4690" s="1">
        <v>44483</v>
      </c>
      <c r="D4690" t="s">
        <v>33</v>
      </c>
      <c r="E4690" t="s">
        <v>71</v>
      </c>
      <c r="F4690" t="s">
        <v>72</v>
      </c>
      <c r="G4690" t="s">
        <v>16</v>
      </c>
      <c r="H4690" s="2">
        <v>28</v>
      </c>
      <c r="I4690">
        <v>90</v>
      </c>
      <c r="J4690">
        <v>252</v>
      </c>
      <c r="K4690" s="4">
        <v>121</v>
      </c>
      <c r="L4690" t="s">
        <v>17</v>
      </c>
    </row>
    <row r="4691" spans="1:12" x14ac:dyDescent="0.35">
      <c r="A4691" t="s">
        <v>42</v>
      </c>
      <c r="B4691">
        <v>1197831</v>
      </c>
      <c r="C4691" s="1">
        <v>44542</v>
      </c>
      <c r="D4691" t="s">
        <v>33</v>
      </c>
      <c r="E4691" t="s">
        <v>71</v>
      </c>
      <c r="F4691" t="s">
        <v>72</v>
      </c>
      <c r="G4691" t="s">
        <v>56</v>
      </c>
      <c r="H4691" s="2">
        <v>59</v>
      </c>
      <c r="I4691">
        <v>90</v>
      </c>
      <c r="J4691">
        <v>531</v>
      </c>
      <c r="K4691" s="4">
        <v>239</v>
      </c>
      <c r="L4691" t="s">
        <v>17</v>
      </c>
    </row>
    <row r="4692" spans="1:12" x14ac:dyDescent="0.35">
      <c r="A4692" t="s">
        <v>23</v>
      </c>
      <c r="B4692">
        <v>1185732</v>
      </c>
      <c r="C4692" s="1">
        <v>44417</v>
      </c>
      <c r="D4692" t="s">
        <v>33</v>
      </c>
      <c r="E4692" t="s">
        <v>89</v>
      </c>
      <c r="F4692" t="s">
        <v>90</v>
      </c>
      <c r="G4692" t="s">
        <v>39</v>
      </c>
      <c r="H4692" s="2">
        <v>42</v>
      </c>
      <c r="I4692">
        <v>90</v>
      </c>
      <c r="J4692">
        <v>378</v>
      </c>
      <c r="K4692" s="4">
        <v>151</v>
      </c>
      <c r="L4692" t="s">
        <v>17</v>
      </c>
    </row>
    <row r="4693" spans="1:12" x14ac:dyDescent="0.35">
      <c r="A4693" t="s">
        <v>18</v>
      </c>
      <c r="B4693">
        <v>1185732</v>
      </c>
      <c r="C4693" s="1">
        <v>44320</v>
      </c>
      <c r="D4693" t="s">
        <v>33</v>
      </c>
      <c r="E4693" t="s">
        <v>40</v>
      </c>
      <c r="F4693" t="s">
        <v>41</v>
      </c>
      <c r="G4693" t="s">
        <v>16</v>
      </c>
      <c r="H4693" s="2">
        <v>47</v>
      </c>
      <c r="I4693">
        <v>90</v>
      </c>
      <c r="J4693">
        <v>423</v>
      </c>
      <c r="K4693" s="4">
        <v>216</v>
      </c>
      <c r="L4693" t="s">
        <v>17</v>
      </c>
    </row>
    <row r="4694" spans="1:12" x14ac:dyDescent="0.35">
      <c r="A4694" t="s">
        <v>18</v>
      </c>
      <c r="B4694">
        <v>1185732</v>
      </c>
      <c r="C4694" s="1">
        <v>44350</v>
      </c>
      <c r="D4694" t="s">
        <v>33</v>
      </c>
      <c r="E4694" t="s">
        <v>40</v>
      </c>
      <c r="F4694" t="s">
        <v>41</v>
      </c>
      <c r="G4694" t="s">
        <v>39</v>
      </c>
      <c r="H4694" s="2">
        <v>27</v>
      </c>
      <c r="I4694">
        <v>90</v>
      </c>
      <c r="J4694">
        <v>243</v>
      </c>
      <c r="K4694" s="4">
        <v>119</v>
      </c>
      <c r="L4694" t="s">
        <v>17</v>
      </c>
    </row>
    <row r="4695" spans="1:12" x14ac:dyDescent="0.35">
      <c r="A4695" t="s">
        <v>18</v>
      </c>
      <c r="B4695">
        <v>1185732</v>
      </c>
      <c r="C4695" s="1">
        <v>44425</v>
      </c>
      <c r="D4695" t="s">
        <v>43</v>
      </c>
      <c r="E4695" t="s">
        <v>64</v>
      </c>
      <c r="F4695" t="s">
        <v>65</v>
      </c>
      <c r="G4695" t="s">
        <v>39</v>
      </c>
      <c r="H4695" s="2">
        <v>42</v>
      </c>
      <c r="I4695">
        <v>90</v>
      </c>
      <c r="J4695">
        <v>378</v>
      </c>
      <c r="K4695" s="4">
        <v>208</v>
      </c>
      <c r="L4695" t="s">
        <v>17</v>
      </c>
    </row>
    <row r="4696" spans="1:12" x14ac:dyDescent="0.35">
      <c r="A4696" t="s">
        <v>42</v>
      </c>
      <c r="B4696">
        <v>1185732</v>
      </c>
      <c r="C4696" s="1">
        <v>44390</v>
      </c>
      <c r="D4696" t="s">
        <v>43</v>
      </c>
      <c r="E4696" t="s">
        <v>95</v>
      </c>
      <c r="F4696" t="s">
        <v>96</v>
      </c>
      <c r="G4696" t="s">
        <v>56</v>
      </c>
      <c r="H4696" s="2">
        <v>43</v>
      </c>
      <c r="I4696">
        <v>90</v>
      </c>
      <c r="J4696">
        <v>387</v>
      </c>
      <c r="K4696" s="4">
        <v>205</v>
      </c>
      <c r="L4696" t="s">
        <v>17</v>
      </c>
    </row>
    <row r="4697" spans="1:12" x14ac:dyDescent="0.35">
      <c r="A4697" t="s">
        <v>42</v>
      </c>
      <c r="B4697">
        <v>1185732</v>
      </c>
      <c r="C4697" s="1">
        <v>44484</v>
      </c>
      <c r="D4697" t="s">
        <v>43</v>
      </c>
      <c r="E4697" t="s">
        <v>95</v>
      </c>
      <c r="F4697" t="s">
        <v>96</v>
      </c>
      <c r="G4697" t="s">
        <v>39</v>
      </c>
      <c r="H4697" s="2">
        <v>51</v>
      </c>
      <c r="I4697">
        <v>90</v>
      </c>
      <c r="J4697">
        <v>459</v>
      </c>
      <c r="K4697" s="4">
        <v>211</v>
      </c>
      <c r="L4697" t="s">
        <v>17</v>
      </c>
    </row>
    <row r="4698" spans="1:12" x14ac:dyDescent="0.35">
      <c r="A4698" t="s">
        <v>23</v>
      </c>
      <c r="B4698">
        <v>1185732</v>
      </c>
      <c r="C4698" s="1">
        <v>44203</v>
      </c>
      <c r="D4698" t="s">
        <v>43</v>
      </c>
      <c r="E4698" t="s">
        <v>83</v>
      </c>
      <c r="F4698" t="s">
        <v>84</v>
      </c>
      <c r="G4698" t="s">
        <v>32</v>
      </c>
      <c r="H4698" s="2">
        <v>28</v>
      </c>
      <c r="I4698">
        <v>90</v>
      </c>
      <c r="J4698">
        <v>252</v>
      </c>
      <c r="K4698" s="4">
        <v>101</v>
      </c>
      <c r="L4698" t="s">
        <v>17</v>
      </c>
    </row>
    <row r="4699" spans="1:12" x14ac:dyDescent="0.35">
      <c r="A4699" t="s">
        <v>42</v>
      </c>
      <c r="B4699">
        <v>1185732</v>
      </c>
      <c r="C4699" s="1">
        <v>44355</v>
      </c>
      <c r="D4699" t="s">
        <v>43</v>
      </c>
      <c r="E4699" t="s">
        <v>110</v>
      </c>
      <c r="F4699" t="s">
        <v>111</v>
      </c>
      <c r="G4699" t="s">
        <v>39</v>
      </c>
      <c r="H4699" s="2">
        <v>41</v>
      </c>
      <c r="I4699">
        <v>90</v>
      </c>
      <c r="J4699">
        <v>369</v>
      </c>
      <c r="K4699" s="4">
        <v>181</v>
      </c>
      <c r="L4699" t="s">
        <v>17</v>
      </c>
    </row>
    <row r="4700" spans="1:12" x14ac:dyDescent="0.35">
      <c r="A4700" t="s">
        <v>51</v>
      </c>
      <c r="B4700">
        <v>1185732</v>
      </c>
      <c r="C4700" s="1">
        <v>44514</v>
      </c>
      <c r="D4700" t="s">
        <v>43</v>
      </c>
      <c r="E4700" t="s">
        <v>112</v>
      </c>
      <c r="F4700" t="s">
        <v>113</v>
      </c>
      <c r="G4700" t="s">
        <v>39</v>
      </c>
      <c r="H4700" s="2">
        <v>52</v>
      </c>
      <c r="I4700">
        <v>90</v>
      </c>
      <c r="J4700">
        <v>468</v>
      </c>
      <c r="K4700" s="4">
        <v>206</v>
      </c>
      <c r="L4700" t="s">
        <v>17</v>
      </c>
    </row>
    <row r="4701" spans="1:12" x14ac:dyDescent="0.35">
      <c r="A4701" t="s">
        <v>51</v>
      </c>
      <c r="B4701">
        <v>1185732</v>
      </c>
      <c r="C4701" s="1">
        <v>44297</v>
      </c>
      <c r="D4701" t="s">
        <v>43</v>
      </c>
      <c r="E4701" t="s">
        <v>125</v>
      </c>
      <c r="F4701" t="s">
        <v>126</v>
      </c>
      <c r="G4701" t="s">
        <v>16</v>
      </c>
      <c r="H4701" s="2">
        <v>44</v>
      </c>
      <c r="I4701">
        <v>90</v>
      </c>
      <c r="J4701">
        <v>396</v>
      </c>
      <c r="K4701" s="4">
        <v>202</v>
      </c>
      <c r="L4701" t="s">
        <v>17</v>
      </c>
    </row>
    <row r="4702" spans="1:12" x14ac:dyDescent="0.35">
      <c r="A4702" t="s">
        <v>51</v>
      </c>
      <c r="B4702">
        <v>1185732</v>
      </c>
      <c r="C4702" s="1">
        <v>44359</v>
      </c>
      <c r="D4702" t="s">
        <v>43</v>
      </c>
      <c r="E4702" t="s">
        <v>125</v>
      </c>
      <c r="F4702" t="s">
        <v>126</v>
      </c>
      <c r="G4702" t="s">
        <v>56</v>
      </c>
      <c r="H4702" s="2">
        <v>47</v>
      </c>
      <c r="I4702">
        <v>90</v>
      </c>
      <c r="J4702">
        <v>423</v>
      </c>
      <c r="K4702" s="4">
        <v>190</v>
      </c>
      <c r="L4702" t="s">
        <v>17</v>
      </c>
    </row>
    <row r="4703" spans="1:12" x14ac:dyDescent="0.35">
      <c r="A4703" t="s">
        <v>51</v>
      </c>
      <c r="B4703">
        <v>1185732</v>
      </c>
      <c r="C4703" s="1">
        <v>44387</v>
      </c>
      <c r="D4703" t="s">
        <v>43</v>
      </c>
      <c r="E4703" t="s">
        <v>125</v>
      </c>
      <c r="F4703" t="s">
        <v>126</v>
      </c>
      <c r="G4703" t="s">
        <v>56</v>
      </c>
      <c r="H4703" s="2">
        <v>46</v>
      </c>
      <c r="I4703">
        <v>90</v>
      </c>
      <c r="J4703">
        <v>414</v>
      </c>
      <c r="K4703" s="4">
        <v>203</v>
      </c>
      <c r="L4703" t="s">
        <v>17</v>
      </c>
    </row>
    <row r="4704" spans="1:12" x14ac:dyDescent="0.35">
      <c r="A4704" t="s">
        <v>51</v>
      </c>
      <c r="B4704">
        <v>1185732</v>
      </c>
      <c r="C4704" s="1">
        <v>44246</v>
      </c>
      <c r="D4704" t="s">
        <v>43</v>
      </c>
      <c r="E4704" t="s">
        <v>125</v>
      </c>
      <c r="F4704" t="s">
        <v>126</v>
      </c>
      <c r="G4704" t="s">
        <v>32</v>
      </c>
      <c r="H4704" s="2">
        <v>39</v>
      </c>
      <c r="I4704">
        <v>90</v>
      </c>
      <c r="J4704">
        <v>351</v>
      </c>
      <c r="K4704" s="4">
        <v>154</v>
      </c>
      <c r="L4704" t="s">
        <v>17</v>
      </c>
    </row>
    <row r="4705" spans="1:12" x14ac:dyDescent="0.35">
      <c r="A4705" t="s">
        <v>42</v>
      </c>
      <c r="B4705">
        <v>1185732</v>
      </c>
      <c r="C4705" s="1">
        <v>44220</v>
      </c>
      <c r="D4705" t="s">
        <v>43</v>
      </c>
      <c r="E4705" t="s">
        <v>127</v>
      </c>
      <c r="F4705" t="s">
        <v>128</v>
      </c>
      <c r="G4705" t="s">
        <v>32</v>
      </c>
      <c r="H4705" s="2">
        <v>44</v>
      </c>
      <c r="I4705">
        <v>90</v>
      </c>
      <c r="J4705">
        <v>396</v>
      </c>
      <c r="K4705" s="4">
        <v>139</v>
      </c>
      <c r="L4705" t="s">
        <v>17</v>
      </c>
    </row>
    <row r="4706" spans="1:12" x14ac:dyDescent="0.35">
      <c r="A4706" t="s">
        <v>18</v>
      </c>
      <c r="B4706">
        <v>1128299</v>
      </c>
      <c r="C4706" s="1">
        <v>43835</v>
      </c>
      <c r="D4706" t="s">
        <v>43</v>
      </c>
      <c r="E4706" t="s">
        <v>135</v>
      </c>
      <c r="F4706" t="s">
        <v>136</v>
      </c>
      <c r="G4706" t="s">
        <v>56</v>
      </c>
      <c r="H4706" s="2">
        <v>34</v>
      </c>
      <c r="I4706">
        <v>90</v>
      </c>
      <c r="J4706">
        <v>306</v>
      </c>
      <c r="K4706" s="4">
        <v>125</v>
      </c>
      <c r="L4706" t="s">
        <v>27</v>
      </c>
    </row>
    <row r="4707" spans="1:12" x14ac:dyDescent="0.35">
      <c r="A4707" t="s">
        <v>18</v>
      </c>
      <c r="B4707">
        <v>1128299</v>
      </c>
      <c r="C4707" s="1">
        <v>43853</v>
      </c>
      <c r="D4707" t="s">
        <v>48</v>
      </c>
      <c r="E4707" t="s">
        <v>116</v>
      </c>
      <c r="F4707" t="s">
        <v>117</v>
      </c>
      <c r="G4707" t="s">
        <v>56</v>
      </c>
      <c r="H4707" s="2">
        <v>40</v>
      </c>
      <c r="I4707">
        <v>90</v>
      </c>
      <c r="J4707">
        <v>360</v>
      </c>
      <c r="K4707" s="4">
        <v>148</v>
      </c>
      <c r="L4707" t="s">
        <v>27</v>
      </c>
    </row>
    <row r="4708" spans="1:12" x14ac:dyDescent="0.35">
      <c r="A4708" t="s">
        <v>12</v>
      </c>
      <c r="B4708">
        <v>1128299</v>
      </c>
      <c r="C4708" s="1">
        <v>44303</v>
      </c>
      <c r="D4708" t="s">
        <v>13</v>
      </c>
      <c r="E4708" t="s">
        <v>14</v>
      </c>
      <c r="F4708" t="s">
        <v>15</v>
      </c>
      <c r="G4708" t="s">
        <v>56</v>
      </c>
      <c r="H4708" s="2">
        <v>41</v>
      </c>
      <c r="I4708">
        <v>90</v>
      </c>
      <c r="J4708">
        <v>369</v>
      </c>
      <c r="K4708" s="4">
        <v>129</v>
      </c>
      <c r="L4708" t="s">
        <v>27</v>
      </c>
    </row>
    <row r="4709" spans="1:12" x14ac:dyDescent="0.35">
      <c r="A4709" t="s">
        <v>42</v>
      </c>
      <c r="B4709">
        <v>1128299</v>
      </c>
      <c r="C4709" s="1">
        <v>44310</v>
      </c>
      <c r="D4709" t="s">
        <v>13</v>
      </c>
      <c r="E4709" t="s">
        <v>99</v>
      </c>
      <c r="F4709" t="s">
        <v>100</v>
      </c>
      <c r="G4709" t="s">
        <v>16</v>
      </c>
      <c r="H4709" s="2">
        <v>47</v>
      </c>
      <c r="I4709">
        <v>90</v>
      </c>
      <c r="J4709">
        <v>423</v>
      </c>
      <c r="K4709" s="4">
        <v>152</v>
      </c>
      <c r="L4709" t="s">
        <v>27</v>
      </c>
    </row>
    <row r="4710" spans="1:12" x14ac:dyDescent="0.35">
      <c r="A4710" t="s">
        <v>18</v>
      </c>
      <c r="B4710">
        <v>1185732</v>
      </c>
      <c r="C4710" s="1">
        <v>44265</v>
      </c>
      <c r="D4710" t="s">
        <v>48</v>
      </c>
      <c r="E4710" t="s">
        <v>49</v>
      </c>
      <c r="F4710" t="s">
        <v>50</v>
      </c>
      <c r="G4710" t="s">
        <v>70</v>
      </c>
      <c r="H4710" s="2">
        <v>28</v>
      </c>
      <c r="I4710">
        <v>90</v>
      </c>
      <c r="J4710">
        <v>252</v>
      </c>
      <c r="K4710" s="4">
        <v>101</v>
      </c>
      <c r="L4710" t="s">
        <v>27</v>
      </c>
    </row>
    <row r="4711" spans="1:12" x14ac:dyDescent="0.35">
      <c r="A4711" t="s">
        <v>18</v>
      </c>
      <c r="B4711">
        <v>1185732</v>
      </c>
      <c r="C4711" s="1">
        <v>44328</v>
      </c>
      <c r="D4711" t="s">
        <v>48</v>
      </c>
      <c r="E4711" t="s">
        <v>49</v>
      </c>
      <c r="F4711" t="s">
        <v>50</v>
      </c>
      <c r="G4711" t="s">
        <v>70</v>
      </c>
      <c r="H4711" s="2">
        <v>29</v>
      </c>
      <c r="I4711">
        <v>90</v>
      </c>
      <c r="J4711">
        <v>261</v>
      </c>
      <c r="K4711" s="4">
        <v>110</v>
      </c>
      <c r="L4711" t="s">
        <v>27</v>
      </c>
    </row>
    <row r="4712" spans="1:12" x14ac:dyDescent="0.35">
      <c r="A4712" t="s">
        <v>18</v>
      </c>
      <c r="B4712">
        <v>1185732</v>
      </c>
      <c r="C4712" s="1">
        <v>44480</v>
      </c>
      <c r="D4712" t="s">
        <v>48</v>
      </c>
      <c r="E4712" t="s">
        <v>49</v>
      </c>
      <c r="F4712" t="s">
        <v>50</v>
      </c>
      <c r="G4712" t="s">
        <v>32</v>
      </c>
      <c r="H4712" s="2">
        <v>13</v>
      </c>
      <c r="I4712">
        <v>90</v>
      </c>
      <c r="J4712">
        <v>117</v>
      </c>
      <c r="K4712" s="4">
        <v>48</v>
      </c>
      <c r="L4712" t="s">
        <v>27</v>
      </c>
    </row>
    <row r="4713" spans="1:12" x14ac:dyDescent="0.35">
      <c r="A4713" t="s">
        <v>18</v>
      </c>
      <c r="B4713">
        <v>1128299</v>
      </c>
      <c r="C4713" s="1">
        <v>44278</v>
      </c>
      <c r="D4713" t="s">
        <v>48</v>
      </c>
      <c r="E4713" t="s">
        <v>85</v>
      </c>
      <c r="F4713" t="s">
        <v>86</v>
      </c>
      <c r="G4713" t="s">
        <v>16</v>
      </c>
      <c r="H4713" s="2">
        <v>40</v>
      </c>
      <c r="I4713">
        <v>90</v>
      </c>
      <c r="J4713">
        <v>360</v>
      </c>
      <c r="K4713" s="4">
        <v>126</v>
      </c>
      <c r="L4713" t="s">
        <v>27</v>
      </c>
    </row>
    <row r="4714" spans="1:12" x14ac:dyDescent="0.35">
      <c r="A4714" t="s">
        <v>18</v>
      </c>
      <c r="B4714">
        <v>1128299</v>
      </c>
      <c r="C4714" s="1">
        <v>44310</v>
      </c>
      <c r="D4714" t="s">
        <v>48</v>
      </c>
      <c r="E4714" t="s">
        <v>85</v>
      </c>
      <c r="F4714" t="s">
        <v>86</v>
      </c>
      <c r="G4714" t="s">
        <v>16</v>
      </c>
      <c r="H4714" s="2">
        <v>49</v>
      </c>
      <c r="I4714">
        <v>90</v>
      </c>
      <c r="J4714">
        <v>441</v>
      </c>
      <c r="K4714" s="4">
        <v>150</v>
      </c>
      <c r="L4714" t="s">
        <v>27</v>
      </c>
    </row>
    <row r="4715" spans="1:12" x14ac:dyDescent="0.35">
      <c r="A4715" t="s">
        <v>18</v>
      </c>
      <c r="B4715">
        <v>1128299</v>
      </c>
      <c r="C4715" s="1">
        <v>44457</v>
      </c>
      <c r="D4715" t="s">
        <v>19</v>
      </c>
      <c r="E4715" t="s">
        <v>20</v>
      </c>
      <c r="F4715" t="s">
        <v>21</v>
      </c>
      <c r="G4715" t="s">
        <v>16</v>
      </c>
      <c r="H4715" s="2">
        <v>30</v>
      </c>
      <c r="I4715">
        <v>90</v>
      </c>
      <c r="J4715">
        <v>270</v>
      </c>
      <c r="K4715" s="4">
        <v>108</v>
      </c>
      <c r="L4715" t="s">
        <v>27</v>
      </c>
    </row>
    <row r="4716" spans="1:12" x14ac:dyDescent="0.35">
      <c r="A4716" t="s">
        <v>42</v>
      </c>
      <c r="B4716">
        <v>1128299</v>
      </c>
      <c r="C4716" s="1">
        <v>44309</v>
      </c>
      <c r="D4716" t="s">
        <v>48</v>
      </c>
      <c r="E4716" t="s">
        <v>123</v>
      </c>
      <c r="F4716" t="s">
        <v>124</v>
      </c>
      <c r="G4716" t="s">
        <v>39</v>
      </c>
      <c r="H4716" s="2">
        <v>37</v>
      </c>
      <c r="I4716">
        <v>90</v>
      </c>
      <c r="J4716">
        <v>333</v>
      </c>
      <c r="K4716" s="4">
        <v>147</v>
      </c>
      <c r="L4716" t="s">
        <v>27</v>
      </c>
    </row>
    <row r="4717" spans="1:12" x14ac:dyDescent="0.35">
      <c r="A4717" t="s">
        <v>12</v>
      </c>
      <c r="B4717">
        <v>1197831</v>
      </c>
      <c r="C4717" s="1">
        <v>44335</v>
      </c>
      <c r="D4717" t="s">
        <v>19</v>
      </c>
      <c r="E4717" t="s">
        <v>54</v>
      </c>
      <c r="F4717" t="s">
        <v>55</v>
      </c>
      <c r="G4717" t="s">
        <v>56</v>
      </c>
      <c r="H4717" s="2">
        <v>24</v>
      </c>
      <c r="I4717">
        <v>90</v>
      </c>
      <c r="J4717">
        <v>216</v>
      </c>
      <c r="K4717" s="4">
        <v>102</v>
      </c>
      <c r="L4717" t="s">
        <v>27</v>
      </c>
    </row>
    <row r="4718" spans="1:12" x14ac:dyDescent="0.35">
      <c r="A4718" t="s">
        <v>63</v>
      </c>
      <c r="B4718">
        <v>1197831</v>
      </c>
      <c r="C4718" s="1">
        <v>44520</v>
      </c>
      <c r="D4718" t="s">
        <v>19</v>
      </c>
      <c r="E4718" t="s">
        <v>61</v>
      </c>
      <c r="F4718" t="s">
        <v>62</v>
      </c>
      <c r="G4718" t="s">
        <v>56</v>
      </c>
      <c r="H4718" s="2">
        <v>37</v>
      </c>
      <c r="I4718">
        <v>90</v>
      </c>
      <c r="J4718">
        <v>333</v>
      </c>
      <c r="K4718" s="4">
        <v>157</v>
      </c>
      <c r="L4718" t="s">
        <v>27</v>
      </c>
    </row>
    <row r="4719" spans="1:12" x14ac:dyDescent="0.35">
      <c r="A4719" t="s">
        <v>63</v>
      </c>
      <c r="B4719">
        <v>1197831</v>
      </c>
      <c r="C4719" s="1">
        <v>44241</v>
      </c>
      <c r="D4719" t="s">
        <v>19</v>
      </c>
      <c r="E4719" t="s">
        <v>61</v>
      </c>
      <c r="F4719" t="s">
        <v>62</v>
      </c>
      <c r="G4719" t="s">
        <v>32</v>
      </c>
      <c r="H4719" s="2">
        <v>11</v>
      </c>
      <c r="I4719">
        <v>90</v>
      </c>
      <c r="J4719">
        <v>99</v>
      </c>
      <c r="K4719" s="4">
        <v>39</v>
      </c>
      <c r="L4719" t="s">
        <v>27</v>
      </c>
    </row>
    <row r="4720" spans="1:12" x14ac:dyDescent="0.35">
      <c r="A4720" t="s">
        <v>51</v>
      </c>
      <c r="B4720">
        <v>1185732</v>
      </c>
      <c r="C4720" s="1">
        <v>44543</v>
      </c>
      <c r="D4720" t="s">
        <v>43</v>
      </c>
      <c r="E4720" t="s">
        <v>112</v>
      </c>
      <c r="F4720" t="s">
        <v>113</v>
      </c>
      <c r="G4720" t="s">
        <v>70</v>
      </c>
      <c r="H4720" s="2">
        <v>52</v>
      </c>
      <c r="I4720">
        <v>90</v>
      </c>
      <c r="J4720">
        <v>468</v>
      </c>
      <c r="K4720" s="4">
        <v>136</v>
      </c>
      <c r="L4720" t="s">
        <v>27</v>
      </c>
    </row>
    <row r="4721" spans="1:12" x14ac:dyDescent="0.35">
      <c r="A4721" t="s">
        <v>51</v>
      </c>
      <c r="B4721">
        <v>1185732</v>
      </c>
      <c r="C4721" s="1">
        <v>44297</v>
      </c>
      <c r="D4721" t="s">
        <v>43</v>
      </c>
      <c r="E4721" t="s">
        <v>125</v>
      </c>
      <c r="F4721" t="s">
        <v>126</v>
      </c>
      <c r="G4721" t="s">
        <v>16</v>
      </c>
      <c r="H4721" s="2">
        <v>36</v>
      </c>
      <c r="I4721">
        <v>90</v>
      </c>
      <c r="J4721">
        <v>324</v>
      </c>
      <c r="K4721" s="4">
        <v>143</v>
      </c>
      <c r="L4721" t="s">
        <v>27</v>
      </c>
    </row>
    <row r="4722" spans="1:12" x14ac:dyDescent="0.35">
      <c r="A4722" t="s">
        <v>18</v>
      </c>
      <c r="B4722">
        <v>1185732</v>
      </c>
      <c r="C4722" s="1">
        <v>44481</v>
      </c>
      <c r="D4722" t="s">
        <v>43</v>
      </c>
      <c r="E4722" t="s">
        <v>125</v>
      </c>
      <c r="F4722" t="s">
        <v>126</v>
      </c>
      <c r="G4722" t="s">
        <v>16</v>
      </c>
      <c r="H4722" s="2">
        <v>54</v>
      </c>
      <c r="I4722">
        <v>90</v>
      </c>
      <c r="J4722">
        <v>486</v>
      </c>
      <c r="K4722" s="4">
        <v>224</v>
      </c>
      <c r="L4722" t="s">
        <v>27</v>
      </c>
    </row>
    <row r="4723" spans="1:12" x14ac:dyDescent="0.35">
      <c r="A4723" t="s">
        <v>51</v>
      </c>
      <c r="B4723">
        <v>1185732</v>
      </c>
      <c r="C4723" s="1">
        <v>44333</v>
      </c>
      <c r="D4723" t="s">
        <v>43</v>
      </c>
      <c r="E4723" t="s">
        <v>127</v>
      </c>
      <c r="F4723" t="s">
        <v>128</v>
      </c>
      <c r="G4723" t="s">
        <v>70</v>
      </c>
      <c r="H4723" s="2">
        <v>52</v>
      </c>
      <c r="I4723">
        <v>90</v>
      </c>
      <c r="J4723">
        <v>468</v>
      </c>
      <c r="K4723" s="4">
        <v>150</v>
      </c>
      <c r="L4723" t="s">
        <v>27</v>
      </c>
    </row>
    <row r="4724" spans="1:12" x14ac:dyDescent="0.35">
      <c r="A4724" t="s">
        <v>42</v>
      </c>
      <c r="B4724">
        <v>1185732</v>
      </c>
      <c r="C4724" s="1">
        <v>44488</v>
      </c>
      <c r="D4724" t="s">
        <v>43</v>
      </c>
      <c r="E4724" t="s">
        <v>127</v>
      </c>
      <c r="F4724" t="s">
        <v>128</v>
      </c>
      <c r="G4724" t="s">
        <v>16</v>
      </c>
      <c r="H4724" s="2">
        <v>64</v>
      </c>
      <c r="I4724">
        <v>90</v>
      </c>
      <c r="J4724">
        <v>576</v>
      </c>
      <c r="K4724" s="4">
        <v>225</v>
      </c>
      <c r="L4724" t="s">
        <v>27</v>
      </c>
    </row>
    <row r="4725" spans="1:12" x14ac:dyDescent="0.35">
      <c r="A4725" t="s">
        <v>18</v>
      </c>
      <c r="B4725">
        <v>1128299</v>
      </c>
      <c r="C4725" s="1">
        <v>43897</v>
      </c>
      <c r="D4725" t="s">
        <v>48</v>
      </c>
      <c r="E4725" t="s">
        <v>116</v>
      </c>
      <c r="F4725" t="s">
        <v>117</v>
      </c>
      <c r="G4725" t="s">
        <v>70</v>
      </c>
      <c r="H4725" s="2">
        <v>64</v>
      </c>
      <c r="I4725">
        <v>88</v>
      </c>
      <c r="J4725">
        <v>563</v>
      </c>
      <c r="K4725" s="4">
        <v>360</v>
      </c>
      <c r="L4725" t="s">
        <v>17</v>
      </c>
    </row>
    <row r="4726" spans="1:12" x14ac:dyDescent="0.35">
      <c r="A4726" t="s">
        <v>18</v>
      </c>
      <c r="B4726">
        <v>1128299</v>
      </c>
      <c r="C4726" s="1">
        <v>43996</v>
      </c>
      <c r="D4726" t="s">
        <v>48</v>
      </c>
      <c r="E4726" t="s">
        <v>97</v>
      </c>
      <c r="F4726" t="s">
        <v>98</v>
      </c>
      <c r="G4726" t="s">
        <v>39</v>
      </c>
      <c r="H4726" s="2">
        <v>71</v>
      </c>
      <c r="I4726">
        <v>88</v>
      </c>
      <c r="J4726">
        <v>625</v>
      </c>
      <c r="K4726" s="4">
        <v>244</v>
      </c>
      <c r="L4726" t="s">
        <v>17</v>
      </c>
    </row>
    <row r="4727" spans="1:12" x14ac:dyDescent="0.35">
      <c r="A4727" t="s">
        <v>18</v>
      </c>
      <c r="B4727">
        <v>1128299</v>
      </c>
      <c r="C4727" s="1">
        <v>44000</v>
      </c>
      <c r="D4727" t="s">
        <v>48</v>
      </c>
      <c r="E4727" t="s">
        <v>97</v>
      </c>
      <c r="F4727" t="s">
        <v>98</v>
      </c>
      <c r="G4727" t="s">
        <v>16</v>
      </c>
      <c r="H4727" s="2">
        <v>78</v>
      </c>
      <c r="I4727">
        <v>88</v>
      </c>
      <c r="J4727">
        <v>686</v>
      </c>
      <c r="K4727" s="4">
        <v>220</v>
      </c>
      <c r="L4727" t="s">
        <v>17</v>
      </c>
    </row>
    <row r="4728" spans="1:12" x14ac:dyDescent="0.35">
      <c r="A4728" t="s">
        <v>42</v>
      </c>
      <c r="B4728">
        <v>1185732</v>
      </c>
      <c r="C4728" s="1">
        <v>44168</v>
      </c>
      <c r="D4728" t="s">
        <v>33</v>
      </c>
      <c r="E4728" t="s">
        <v>104</v>
      </c>
      <c r="F4728" t="s">
        <v>105</v>
      </c>
      <c r="G4728" t="s">
        <v>16</v>
      </c>
      <c r="H4728" s="2">
        <v>46</v>
      </c>
      <c r="I4728">
        <v>88</v>
      </c>
      <c r="J4728">
        <v>405</v>
      </c>
      <c r="K4728" s="4">
        <v>231</v>
      </c>
      <c r="L4728" t="s">
        <v>17</v>
      </c>
    </row>
    <row r="4729" spans="1:12" x14ac:dyDescent="0.35">
      <c r="A4729" t="s">
        <v>63</v>
      </c>
      <c r="B4729">
        <v>1189833</v>
      </c>
      <c r="C4729" s="1">
        <v>44220</v>
      </c>
      <c r="D4729" t="s">
        <v>33</v>
      </c>
      <c r="E4729" t="s">
        <v>131</v>
      </c>
      <c r="F4729" t="s">
        <v>132</v>
      </c>
      <c r="G4729" t="s">
        <v>56</v>
      </c>
      <c r="H4729" s="2">
        <v>38</v>
      </c>
      <c r="I4729">
        <v>88</v>
      </c>
      <c r="J4729">
        <v>334</v>
      </c>
      <c r="K4729" s="4">
        <v>177</v>
      </c>
      <c r="L4729" t="s">
        <v>17</v>
      </c>
    </row>
    <row r="4730" spans="1:12" x14ac:dyDescent="0.35">
      <c r="A4730" t="s">
        <v>23</v>
      </c>
      <c r="B4730">
        <v>1197831</v>
      </c>
      <c r="C4730" s="1">
        <v>44323</v>
      </c>
      <c r="D4730" t="s">
        <v>19</v>
      </c>
      <c r="E4730" t="s">
        <v>74</v>
      </c>
      <c r="F4730" t="s">
        <v>75</v>
      </c>
      <c r="G4730" t="s">
        <v>70</v>
      </c>
      <c r="H4730" s="2">
        <v>32</v>
      </c>
      <c r="I4730">
        <v>88</v>
      </c>
      <c r="J4730">
        <v>282</v>
      </c>
      <c r="K4730" s="4">
        <v>144</v>
      </c>
      <c r="L4730" t="s">
        <v>17</v>
      </c>
    </row>
    <row r="4731" spans="1:12" x14ac:dyDescent="0.35">
      <c r="A4731" t="s">
        <v>23</v>
      </c>
      <c r="B4731">
        <v>1197831</v>
      </c>
      <c r="C4731" s="1">
        <v>44413</v>
      </c>
      <c r="D4731" t="s">
        <v>19</v>
      </c>
      <c r="E4731" t="s">
        <v>24</v>
      </c>
      <c r="F4731" t="s">
        <v>25</v>
      </c>
      <c r="G4731" t="s">
        <v>70</v>
      </c>
      <c r="H4731" s="2">
        <v>37</v>
      </c>
      <c r="I4731">
        <v>88</v>
      </c>
      <c r="J4731">
        <v>326</v>
      </c>
      <c r="K4731" s="4">
        <v>156</v>
      </c>
      <c r="L4731" t="s">
        <v>17</v>
      </c>
    </row>
    <row r="4732" spans="1:12" x14ac:dyDescent="0.35">
      <c r="A4732" t="s">
        <v>23</v>
      </c>
      <c r="B4732">
        <v>1197831</v>
      </c>
      <c r="C4732" s="1">
        <v>44461</v>
      </c>
      <c r="D4732" t="s">
        <v>19</v>
      </c>
      <c r="E4732" t="s">
        <v>24</v>
      </c>
      <c r="F4732" t="s">
        <v>25</v>
      </c>
      <c r="G4732" t="s">
        <v>70</v>
      </c>
      <c r="H4732" s="2">
        <v>41</v>
      </c>
      <c r="I4732">
        <v>88</v>
      </c>
      <c r="J4732">
        <v>361</v>
      </c>
      <c r="K4732" s="4">
        <v>206</v>
      </c>
      <c r="L4732" t="s">
        <v>17</v>
      </c>
    </row>
    <row r="4733" spans="1:12" x14ac:dyDescent="0.35">
      <c r="A4733" t="s">
        <v>42</v>
      </c>
      <c r="B4733">
        <v>1128299</v>
      </c>
      <c r="C4733" s="1">
        <v>44357</v>
      </c>
      <c r="D4733" t="s">
        <v>48</v>
      </c>
      <c r="E4733" t="s">
        <v>129</v>
      </c>
      <c r="F4733" t="s">
        <v>130</v>
      </c>
      <c r="G4733" t="s">
        <v>70</v>
      </c>
      <c r="H4733" s="2">
        <v>83</v>
      </c>
      <c r="I4733">
        <v>88</v>
      </c>
      <c r="J4733">
        <v>730</v>
      </c>
      <c r="K4733" s="4">
        <v>219</v>
      </c>
      <c r="L4733" t="s">
        <v>17</v>
      </c>
    </row>
    <row r="4734" spans="1:12" x14ac:dyDescent="0.35">
      <c r="A4734" t="s">
        <v>12</v>
      </c>
      <c r="B4734">
        <v>1128299</v>
      </c>
      <c r="C4734" s="1">
        <v>44418</v>
      </c>
      <c r="D4734" t="s">
        <v>48</v>
      </c>
      <c r="E4734" t="s">
        <v>129</v>
      </c>
      <c r="F4734" t="s">
        <v>130</v>
      </c>
      <c r="G4734" t="s">
        <v>16</v>
      </c>
      <c r="H4734" s="2">
        <v>72</v>
      </c>
      <c r="I4734">
        <v>88</v>
      </c>
      <c r="J4734">
        <v>634</v>
      </c>
      <c r="K4734" s="4">
        <v>336</v>
      </c>
      <c r="L4734" t="s">
        <v>17</v>
      </c>
    </row>
    <row r="4735" spans="1:12" x14ac:dyDescent="0.35">
      <c r="A4735" t="s">
        <v>12</v>
      </c>
      <c r="B4735">
        <v>1128299</v>
      </c>
      <c r="C4735" s="1">
        <v>44334</v>
      </c>
      <c r="D4735" t="s">
        <v>13</v>
      </c>
      <c r="E4735" t="s">
        <v>14</v>
      </c>
      <c r="F4735" t="s">
        <v>15</v>
      </c>
      <c r="G4735" t="s">
        <v>56</v>
      </c>
      <c r="H4735" s="2">
        <v>59</v>
      </c>
      <c r="I4735">
        <v>88</v>
      </c>
      <c r="J4735">
        <v>519</v>
      </c>
      <c r="K4735" s="4">
        <v>223</v>
      </c>
      <c r="L4735" t="s">
        <v>17</v>
      </c>
    </row>
    <row r="4736" spans="1:12" x14ac:dyDescent="0.35">
      <c r="A4736" t="s">
        <v>42</v>
      </c>
      <c r="B4736">
        <v>1128299</v>
      </c>
      <c r="C4736" s="1">
        <v>44251</v>
      </c>
      <c r="D4736" t="s">
        <v>48</v>
      </c>
      <c r="E4736" t="s">
        <v>102</v>
      </c>
      <c r="F4736" t="s">
        <v>103</v>
      </c>
      <c r="G4736" t="s">
        <v>32</v>
      </c>
      <c r="H4736" s="2">
        <v>39</v>
      </c>
      <c r="I4736">
        <v>88</v>
      </c>
      <c r="J4736">
        <v>343</v>
      </c>
      <c r="K4736" s="4">
        <v>154</v>
      </c>
      <c r="L4736" t="s">
        <v>17</v>
      </c>
    </row>
    <row r="4737" spans="1:12" x14ac:dyDescent="0.35">
      <c r="A4737" t="s">
        <v>42</v>
      </c>
      <c r="B4737">
        <v>1128299</v>
      </c>
      <c r="C4737" s="1">
        <v>44341</v>
      </c>
      <c r="D4737" t="s">
        <v>13</v>
      </c>
      <c r="E4737" t="s">
        <v>99</v>
      </c>
      <c r="F4737" t="s">
        <v>100</v>
      </c>
      <c r="G4737" t="s">
        <v>32</v>
      </c>
      <c r="H4737" s="2">
        <v>50</v>
      </c>
      <c r="I4737">
        <v>88</v>
      </c>
      <c r="J4737">
        <v>440</v>
      </c>
      <c r="K4737" s="4">
        <v>220</v>
      </c>
      <c r="L4737" t="s">
        <v>17</v>
      </c>
    </row>
    <row r="4738" spans="1:12" x14ac:dyDescent="0.35">
      <c r="A4738" t="s">
        <v>42</v>
      </c>
      <c r="B4738">
        <v>1185732</v>
      </c>
      <c r="C4738" s="1">
        <v>44245</v>
      </c>
      <c r="D4738" t="s">
        <v>33</v>
      </c>
      <c r="E4738" t="s">
        <v>34</v>
      </c>
      <c r="F4738" t="s">
        <v>35</v>
      </c>
      <c r="G4738" t="s">
        <v>70</v>
      </c>
      <c r="H4738" s="2">
        <v>38</v>
      </c>
      <c r="I4738">
        <v>88</v>
      </c>
      <c r="J4738">
        <v>334</v>
      </c>
      <c r="K4738" s="4">
        <v>150</v>
      </c>
      <c r="L4738" t="s">
        <v>17</v>
      </c>
    </row>
    <row r="4739" spans="1:12" x14ac:dyDescent="0.35">
      <c r="A4739" t="s">
        <v>42</v>
      </c>
      <c r="B4739">
        <v>1185732</v>
      </c>
      <c r="C4739" s="1">
        <v>44335</v>
      </c>
      <c r="D4739" t="s">
        <v>33</v>
      </c>
      <c r="E4739" t="s">
        <v>34</v>
      </c>
      <c r="F4739" t="s">
        <v>35</v>
      </c>
      <c r="G4739" t="s">
        <v>39</v>
      </c>
      <c r="H4739" s="2">
        <v>34</v>
      </c>
      <c r="I4739">
        <v>88</v>
      </c>
      <c r="J4739">
        <v>299</v>
      </c>
      <c r="K4739" s="4">
        <v>141</v>
      </c>
      <c r="L4739" t="s">
        <v>17</v>
      </c>
    </row>
    <row r="4740" spans="1:12" x14ac:dyDescent="0.35">
      <c r="A4740" t="s">
        <v>42</v>
      </c>
      <c r="B4740">
        <v>1185732</v>
      </c>
      <c r="C4740" s="1">
        <v>44487</v>
      </c>
      <c r="D4740" t="s">
        <v>33</v>
      </c>
      <c r="E4740" t="s">
        <v>34</v>
      </c>
      <c r="F4740" t="s">
        <v>35</v>
      </c>
      <c r="G4740" t="s">
        <v>16</v>
      </c>
      <c r="H4740" s="2">
        <v>38</v>
      </c>
      <c r="I4740">
        <v>88</v>
      </c>
      <c r="J4740">
        <v>334</v>
      </c>
      <c r="K4740" s="4">
        <v>214</v>
      </c>
      <c r="L4740" t="s">
        <v>17</v>
      </c>
    </row>
    <row r="4741" spans="1:12" x14ac:dyDescent="0.35">
      <c r="A4741" t="s">
        <v>42</v>
      </c>
      <c r="B4741">
        <v>1185732</v>
      </c>
      <c r="C4741" s="1">
        <v>44518</v>
      </c>
      <c r="D4741" t="s">
        <v>33</v>
      </c>
      <c r="E4741" t="s">
        <v>34</v>
      </c>
      <c r="F4741" t="s">
        <v>35</v>
      </c>
      <c r="G4741" t="s">
        <v>39</v>
      </c>
      <c r="H4741" s="2">
        <v>23</v>
      </c>
      <c r="I4741">
        <v>88</v>
      </c>
      <c r="J4741">
        <v>202</v>
      </c>
      <c r="K4741" s="4">
        <v>91</v>
      </c>
      <c r="L4741" t="s">
        <v>17</v>
      </c>
    </row>
    <row r="4742" spans="1:12" x14ac:dyDescent="0.35">
      <c r="A4742" t="s">
        <v>42</v>
      </c>
      <c r="B4742">
        <v>1185732</v>
      </c>
      <c r="C4742" s="1">
        <v>44518</v>
      </c>
      <c r="D4742" t="s">
        <v>33</v>
      </c>
      <c r="E4742" t="s">
        <v>34</v>
      </c>
      <c r="F4742" t="s">
        <v>35</v>
      </c>
      <c r="G4742" t="s">
        <v>56</v>
      </c>
      <c r="H4742" s="2">
        <v>23</v>
      </c>
      <c r="I4742">
        <v>88</v>
      </c>
      <c r="J4742">
        <v>202</v>
      </c>
      <c r="K4742" s="4">
        <v>105</v>
      </c>
      <c r="L4742" t="s">
        <v>17</v>
      </c>
    </row>
    <row r="4743" spans="1:12" x14ac:dyDescent="0.35">
      <c r="A4743" t="s">
        <v>18</v>
      </c>
      <c r="B4743">
        <v>1185732</v>
      </c>
      <c r="C4743" s="1">
        <v>44547</v>
      </c>
      <c r="D4743" t="s">
        <v>33</v>
      </c>
      <c r="E4743" t="s">
        <v>34</v>
      </c>
      <c r="F4743" t="s">
        <v>35</v>
      </c>
      <c r="G4743" t="s">
        <v>56</v>
      </c>
      <c r="H4743" s="2">
        <v>34</v>
      </c>
      <c r="I4743">
        <v>88</v>
      </c>
      <c r="J4743">
        <v>299</v>
      </c>
      <c r="K4743" s="4">
        <v>156</v>
      </c>
      <c r="L4743" t="s">
        <v>17</v>
      </c>
    </row>
    <row r="4744" spans="1:12" x14ac:dyDescent="0.35">
      <c r="A4744" t="s">
        <v>18</v>
      </c>
      <c r="B4744">
        <v>1185732</v>
      </c>
      <c r="C4744" s="1">
        <v>44547</v>
      </c>
      <c r="D4744" t="s">
        <v>33</v>
      </c>
      <c r="E4744" t="s">
        <v>34</v>
      </c>
      <c r="F4744" t="s">
        <v>35</v>
      </c>
      <c r="G4744" t="s">
        <v>70</v>
      </c>
      <c r="H4744" s="2">
        <v>42</v>
      </c>
      <c r="I4744">
        <v>88</v>
      </c>
      <c r="J4744">
        <v>370</v>
      </c>
      <c r="K4744" s="4">
        <v>185</v>
      </c>
      <c r="L4744" t="s">
        <v>17</v>
      </c>
    </row>
    <row r="4745" spans="1:12" x14ac:dyDescent="0.35">
      <c r="A4745" t="s">
        <v>18</v>
      </c>
      <c r="B4745">
        <v>1185732</v>
      </c>
      <c r="C4745" s="1">
        <v>44207</v>
      </c>
      <c r="D4745" t="s">
        <v>33</v>
      </c>
      <c r="E4745" t="s">
        <v>34</v>
      </c>
      <c r="F4745" t="s">
        <v>35</v>
      </c>
      <c r="G4745" t="s">
        <v>56</v>
      </c>
      <c r="H4745" s="2">
        <v>18</v>
      </c>
      <c r="I4745">
        <v>88</v>
      </c>
      <c r="J4745">
        <v>158</v>
      </c>
      <c r="K4745" s="4">
        <v>82</v>
      </c>
      <c r="L4745" t="s">
        <v>17</v>
      </c>
    </row>
    <row r="4746" spans="1:12" x14ac:dyDescent="0.35">
      <c r="A4746" t="s">
        <v>18</v>
      </c>
      <c r="B4746">
        <v>1185732</v>
      </c>
      <c r="C4746" s="1">
        <v>44451</v>
      </c>
      <c r="D4746" t="s">
        <v>48</v>
      </c>
      <c r="E4746" t="s">
        <v>49</v>
      </c>
      <c r="F4746" t="s">
        <v>50</v>
      </c>
      <c r="G4746" t="s">
        <v>56</v>
      </c>
      <c r="H4746" s="2">
        <v>10</v>
      </c>
      <c r="I4746">
        <v>88</v>
      </c>
      <c r="J4746">
        <v>88</v>
      </c>
      <c r="K4746" s="4">
        <v>45</v>
      </c>
      <c r="L4746" t="s">
        <v>17</v>
      </c>
    </row>
    <row r="4747" spans="1:12" x14ac:dyDescent="0.35">
      <c r="A4747" t="s">
        <v>18</v>
      </c>
      <c r="B4747">
        <v>1185732</v>
      </c>
      <c r="C4747" s="1">
        <v>44451</v>
      </c>
      <c r="D4747" t="s">
        <v>48</v>
      </c>
      <c r="E4747" t="s">
        <v>49</v>
      </c>
      <c r="F4747" t="s">
        <v>50</v>
      </c>
      <c r="G4747" t="s">
        <v>70</v>
      </c>
      <c r="H4747" s="2">
        <v>19</v>
      </c>
      <c r="I4747">
        <v>88</v>
      </c>
      <c r="J4747">
        <v>167</v>
      </c>
      <c r="K4747" s="4">
        <v>84</v>
      </c>
      <c r="L4747" t="s">
        <v>17</v>
      </c>
    </row>
    <row r="4748" spans="1:12" x14ac:dyDescent="0.35">
      <c r="A4748" t="s">
        <v>18</v>
      </c>
      <c r="B4748">
        <v>1128299</v>
      </c>
      <c r="C4748" s="1">
        <v>44251</v>
      </c>
      <c r="D4748" t="s">
        <v>48</v>
      </c>
      <c r="E4748" t="s">
        <v>49</v>
      </c>
      <c r="F4748" t="s">
        <v>50</v>
      </c>
      <c r="G4748" t="s">
        <v>32</v>
      </c>
      <c r="H4748" s="2">
        <v>36</v>
      </c>
      <c r="I4748">
        <v>88</v>
      </c>
      <c r="J4748">
        <v>317</v>
      </c>
      <c r="K4748" s="4">
        <v>143</v>
      </c>
      <c r="L4748" t="s">
        <v>17</v>
      </c>
    </row>
    <row r="4749" spans="1:12" x14ac:dyDescent="0.35">
      <c r="A4749" t="s">
        <v>18</v>
      </c>
      <c r="B4749">
        <v>1128299</v>
      </c>
      <c r="C4749" s="1">
        <v>44278</v>
      </c>
      <c r="D4749" t="s">
        <v>48</v>
      </c>
      <c r="E4749" t="s">
        <v>85</v>
      </c>
      <c r="F4749" t="s">
        <v>86</v>
      </c>
      <c r="G4749" t="s">
        <v>32</v>
      </c>
      <c r="H4749" s="2">
        <v>54</v>
      </c>
      <c r="I4749">
        <v>88</v>
      </c>
      <c r="J4749">
        <v>475</v>
      </c>
      <c r="K4749" s="4">
        <v>214</v>
      </c>
      <c r="L4749" t="s">
        <v>17</v>
      </c>
    </row>
    <row r="4750" spans="1:12" x14ac:dyDescent="0.35">
      <c r="A4750" t="s">
        <v>18</v>
      </c>
      <c r="B4750">
        <v>1128299</v>
      </c>
      <c r="C4750" s="1">
        <v>44303</v>
      </c>
      <c r="D4750" t="s">
        <v>19</v>
      </c>
      <c r="E4750" t="s">
        <v>20</v>
      </c>
      <c r="F4750" t="s">
        <v>21</v>
      </c>
      <c r="G4750" t="s">
        <v>39</v>
      </c>
      <c r="H4750" s="2">
        <v>52</v>
      </c>
      <c r="I4750">
        <v>88</v>
      </c>
      <c r="J4750">
        <v>458</v>
      </c>
      <c r="K4750" s="4">
        <v>229</v>
      </c>
      <c r="L4750" t="s">
        <v>17</v>
      </c>
    </row>
    <row r="4751" spans="1:12" x14ac:dyDescent="0.35">
      <c r="A4751" t="s">
        <v>42</v>
      </c>
      <c r="B4751">
        <v>1128299</v>
      </c>
      <c r="C4751" s="1">
        <v>44250</v>
      </c>
      <c r="D4751" t="s">
        <v>48</v>
      </c>
      <c r="E4751" t="s">
        <v>123</v>
      </c>
      <c r="F4751" t="s">
        <v>124</v>
      </c>
      <c r="G4751" t="s">
        <v>16</v>
      </c>
      <c r="H4751" s="2">
        <v>38</v>
      </c>
      <c r="I4751">
        <v>88</v>
      </c>
      <c r="J4751">
        <v>334</v>
      </c>
      <c r="K4751" s="4">
        <v>120</v>
      </c>
      <c r="L4751" t="s">
        <v>17</v>
      </c>
    </row>
    <row r="4752" spans="1:12" x14ac:dyDescent="0.35">
      <c r="A4752" t="s">
        <v>42</v>
      </c>
      <c r="B4752">
        <v>1128299</v>
      </c>
      <c r="C4752" s="1">
        <v>44277</v>
      </c>
      <c r="D4752" t="s">
        <v>48</v>
      </c>
      <c r="E4752" t="s">
        <v>123</v>
      </c>
      <c r="F4752" t="s">
        <v>124</v>
      </c>
      <c r="G4752" t="s">
        <v>16</v>
      </c>
      <c r="H4752" s="2">
        <v>47</v>
      </c>
      <c r="I4752">
        <v>88</v>
      </c>
      <c r="J4752">
        <v>414</v>
      </c>
      <c r="K4752" s="4">
        <v>165</v>
      </c>
      <c r="L4752" t="s">
        <v>17</v>
      </c>
    </row>
    <row r="4753" spans="1:12" x14ac:dyDescent="0.35">
      <c r="A4753" t="s">
        <v>63</v>
      </c>
      <c r="B4753">
        <v>1128299</v>
      </c>
      <c r="C4753" s="1">
        <v>44552</v>
      </c>
      <c r="D4753" t="s">
        <v>48</v>
      </c>
      <c r="E4753" t="s">
        <v>123</v>
      </c>
      <c r="F4753" t="s">
        <v>124</v>
      </c>
      <c r="G4753" t="s">
        <v>70</v>
      </c>
      <c r="H4753" s="2">
        <v>52</v>
      </c>
      <c r="I4753">
        <v>88</v>
      </c>
      <c r="J4753">
        <v>458</v>
      </c>
      <c r="K4753" s="4">
        <v>197</v>
      </c>
      <c r="L4753" t="s">
        <v>17</v>
      </c>
    </row>
    <row r="4754" spans="1:12" x14ac:dyDescent="0.35">
      <c r="A4754" t="s">
        <v>23</v>
      </c>
      <c r="B4754">
        <v>1128299</v>
      </c>
      <c r="C4754" s="1">
        <v>44299</v>
      </c>
      <c r="D4754" t="s">
        <v>13</v>
      </c>
      <c r="E4754" t="s">
        <v>57</v>
      </c>
      <c r="F4754" t="s">
        <v>58</v>
      </c>
      <c r="G4754" t="s">
        <v>39</v>
      </c>
      <c r="H4754" s="2">
        <v>51</v>
      </c>
      <c r="I4754">
        <v>88</v>
      </c>
      <c r="J4754">
        <v>449</v>
      </c>
      <c r="K4754" s="4">
        <v>224</v>
      </c>
      <c r="L4754" t="s">
        <v>17</v>
      </c>
    </row>
    <row r="4755" spans="1:12" x14ac:dyDescent="0.35">
      <c r="A4755" t="s">
        <v>23</v>
      </c>
      <c r="B4755">
        <v>1128299</v>
      </c>
      <c r="C4755" s="1">
        <v>44482</v>
      </c>
      <c r="D4755" t="s">
        <v>13</v>
      </c>
      <c r="E4755" t="s">
        <v>57</v>
      </c>
      <c r="F4755" t="s">
        <v>58</v>
      </c>
      <c r="G4755" t="s">
        <v>56</v>
      </c>
      <c r="H4755" s="2">
        <v>44</v>
      </c>
      <c r="I4755">
        <v>88</v>
      </c>
      <c r="J4755">
        <v>387</v>
      </c>
      <c r="K4755" s="4">
        <v>194</v>
      </c>
      <c r="L4755" t="s">
        <v>17</v>
      </c>
    </row>
    <row r="4756" spans="1:12" x14ac:dyDescent="0.35">
      <c r="A4756" t="s">
        <v>12</v>
      </c>
      <c r="B4756">
        <v>1197831</v>
      </c>
      <c r="C4756" s="1">
        <v>44274</v>
      </c>
      <c r="D4756" t="s">
        <v>19</v>
      </c>
      <c r="E4756" t="s">
        <v>54</v>
      </c>
      <c r="F4756" t="s">
        <v>55</v>
      </c>
      <c r="G4756" t="s">
        <v>32</v>
      </c>
      <c r="H4756" s="2">
        <v>10</v>
      </c>
      <c r="I4756">
        <v>88</v>
      </c>
      <c r="J4756">
        <v>88</v>
      </c>
      <c r="K4756" s="4">
        <v>48</v>
      </c>
      <c r="L4756" t="s">
        <v>17</v>
      </c>
    </row>
    <row r="4757" spans="1:12" x14ac:dyDescent="0.35">
      <c r="A4757" t="s">
        <v>12</v>
      </c>
      <c r="B4757">
        <v>1197831</v>
      </c>
      <c r="C4757" s="1">
        <v>44458</v>
      </c>
      <c r="D4757" t="s">
        <v>19</v>
      </c>
      <c r="E4757" t="s">
        <v>54</v>
      </c>
      <c r="F4757" t="s">
        <v>55</v>
      </c>
      <c r="G4757" t="s">
        <v>32</v>
      </c>
      <c r="H4757" s="2">
        <v>14</v>
      </c>
      <c r="I4757">
        <v>88</v>
      </c>
      <c r="J4757">
        <v>123</v>
      </c>
      <c r="K4757" s="4">
        <v>64</v>
      </c>
      <c r="L4757" t="s">
        <v>17</v>
      </c>
    </row>
    <row r="4758" spans="1:12" x14ac:dyDescent="0.35">
      <c r="A4758" t="s">
        <v>12</v>
      </c>
      <c r="B4758">
        <v>1197831</v>
      </c>
      <c r="C4758" s="1">
        <v>44458</v>
      </c>
      <c r="D4758" t="s">
        <v>19</v>
      </c>
      <c r="E4758" t="s">
        <v>54</v>
      </c>
      <c r="F4758" t="s">
        <v>55</v>
      </c>
      <c r="G4758" t="s">
        <v>56</v>
      </c>
      <c r="H4758" s="2">
        <v>14</v>
      </c>
      <c r="I4758">
        <v>88</v>
      </c>
      <c r="J4758">
        <v>123</v>
      </c>
      <c r="K4758" s="4">
        <v>64</v>
      </c>
      <c r="L4758" t="s">
        <v>17</v>
      </c>
    </row>
    <row r="4759" spans="1:12" x14ac:dyDescent="0.35">
      <c r="A4759" t="s">
        <v>18</v>
      </c>
      <c r="B4759">
        <v>1197831</v>
      </c>
      <c r="C4759" s="1">
        <v>44368</v>
      </c>
      <c r="D4759" t="s">
        <v>19</v>
      </c>
      <c r="E4759" t="s">
        <v>61</v>
      </c>
      <c r="F4759" t="s">
        <v>62</v>
      </c>
      <c r="G4759" t="s">
        <v>39</v>
      </c>
      <c r="H4759" s="2">
        <v>33</v>
      </c>
      <c r="I4759">
        <v>88</v>
      </c>
      <c r="J4759">
        <v>290</v>
      </c>
      <c r="K4759" s="4">
        <v>131</v>
      </c>
      <c r="L4759" t="s">
        <v>17</v>
      </c>
    </row>
    <row r="4760" spans="1:12" x14ac:dyDescent="0.35">
      <c r="A4760" t="s">
        <v>18</v>
      </c>
      <c r="B4760">
        <v>1197831</v>
      </c>
      <c r="C4760" s="1">
        <v>44368</v>
      </c>
      <c r="D4760" t="s">
        <v>19</v>
      </c>
      <c r="E4760" t="s">
        <v>61</v>
      </c>
      <c r="F4760" t="s">
        <v>62</v>
      </c>
      <c r="G4760" t="s">
        <v>32</v>
      </c>
      <c r="H4760" s="2">
        <v>36</v>
      </c>
      <c r="I4760">
        <v>88</v>
      </c>
      <c r="J4760">
        <v>317</v>
      </c>
      <c r="K4760" s="4">
        <v>165</v>
      </c>
      <c r="L4760" t="s">
        <v>17</v>
      </c>
    </row>
    <row r="4761" spans="1:12" x14ac:dyDescent="0.35">
      <c r="A4761" t="s">
        <v>18</v>
      </c>
      <c r="B4761">
        <v>1197831</v>
      </c>
      <c r="C4761" s="1">
        <v>44428</v>
      </c>
      <c r="D4761" t="s">
        <v>19</v>
      </c>
      <c r="E4761" t="s">
        <v>61</v>
      </c>
      <c r="F4761" t="s">
        <v>62</v>
      </c>
      <c r="G4761" t="s">
        <v>56</v>
      </c>
      <c r="H4761" s="2">
        <v>37</v>
      </c>
      <c r="I4761">
        <v>88</v>
      </c>
      <c r="J4761">
        <v>326</v>
      </c>
      <c r="K4761" s="4">
        <v>169</v>
      </c>
      <c r="L4761" t="s">
        <v>17</v>
      </c>
    </row>
    <row r="4762" spans="1:12" x14ac:dyDescent="0.35">
      <c r="A4762" t="s">
        <v>18</v>
      </c>
      <c r="B4762">
        <v>1197831</v>
      </c>
      <c r="C4762" s="1">
        <v>44490</v>
      </c>
      <c r="D4762" t="s">
        <v>19</v>
      </c>
      <c r="E4762" t="s">
        <v>61</v>
      </c>
      <c r="F4762" t="s">
        <v>62</v>
      </c>
      <c r="G4762" t="s">
        <v>39</v>
      </c>
      <c r="H4762" s="2">
        <v>19</v>
      </c>
      <c r="I4762">
        <v>88</v>
      </c>
      <c r="J4762">
        <v>167</v>
      </c>
      <c r="K4762" s="4">
        <v>77</v>
      </c>
      <c r="L4762" t="s">
        <v>17</v>
      </c>
    </row>
    <row r="4763" spans="1:12" x14ac:dyDescent="0.35">
      <c r="A4763" t="s">
        <v>63</v>
      </c>
      <c r="B4763">
        <v>1197831</v>
      </c>
      <c r="C4763" s="1">
        <v>44212</v>
      </c>
      <c r="D4763" t="s">
        <v>19</v>
      </c>
      <c r="E4763" t="s">
        <v>61</v>
      </c>
      <c r="F4763" t="s">
        <v>62</v>
      </c>
      <c r="G4763" t="s">
        <v>32</v>
      </c>
      <c r="H4763" s="2">
        <v>14</v>
      </c>
      <c r="I4763">
        <v>88</v>
      </c>
      <c r="J4763">
        <v>123</v>
      </c>
      <c r="K4763" s="4">
        <v>59</v>
      </c>
      <c r="L4763" t="s">
        <v>17</v>
      </c>
    </row>
    <row r="4764" spans="1:12" x14ac:dyDescent="0.35">
      <c r="A4764" t="s">
        <v>42</v>
      </c>
      <c r="B4764">
        <v>1197831</v>
      </c>
      <c r="C4764" s="1">
        <v>44513</v>
      </c>
      <c r="D4764" t="s">
        <v>33</v>
      </c>
      <c r="E4764" t="s">
        <v>71</v>
      </c>
      <c r="F4764" t="s">
        <v>72</v>
      </c>
      <c r="G4764" t="s">
        <v>16</v>
      </c>
      <c r="H4764" s="2">
        <v>73</v>
      </c>
      <c r="I4764">
        <v>88</v>
      </c>
      <c r="J4764">
        <v>642</v>
      </c>
      <c r="K4764" s="4">
        <v>296</v>
      </c>
      <c r="L4764" t="s">
        <v>17</v>
      </c>
    </row>
    <row r="4765" spans="1:12" x14ac:dyDescent="0.35">
      <c r="A4765" t="s">
        <v>42</v>
      </c>
      <c r="B4765">
        <v>1185732</v>
      </c>
      <c r="C4765" s="1">
        <v>44420</v>
      </c>
      <c r="D4765" t="s">
        <v>33</v>
      </c>
      <c r="E4765" t="s">
        <v>87</v>
      </c>
      <c r="F4765" t="s">
        <v>88</v>
      </c>
      <c r="G4765" t="s">
        <v>16</v>
      </c>
      <c r="H4765" s="2">
        <v>53</v>
      </c>
      <c r="I4765">
        <v>88</v>
      </c>
      <c r="J4765">
        <v>466</v>
      </c>
      <c r="K4765" s="4">
        <v>233</v>
      </c>
      <c r="L4765" t="s">
        <v>17</v>
      </c>
    </row>
    <row r="4766" spans="1:12" x14ac:dyDescent="0.35">
      <c r="A4766" t="s">
        <v>18</v>
      </c>
      <c r="B4766">
        <v>1185732</v>
      </c>
      <c r="C4766" s="1">
        <v>44535</v>
      </c>
      <c r="D4766" t="s">
        <v>33</v>
      </c>
      <c r="E4766" t="s">
        <v>91</v>
      </c>
      <c r="F4766" t="s">
        <v>92</v>
      </c>
      <c r="G4766" t="s">
        <v>16</v>
      </c>
      <c r="H4766" s="2">
        <v>59</v>
      </c>
      <c r="I4766">
        <v>88</v>
      </c>
      <c r="J4766">
        <v>519</v>
      </c>
      <c r="K4766" s="4">
        <v>286</v>
      </c>
      <c r="L4766" t="s">
        <v>17</v>
      </c>
    </row>
    <row r="4767" spans="1:12" x14ac:dyDescent="0.35">
      <c r="A4767" t="s">
        <v>18</v>
      </c>
      <c r="B4767">
        <v>1185732</v>
      </c>
      <c r="C4767" s="1">
        <v>44532</v>
      </c>
      <c r="D4767" t="s">
        <v>33</v>
      </c>
      <c r="E4767" t="s">
        <v>40</v>
      </c>
      <c r="F4767" t="s">
        <v>41</v>
      </c>
      <c r="G4767" t="s">
        <v>16</v>
      </c>
      <c r="H4767" s="2">
        <v>59</v>
      </c>
      <c r="I4767">
        <v>88</v>
      </c>
      <c r="J4767">
        <v>519</v>
      </c>
      <c r="K4767" s="4">
        <v>270</v>
      </c>
      <c r="L4767" t="s">
        <v>17</v>
      </c>
    </row>
    <row r="4768" spans="1:12" x14ac:dyDescent="0.35">
      <c r="A4768" t="s">
        <v>42</v>
      </c>
      <c r="B4768">
        <v>1185732</v>
      </c>
      <c r="C4768" s="1">
        <v>44521</v>
      </c>
      <c r="D4768" t="s">
        <v>43</v>
      </c>
      <c r="E4768" t="s">
        <v>93</v>
      </c>
      <c r="F4768" t="s">
        <v>94</v>
      </c>
      <c r="G4768" t="s">
        <v>26</v>
      </c>
      <c r="H4768" s="2">
        <v>58</v>
      </c>
      <c r="I4768">
        <v>88</v>
      </c>
      <c r="J4768">
        <v>510</v>
      </c>
      <c r="K4768" s="4">
        <v>281</v>
      </c>
      <c r="L4768" t="s">
        <v>17</v>
      </c>
    </row>
    <row r="4769" spans="1:12" x14ac:dyDescent="0.35">
      <c r="A4769" t="s">
        <v>42</v>
      </c>
      <c r="B4769">
        <v>1185732</v>
      </c>
      <c r="C4769" s="1">
        <v>44533</v>
      </c>
      <c r="D4769" t="s">
        <v>43</v>
      </c>
      <c r="E4769" t="s">
        <v>108</v>
      </c>
      <c r="F4769" t="s">
        <v>109</v>
      </c>
      <c r="G4769" t="s">
        <v>32</v>
      </c>
      <c r="H4769" s="2">
        <v>50</v>
      </c>
      <c r="I4769">
        <v>88</v>
      </c>
      <c r="J4769">
        <v>440</v>
      </c>
      <c r="K4769" s="4">
        <v>198</v>
      </c>
      <c r="L4769" t="s">
        <v>17</v>
      </c>
    </row>
    <row r="4770" spans="1:12" x14ac:dyDescent="0.35">
      <c r="A4770" t="s">
        <v>42</v>
      </c>
      <c r="B4770">
        <v>1185732</v>
      </c>
      <c r="C4770" s="1">
        <v>44355</v>
      </c>
      <c r="D4770" t="s">
        <v>43</v>
      </c>
      <c r="E4770" t="s">
        <v>110</v>
      </c>
      <c r="F4770" t="s">
        <v>111</v>
      </c>
      <c r="G4770" t="s">
        <v>16</v>
      </c>
      <c r="H4770" s="2">
        <v>51</v>
      </c>
      <c r="I4770">
        <v>88</v>
      </c>
      <c r="J4770">
        <v>449</v>
      </c>
      <c r="K4770" s="4">
        <v>229</v>
      </c>
      <c r="L4770" t="s">
        <v>17</v>
      </c>
    </row>
    <row r="4771" spans="1:12" x14ac:dyDescent="0.35">
      <c r="A4771" t="s">
        <v>23</v>
      </c>
      <c r="B4771">
        <v>1185732</v>
      </c>
      <c r="C4771" s="1">
        <v>44329</v>
      </c>
      <c r="D4771" t="s">
        <v>43</v>
      </c>
      <c r="E4771" t="s">
        <v>112</v>
      </c>
      <c r="F4771" t="s">
        <v>113</v>
      </c>
      <c r="G4771" t="s">
        <v>16</v>
      </c>
      <c r="H4771" s="2">
        <v>55</v>
      </c>
      <c r="I4771">
        <v>88</v>
      </c>
      <c r="J4771">
        <v>484</v>
      </c>
      <c r="K4771" s="4">
        <v>198</v>
      </c>
      <c r="L4771" t="s">
        <v>17</v>
      </c>
    </row>
    <row r="4772" spans="1:12" x14ac:dyDescent="0.35">
      <c r="A4772" t="s">
        <v>23</v>
      </c>
      <c r="B4772">
        <v>1185732</v>
      </c>
      <c r="C4772" s="1">
        <v>44422</v>
      </c>
      <c r="D4772" t="s">
        <v>43</v>
      </c>
      <c r="E4772" t="s">
        <v>112</v>
      </c>
      <c r="F4772" t="s">
        <v>113</v>
      </c>
      <c r="G4772" t="s">
        <v>39</v>
      </c>
      <c r="H4772" s="2">
        <v>47</v>
      </c>
      <c r="I4772">
        <v>88</v>
      </c>
      <c r="J4772">
        <v>414</v>
      </c>
      <c r="K4772" s="4">
        <v>170</v>
      </c>
      <c r="L4772" t="s">
        <v>17</v>
      </c>
    </row>
    <row r="4773" spans="1:12" x14ac:dyDescent="0.35">
      <c r="A4773" t="s">
        <v>51</v>
      </c>
      <c r="B4773">
        <v>1185732</v>
      </c>
      <c r="C4773" s="1">
        <v>44217</v>
      </c>
      <c r="D4773" t="s">
        <v>43</v>
      </c>
      <c r="E4773" t="s">
        <v>125</v>
      </c>
      <c r="F4773" t="s">
        <v>126</v>
      </c>
      <c r="G4773" t="s">
        <v>16</v>
      </c>
      <c r="H4773" s="2">
        <v>49</v>
      </c>
      <c r="I4773">
        <v>88</v>
      </c>
      <c r="J4773">
        <v>431</v>
      </c>
      <c r="K4773" s="4">
        <v>194</v>
      </c>
      <c r="L4773" t="s">
        <v>17</v>
      </c>
    </row>
    <row r="4774" spans="1:12" x14ac:dyDescent="0.35">
      <c r="A4774" t="s">
        <v>51</v>
      </c>
      <c r="B4774">
        <v>1185732</v>
      </c>
      <c r="C4774" s="1">
        <v>44366</v>
      </c>
      <c r="D4774" t="s">
        <v>43</v>
      </c>
      <c r="E4774" t="s">
        <v>127</v>
      </c>
      <c r="F4774" t="s">
        <v>128</v>
      </c>
      <c r="G4774" t="s">
        <v>32</v>
      </c>
      <c r="H4774" s="2">
        <v>53</v>
      </c>
      <c r="I4774">
        <v>88</v>
      </c>
      <c r="J4774">
        <v>466</v>
      </c>
      <c r="K4774" s="4">
        <v>205</v>
      </c>
      <c r="L4774" t="s">
        <v>17</v>
      </c>
    </row>
    <row r="4775" spans="1:12" x14ac:dyDescent="0.35">
      <c r="A4775" t="s">
        <v>42</v>
      </c>
      <c r="B4775">
        <v>1185732</v>
      </c>
      <c r="C4775" s="1">
        <v>44547</v>
      </c>
      <c r="D4775" t="s">
        <v>43</v>
      </c>
      <c r="E4775" t="s">
        <v>127</v>
      </c>
      <c r="F4775" t="s">
        <v>128</v>
      </c>
      <c r="G4775" t="s">
        <v>56</v>
      </c>
      <c r="H4775" s="2">
        <v>62</v>
      </c>
      <c r="I4775">
        <v>88</v>
      </c>
      <c r="J4775">
        <v>546</v>
      </c>
      <c r="K4775" s="4">
        <v>240</v>
      </c>
      <c r="L4775" t="s">
        <v>17</v>
      </c>
    </row>
    <row r="4776" spans="1:12" x14ac:dyDescent="0.35">
      <c r="A4776" t="s">
        <v>23</v>
      </c>
      <c r="B4776">
        <v>1197831</v>
      </c>
      <c r="C4776" s="1">
        <v>44281</v>
      </c>
      <c r="D4776" t="s">
        <v>19</v>
      </c>
      <c r="E4776" t="s">
        <v>74</v>
      </c>
      <c r="F4776" t="s">
        <v>75</v>
      </c>
      <c r="G4776" t="s">
        <v>70</v>
      </c>
      <c r="H4776" s="2">
        <v>27</v>
      </c>
      <c r="I4776">
        <v>88</v>
      </c>
      <c r="J4776">
        <v>238</v>
      </c>
      <c r="K4776" s="4">
        <v>97</v>
      </c>
      <c r="L4776" t="s">
        <v>27</v>
      </c>
    </row>
    <row r="4777" spans="1:12" x14ac:dyDescent="0.35">
      <c r="A4777" t="s">
        <v>23</v>
      </c>
      <c r="B4777">
        <v>1197831</v>
      </c>
      <c r="C4777" s="1">
        <v>44425</v>
      </c>
      <c r="D4777" t="s">
        <v>19</v>
      </c>
      <c r="E4777" t="s">
        <v>24</v>
      </c>
      <c r="F4777" t="s">
        <v>25</v>
      </c>
      <c r="G4777" t="s">
        <v>70</v>
      </c>
      <c r="H4777" s="2">
        <v>28</v>
      </c>
      <c r="I4777">
        <v>88</v>
      </c>
      <c r="J4777">
        <v>246</v>
      </c>
      <c r="K4777" s="4">
        <v>113</v>
      </c>
      <c r="L4777" t="s">
        <v>27</v>
      </c>
    </row>
    <row r="4778" spans="1:12" x14ac:dyDescent="0.35">
      <c r="A4778" t="s">
        <v>23</v>
      </c>
      <c r="B4778">
        <v>1197831</v>
      </c>
      <c r="C4778" s="1">
        <v>44431</v>
      </c>
      <c r="D4778" t="s">
        <v>19</v>
      </c>
      <c r="E4778" t="s">
        <v>24</v>
      </c>
      <c r="F4778" t="s">
        <v>25</v>
      </c>
      <c r="G4778" t="s">
        <v>70</v>
      </c>
      <c r="H4778" s="2">
        <v>19</v>
      </c>
      <c r="I4778">
        <v>88</v>
      </c>
      <c r="J4778">
        <v>167</v>
      </c>
      <c r="K4778" s="4">
        <v>70</v>
      </c>
      <c r="L4778" t="s">
        <v>27</v>
      </c>
    </row>
    <row r="4779" spans="1:12" x14ac:dyDescent="0.35">
      <c r="A4779" t="s">
        <v>51</v>
      </c>
      <c r="B4779">
        <v>1185732</v>
      </c>
      <c r="C4779" s="1">
        <v>44482</v>
      </c>
      <c r="D4779" t="s">
        <v>19</v>
      </c>
      <c r="E4779" t="s">
        <v>24</v>
      </c>
      <c r="F4779" t="s">
        <v>25</v>
      </c>
      <c r="G4779" t="s">
        <v>39</v>
      </c>
      <c r="H4779" s="2">
        <v>30</v>
      </c>
      <c r="I4779">
        <v>88</v>
      </c>
      <c r="J4779">
        <v>264</v>
      </c>
      <c r="K4779" s="4">
        <v>108</v>
      </c>
      <c r="L4779" t="s">
        <v>27</v>
      </c>
    </row>
    <row r="4780" spans="1:12" x14ac:dyDescent="0.35">
      <c r="A4780" t="s">
        <v>18</v>
      </c>
      <c r="B4780">
        <v>1185732</v>
      </c>
      <c r="C4780" s="1">
        <v>44297</v>
      </c>
      <c r="D4780" t="s">
        <v>48</v>
      </c>
      <c r="E4780" t="s">
        <v>49</v>
      </c>
      <c r="F4780" t="s">
        <v>50</v>
      </c>
      <c r="G4780" t="s">
        <v>70</v>
      </c>
      <c r="H4780" s="2">
        <v>24</v>
      </c>
      <c r="I4780">
        <v>88</v>
      </c>
      <c r="J4780">
        <v>211</v>
      </c>
      <c r="K4780" s="4">
        <v>82</v>
      </c>
      <c r="L4780" t="s">
        <v>27</v>
      </c>
    </row>
    <row r="4781" spans="1:12" x14ac:dyDescent="0.35">
      <c r="A4781" t="s">
        <v>18</v>
      </c>
      <c r="B4781">
        <v>1128299</v>
      </c>
      <c r="C4781" s="1">
        <v>44310</v>
      </c>
      <c r="D4781" t="s">
        <v>48</v>
      </c>
      <c r="E4781" t="s">
        <v>85</v>
      </c>
      <c r="F4781" t="s">
        <v>86</v>
      </c>
      <c r="G4781" t="s">
        <v>39</v>
      </c>
      <c r="H4781" s="2">
        <v>39</v>
      </c>
      <c r="I4781">
        <v>88</v>
      </c>
      <c r="J4781">
        <v>343</v>
      </c>
      <c r="K4781" s="4">
        <v>141</v>
      </c>
      <c r="L4781" t="s">
        <v>27</v>
      </c>
    </row>
    <row r="4782" spans="1:12" x14ac:dyDescent="0.35">
      <c r="A4782" t="s">
        <v>18</v>
      </c>
      <c r="B4782">
        <v>1128299</v>
      </c>
      <c r="C4782" s="1">
        <v>44432</v>
      </c>
      <c r="D4782" t="s">
        <v>48</v>
      </c>
      <c r="E4782" t="s">
        <v>85</v>
      </c>
      <c r="F4782" t="s">
        <v>86</v>
      </c>
      <c r="G4782" t="s">
        <v>16</v>
      </c>
      <c r="H4782" s="2">
        <v>53</v>
      </c>
      <c r="I4782">
        <v>88</v>
      </c>
      <c r="J4782">
        <v>466</v>
      </c>
      <c r="K4782" s="4">
        <v>173</v>
      </c>
      <c r="L4782" t="s">
        <v>27</v>
      </c>
    </row>
    <row r="4783" spans="1:12" x14ac:dyDescent="0.35">
      <c r="A4783" t="s">
        <v>42</v>
      </c>
      <c r="B4783">
        <v>1197831</v>
      </c>
      <c r="C4783" s="1">
        <v>44231</v>
      </c>
      <c r="D4783" t="s">
        <v>48</v>
      </c>
      <c r="E4783" t="s">
        <v>79</v>
      </c>
      <c r="F4783" t="s">
        <v>80</v>
      </c>
      <c r="G4783" t="s">
        <v>70</v>
      </c>
      <c r="H4783" s="2">
        <v>31</v>
      </c>
      <c r="I4783">
        <v>88</v>
      </c>
      <c r="J4783">
        <v>273</v>
      </c>
      <c r="K4783" s="4">
        <v>82</v>
      </c>
      <c r="L4783" t="s">
        <v>27</v>
      </c>
    </row>
    <row r="4784" spans="1:12" x14ac:dyDescent="0.35">
      <c r="A4784" t="s">
        <v>18</v>
      </c>
      <c r="B4784">
        <v>1197831</v>
      </c>
      <c r="C4784" s="1">
        <v>44261</v>
      </c>
      <c r="D4784" t="s">
        <v>48</v>
      </c>
      <c r="E4784" t="s">
        <v>79</v>
      </c>
      <c r="F4784" t="s">
        <v>80</v>
      </c>
      <c r="G4784" t="s">
        <v>70</v>
      </c>
      <c r="H4784" s="2">
        <v>32</v>
      </c>
      <c r="I4784">
        <v>88</v>
      </c>
      <c r="J4784">
        <v>282</v>
      </c>
      <c r="K4784" s="4">
        <v>99</v>
      </c>
      <c r="L4784" t="s">
        <v>27</v>
      </c>
    </row>
    <row r="4785" spans="1:12" x14ac:dyDescent="0.35">
      <c r="A4785" t="s">
        <v>42</v>
      </c>
      <c r="B4785">
        <v>1128299</v>
      </c>
      <c r="C4785" s="1">
        <v>44219</v>
      </c>
      <c r="D4785" t="s">
        <v>48</v>
      </c>
      <c r="E4785" t="s">
        <v>79</v>
      </c>
      <c r="F4785" t="s">
        <v>80</v>
      </c>
      <c r="G4785" t="s">
        <v>56</v>
      </c>
      <c r="H4785" s="2">
        <v>30</v>
      </c>
      <c r="I4785">
        <v>88</v>
      </c>
      <c r="J4785">
        <v>264</v>
      </c>
      <c r="K4785" s="4">
        <v>98</v>
      </c>
      <c r="L4785" t="s">
        <v>27</v>
      </c>
    </row>
    <row r="4786" spans="1:12" x14ac:dyDescent="0.35">
      <c r="A4786" t="s">
        <v>42</v>
      </c>
      <c r="B4786">
        <v>1128299</v>
      </c>
      <c r="C4786" s="1">
        <v>44492</v>
      </c>
      <c r="D4786" t="s">
        <v>48</v>
      </c>
      <c r="E4786" t="s">
        <v>123</v>
      </c>
      <c r="F4786" t="s">
        <v>124</v>
      </c>
      <c r="G4786" t="s">
        <v>70</v>
      </c>
      <c r="H4786" s="2">
        <v>44</v>
      </c>
      <c r="I4786">
        <v>88</v>
      </c>
      <c r="J4786">
        <v>387</v>
      </c>
      <c r="K4786" s="4">
        <v>143</v>
      </c>
      <c r="L4786" t="s">
        <v>27</v>
      </c>
    </row>
    <row r="4787" spans="1:12" x14ac:dyDescent="0.35">
      <c r="A4787" t="s">
        <v>63</v>
      </c>
      <c r="B4787">
        <v>1128299</v>
      </c>
      <c r="C4787" s="1">
        <v>44280</v>
      </c>
      <c r="D4787" t="s">
        <v>48</v>
      </c>
      <c r="E4787" t="s">
        <v>114</v>
      </c>
      <c r="F4787" t="s">
        <v>115</v>
      </c>
      <c r="G4787" t="s">
        <v>56</v>
      </c>
      <c r="H4787" s="2">
        <v>37</v>
      </c>
      <c r="I4787">
        <v>88</v>
      </c>
      <c r="J4787">
        <v>326</v>
      </c>
      <c r="K4787" s="4">
        <v>127</v>
      </c>
      <c r="L4787" t="s">
        <v>27</v>
      </c>
    </row>
    <row r="4788" spans="1:12" x14ac:dyDescent="0.35">
      <c r="A4788" t="s">
        <v>12</v>
      </c>
      <c r="B4788">
        <v>1197831</v>
      </c>
      <c r="C4788" s="1">
        <v>44274</v>
      </c>
      <c r="D4788" t="s">
        <v>19</v>
      </c>
      <c r="E4788" t="s">
        <v>54</v>
      </c>
      <c r="F4788" t="s">
        <v>55</v>
      </c>
      <c r="G4788" t="s">
        <v>70</v>
      </c>
      <c r="H4788" s="2">
        <v>24</v>
      </c>
      <c r="I4788">
        <v>88</v>
      </c>
      <c r="J4788">
        <v>211</v>
      </c>
      <c r="K4788" s="4">
        <v>84</v>
      </c>
      <c r="L4788" t="s">
        <v>27</v>
      </c>
    </row>
    <row r="4789" spans="1:12" x14ac:dyDescent="0.35">
      <c r="A4789" t="s">
        <v>18</v>
      </c>
      <c r="B4789">
        <v>1197831</v>
      </c>
      <c r="C4789" s="1">
        <v>44274</v>
      </c>
      <c r="D4789" t="s">
        <v>19</v>
      </c>
      <c r="E4789" t="s">
        <v>61</v>
      </c>
      <c r="F4789" t="s">
        <v>62</v>
      </c>
      <c r="G4789" t="s">
        <v>16</v>
      </c>
      <c r="H4789" s="2">
        <v>18</v>
      </c>
      <c r="I4789">
        <v>88</v>
      </c>
      <c r="J4789">
        <v>158</v>
      </c>
      <c r="K4789" s="4">
        <v>73</v>
      </c>
      <c r="L4789" t="s">
        <v>27</v>
      </c>
    </row>
    <row r="4790" spans="1:12" x14ac:dyDescent="0.35">
      <c r="A4790" t="s">
        <v>18</v>
      </c>
      <c r="B4790">
        <v>1197831</v>
      </c>
      <c r="C4790" s="1">
        <v>44335</v>
      </c>
      <c r="D4790" t="s">
        <v>19</v>
      </c>
      <c r="E4790" t="s">
        <v>61</v>
      </c>
      <c r="F4790" t="s">
        <v>62</v>
      </c>
      <c r="G4790" t="s">
        <v>32</v>
      </c>
      <c r="H4790" s="2">
        <v>27</v>
      </c>
      <c r="I4790">
        <v>88</v>
      </c>
      <c r="J4790">
        <v>238</v>
      </c>
      <c r="K4790" s="4">
        <v>100</v>
      </c>
      <c r="L4790" t="s">
        <v>27</v>
      </c>
    </row>
    <row r="4791" spans="1:12" x14ac:dyDescent="0.35">
      <c r="A4791" t="s">
        <v>63</v>
      </c>
      <c r="B4791">
        <v>1197831</v>
      </c>
      <c r="C4791" s="1">
        <v>44212</v>
      </c>
      <c r="D4791" t="s">
        <v>19</v>
      </c>
      <c r="E4791" t="s">
        <v>61</v>
      </c>
      <c r="F4791" t="s">
        <v>62</v>
      </c>
      <c r="G4791" t="s">
        <v>70</v>
      </c>
      <c r="H4791" s="2">
        <v>28</v>
      </c>
      <c r="I4791">
        <v>88</v>
      </c>
      <c r="J4791">
        <v>246</v>
      </c>
      <c r="K4791" s="4">
        <v>101</v>
      </c>
      <c r="L4791" t="s">
        <v>27</v>
      </c>
    </row>
    <row r="4792" spans="1:12" x14ac:dyDescent="0.35">
      <c r="A4792" t="s">
        <v>42</v>
      </c>
      <c r="B4792">
        <v>1185732</v>
      </c>
      <c r="C4792" s="1">
        <v>44504</v>
      </c>
      <c r="D4792" t="s">
        <v>43</v>
      </c>
      <c r="E4792" t="s">
        <v>108</v>
      </c>
      <c r="F4792" t="s">
        <v>109</v>
      </c>
      <c r="G4792" t="s">
        <v>70</v>
      </c>
      <c r="H4792" s="2">
        <v>44</v>
      </c>
      <c r="I4792">
        <v>88</v>
      </c>
      <c r="J4792">
        <v>387</v>
      </c>
      <c r="K4792" s="4">
        <v>139</v>
      </c>
      <c r="L4792" t="s">
        <v>27</v>
      </c>
    </row>
    <row r="4793" spans="1:12" x14ac:dyDescent="0.35">
      <c r="A4793" t="s">
        <v>23</v>
      </c>
      <c r="B4793">
        <v>1185732</v>
      </c>
      <c r="C4793" s="1">
        <v>44536</v>
      </c>
      <c r="D4793" t="s">
        <v>43</v>
      </c>
      <c r="E4793" t="s">
        <v>110</v>
      </c>
      <c r="F4793" t="s">
        <v>111</v>
      </c>
      <c r="G4793" t="s">
        <v>32</v>
      </c>
      <c r="H4793" s="2">
        <v>40</v>
      </c>
      <c r="I4793">
        <v>88</v>
      </c>
      <c r="J4793">
        <v>352</v>
      </c>
      <c r="K4793" s="4">
        <v>165</v>
      </c>
      <c r="L4793" t="s">
        <v>27</v>
      </c>
    </row>
    <row r="4794" spans="1:12" x14ac:dyDescent="0.35">
      <c r="A4794" t="s">
        <v>23</v>
      </c>
      <c r="B4794">
        <v>1185732</v>
      </c>
      <c r="C4794" s="1">
        <v>44213</v>
      </c>
      <c r="D4794" t="s">
        <v>43</v>
      </c>
      <c r="E4794" t="s">
        <v>110</v>
      </c>
      <c r="F4794" t="s">
        <v>111</v>
      </c>
      <c r="G4794" t="s">
        <v>39</v>
      </c>
      <c r="H4794" s="2">
        <v>28</v>
      </c>
      <c r="I4794">
        <v>88</v>
      </c>
      <c r="J4794">
        <v>246</v>
      </c>
      <c r="K4794" s="4">
        <v>84</v>
      </c>
      <c r="L4794" t="s">
        <v>27</v>
      </c>
    </row>
    <row r="4795" spans="1:12" x14ac:dyDescent="0.35">
      <c r="A4795" t="s">
        <v>23</v>
      </c>
      <c r="B4795">
        <v>1185732</v>
      </c>
      <c r="C4795" s="1">
        <v>44390</v>
      </c>
      <c r="D4795" t="s">
        <v>43</v>
      </c>
      <c r="E4795" t="s">
        <v>112</v>
      </c>
      <c r="F4795" t="s">
        <v>113</v>
      </c>
      <c r="G4795" t="s">
        <v>32</v>
      </c>
      <c r="H4795" s="2">
        <v>32</v>
      </c>
      <c r="I4795">
        <v>88</v>
      </c>
      <c r="J4795">
        <v>282</v>
      </c>
      <c r="K4795" s="4">
        <v>84</v>
      </c>
      <c r="L4795" t="s">
        <v>27</v>
      </c>
    </row>
    <row r="4796" spans="1:12" x14ac:dyDescent="0.35">
      <c r="A4796" t="s">
        <v>23</v>
      </c>
      <c r="B4796">
        <v>1185732</v>
      </c>
      <c r="C4796" s="1">
        <v>44452</v>
      </c>
      <c r="D4796" t="s">
        <v>43</v>
      </c>
      <c r="E4796" t="s">
        <v>112</v>
      </c>
      <c r="F4796" t="s">
        <v>113</v>
      </c>
      <c r="G4796" t="s">
        <v>39</v>
      </c>
      <c r="H4796" s="2">
        <v>35</v>
      </c>
      <c r="I4796">
        <v>88</v>
      </c>
      <c r="J4796">
        <v>308</v>
      </c>
      <c r="K4796" s="4">
        <v>114</v>
      </c>
      <c r="L4796" t="s">
        <v>27</v>
      </c>
    </row>
    <row r="4797" spans="1:12" x14ac:dyDescent="0.35">
      <c r="A4797" t="s">
        <v>51</v>
      </c>
      <c r="B4797">
        <v>1185732</v>
      </c>
      <c r="C4797" s="1">
        <v>44272</v>
      </c>
      <c r="D4797" t="s">
        <v>43</v>
      </c>
      <c r="E4797" t="s">
        <v>127</v>
      </c>
      <c r="F4797" t="s">
        <v>128</v>
      </c>
      <c r="G4797" t="s">
        <v>39</v>
      </c>
      <c r="H4797" s="2">
        <v>36</v>
      </c>
      <c r="I4797">
        <v>88</v>
      </c>
      <c r="J4797">
        <v>317</v>
      </c>
      <c r="K4797" s="4">
        <v>146</v>
      </c>
      <c r="L4797" t="s">
        <v>27</v>
      </c>
    </row>
    <row r="4798" spans="1:12" x14ac:dyDescent="0.35">
      <c r="A4798" t="s">
        <v>51</v>
      </c>
      <c r="B4798">
        <v>1185732</v>
      </c>
      <c r="C4798" s="1">
        <v>44426</v>
      </c>
      <c r="D4798" t="s">
        <v>43</v>
      </c>
      <c r="E4798" t="s">
        <v>127</v>
      </c>
      <c r="F4798" t="s">
        <v>128</v>
      </c>
      <c r="G4798" t="s">
        <v>56</v>
      </c>
      <c r="H4798" s="2">
        <v>42</v>
      </c>
      <c r="I4798">
        <v>88</v>
      </c>
      <c r="J4798">
        <v>370</v>
      </c>
      <c r="K4798" s="4">
        <v>118</v>
      </c>
      <c r="L4798" t="s">
        <v>27</v>
      </c>
    </row>
    <row r="4799" spans="1:12" x14ac:dyDescent="0.35">
      <c r="A4799" t="s">
        <v>18</v>
      </c>
      <c r="B4799">
        <v>1128299</v>
      </c>
      <c r="C4799" s="1">
        <v>43835</v>
      </c>
      <c r="D4799" t="s">
        <v>43</v>
      </c>
      <c r="E4799" t="s">
        <v>135</v>
      </c>
      <c r="F4799" t="s">
        <v>136</v>
      </c>
      <c r="G4799" t="s">
        <v>56</v>
      </c>
      <c r="H4799" s="2">
        <v>43</v>
      </c>
      <c r="I4799">
        <v>87</v>
      </c>
      <c r="J4799">
        <v>374</v>
      </c>
      <c r="K4799" s="4">
        <v>187</v>
      </c>
      <c r="L4799" t="s">
        <v>17</v>
      </c>
    </row>
    <row r="4800" spans="1:12" x14ac:dyDescent="0.35">
      <c r="A4800" t="s">
        <v>18</v>
      </c>
      <c r="B4800">
        <v>1128299</v>
      </c>
      <c r="C4800" s="1">
        <v>43986</v>
      </c>
      <c r="D4800" t="s">
        <v>48</v>
      </c>
      <c r="E4800" t="s">
        <v>97</v>
      </c>
      <c r="F4800" t="s">
        <v>98</v>
      </c>
      <c r="G4800" t="s">
        <v>56</v>
      </c>
      <c r="H4800" s="2">
        <v>48</v>
      </c>
      <c r="I4800">
        <v>87</v>
      </c>
      <c r="J4800">
        <v>418</v>
      </c>
      <c r="K4800" s="4">
        <v>175</v>
      </c>
      <c r="L4800" t="s">
        <v>17</v>
      </c>
    </row>
    <row r="4801" spans="1:12" x14ac:dyDescent="0.35">
      <c r="A4801" t="s">
        <v>42</v>
      </c>
      <c r="B4801">
        <v>1185732</v>
      </c>
      <c r="C4801" s="1">
        <v>44164</v>
      </c>
      <c r="D4801" t="s">
        <v>33</v>
      </c>
      <c r="E4801" t="s">
        <v>104</v>
      </c>
      <c r="F4801" t="s">
        <v>105</v>
      </c>
      <c r="G4801" t="s">
        <v>39</v>
      </c>
      <c r="H4801" s="2">
        <v>43</v>
      </c>
      <c r="I4801">
        <v>87</v>
      </c>
      <c r="J4801">
        <v>374</v>
      </c>
      <c r="K4801" s="4">
        <v>153</v>
      </c>
      <c r="L4801" t="s">
        <v>17</v>
      </c>
    </row>
    <row r="4802" spans="1:12" x14ac:dyDescent="0.35">
      <c r="A4802" t="s">
        <v>12</v>
      </c>
      <c r="B4802">
        <v>1128299</v>
      </c>
      <c r="C4802" s="1">
        <v>44479</v>
      </c>
      <c r="D4802" t="s">
        <v>48</v>
      </c>
      <c r="E4802" t="s">
        <v>129</v>
      </c>
      <c r="F4802" t="s">
        <v>130</v>
      </c>
      <c r="G4802" t="s">
        <v>32</v>
      </c>
      <c r="H4802" s="2">
        <v>56</v>
      </c>
      <c r="I4802">
        <v>87</v>
      </c>
      <c r="J4802">
        <v>487</v>
      </c>
      <c r="K4802" s="4">
        <v>171</v>
      </c>
      <c r="L4802" t="s">
        <v>17</v>
      </c>
    </row>
    <row r="4803" spans="1:12" x14ac:dyDescent="0.35">
      <c r="A4803" t="s">
        <v>12</v>
      </c>
      <c r="B4803">
        <v>1128299</v>
      </c>
      <c r="C4803" s="1">
        <v>44425</v>
      </c>
      <c r="D4803" t="s">
        <v>13</v>
      </c>
      <c r="E4803" t="s">
        <v>14</v>
      </c>
      <c r="F4803" t="s">
        <v>15</v>
      </c>
      <c r="G4803" t="s">
        <v>16</v>
      </c>
      <c r="H4803" s="2">
        <v>81</v>
      </c>
      <c r="I4803">
        <v>87</v>
      </c>
      <c r="J4803">
        <v>705</v>
      </c>
      <c r="K4803" s="4">
        <v>409</v>
      </c>
      <c r="L4803" t="s">
        <v>17</v>
      </c>
    </row>
    <row r="4804" spans="1:12" x14ac:dyDescent="0.35">
      <c r="A4804" t="s">
        <v>42</v>
      </c>
      <c r="B4804">
        <v>1128299</v>
      </c>
      <c r="C4804" s="1">
        <v>44493</v>
      </c>
      <c r="D4804" t="s">
        <v>13</v>
      </c>
      <c r="E4804" t="s">
        <v>99</v>
      </c>
      <c r="F4804" t="s">
        <v>100</v>
      </c>
      <c r="G4804" t="s">
        <v>70</v>
      </c>
      <c r="H4804" s="2">
        <v>53</v>
      </c>
      <c r="I4804">
        <v>87</v>
      </c>
      <c r="J4804">
        <v>461</v>
      </c>
      <c r="K4804" s="4">
        <v>249</v>
      </c>
      <c r="L4804" t="s">
        <v>17</v>
      </c>
    </row>
    <row r="4805" spans="1:12" x14ac:dyDescent="0.35">
      <c r="A4805" t="s">
        <v>42</v>
      </c>
      <c r="B4805">
        <v>1185732</v>
      </c>
      <c r="C4805" s="1">
        <v>44272</v>
      </c>
      <c r="D4805" t="s">
        <v>33</v>
      </c>
      <c r="E4805" t="s">
        <v>34</v>
      </c>
      <c r="F4805" t="s">
        <v>35</v>
      </c>
      <c r="G4805" t="s">
        <v>39</v>
      </c>
      <c r="H4805" s="2">
        <v>34</v>
      </c>
      <c r="I4805">
        <v>87</v>
      </c>
      <c r="J4805">
        <v>296</v>
      </c>
      <c r="K4805" s="4">
        <v>133</v>
      </c>
      <c r="L4805" t="s">
        <v>17</v>
      </c>
    </row>
    <row r="4806" spans="1:12" x14ac:dyDescent="0.35">
      <c r="A4806" t="s">
        <v>42</v>
      </c>
      <c r="B4806">
        <v>1185732</v>
      </c>
      <c r="C4806" s="1">
        <v>44335</v>
      </c>
      <c r="D4806" t="s">
        <v>33</v>
      </c>
      <c r="E4806" t="s">
        <v>34</v>
      </c>
      <c r="F4806" t="s">
        <v>35</v>
      </c>
      <c r="G4806" t="s">
        <v>32</v>
      </c>
      <c r="H4806" s="2">
        <v>29</v>
      </c>
      <c r="I4806">
        <v>87</v>
      </c>
      <c r="J4806">
        <v>252</v>
      </c>
      <c r="K4806" s="4">
        <v>116</v>
      </c>
      <c r="L4806" t="s">
        <v>17</v>
      </c>
    </row>
    <row r="4807" spans="1:12" x14ac:dyDescent="0.35">
      <c r="A4807" t="s">
        <v>18</v>
      </c>
      <c r="B4807">
        <v>1185732</v>
      </c>
      <c r="C4807" s="1">
        <v>44238</v>
      </c>
      <c r="D4807" t="s">
        <v>48</v>
      </c>
      <c r="E4807" t="s">
        <v>49</v>
      </c>
      <c r="F4807" t="s">
        <v>50</v>
      </c>
      <c r="G4807" t="s">
        <v>56</v>
      </c>
      <c r="H4807" s="2">
        <v>19</v>
      </c>
      <c r="I4807">
        <v>87</v>
      </c>
      <c r="J4807">
        <v>165</v>
      </c>
      <c r="K4807" s="4">
        <v>83</v>
      </c>
      <c r="L4807" t="s">
        <v>17</v>
      </c>
    </row>
    <row r="4808" spans="1:12" x14ac:dyDescent="0.35">
      <c r="A4808" t="s">
        <v>18</v>
      </c>
      <c r="B4808">
        <v>1185732</v>
      </c>
      <c r="C4808" s="1">
        <v>44480</v>
      </c>
      <c r="D4808" t="s">
        <v>48</v>
      </c>
      <c r="E4808" t="s">
        <v>49</v>
      </c>
      <c r="F4808" t="s">
        <v>50</v>
      </c>
      <c r="G4808" t="s">
        <v>32</v>
      </c>
      <c r="H4808" s="2">
        <v>19</v>
      </c>
      <c r="I4808">
        <v>87</v>
      </c>
      <c r="J4808">
        <v>165</v>
      </c>
      <c r="K4808" s="4">
        <v>81</v>
      </c>
      <c r="L4808" t="s">
        <v>17</v>
      </c>
    </row>
    <row r="4809" spans="1:12" x14ac:dyDescent="0.35">
      <c r="A4809" t="s">
        <v>18</v>
      </c>
      <c r="B4809">
        <v>1128299</v>
      </c>
      <c r="C4809" s="1">
        <v>44278</v>
      </c>
      <c r="D4809" t="s">
        <v>48</v>
      </c>
      <c r="E4809" t="s">
        <v>85</v>
      </c>
      <c r="F4809" t="s">
        <v>86</v>
      </c>
      <c r="G4809" t="s">
        <v>16</v>
      </c>
      <c r="H4809" s="2">
        <v>49</v>
      </c>
      <c r="I4809">
        <v>87</v>
      </c>
      <c r="J4809">
        <v>426</v>
      </c>
      <c r="K4809" s="4">
        <v>179</v>
      </c>
      <c r="L4809" t="s">
        <v>17</v>
      </c>
    </row>
    <row r="4810" spans="1:12" x14ac:dyDescent="0.35">
      <c r="A4810" t="s">
        <v>42</v>
      </c>
      <c r="B4810">
        <v>1128299</v>
      </c>
      <c r="C4810" s="1">
        <v>44523</v>
      </c>
      <c r="D4810" t="s">
        <v>48</v>
      </c>
      <c r="E4810" t="s">
        <v>123</v>
      </c>
      <c r="F4810" t="s">
        <v>124</v>
      </c>
      <c r="G4810" t="s">
        <v>70</v>
      </c>
      <c r="H4810" s="2">
        <v>53</v>
      </c>
      <c r="I4810">
        <v>87</v>
      </c>
      <c r="J4810">
        <v>461</v>
      </c>
      <c r="K4810" s="4">
        <v>189</v>
      </c>
      <c r="L4810" t="s">
        <v>17</v>
      </c>
    </row>
    <row r="4811" spans="1:12" x14ac:dyDescent="0.35">
      <c r="A4811" t="s">
        <v>63</v>
      </c>
      <c r="B4811">
        <v>1128299</v>
      </c>
      <c r="C4811" s="1">
        <v>44312</v>
      </c>
      <c r="D4811" t="s">
        <v>48</v>
      </c>
      <c r="E4811" t="s">
        <v>114</v>
      </c>
      <c r="F4811" t="s">
        <v>115</v>
      </c>
      <c r="G4811" t="s">
        <v>56</v>
      </c>
      <c r="H4811" s="2">
        <v>54</v>
      </c>
      <c r="I4811">
        <v>87</v>
      </c>
      <c r="J4811">
        <v>470</v>
      </c>
      <c r="K4811" s="4">
        <v>216</v>
      </c>
      <c r="L4811" t="s">
        <v>17</v>
      </c>
    </row>
    <row r="4812" spans="1:12" x14ac:dyDescent="0.35">
      <c r="A4812" t="s">
        <v>63</v>
      </c>
      <c r="B4812">
        <v>1128299</v>
      </c>
      <c r="C4812" s="1">
        <v>44373</v>
      </c>
      <c r="D4812" t="s">
        <v>48</v>
      </c>
      <c r="E4812" t="s">
        <v>114</v>
      </c>
      <c r="F4812" t="s">
        <v>115</v>
      </c>
      <c r="G4812" t="s">
        <v>70</v>
      </c>
      <c r="H4812" s="2">
        <v>56</v>
      </c>
      <c r="I4812">
        <v>87</v>
      </c>
      <c r="J4812">
        <v>487</v>
      </c>
      <c r="K4812" s="4">
        <v>209</v>
      </c>
      <c r="L4812" t="s">
        <v>17</v>
      </c>
    </row>
    <row r="4813" spans="1:12" x14ac:dyDescent="0.35">
      <c r="A4813" t="s">
        <v>18</v>
      </c>
      <c r="B4813">
        <v>1197831</v>
      </c>
      <c r="C4813" s="1">
        <v>44335</v>
      </c>
      <c r="D4813" t="s">
        <v>19</v>
      </c>
      <c r="E4813" t="s">
        <v>61</v>
      </c>
      <c r="F4813" t="s">
        <v>62</v>
      </c>
      <c r="G4813" t="s">
        <v>39</v>
      </c>
      <c r="H4813" s="2">
        <v>39</v>
      </c>
      <c r="I4813">
        <v>87</v>
      </c>
      <c r="J4813">
        <v>339</v>
      </c>
      <c r="K4813" s="4">
        <v>153</v>
      </c>
      <c r="L4813" t="s">
        <v>17</v>
      </c>
    </row>
    <row r="4814" spans="1:12" x14ac:dyDescent="0.35">
      <c r="A4814" t="s">
        <v>18</v>
      </c>
      <c r="B4814">
        <v>1197831</v>
      </c>
      <c r="C4814" s="1">
        <v>44368</v>
      </c>
      <c r="D4814" t="s">
        <v>19</v>
      </c>
      <c r="E4814" t="s">
        <v>61</v>
      </c>
      <c r="F4814" t="s">
        <v>62</v>
      </c>
      <c r="G4814" t="s">
        <v>56</v>
      </c>
      <c r="H4814" s="2">
        <v>38</v>
      </c>
      <c r="I4814">
        <v>87</v>
      </c>
      <c r="J4814">
        <v>331</v>
      </c>
      <c r="K4814" s="4">
        <v>165</v>
      </c>
      <c r="L4814" t="s">
        <v>17</v>
      </c>
    </row>
    <row r="4815" spans="1:12" x14ac:dyDescent="0.35">
      <c r="A4815" t="s">
        <v>18</v>
      </c>
      <c r="B4815">
        <v>1197831</v>
      </c>
      <c r="C4815" s="1">
        <v>44368</v>
      </c>
      <c r="D4815" t="s">
        <v>19</v>
      </c>
      <c r="E4815" t="s">
        <v>61</v>
      </c>
      <c r="F4815" t="s">
        <v>62</v>
      </c>
      <c r="G4815" t="s">
        <v>70</v>
      </c>
      <c r="H4815" s="2">
        <v>51</v>
      </c>
      <c r="I4815">
        <v>87</v>
      </c>
      <c r="J4815">
        <v>444</v>
      </c>
      <c r="K4815" s="4">
        <v>209</v>
      </c>
      <c r="L4815" t="s">
        <v>17</v>
      </c>
    </row>
    <row r="4816" spans="1:12" x14ac:dyDescent="0.35">
      <c r="A4816" t="s">
        <v>42</v>
      </c>
      <c r="B4816">
        <v>1185732</v>
      </c>
      <c r="C4816" s="1">
        <v>44382</v>
      </c>
      <c r="D4816" t="s">
        <v>33</v>
      </c>
      <c r="E4816" t="s">
        <v>91</v>
      </c>
      <c r="F4816" t="s">
        <v>92</v>
      </c>
      <c r="G4816" t="s">
        <v>39</v>
      </c>
      <c r="H4816" s="2">
        <v>44</v>
      </c>
      <c r="I4816">
        <v>87</v>
      </c>
      <c r="J4816">
        <v>383</v>
      </c>
      <c r="K4816" s="4">
        <v>188</v>
      </c>
      <c r="L4816" t="s">
        <v>17</v>
      </c>
    </row>
    <row r="4817" spans="1:12" x14ac:dyDescent="0.35">
      <c r="A4817" t="s">
        <v>18</v>
      </c>
      <c r="B4817">
        <v>1185732</v>
      </c>
      <c r="C4817" s="1">
        <v>44379</v>
      </c>
      <c r="D4817" t="s">
        <v>33</v>
      </c>
      <c r="E4817" t="s">
        <v>40</v>
      </c>
      <c r="F4817" t="s">
        <v>41</v>
      </c>
      <c r="G4817" t="s">
        <v>39</v>
      </c>
      <c r="H4817" s="2">
        <v>42</v>
      </c>
      <c r="I4817">
        <v>87</v>
      </c>
      <c r="J4817">
        <v>365</v>
      </c>
      <c r="K4817" s="4">
        <v>179</v>
      </c>
      <c r="L4817" t="s">
        <v>17</v>
      </c>
    </row>
    <row r="4818" spans="1:12" x14ac:dyDescent="0.35">
      <c r="A4818" t="s">
        <v>18</v>
      </c>
      <c r="B4818">
        <v>1185732</v>
      </c>
      <c r="C4818" s="1">
        <v>44532</v>
      </c>
      <c r="D4818" t="s">
        <v>33</v>
      </c>
      <c r="E4818" t="s">
        <v>40</v>
      </c>
      <c r="F4818" t="s">
        <v>41</v>
      </c>
      <c r="G4818" t="s">
        <v>32</v>
      </c>
      <c r="H4818" s="2">
        <v>45</v>
      </c>
      <c r="I4818">
        <v>87</v>
      </c>
      <c r="J4818">
        <v>392</v>
      </c>
      <c r="K4818" s="4">
        <v>172</v>
      </c>
      <c r="L4818" t="s">
        <v>17</v>
      </c>
    </row>
    <row r="4819" spans="1:12" x14ac:dyDescent="0.35">
      <c r="A4819" t="s">
        <v>18</v>
      </c>
      <c r="B4819">
        <v>1185732</v>
      </c>
      <c r="C4819" s="1">
        <v>44206</v>
      </c>
      <c r="D4819" t="s">
        <v>33</v>
      </c>
      <c r="E4819" t="s">
        <v>40</v>
      </c>
      <c r="F4819" t="s">
        <v>41</v>
      </c>
      <c r="G4819" t="s">
        <v>32</v>
      </c>
      <c r="H4819" s="2">
        <v>24</v>
      </c>
      <c r="I4819">
        <v>87</v>
      </c>
      <c r="J4819">
        <v>209</v>
      </c>
      <c r="K4819" s="4">
        <v>94</v>
      </c>
      <c r="L4819" t="s">
        <v>17</v>
      </c>
    </row>
    <row r="4820" spans="1:12" x14ac:dyDescent="0.35">
      <c r="A4820" t="s">
        <v>18</v>
      </c>
      <c r="B4820">
        <v>1185732</v>
      </c>
      <c r="C4820" s="1">
        <v>44418</v>
      </c>
      <c r="D4820" t="s">
        <v>33</v>
      </c>
      <c r="E4820" t="s">
        <v>81</v>
      </c>
      <c r="F4820" t="s">
        <v>82</v>
      </c>
      <c r="G4820" t="s">
        <v>39</v>
      </c>
      <c r="H4820" s="2">
        <v>41</v>
      </c>
      <c r="I4820">
        <v>87</v>
      </c>
      <c r="J4820">
        <v>357</v>
      </c>
      <c r="K4820" s="4">
        <v>193</v>
      </c>
      <c r="L4820" t="s">
        <v>17</v>
      </c>
    </row>
    <row r="4821" spans="1:12" x14ac:dyDescent="0.35">
      <c r="A4821" t="s">
        <v>18</v>
      </c>
      <c r="B4821">
        <v>1185732</v>
      </c>
      <c r="C4821" s="1">
        <v>44539</v>
      </c>
      <c r="D4821" t="s">
        <v>33</v>
      </c>
      <c r="E4821" t="s">
        <v>81</v>
      </c>
      <c r="F4821" t="s">
        <v>82</v>
      </c>
      <c r="G4821" t="s">
        <v>56</v>
      </c>
      <c r="H4821" s="2">
        <v>45</v>
      </c>
      <c r="I4821">
        <v>87</v>
      </c>
      <c r="J4821">
        <v>392</v>
      </c>
      <c r="K4821" s="4">
        <v>196</v>
      </c>
      <c r="L4821" t="s">
        <v>17</v>
      </c>
    </row>
    <row r="4822" spans="1:12" x14ac:dyDescent="0.35">
      <c r="A4822" t="s">
        <v>18</v>
      </c>
      <c r="B4822">
        <v>1185732</v>
      </c>
      <c r="C4822" s="1">
        <v>44213</v>
      </c>
      <c r="D4822" t="s">
        <v>33</v>
      </c>
      <c r="E4822" t="s">
        <v>81</v>
      </c>
      <c r="F4822" t="s">
        <v>82</v>
      </c>
      <c r="G4822" t="s">
        <v>32</v>
      </c>
      <c r="H4822" s="2">
        <v>25</v>
      </c>
      <c r="I4822">
        <v>87</v>
      </c>
      <c r="J4822">
        <v>218</v>
      </c>
      <c r="K4822" s="4">
        <v>120</v>
      </c>
      <c r="L4822" t="s">
        <v>17</v>
      </c>
    </row>
    <row r="4823" spans="1:12" x14ac:dyDescent="0.35">
      <c r="A4823" t="s">
        <v>18</v>
      </c>
      <c r="B4823">
        <v>1185732</v>
      </c>
      <c r="C4823" s="1">
        <v>44334</v>
      </c>
      <c r="D4823" t="s">
        <v>43</v>
      </c>
      <c r="E4823" t="s">
        <v>64</v>
      </c>
      <c r="F4823" t="s">
        <v>65</v>
      </c>
      <c r="G4823" t="s">
        <v>39</v>
      </c>
      <c r="H4823" s="2">
        <v>37</v>
      </c>
      <c r="I4823">
        <v>87</v>
      </c>
      <c r="J4823">
        <v>322</v>
      </c>
      <c r="K4823" s="4">
        <v>164</v>
      </c>
      <c r="L4823" t="s">
        <v>17</v>
      </c>
    </row>
    <row r="4824" spans="1:12" x14ac:dyDescent="0.35">
      <c r="A4824" t="s">
        <v>18</v>
      </c>
      <c r="B4824">
        <v>1185732</v>
      </c>
      <c r="C4824" s="1">
        <v>44393</v>
      </c>
      <c r="D4824" t="s">
        <v>43</v>
      </c>
      <c r="E4824" t="s">
        <v>64</v>
      </c>
      <c r="F4824" t="s">
        <v>65</v>
      </c>
      <c r="G4824" t="s">
        <v>70</v>
      </c>
      <c r="H4824" s="2">
        <v>54</v>
      </c>
      <c r="I4824">
        <v>87</v>
      </c>
      <c r="J4824">
        <v>470</v>
      </c>
      <c r="K4824" s="4">
        <v>254</v>
      </c>
      <c r="L4824" t="s">
        <v>17</v>
      </c>
    </row>
    <row r="4825" spans="1:12" x14ac:dyDescent="0.35">
      <c r="A4825" t="s">
        <v>18</v>
      </c>
      <c r="B4825">
        <v>1185732</v>
      </c>
      <c r="C4825" s="1">
        <v>44425</v>
      </c>
      <c r="D4825" t="s">
        <v>43</v>
      </c>
      <c r="E4825" t="s">
        <v>64</v>
      </c>
      <c r="F4825" t="s">
        <v>65</v>
      </c>
      <c r="G4825" t="s">
        <v>32</v>
      </c>
      <c r="H4825" s="2">
        <v>38</v>
      </c>
      <c r="I4825">
        <v>87</v>
      </c>
      <c r="J4825">
        <v>331</v>
      </c>
      <c r="K4825" s="4">
        <v>172</v>
      </c>
      <c r="L4825" t="s">
        <v>17</v>
      </c>
    </row>
    <row r="4826" spans="1:12" x14ac:dyDescent="0.35">
      <c r="A4826" t="s">
        <v>23</v>
      </c>
      <c r="B4826">
        <v>1185732</v>
      </c>
      <c r="C4826" s="1">
        <v>44203</v>
      </c>
      <c r="D4826" t="s">
        <v>43</v>
      </c>
      <c r="E4826" t="s">
        <v>83</v>
      </c>
      <c r="F4826" t="s">
        <v>84</v>
      </c>
      <c r="G4826" t="s">
        <v>39</v>
      </c>
      <c r="H4826" s="2">
        <v>37</v>
      </c>
      <c r="I4826">
        <v>87</v>
      </c>
      <c r="J4826">
        <v>322</v>
      </c>
      <c r="K4826" s="4">
        <v>167</v>
      </c>
      <c r="L4826" t="s">
        <v>17</v>
      </c>
    </row>
    <row r="4827" spans="1:12" x14ac:dyDescent="0.35">
      <c r="A4827" t="s">
        <v>23</v>
      </c>
      <c r="B4827">
        <v>1185732</v>
      </c>
      <c r="C4827" s="1">
        <v>44352</v>
      </c>
      <c r="D4827" t="s">
        <v>43</v>
      </c>
      <c r="E4827" t="s">
        <v>108</v>
      </c>
      <c r="F4827" t="s">
        <v>109</v>
      </c>
      <c r="G4827" t="s">
        <v>32</v>
      </c>
      <c r="H4827" s="2">
        <v>42</v>
      </c>
      <c r="I4827">
        <v>87</v>
      </c>
      <c r="J4827">
        <v>365</v>
      </c>
      <c r="K4827" s="4">
        <v>164</v>
      </c>
      <c r="L4827" t="s">
        <v>17</v>
      </c>
    </row>
    <row r="4828" spans="1:12" x14ac:dyDescent="0.35">
      <c r="A4828" t="s">
        <v>42</v>
      </c>
      <c r="B4828">
        <v>1185732</v>
      </c>
      <c r="C4828" s="1">
        <v>44533</v>
      </c>
      <c r="D4828" t="s">
        <v>43</v>
      </c>
      <c r="E4828" t="s">
        <v>108</v>
      </c>
      <c r="F4828" t="s">
        <v>109</v>
      </c>
      <c r="G4828" t="s">
        <v>56</v>
      </c>
      <c r="H4828" s="2">
        <v>53</v>
      </c>
      <c r="I4828">
        <v>87</v>
      </c>
      <c r="J4828">
        <v>461</v>
      </c>
      <c r="K4828" s="4">
        <v>194</v>
      </c>
      <c r="L4828" t="s">
        <v>17</v>
      </c>
    </row>
    <row r="4829" spans="1:12" x14ac:dyDescent="0.35">
      <c r="A4829" t="s">
        <v>42</v>
      </c>
      <c r="B4829">
        <v>1185732</v>
      </c>
      <c r="C4829" s="1">
        <v>44415</v>
      </c>
      <c r="D4829" t="s">
        <v>43</v>
      </c>
      <c r="E4829" t="s">
        <v>110</v>
      </c>
      <c r="F4829" t="s">
        <v>111</v>
      </c>
      <c r="G4829" t="s">
        <v>16</v>
      </c>
      <c r="H4829" s="2">
        <v>52</v>
      </c>
      <c r="I4829">
        <v>87</v>
      </c>
      <c r="J4829">
        <v>452</v>
      </c>
      <c r="K4829" s="4">
        <v>244</v>
      </c>
      <c r="L4829" t="s">
        <v>17</v>
      </c>
    </row>
    <row r="4830" spans="1:12" x14ac:dyDescent="0.35">
      <c r="A4830" t="s">
        <v>23</v>
      </c>
      <c r="B4830">
        <v>1185732</v>
      </c>
      <c r="C4830" s="1">
        <v>44268</v>
      </c>
      <c r="D4830" t="s">
        <v>43</v>
      </c>
      <c r="E4830" t="s">
        <v>112</v>
      </c>
      <c r="F4830" t="s">
        <v>113</v>
      </c>
      <c r="G4830" t="s">
        <v>56</v>
      </c>
      <c r="H4830" s="2">
        <v>34</v>
      </c>
      <c r="I4830">
        <v>87</v>
      </c>
      <c r="J4830">
        <v>296</v>
      </c>
      <c r="K4830" s="4">
        <v>106</v>
      </c>
      <c r="L4830" t="s">
        <v>17</v>
      </c>
    </row>
    <row r="4831" spans="1:12" x14ac:dyDescent="0.35">
      <c r="A4831" t="s">
        <v>51</v>
      </c>
      <c r="B4831">
        <v>1185732</v>
      </c>
      <c r="C4831" s="1">
        <v>44333</v>
      </c>
      <c r="D4831" t="s">
        <v>43</v>
      </c>
      <c r="E4831" t="s">
        <v>127</v>
      </c>
      <c r="F4831" t="s">
        <v>128</v>
      </c>
      <c r="G4831" t="s">
        <v>39</v>
      </c>
      <c r="H4831" s="2">
        <v>54</v>
      </c>
      <c r="I4831">
        <v>87</v>
      </c>
      <c r="J4831">
        <v>470</v>
      </c>
      <c r="K4831" s="4">
        <v>254</v>
      </c>
      <c r="L4831" t="s">
        <v>17</v>
      </c>
    </row>
    <row r="4832" spans="1:12" x14ac:dyDescent="0.35">
      <c r="A4832" t="s">
        <v>63</v>
      </c>
      <c r="B4832">
        <v>1185732</v>
      </c>
      <c r="C4832" s="1">
        <v>44514</v>
      </c>
      <c r="D4832" t="s">
        <v>43</v>
      </c>
      <c r="E4832" t="s">
        <v>95</v>
      </c>
      <c r="F4832" t="s">
        <v>96</v>
      </c>
      <c r="G4832" t="s">
        <v>32</v>
      </c>
      <c r="H4832" s="2">
        <v>52</v>
      </c>
      <c r="I4832">
        <v>86</v>
      </c>
      <c r="J4832">
        <v>447</v>
      </c>
      <c r="K4832" s="4">
        <v>228</v>
      </c>
      <c r="L4832" t="s">
        <v>17</v>
      </c>
    </row>
    <row r="4833" spans="1:12" x14ac:dyDescent="0.35">
      <c r="A4833" t="s">
        <v>23</v>
      </c>
      <c r="B4833">
        <v>1197831</v>
      </c>
      <c r="C4833" s="1">
        <v>44441</v>
      </c>
      <c r="D4833" t="s">
        <v>19</v>
      </c>
      <c r="E4833" t="s">
        <v>59</v>
      </c>
      <c r="F4833" t="s">
        <v>68</v>
      </c>
      <c r="G4833" t="s">
        <v>70</v>
      </c>
      <c r="H4833" s="2">
        <v>34</v>
      </c>
      <c r="I4833">
        <v>85</v>
      </c>
      <c r="J4833">
        <v>289</v>
      </c>
      <c r="K4833" s="4">
        <v>116</v>
      </c>
      <c r="L4833" t="s">
        <v>17</v>
      </c>
    </row>
    <row r="4834" spans="1:12" x14ac:dyDescent="0.35">
      <c r="A4834" t="s">
        <v>18</v>
      </c>
      <c r="B4834">
        <v>1128299</v>
      </c>
      <c r="C4834" s="1">
        <v>43962</v>
      </c>
      <c r="D4834" t="s">
        <v>48</v>
      </c>
      <c r="E4834" t="s">
        <v>133</v>
      </c>
      <c r="F4834" t="s">
        <v>134</v>
      </c>
      <c r="G4834" t="s">
        <v>56</v>
      </c>
      <c r="H4834" s="2">
        <v>53</v>
      </c>
      <c r="I4834">
        <v>85</v>
      </c>
      <c r="J4834">
        <v>451</v>
      </c>
      <c r="K4834" s="4">
        <v>207</v>
      </c>
      <c r="L4834" t="s">
        <v>17</v>
      </c>
    </row>
    <row r="4835" spans="1:12" x14ac:dyDescent="0.35">
      <c r="A4835" t="s">
        <v>18</v>
      </c>
      <c r="B4835">
        <v>1128299</v>
      </c>
      <c r="C4835" s="1">
        <v>43992</v>
      </c>
      <c r="D4835" t="s">
        <v>48</v>
      </c>
      <c r="E4835" t="s">
        <v>97</v>
      </c>
      <c r="F4835" t="s">
        <v>98</v>
      </c>
      <c r="G4835" t="s">
        <v>56</v>
      </c>
      <c r="H4835" s="2">
        <v>64</v>
      </c>
      <c r="I4835">
        <v>85</v>
      </c>
      <c r="J4835">
        <v>544</v>
      </c>
      <c r="K4835" s="4">
        <v>228</v>
      </c>
      <c r="L4835" t="s">
        <v>17</v>
      </c>
    </row>
    <row r="4836" spans="1:12" x14ac:dyDescent="0.35">
      <c r="A4836" t="s">
        <v>42</v>
      </c>
      <c r="B4836">
        <v>1185732</v>
      </c>
      <c r="C4836" s="1">
        <v>44372</v>
      </c>
      <c r="D4836" t="s">
        <v>33</v>
      </c>
      <c r="E4836" t="s">
        <v>120</v>
      </c>
      <c r="F4836" t="s">
        <v>121</v>
      </c>
      <c r="G4836" t="s">
        <v>16</v>
      </c>
      <c r="H4836" s="2">
        <v>49</v>
      </c>
      <c r="I4836">
        <v>85</v>
      </c>
      <c r="J4836">
        <v>417</v>
      </c>
      <c r="K4836" s="4">
        <v>258</v>
      </c>
      <c r="L4836" t="s">
        <v>17</v>
      </c>
    </row>
    <row r="4837" spans="1:12" x14ac:dyDescent="0.35">
      <c r="A4837" t="s">
        <v>51</v>
      </c>
      <c r="B4837">
        <v>1185732</v>
      </c>
      <c r="C4837" s="1">
        <v>44516</v>
      </c>
      <c r="D4837" t="s">
        <v>43</v>
      </c>
      <c r="E4837" t="s">
        <v>122</v>
      </c>
      <c r="F4837" t="s">
        <v>86</v>
      </c>
      <c r="G4837" t="s">
        <v>16</v>
      </c>
      <c r="H4837" s="2">
        <v>56</v>
      </c>
      <c r="I4837">
        <v>85</v>
      </c>
      <c r="J4837">
        <v>476</v>
      </c>
      <c r="K4837" s="4">
        <v>243</v>
      </c>
      <c r="L4837" t="s">
        <v>17</v>
      </c>
    </row>
    <row r="4838" spans="1:12" x14ac:dyDescent="0.35">
      <c r="A4838" t="s">
        <v>42</v>
      </c>
      <c r="B4838">
        <v>1128299</v>
      </c>
      <c r="C4838" s="1">
        <v>44264</v>
      </c>
      <c r="D4838" t="s">
        <v>48</v>
      </c>
      <c r="E4838" t="s">
        <v>129</v>
      </c>
      <c r="F4838" t="s">
        <v>130</v>
      </c>
      <c r="G4838" t="s">
        <v>16</v>
      </c>
      <c r="H4838" s="2">
        <v>50</v>
      </c>
      <c r="I4838">
        <v>85</v>
      </c>
      <c r="J4838">
        <v>425</v>
      </c>
      <c r="K4838" s="4">
        <v>234</v>
      </c>
      <c r="L4838" t="s">
        <v>17</v>
      </c>
    </row>
    <row r="4839" spans="1:12" x14ac:dyDescent="0.35">
      <c r="A4839" t="s">
        <v>12</v>
      </c>
      <c r="B4839">
        <v>1128299</v>
      </c>
      <c r="C4839" s="1">
        <v>44450</v>
      </c>
      <c r="D4839" t="s">
        <v>48</v>
      </c>
      <c r="E4839" t="s">
        <v>129</v>
      </c>
      <c r="F4839" t="s">
        <v>130</v>
      </c>
      <c r="G4839" t="s">
        <v>56</v>
      </c>
      <c r="H4839" s="2">
        <v>62</v>
      </c>
      <c r="I4839">
        <v>85</v>
      </c>
      <c r="J4839">
        <v>527</v>
      </c>
      <c r="K4839" s="4">
        <v>211</v>
      </c>
      <c r="L4839" t="s">
        <v>17</v>
      </c>
    </row>
    <row r="4840" spans="1:12" x14ac:dyDescent="0.35">
      <c r="A4840" t="s">
        <v>42</v>
      </c>
      <c r="B4840">
        <v>1128299</v>
      </c>
      <c r="C4840" s="1">
        <v>44278</v>
      </c>
      <c r="D4840" t="s">
        <v>13</v>
      </c>
      <c r="E4840" t="s">
        <v>99</v>
      </c>
      <c r="F4840" t="s">
        <v>100</v>
      </c>
      <c r="G4840" t="s">
        <v>39</v>
      </c>
      <c r="H4840" s="2">
        <v>45</v>
      </c>
      <c r="I4840">
        <v>85</v>
      </c>
      <c r="J4840">
        <v>383</v>
      </c>
      <c r="K4840" s="4">
        <v>180</v>
      </c>
      <c r="L4840" t="s">
        <v>17</v>
      </c>
    </row>
    <row r="4841" spans="1:12" x14ac:dyDescent="0.35">
      <c r="A4841" t="s">
        <v>42</v>
      </c>
      <c r="B4841">
        <v>1128299</v>
      </c>
      <c r="C4841" s="1">
        <v>44310</v>
      </c>
      <c r="D4841" t="s">
        <v>13</v>
      </c>
      <c r="E4841" t="s">
        <v>99</v>
      </c>
      <c r="F4841" t="s">
        <v>100</v>
      </c>
      <c r="G4841" t="s">
        <v>32</v>
      </c>
      <c r="H4841" s="2">
        <v>57</v>
      </c>
      <c r="I4841">
        <v>85</v>
      </c>
      <c r="J4841">
        <v>485</v>
      </c>
      <c r="K4841" s="4">
        <v>237</v>
      </c>
      <c r="L4841" t="s">
        <v>17</v>
      </c>
    </row>
    <row r="4842" spans="1:12" x14ac:dyDescent="0.35">
      <c r="A4842" t="s">
        <v>18</v>
      </c>
      <c r="B4842">
        <v>1128299</v>
      </c>
      <c r="C4842" s="1">
        <v>44251</v>
      </c>
      <c r="D4842" t="s">
        <v>48</v>
      </c>
      <c r="E4842" t="s">
        <v>85</v>
      </c>
      <c r="F4842" t="s">
        <v>86</v>
      </c>
      <c r="G4842" t="s">
        <v>16</v>
      </c>
      <c r="H4842" s="2">
        <v>37</v>
      </c>
      <c r="I4842">
        <v>85</v>
      </c>
      <c r="J4842">
        <v>315</v>
      </c>
      <c r="K4842" s="4">
        <v>126</v>
      </c>
      <c r="L4842" t="s">
        <v>17</v>
      </c>
    </row>
    <row r="4843" spans="1:12" x14ac:dyDescent="0.35">
      <c r="A4843" t="s">
        <v>18</v>
      </c>
      <c r="B4843">
        <v>1128299</v>
      </c>
      <c r="C4843" s="1">
        <v>44278</v>
      </c>
      <c r="D4843" t="s">
        <v>48</v>
      </c>
      <c r="E4843" t="s">
        <v>85</v>
      </c>
      <c r="F4843" t="s">
        <v>86</v>
      </c>
      <c r="G4843" t="s">
        <v>39</v>
      </c>
      <c r="H4843" s="2">
        <v>45</v>
      </c>
      <c r="I4843">
        <v>85</v>
      </c>
      <c r="J4843">
        <v>383</v>
      </c>
      <c r="K4843" s="4">
        <v>184</v>
      </c>
      <c r="L4843" t="s">
        <v>17</v>
      </c>
    </row>
    <row r="4844" spans="1:12" x14ac:dyDescent="0.35">
      <c r="A4844" t="s">
        <v>18</v>
      </c>
      <c r="B4844">
        <v>1128299</v>
      </c>
      <c r="C4844" s="1">
        <v>44310</v>
      </c>
      <c r="D4844" t="s">
        <v>48</v>
      </c>
      <c r="E4844" t="s">
        <v>85</v>
      </c>
      <c r="F4844" t="s">
        <v>86</v>
      </c>
      <c r="G4844" t="s">
        <v>32</v>
      </c>
      <c r="H4844" s="2">
        <v>55</v>
      </c>
      <c r="I4844">
        <v>85</v>
      </c>
      <c r="J4844">
        <v>468</v>
      </c>
      <c r="K4844" s="4">
        <v>224</v>
      </c>
      <c r="L4844" t="s">
        <v>17</v>
      </c>
    </row>
    <row r="4845" spans="1:12" x14ac:dyDescent="0.35">
      <c r="A4845" t="s">
        <v>18</v>
      </c>
      <c r="B4845">
        <v>1128299</v>
      </c>
      <c r="C4845" s="1">
        <v>44334</v>
      </c>
      <c r="D4845" t="s">
        <v>19</v>
      </c>
      <c r="E4845" t="s">
        <v>20</v>
      </c>
      <c r="F4845" t="s">
        <v>21</v>
      </c>
      <c r="G4845" t="s">
        <v>56</v>
      </c>
      <c r="H4845" s="2">
        <v>44</v>
      </c>
      <c r="I4845">
        <v>85</v>
      </c>
      <c r="J4845">
        <v>374</v>
      </c>
      <c r="K4845" s="4">
        <v>191</v>
      </c>
      <c r="L4845" t="s">
        <v>17</v>
      </c>
    </row>
    <row r="4846" spans="1:12" x14ac:dyDescent="0.35">
      <c r="A4846" t="s">
        <v>42</v>
      </c>
      <c r="B4846">
        <v>1197831</v>
      </c>
      <c r="C4846" s="1">
        <v>44201</v>
      </c>
      <c r="D4846" t="s">
        <v>19</v>
      </c>
      <c r="E4846" t="s">
        <v>20</v>
      </c>
      <c r="F4846" t="s">
        <v>21</v>
      </c>
      <c r="G4846" t="s">
        <v>70</v>
      </c>
      <c r="H4846" s="2">
        <v>36</v>
      </c>
      <c r="I4846">
        <v>85</v>
      </c>
      <c r="J4846">
        <v>306</v>
      </c>
      <c r="K4846" s="4">
        <v>113</v>
      </c>
      <c r="L4846" t="s">
        <v>17</v>
      </c>
    </row>
    <row r="4847" spans="1:12" x14ac:dyDescent="0.35">
      <c r="A4847" t="s">
        <v>42</v>
      </c>
      <c r="B4847">
        <v>1128299</v>
      </c>
      <c r="C4847" s="1">
        <v>44492</v>
      </c>
      <c r="D4847" t="s">
        <v>48</v>
      </c>
      <c r="E4847" t="s">
        <v>123</v>
      </c>
      <c r="F4847" t="s">
        <v>124</v>
      </c>
      <c r="G4847" t="s">
        <v>16</v>
      </c>
      <c r="H4847" s="2">
        <v>56</v>
      </c>
      <c r="I4847">
        <v>85</v>
      </c>
      <c r="J4847">
        <v>476</v>
      </c>
      <c r="K4847" s="4">
        <v>181</v>
      </c>
      <c r="L4847" t="s">
        <v>17</v>
      </c>
    </row>
    <row r="4848" spans="1:12" x14ac:dyDescent="0.35">
      <c r="A4848" t="s">
        <v>63</v>
      </c>
      <c r="B4848">
        <v>1128299</v>
      </c>
      <c r="C4848" s="1">
        <v>44222</v>
      </c>
      <c r="D4848" t="s">
        <v>48</v>
      </c>
      <c r="E4848" t="s">
        <v>123</v>
      </c>
      <c r="F4848" t="s">
        <v>124</v>
      </c>
      <c r="G4848" t="s">
        <v>56</v>
      </c>
      <c r="H4848" s="2">
        <v>43</v>
      </c>
      <c r="I4848">
        <v>85</v>
      </c>
      <c r="J4848">
        <v>366</v>
      </c>
      <c r="K4848" s="4">
        <v>179</v>
      </c>
      <c r="L4848" t="s">
        <v>17</v>
      </c>
    </row>
    <row r="4849" spans="1:12" x14ac:dyDescent="0.35">
      <c r="A4849" t="s">
        <v>12</v>
      </c>
      <c r="B4849">
        <v>1197831</v>
      </c>
      <c r="C4849" s="1">
        <v>44335</v>
      </c>
      <c r="D4849" t="s">
        <v>19</v>
      </c>
      <c r="E4849" t="s">
        <v>54</v>
      </c>
      <c r="F4849" t="s">
        <v>55</v>
      </c>
      <c r="G4849" t="s">
        <v>70</v>
      </c>
      <c r="H4849" s="2">
        <v>42</v>
      </c>
      <c r="I4849">
        <v>85</v>
      </c>
      <c r="J4849">
        <v>357</v>
      </c>
      <c r="K4849" s="4">
        <v>168</v>
      </c>
      <c r="L4849" t="s">
        <v>17</v>
      </c>
    </row>
    <row r="4850" spans="1:12" x14ac:dyDescent="0.35">
      <c r="A4850" t="s">
        <v>18</v>
      </c>
      <c r="B4850">
        <v>1197831</v>
      </c>
      <c r="C4850" s="1">
        <v>44396</v>
      </c>
      <c r="D4850" t="s">
        <v>19</v>
      </c>
      <c r="E4850" t="s">
        <v>61</v>
      </c>
      <c r="F4850" t="s">
        <v>62</v>
      </c>
      <c r="G4850" t="s">
        <v>56</v>
      </c>
      <c r="H4850" s="2">
        <v>41</v>
      </c>
      <c r="I4850">
        <v>85</v>
      </c>
      <c r="J4850">
        <v>349</v>
      </c>
      <c r="K4850" s="4">
        <v>185</v>
      </c>
      <c r="L4850" t="s">
        <v>17</v>
      </c>
    </row>
    <row r="4851" spans="1:12" x14ac:dyDescent="0.35">
      <c r="A4851" t="s">
        <v>63</v>
      </c>
      <c r="B4851">
        <v>1197831</v>
      </c>
      <c r="C4851" s="1">
        <v>44483</v>
      </c>
      <c r="D4851" t="s">
        <v>33</v>
      </c>
      <c r="E4851" t="s">
        <v>71</v>
      </c>
      <c r="F4851" t="s">
        <v>72</v>
      </c>
      <c r="G4851" t="s">
        <v>39</v>
      </c>
      <c r="H4851" s="2">
        <v>19</v>
      </c>
      <c r="I4851">
        <v>85</v>
      </c>
      <c r="J4851">
        <v>162</v>
      </c>
      <c r="K4851" s="4">
        <v>74</v>
      </c>
      <c r="L4851" t="s">
        <v>17</v>
      </c>
    </row>
    <row r="4852" spans="1:12" x14ac:dyDescent="0.35">
      <c r="A4852" t="s">
        <v>42</v>
      </c>
      <c r="B4852">
        <v>1185732</v>
      </c>
      <c r="C4852" s="1">
        <v>44353</v>
      </c>
      <c r="D4852" t="s">
        <v>33</v>
      </c>
      <c r="E4852" t="s">
        <v>91</v>
      </c>
      <c r="F4852" t="s">
        <v>92</v>
      </c>
      <c r="G4852" t="s">
        <v>16</v>
      </c>
      <c r="H4852" s="2">
        <v>51</v>
      </c>
      <c r="I4852">
        <v>85</v>
      </c>
      <c r="J4852">
        <v>434</v>
      </c>
      <c r="K4852" s="4">
        <v>230</v>
      </c>
      <c r="L4852" t="s">
        <v>17</v>
      </c>
    </row>
    <row r="4853" spans="1:12" x14ac:dyDescent="0.35">
      <c r="A4853" t="s">
        <v>42</v>
      </c>
      <c r="B4853">
        <v>1185732</v>
      </c>
      <c r="C4853" s="1">
        <v>44362</v>
      </c>
      <c r="D4853" t="s">
        <v>43</v>
      </c>
      <c r="E4853" t="s">
        <v>95</v>
      </c>
      <c r="F4853" t="s">
        <v>96</v>
      </c>
      <c r="G4853" t="s">
        <v>32</v>
      </c>
      <c r="H4853" s="2">
        <v>43</v>
      </c>
      <c r="I4853">
        <v>85</v>
      </c>
      <c r="J4853">
        <v>366</v>
      </c>
      <c r="K4853" s="4">
        <v>194</v>
      </c>
      <c r="L4853" t="s">
        <v>17</v>
      </c>
    </row>
    <row r="4854" spans="1:12" x14ac:dyDescent="0.35">
      <c r="A4854" t="s">
        <v>42</v>
      </c>
      <c r="B4854">
        <v>1185732</v>
      </c>
      <c r="C4854" s="1">
        <v>44452</v>
      </c>
      <c r="D4854" t="s">
        <v>43</v>
      </c>
      <c r="E4854" t="s">
        <v>95</v>
      </c>
      <c r="F4854" t="s">
        <v>96</v>
      </c>
      <c r="G4854" t="s">
        <v>39</v>
      </c>
      <c r="H4854" s="2">
        <v>47</v>
      </c>
      <c r="I4854">
        <v>85</v>
      </c>
      <c r="J4854">
        <v>400</v>
      </c>
      <c r="K4854" s="4">
        <v>180</v>
      </c>
      <c r="L4854" t="s">
        <v>17</v>
      </c>
    </row>
    <row r="4855" spans="1:12" x14ac:dyDescent="0.35">
      <c r="A4855" t="s">
        <v>63</v>
      </c>
      <c r="B4855">
        <v>1185732</v>
      </c>
      <c r="C4855" s="1">
        <v>44514</v>
      </c>
      <c r="D4855" t="s">
        <v>43</v>
      </c>
      <c r="E4855" t="s">
        <v>95</v>
      </c>
      <c r="F4855" t="s">
        <v>96</v>
      </c>
      <c r="G4855" t="s">
        <v>39</v>
      </c>
      <c r="H4855" s="2">
        <v>53</v>
      </c>
      <c r="I4855">
        <v>85</v>
      </c>
      <c r="J4855">
        <v>451</v>
      </c>
      <c r="K4855" s="4">
        <v>207</v>
      </c>
      <c r="L4855" t="s">
        <v>17</v>
      </c>
    </row>
    <row r="4856" spans="1:12" x14ac:dyDescent="0.35">
      <c r="A4856" t="s">
        <v>23</v>
      </c>
      <c r="B4856">
        <v>1185732</v>
      </c>
      <c r="C4856" s="1">
        <v>44412</v>
      </c>
      <c r="D4856" t="s">
        <v>43</v>
      </c>
      <c r="E4856" t="s">
        <v>108</v>
      </c>
      <c r="F4856" t="s">
        <v>109</v>
      </c>
      <c r="G4856" t="s">
        <v>32</v>
      </c>
      <c r="H4856" s="2">
        <v>41</v>
      </c>
      <c r="I4856">
        <v>85</v>
      </c>
      <c r="J4856">
        <v>349</v>
      </c>
      <c r="K4856" s="4">
        <v>146</v>
      </c>
      <c r="L4856" t="s">
        <v>17</v>
      </c>
    </row>
    <row r="4857" spans="1:12" x14ac:dyDescent="0.35">
      <c r="A4857" t="s">
        <v>23</v>
      </c>
      <c r="B4857">
        <v>1185732</v>
      </c>
      <c r="C4857" s="1">
        <v>44536</v>
      </c>
      <c r="D4857" t="s">
        <v>43</v>
      </c>
      <c r="E4857" t="s">
        <v>110</v>
      </c>
      <c r="F4857" t="s">
        <v>111</v>
      </c>
      <c r="G4857" t="s">
        <v>16</v>
      </c>
      <c r="H4857" s="2">
        <v>60</v>
      </c>
      <c r="I4857">
        <v>85</v>
      </c>
      <c r="J4857">
        <v>510</v>
      </c>
      <c r="K4857" s="4">
        <v>281</v>
      </c>
      <c r="L4857" t="s">
        <v>17</v>
      </c>
    </row>
    <row r="4858" spans="1:12" x14ac:dyDescent="0.35">
      <c r="A4858" t="s">
        <v>51</v>
      </c>
      <c r="B4858">
        <v>1185732</v>
      </c>
      <c r="C4858" s="1">
        <v>44239</v>
      </c>
      <c r="D4858" t="s">
        <v>43</v>
      </c>
      <c r="E4858" t="s">
        <v>125</v>
      </c>
      <c r="F4858" t="s">
        <v>126</v>
      </c>
      <c r="G4858" t="s">
        <v>16</v>
      </c>
      <c r="H4858" s="2">
        <v>43</v>
      </c>
      <c r="I4858">
        <v>85</v>
      </c>
      <c r="J4858">
        <v>366</v>
      </c>
      <c r="K4858" s="4">
        <v>197</v>
      </c>
      <c r="L4858" t="s">
        <v>17</v>
      </c>
    </row>
    <row r="4859" spans="1:12" x14ac:dyDescent="0.35">
      <c r="A4859" t="s">
        <v>51</v>
      </c>
      <c r="B4859">
        <v>1185732</v>
      </c>
      <c r="C4859" s="1">
        <v>44449</v>
      </c>
      <c r="D4859" t="s">
        <v>43</v>
      </c>
      <c r="E4859" t="s">
        <v>125</v>
      </c>
      <c r="F4859" t="s">
        <v>126</v>
      </c>
      <c r="G4859" t="s">
        <v>39</v>
      </c>
      <c r="H4859" s="2">
        <v>50</v>
      </c>
      <c r="I4859">
        <v>85</v>
      </c>
      <c r="J4859">
        <v>425</v>
      </c>
      <c r="K4859" s="4">
        <v>255</v>
      </c>
      <c r="L4859" t="s">
        <v>17</v>
      </c>
    </row>
    <row r="4860" spans="1:12" x14ac:dyDescent="0.35">
      <c r="A4860" t="s">
        <v>51</v>
      </c>
      <c r="B4860">
        <v>1185732</v>
      </c>
      <c r="C4860" s="1">
        <v>44394</v>
      </c>
      <c r="D4860" t="s">
        <v>43</v>
      </c>
      <c r="E4860" t="s">
        <v>127</v>
      </c>
      <c r="F4860" t="s">
        <v>128</v>
      </c>
      <c r="G4860" t="s">
        <v>56</v>
      </c>
      <c r="H4860" s="2">
        <v>53</v>
      </c>
      <c r="I4860">
        <v>85</v>
      </c>
      <c r="J4860">
        <v>451</v>
      </c>
      <c r="K4860" s="4">
        <v>198</v>
      </c>
      <c r="L4860" t="s">
        <v>17</v>
      </c>
    </row>
    <row r="4861" spans="1:12" x14ac:dyDescent="0.35">
      <c r="A4861" t="s">
        <v>42</v>
      </c>
      <c r="B4861">
        <v>1185732</v>
      </c>
      <c r="C4861" s="1">
        <v>44518</v>
      </c>
      <c r="D4861" t="s">
        <v>43</v>
      </c>
      <c r="E4861" t="s">
        <v>127</v>
      </c>
      <c r="F4861" t="s">
        <v>128</v>
      </c>
      <c r="G4861" t="s">
        <v>56</v>
      </c>
      <c r="H4861" s="2">
        <v>64</v>
      </c>
      <c r="I4861">
        <v>85</v>
      </c>
      <c r="J4861">
        <v>544</v>
      </c>
      <c r="K4861" s="4">
        <v>218</v>
      </c>
      <c r="L4861" t="s">
        <v>17</v>
      </c>
    </row>
    <row r="4862" spans="1:12" x14ac:dyDescent="0.35">
      <c r="A4862" t="s">
        <v>42</v>
      </c>
      <c r="B4862">
        <v>1185732</v>
      </c>
      <c r="C4862" s="1">
        <v>44522</v>
      </c>
      <c r="D4862" t="s">
        <v>43</v>
      </c>
      <c r="E4862" t="s">
        <v>135</v>
      </c>
      <c r="F4862" t="s">
        <v>136</v>
      </c>
      <c r="G4862" t="s">
        <v>39</v>
      </c>
      <c r="H4862" s="2">
        <v>41</v>
      </c>
      <c r="I4862">
        <v>85</v>
      </c>
      <c r="J4862">
        <v>349</v>
      </c>
      <c r="K4862" s="4">
        <v>136</v>
      </c>
      <c r="L4862" t="s">
        <v>27</v>
      </c>
    </row>
    <row r="4863" spans="1:12" x14ac:dyDescent="0.35">
      <c r="A4863" t="s">
        <v>42</v>
      </c>
      <c r="B4863">
        <v>1185732</v>
      </c>
      <c r="C4863" s="1">
        <v>44558</v>
      </c>
      <c r="D4863" t="s">
        <v>43</v>
      </c>
      <c r="E4863" t="s">
        <v>135</v>
      </c>
      <c r="F4863" t="s">
        <v>136</v>
      </c>
      <c r="G4863" t="s">
        <v>39</v>
      </c>
      <c r="H4863" s="2">
        <v>47</v>
      </c>
      <c r="I4863">
        <v>85</v>
      </c>
      <c r="J4863">
        <v>400</v>
      </c>
      <c r="K4863" s="4">
        <v>164</v>
      </c>
      <c r="L4863" t="s">
        <v>27</v>
      </c>
    </row>
    <row r="4864" spans="1:12" x14ac:dyDescent="0.35">
      <c r="A4864" t="s">
        <v>18</v>
      </c>
      <c r="B4864">
        <v>1128299</v>
      </c>
      <c r="C4864" s="1">
        <v>43841</v>
      </c>
      <c r="D4864" t="s">
        <v>48</v>
      </c>
      <c r="E4864" t="s">
        <v>116</v>
      </c>
      <c r="F4864" t="s">
        <v>117</v>
      </c>
      <c r="G4864" t="s">
        <v>56</v>
      </c>
      <c r="H4864" s="2">
        <v>30</v>
      </c>
      <c r="I4864">
        <v>85</v>
      </c>
      <c r="J4864">
        <v>255</v>
      </c>
      <c r="K4864" s="4">
        <v>105</v>
      </c>
      <c r="L4864" t="s">
        <v>27</v>
      </c>
    </row>
    <row r="4865" spans="1:12" x14ac:dyDescent="0.35">
      <c r="A4865" t="s">
        <v>23</v>
      </c>
      <c r="B4865">
        <v>1197831</v>
      </c>
      <c r="C4865" s="1">
        <v>44419</v>
      </c>
      <c r="D4865" t="s">
        <v>19</v>
      </c>
      <c r="E4865" t="s">
        <v>24</v>
      </c>
      <c r="F4865" t="s">
        <v>25</v>
      </c>
      <c r="G4865" t="s">
        <v>70</v>
      </c>
      <c r="H4865" s="2">
        <v>29</v>
      </c>
      <c r="I4865">
        <v>85</v>
      </c>
      <c r="J4865">
        <v>247</v>
      </c>
      <c r="K4865" s="4">
        <v>96</v>
      </c>
      <c r="L4865" t="s">
        <v>27</v>
      </c>
    </row>
    <row r="4866" spans="1:12" x14ac:dyDescent="0.35">
      <c r="A4866" t="s">
        <v>42</v>
      </c>
      <c r="B4866">
        <v>1128299</v>
      </c>
      <c r="C4866" s="1">
        <v>44310</v>
      </c>
      <c r="D4866" t="s">
        <v>13</v>
      </c>
      <c r="E4866" t="s">
        <v>99</v>
      </c>
      <c r="F4866" t="s">
        <v>100</v>
      </c>
      <c r="G4866" t="s">
        <v>39</v>
      </c>
      <c r="H4866" s="2">
        <v>44</v>
      </c>
      <c r="I4866">
        <v>85</v>
      </c>
      <c r="J4866">
        <v>374</v>
      </c>
      <c r="K4866" s="4">
        <v>153</v>
      </c>
      <c r="L4866" t="s">
        <v>27</v>
      </c>
    </row>
    <row r="4867" spans="1:12" x14ac:dyDescent="0.35">
      <c r="A4867" t="s">
        <v>42</v>
      </c>
      <c r="B4867">
        <v>1128299</v>
      </c>
      <c r="C4867" s="1">
        <v>44341</v>
      </c>
      <c r="D4867" t="s">
        <v>13</v>
      </c>
      <c r="E4867" t="s">
        <v>99</v>
      </c>
      <c r="F4867" t="s">
        <v>100</v>
      </c>
      <c r="G4867" t="s">
        <v>56</v>
      </c>
      <c r="H4867" s="2">
        <v>33</v>
      </c>
      <c r="I4867">
        <v>85</v>
      </c>
      <c r="J4867">
        <v>281</v>
      </c>
      <c r="K4867" s="4">
        <v>107</v>
      </c>
      <c r="L4867" t="s">
        <v>27</v>
      </c>
    </row>
    <row r="4868" spans="1:12" x14ac:dyDescent="0.35">
      <c r="A4868" t="s">
        <v>18</v>
      </c>
      <c r="B4868">
        <v>1185732</v>
      </c>
      <c r="C4868" s="1">
        <v>44480</v>
      </c>
      <c r="D4868" t="s">
        <v>48</v>
      </c>
      <c r="E4868" t="s">
        <v>49</v>
      </c>
      <c r="F4868" t="s">
        <v>50</v>
      </c>
      <c r="G4868" t="s">
        <v>70</v>
      </c>
      <c r="H4868" s="2">
        <v>20</v>
      </c>
      <c r="I4868">
        <v>85</v>
      </c>
      <c r="J4868">
        <v>170</v>
      </c>
      <c r="K4868" s="4">
        <v>66</v>
      </c>
      <c r="L4868" t="s">
        <v>27</v>
      </c>
    </row>
    <row r="4869" spans="1:12" x14ac:dyDescent="0.35">
      <c r="A4869" t="s">
        <v>18</v>
      </c>
      <c r="B4869">
        <v>1128299</v>
      </c>
      <c r="C4869" s="1">
        <v>44464</v>
      </c>
      <c r="D4869" t="s">
        <v>48</v>
      </c>
      <c r="E4869" t="s">
        <v>85</v>
      </c>
      <c r="F4869" t="s">
        <v>86</v>
      </c>
      <c r="G4869" t="s">
        <v>16</v>
      </c>
      <c r="H4869" s="2">
        <v>36</v>
      </c>
      <c r="I4869">
        <v>85</v>
      </c>
      <c r="J4869">
        <v>306</v>
      </c>
      <c r="K4869" s="4">
        <v>98</v>
      </c>
      <c r="L4869" t="s">
        <v>27</v>
      </c>
    </row>
    <row r="4870" spans="1:12" x14ac:dyDescent="0.35">
      <c r="A4870" t="s">
        <v>42</v>
      </c>
      <c r="B4870">
        <v>1185732</v>
      </c>
      <c r="C4870" s="1">
        <v>44271</v>
      </c>
      <c r="D4870" t="s">
        <v>19</v>
      </c>
      <c r="E4870" t="s">
        <v>37</v>
      </c>
      <c r="F4870" t="s">
        <v>38</v>
      </c>
      <c r="G4870" t="s">
        <v>56</v>
      </c>
      <c r="H4870" s="2">
        <v>15</v>
      </c>
      <c r="I4870">
        <v>85</v>
      </c>
      <c r="J4870">
        <v>128</v>
      </c>
      <c r="K4870" s="4">
        <v>57</v>
      </c>
      <c r="L4870" t="s">
        <v>27</v>
      </c>
    </row>
    <row r="4871" spans="1:12" x14ac:dyDescent="0.35">
      <c r="A4871" t="s">
        <v>18</v>
      </c>
      <c r="B4871">
        <v>1197831</v>
      </c>
      <c r="C4871" s="1">
        <v>44248</v>
      </c>
      <c r="D4871" t="s">
        <v>19</v>
      </c>
      <c r="E4871" t="s">
        <v>61</v>
      </c>
      <c r="F4871" t="s">
        <v>62</v>
      </c>
      <c r="G4871" t="s">
        <v>70</v>
      </c>
      <c r="H4871" s="2">
        <v>24</v>
      </c>
      <c r="I4871">
        <v>85</v>
      </c>
      <c r="J4871">
        <v>204</v>
      </c>
      <c r="K4871" s="4">
        <v>82</v>
      </c>
      <c r="L4871" t="s">
        <v>27</v>
      </c>
    </row>
    <row r="4872" spans="1:12" x14ac:dyDescent="0.35">
      <c r="A4872" t="s">
        <v>63</v>
      </c>
      <c r="B4872">
        <v>1197831</v>
      </c>
      <c r="C4872" s="1">
        <v>44520</v>
      </c>
      <c r="D4872" t="s">
        <v>19</v>
      </c>
      <c r="E4872" t="s">
        <v>61</v>
      </c>
      <c r="F4872" t="s">
        <v>62</v>
      </c>
      <c r="G4872" t="s">
        <v>70</v>
      </c>
      <c r="H4872" s="2">
        <v>60</v>
      </c>
      <c r="I4872">
        <v>85</v>
      </c>
      <c r="J4872">
        <v>510</v>
      </c>
      <c r="K4872" s="4">
        <v>204</v>
      </c>
      <c r="L4872" t="s">
        <v>27</v>
      </c>
    </row>
    <row r="4873" spans="1:12" x14ac:dyDescent="0.35">
      <c r="A4873" t="s">
        <v>23</v>
      </c>
      <c r="B4873">
        <v>1185732</v>
      </c>
      <c r="C4873" s="1">
        <v>44258</v>
      </c>
      <c r="D4873" t="s">
        <v>43</v>
      </c>
      <c r="E4873" t="s">
        <v>108</v>
      </c>
      <c r="F4873" t="s">
        <v>109</v>
      </c>
      <c r="G4873" t="s">
        <v>16</v>
      </c>
      <c r="H4873" s="2">
        <v>29</v>
      </c>
      <c r="I4873">
        <v>85</v>
      </c>
      <c r="J4873">
        <v>247</v>
      </c>
      <c r="K4873" s="4">
        <v>96</v>
      </c>
      <c r="L4873" t="s">
        <v>27</v>
      </c>
    </row>
    <row r="4874" spans="1:12" x14ac:dyDescent="0.35">
      <c r="A4874" t="s">
        <v>23</v>
      </c>
      <c r="B4874">
        <v>1185732</v>
      </c>
      <c r="C4874" s="1">
        <v>44352</v>
      </c>
      <c r="D4874" t="s">
        <v>43</v>
      </c>
      <c r="E4874" t="s">
        <v>108</v>
      </c>
      <c r="F4874" t="s">
        <v>109</v>
      </c>
      <c r="G4874" t="s">
        <v>56</v>
      </c>
      <c r="H4874" s="2">
        <v>35</v>
      </c>
      <c r="I4874">
        <v>85</v>
      </c>
      <c r="J4874">
        <v>298</v>
      </c>
      <c r="K4874" s="4">
        <v>104</v>
      </c>
      <c r="L4874" t="s">
        <v>27</v>
      </c>
    </row>
    <row r="4875" spans="1:12" x14ac:dyDescent="0.35">
      <c r="A4875" t="s">
        <v>42</v>
      </c>
      <c r="B4875">
        <v>1185732</v>
      </c>
      <c r="C4875" s="1">
        <v>44415</v>
      </c>
      <c r="D4875" t="s">
        <v>43</v>
      </c>
      <c r="E4875" t="s">
        <v>110</v>
      </c>
      <c r="F4875" t="s">
        <v>111</v>
      </c>
      <c r="G4875" t="s">
        <v>32</v>
      </c>
      <c r="H4875" s="2">
        <v>30</v>
      </c>
      <c r="I4875">
        <v>85</v>
      </c>
      <c r="J4875">
        <v>255</v>
      </c>
      <c r="K4875" s="4">
        <v>110</v>
      </c>
      <c r="L4875" t="s">
        <v>27</v>
      </c>
    </row>
    <row r="4876" spans="1:12" x14ac:dyDescent="0.35">
      <c r="A4876" t="s">
        <v>23</v>
      </c>
      <c r="B4876">
        <v>1185732</v>
      </c>
      <c r="C4876" s="1">
        <v>44422</v>
      </c>
      <c r="D4876" t="s">
        <v>43</v>
      </c>
      <c r="E4876" t="s">
        <v>112</v>
      </c>
      <c r="F4876" t="s">
        <v>113</v>
      </c>
      <c r="G4876" t="s">
        <v>32</v>
      </c>
      <c r="H4876" s="2">
        <v>29</v>
      </c>
      <c r="I4876">
        <v>85</v>
      </c>
      <c r="J4876">
        <v>247</v>
      </c>
      <c r="K4876" s="4">
        <v>76</v>
      </c>
      <c r="L4876" t="s">
        <v>27</v>
      </c>
    </row>
    <row r="4877" spans="1:12" x14ac:dyDescent="0.35">
      <c r="A4877" t="s">
        <v>51</v>
      </c>
      <c r="B4877">
        <v>1185732</v>
      </c>
      <c r="C4877" s="1">
        <v>44239</v>
      </c>
      <c r="D4877" t="s">
        <v>43</v>
      </c>
      <c r="E4877" t="s">
        <v>112</v>
      </c>
      <c r="F4877" t="s">
        <v>113</v>
      </c>
      <c r="G4877" t="s">
        <v>32</v>
      </c>
      <c r="H4877" s="2">
        <v>25</v>
      </c>
      <c r="I4877">
        <v>85</v>
      </c>
      <c r="J4877">
        <v>213</v>
      </c>
      <c r="K4877" s="4">
        <v>85</v>
      </c>
      <c r="L4877" t="s">
        <v>27</v>
      </c>
    </row>
    <row r="4878" spans="1:12" x14ac:dyDescent="0.35">
      <c r="A4878" t="s">
        <v>51</v>
      </c>
      <c r="B4878">
        <v>1185732</v>
      </c>
      <c r="C4878" s="1">
        <v>44265</v>
      </c>
      <c r="D4878" t="s">
        <v>43</v>
      </c>
      <c r="E4878" t="s">
        <v>125</v>
      </c>
      <c r="F4878" t="s">
        <v>126</v>
      </c>
      <c r="G4878" t="s">
        <v>32</v>
      </c>
      <c r="H4878" s="2">
        <v>23</v>
      </c>
      <c r="I4878">
        <v>85</v>
      </c>
      <c r="J4878">
        <v>196</v>
      </c>
      <c r="K4878" s="4">
        <v>74</v>
      </c>
      <c r="L4878" t="s">
        <v>27</v>
      </c>
    </row>
    <row r="4879" spans="1:12" x14ac:dyDescent="0.35">
      <c r="A4879" t="s">
        <v>51</v>
      </c>
      <c r="B4879">
        <v>1185732</v>
      </c>
      <c r="C4879" s="1">
        <v>44419</v>
      </c>
      <c r="D4879" t="s">
        <v>43</v>
      </c>
      <c r="E4879" t="s">
        <v>125</v>
      </c>
      <c r="F4879" t="s">
        <v>126</v>
      </c>
      <c r="G4879" t="s">
        <v>56</v>
      </c>
      <c r="H4879" s="2">
        <v>40</v>
      </c>
      <c r="I4879">
        <v>85</v>
      </c>
      <c r="J4879">
        <v>340</v>
      </c>
      <c r="K4879" s="4">
        <v>143</v>
      </c>
      <c r="L4879" t="s">
        <v>27</v>
      </c>
    </row>
    <row r="4880" spans="1:12" x14ac:dyDescent="0.35">
      <c r="A4880" t="s">
        <v>51</v>
      </c>
      <c r="B4880">
        <v>1185732</v>
      </c>
      <c r="C4880" s="1">
        <v>44246</v>
      </c>
      <c r="D4880" t="s">
        <v>43</v>
      </c>
      <c r="E4880" t="s">
        <v>125</v>
      </c>
      <c r="F4880" t="s">
        <v>126</v>
      </c>
      <c r="G4880" t="s">
        <v>39</v>
      </c>
      <c r="H4880" s="2">
        <v>37</v>
      </c>
      <c r="I4880">
        <v>85</v>
      </c>
      <c r="J4880">
        <v>315</v>
      </c>
      <c r="K4880" s="4">
        <v>135</v>
      </c>
      <c r="L4880" t="s">
        <v>27</v>
      </c>
    </row>
    <row r="4881" spans="1:12" x14ac:dyDescent="0.35">
      <c r="A4881" t="s">
        <v>51</v>
      </c>
      <c r="B4881">
        <v>1185732</v>
      </c>
      <c r="C4881" s="1">
        <v>44304</v>
      </c>
      <c r="D4881" t="s">
        <v>43</v>
      </c>
      <c r="E4881" t="s">
        <v>127</v>
      </c>
      <c r="F4881" t="s">
        <v>128</v>
      </c>
      <c r="G4881" t="s">
        <v>39</v>
      </c>
      <c r="H4881" s="2">
        <v>38</v>
      </c>
      <c r="I4881">
        <v>85</v>
      </c>
      <c r="J4881">
        <v>323</v>
      </c>
      <c r="K4881" s="4">
        <v>136</v>
      </c>
      <c r="L4881" t="s">
        <v>27</v>
      </c>
    </row>
    <row r="4882" spans="1:12" x14ac:dyDescent="0.35">
      <c r="A4882" t="s">
        <v>42</v>
      </c>
      <c r="B4882">
        <v>1185732</v>
      </c>
      <c r="C4882" s="1">
        <v>44396</v>
      </c>
      <c r="D4882" t="s">
        <v>33</v>
      </c>
      <c r="E4882" t="s">
        <v>118</v>
      </c>
      <c r="F4882" t="s">
        <v>119</v>
      </c>
      <c r="G4882" t="s">
        <v>39</v>
      </c>
      <c r="H4882" s="2">
        <v>41</v>
      </c>
      <c r="I4882">
        <v>84</v>
      </c>
      <c r="J4882">
        <v>344</v>
      </c>
      <c r="K4882" s="4">
        <v>169</v>
      </c>
      <c r="L4882" t="s">
        <v>17</v>
      </c>
    </row>
    <row r="4883" spans="1:12" x14ac:dyDescent="0.35">
      <c r="A4883" t="s">
        <v>18</v>
      </c>
      <c r="B4883">
        <v>1128299</v>
      </c>
      <c r="C4883" s="1">
        <v>43847</v>
      </c>
      <c r="D4883" t="s">
        <v>48</v>
      </c>
      <c r="E4883" t="s">
        <v>116</v>
      </c>
      <c r="F4883" t="s">
        <v>117</v>
      </c>
      <c r="G4883" t="s">
        <v>56</v>
      </c>
      <c r="H4883" s="2">
        <v>50</v>
      </c>
      <c r="I4883">
        <v>84</v>
      </c>
      <c r="J4883">
        <v>420</v>
      </c>
      <c r="K4883" s="4">
        <v>197</v>
      </c>
      <c r="L4883" t="s">
        <v>17</v>
      </c>
    </row>
    <row r="4884" spans="1:12" x14ac:dyDescent="0.35">
      <c r="A4884" t="s">
        <v>23</v>
      </c>
      <c r="B4884">
        <v>1197831</v>
      </c>
      <c r="C4884" s="1">
        <v>44287</v>
      </c>
      <c r="D4884" t="s">
        <v>19</v>
      </c>
      <c r="E4884" t="s">
        <v>74</v>
      </c>
      <c r="F4884" t="s">
        <v>75</v>
      </c>
      <c r="G4884" t="s">
        <v>70</v>
      </c>
      <c r="H4884" s="2">
        <v>28</v>
      </c>
      <c r="I4884">
        <v>84</v>
      </c>
      <c r="J4884">
        <v>235</v>
      </c>
      <c r="K4884" s="4">
        <v>106</v>
      </c>
      <c r="L4884" t="s">
        <v>17</v>
      </c>
    </row>
    <row r="4885" spans="1:12" x14ac:dyDescent="0.35">
      <c r="A4885" t="s">
        <v>42</v>
      </c>
      <c r="B4885">
        <v>1185732</v>
      </c>
      <c r="C4885" s="1">
        <v>44397</v>
      </c>
      <c r="D4885" t="s">
        <v>33</v>
      </c>
      <c r="E4885" t="s">
        <v>120</v>
      </c>
      <c r="F4885" t="s">
        <v>121</v>
      </c>
      <c r="G4885" t="s">
        <v>26</v>
      </c>
      <c r="H4885" s="2">
        <v>37</v>
      </c>
      <c r="I4885">
        <v>84</v>
      </c>
      <c r="J4885">
        <v>311</v>
      </c>
      <c r="K4885" s="4">
        <v>168</v>
      </c>
      <c r="L4885" t="s">
        <v>17</v>
      </c>
    </row>
    <row r="4886" spans="1:12" x14ac:dyDescent="0.35">
      <c r="A4886" t="s">
        <v>51</v>
      </c>
      <c r="B4886">
        <v>1185732</v>
      </c>
      <c r="C4886" s="1">
        <v>44518</v>
      </c>
      <c r="D4886" t="s">
        <v>43</v>
      </c>
      <c r="E4886" t="s">
        <v>122</v>
      </c>
      <c r="F4886" t="s">
        <v>86</v>
      </c>
      <c r="G4886" t="s">
        <v>39</v>
      </c>
      <c r="H4886" s="2">
        <v>46</v>
      </c>
      <c r="I4886">
        <v>84</v>
      </c>
      <c r="J4886">
        <v>386</v>
      </c>
      <c r="K4886" s="4">
        <v>185</v>
      </c>
      <c r="L4886" t="s">
        <v>17</v>
      </c>
    </row>
    <row r="4887" spans="1:12" x14ac:dyDescent="0.35">
      <c r="A4887" t="s">
        <v>51</v>
      </c>
      <c r="B4887">
        <v>1185732</v>
      </c>
      <c r="C4887" s="1">
        <v>44220</v>
      </c>
      <c r="D4887" t="s">
        <v>48</v>
      </c>
      <c r="E4887" t="s">
        <v>137</v>
      </c>
      <c r="F4887" t="s">
        <v>138</v>
      </c>
      <c r="G4887" t="s">
        <v>16</v>
      </c>
      <c r="H4887" s="2">
        <v>52</v>
      </c>
      <c r="I4887">
        <v>84</v>
      </c>
      <c r="J4887">
        <v>437</v>
      </c>
      <c r="K4887" s="4">
        <v>179</v>
      </c>
      <c r="L4887" t="s">
        <v>17</v>
      </c>
    </row>
    <row r="4888" spans="1:12" x14ac:dyDescent="0.35">
      <c r="A4888" t="s">
        <v>51</v>
      </c>
      <c r="B4888">
        <v>1185732</v>
      </c>
      <c r="C4888" s="1">
        <v>44307</v>
      </c>
      <c r="D4888" t="s">
        <v>48</v>
      </c>
      <c r="E4888" t="s">
        <v>137</v>
      </c>
      <c r="F4888" t="s">
        <v>138</v>
      </c>
      <c r="G4888" t="s">
        <v>16</v>
      </c>
      <c r="H4888" s="2">
        <v>49</v>
      </c>
      <c r="I4888">
        <v>84</v>
      </c>
      <c r="J4888">
        <v>412</v>
      </c>
      <c r="K4888" s="4">
        <v>181</v>
      </c>
      <c r="L4888" t="s">
        <v>17</v>
      </c>
    </row>
    <row r="4889" spans="1:12" x14ac:dyDescent="0.35">
      <c r="A4889" t="s">
        <v>51</v>
      </c>
      <c r="B4889">
        <v>1185732</v>
      </c>
      <c r="C4889" s="1">
        <v>44336</v>
      </c>
      <c r="D4889" t="s">
        <v>48</v>
      </c>
      <c r="E4889" t="s">
        <v>137</v>
      </c>
      <c r="F4889" t="s">
        <v>138</v>
      </c>
      <c r="G4889" t="s">
        <v>32</v>
      </c>
      <c r="H4889" s="2">
        <v>53</v>
      </c>
      <c r="I4889">
        <v>84</v>
      </c>
      <c r="J4889">
        <v>445</v>
      </c>
      <c r="K4889" s="4">
        <v>178</v>
      </c>
      <c r="L4889" t="s">
        <v>17</v>
      </c>
    </row>
    <row r="4890" spans="1:12" x14ac:dyDescent="0.35">
      <c r="A4890" t="s">
        <v>51</v>
      </c>
      <c r="B4890">
        <v>1185732</v>
      </c>
      <c r="C4890" s="1">
        <v>44369</v>
      </c>
      <c r="D4890" t="s">
        <v>48</v>
      </c>
      <c r="E4890" t="s">
        <v>137</v>
      </c>
      <c r="F4890" t="s">
        <v>138</v>
      </c>
      <c r="G4890" t="s">
        <v>70</v>
      </c>
      <c r="H4890" s="2">
        <v>60</v>
      </c>
      <c r="I4890">
        <v>84</v>
      </c>
      <c r="J4890">
        <v>504</v>
      </c>
      <c r="K4890" s="4">
        <v>181</v>
      </c>
      <c r="L4890" t="s">
        <v>17</v>
      </c>
    </row>
    <row r="4891" spans="1:12" x14ac:dyDescent="0.35">
      <c r="A4891" t="s">
        <v>51</v>
      </c>
      <c r="B4891">
        <v>1185732</v>
      </c>
      <c r="C4891" s="1">
        <v>44459</v>
      </c>
      <c r="D4891" t="s">
        <v>48</v>
      </c>
      <c r="E4891" t="s">
        <v>137</v>
      </c>
      <c r="F4891" t="s">
        <v>138</v>
      </c>
      <c r="G4891" t="s">
        <v>16</v>
      </c>
      <c r="H4891" s="2">
        <v>64</v>
      </c>
      <c r="I4891">
        <v>84</v>
      </c>
      <c r="J4891">
        <v>538</v>
      </c>
      <c r="K4891" s="4">
        <v>220</v>
      </c>
      <c r="L4891" t="s">
        <v>17</v>
      </c>
    </row>
    <row r="4892" spans="1:12" x14ac:dyDescent="0.35">
      <c r="A4892" t="s">
        <v>12</v>
      </c>
      <c r="B4892">
        <v>1128299</v>
      </c>
      <c r="C4892" s="1">
        <v>44303</v>
      </c>
      <c r="D4892" t="s">
        <v>13</v>
      </c>
      <c r="E4892" t="s">
        <v>14</v>
      </c>
      <c r="F4892" t="s">
        <v>15</v>
      </c>
      <c r="G4892" t="s">
        <v>56</v>
      </c>
      <c r="H4892" s="2">
        <v>52</v>
      </c>
      <c r="I4892">
        <v>84</v>
      </c>
      <c r="J4892">
        <v>437</v>
      </c>
      <c r="K4892" s="4">
        <v>197</v>
      </c>
      <c r="L4892" t="s">
        <v>17</v>
      </c>
    </row>
    <row r="4893" spans="1:12" x14ac:dyDescent="0.35">
      <c r="A4893" t="s">
        <v>18</v>
      </c>
      <c r="B4893">
        <v>1128299</v>
      </c>
      <c r="C4893" s="1">
        <v>44310</v>
      </c>
      <c r="D4893" t="s">
        <v>48</v>
      </c>
      <c r="E4893" t="s">
        <v>85</v>
      </c>
      <c r="F4893" t="s">
        <v>86</v>
      </c>
      <c r="G4893" t="s">
        <v>16</v>
      </c>
      <c r="H4893" s="2">
        <v>59</v>
      </c>
      <c r="I4893">
        <v>84</v>
      </c>
      <c r="J4893">
        <v>496</v>
      </c>
      <c r="K4893" s="4">
        <v>223</v>
      </c>
      <c r="L4893" t="s">
        <v>17</v>
      </c>
    </row>
    <row r="4894" spans="1:12" x14ac:dyDescent="0.35">
      <c r="A4894" t="s">
        <v>18</v>
      </c>
      <c r="B4894">
        <v>1128299</v>
      </c>
      <c r="C4894" s="1">
        <v>44271</v>
      </c>
      <c r="D4894" t="s">
        <v>19</v>
      </c>
      <c r="E4894" t="s">
        <v>20</v>
      </c>
      <c r="F4894" t="s">
        <v>21</v>
      </c>
      <c r="G4894" t="s">
        <v>56</v>
      </c>
      <c r="H4894" s="2">
        <v>50</v>
      </c>
      <c r="I4894">
        <v>84</v>
      </c>
      <c r="J4894">
        <v>420</v>
      </c>
      <c r="K4894" s="4">
        <v>231</v>
      </c>
      <c r="L4894" t="s">
        <v>17</v>
      </c>
    </row>
    <row r="4895" spans="1:12" x14ac:dyDescent="0.35">
      <c r="A4895" t="s">
        <v>23</v>
      </c>
      <c r="B4895">
        <v>1185732</v>
      </c>
      <c r="C4895" s="1">
        <v>44385</v>
      </c>
      <c r="D4895" t="s">
        <v>33</v>
      </c>
      <c r="E4895" t="s">
        <v>89</v>
      </c>
      <c r="F4895" t="s">
        <v>90</v>
      </c>
      <c r="G4895" t="s">
        <v>39</v>
      </c>
      <c r="H4895" s="2">
        <v>44</v>
      </c>
      <c r="I4895">
        <v>84</v>
      </c>
      <c r="J4895">
        <v>370</v>
      </c>
      <c r="K4895" s="4">
        <v>159</v>
      </c>
      <c r="L4895" t="s">
        <v>17</v>
      </c>
    </row>
    <row r="4896" spans="1:12" x14ac:dyDescent="0.35">
      <c r="A4896" t="s">
        <v>18</v>
      </c>
      <c r="B4896">
        <v>1185732</v>
      </c>
      <c r="C4896" s="1">
        <v>44411</v>
      </c>
      <c r="D4896" t="s">
        <v>33</v>
      </c>
      <c r="E4896" t="s">
        <v>40</v>
      </c>
      <c r="F4896" t="s">
        <v>41</v>
      </c>
      <c r="G4896" t="s">
        <v>39</v>
      </c>
      <c r="H4896" s="2">
        <v>43</v>
      </c>
      <c r="I4896">
        <v>84</v>
      </c>
      <c r="J4896">
        <v>361</v>
      </c>
      <c r="K4896" s="4">
        <v>170</v>
      </c>
      <c r="L4896" t="s">
        <v>17</v>
      </c>
    </row>
    <row r="4897" spans="1:12" x14ac:dyDescent="0.35">
      <c r="A4897" t="s">
        <v>18</v>
      </c>
      <c r="B4897">
        <v>1185732</v>
      </c>
      <c r="C4897" s="1">
        <v>44206</v>
      </c>
      <c r="D4897" t="s">
        <v>33</v>
      </c>
      <c r="E4897" t="s">
        <v>40</v>
      </c>
      <c r="F4897" t="s">
        <v>41</v>
      </c>
      <c r="G4897" t="s">
        <v>16</v>
      </c>
      <c r="H4897" s="2">
        <v>32</v>
      </c>
      <c r="I4897">
        <v>84</v>
      </c>
      <c r="J4897">
        <v>269</v>
      </c>
      <c r="K4897" s="4">
        <v>134</v>
      </c>
      <c r="L4897" t="s">
        <v>17</v>
      </c>
    </row>
    <row r="4898" spans="1:12" x14ac:dyDescent="0.35">
      <c r="A4898" t="s">
        <v>18</v>
      </c>
      <c r="B4898">
        <v>1185732</v>
      </c>
      <c r="C4898" s="1">
        <v>44386</v>
      </c>
      <c r="D4898" t="s">
        <v>33</v>
      </c>
      <c r="E4898" t="s">
        <v>81</v>
      </c>
      <c r="F4898" t="s">
        <v>82</v>
      </c>
      <c r="G4898" t="s">
        <v>39</v>
      </c>
      <c r="H4898" s="2">
        <v>49</v>
      </c>
      <c r="I4898">
        <v>84</v>
      </c>
      <c r="J4898">
        <v>412</v>
      </c>
      <c r="K4898" s="4">
        <v>206</v>
      </c>
      <c r="L4898" t="s">
        <v>17</v>
      </c>
    </row>
    <row r="4899" spans="1:12" x14ac:dyDescent="0.35">
      <c r="A4899" t="s">
        <v>18</v>
      </c>
      <c r="B4899">
        <v>1185732</v>
      </c>
      <c r="C4899" s="1">
        <v>44539</v>
      </c>
      <c r="D4899" t="s">
        <v>33</v>
      </c>
      <c r="E4899" t="s">
        <v>81</v>
      </c>
      <c r="F4899" t="s">
        <v>82</v>
      </c>
      <c r="G4899" t="s">
        <v>70</v>
      </c>
      <c r="H4899" s="2">
        <v>54</v>
      </c>
      <c r="I4899">
        <v>84</v>
      </c>
      <c r="J4899">
        <v>454</v>
      </c>
      <c r="K4899" s="4">
        <v>195</v>
      </c>
      <c r="L4899" t="s">
        <v>17</v>
      </c>
    </row>
    <row r="4900" spans="1:12" x14ac:dyDescent="0.35">
      <c r="A4900" t="s">
        <v>42</v>
      </c>
      <c r="B4900">
        <v>1185732</v>
      </c>
      <c r="C4900" s="1">
        <v>44486</v>
      </c>
      <c r="D4900" t="s">
        <v>43</v>
      </c>
      <c r="E4900" t="s">
        <v>64</v>
      </c>
      <c r="F4900" t="s">
        <v>65</v>
      </c>
      <c r="G4900" t="s">
        <v>16</v>
      </c>
      <c r="H4900" s="2">
        <v>47</v>
      </c>
      <c r="I4900">
        <v>84</v>
      </c>
      <c r="J4900">
        <v>395</v>
      </c>
      <c r="K4900" s="4">
        <v>197</v>
      </c>
      <c r="L4900" t="s">
        <v>17</v>
      </c>
    </row>
    <row r="4901" spans="1:12" x14ac:dyDescent="0.35">
      <c r="A4901" t="s">
        <v>42</v>
      </c>
      <c r="B4901">
        <v>1185732</v>
      </c>
      <c r="C4901" s="1">
        <v>44369</v>
      </c>
      <c r="D4901" t="s">
        <v>43</v>
      </c>
      <c r="E4901" t="s">
        <v>93</v>
      </c>
      <c r="F4901" t="s">
        <v>94</v>
      </c>
      <c r="G4901" t="s">
        <v>16</v>
      </c>
      <c r="H4901" s="2">
        <v>53</v>
      </c>
      <c r="I4901">
        <v>84</v>
      </c>
      <c r="J4901">
        <v>445</v>
      </c>
      <c r="K4901" s="4">
        <v>200</v>
      </c>
      <c r="L4901" t="s">
        <v>17</v>
      </c>
    </row>
    <row r="4902" spans="1:12" x14ac:dyDescent="0.35">
      <c r="A4902" t="s">
        <v>42</v>
      </c>
      <c r="B4902">
        <v>1185732</v>
      </c>
      <c r="C4902" s="1">
        <v>44452</v>
      </c>
      <c r="D4902" t="s">
        <v>43</v>
      </c>
      <c r="E4902" t="s">
        <v>95</v>
      </c>
      <c r="F4902" t="s">
        <v>96</v>
      </c>
      <c r="G4902" t="s">
        <v>16</v>
      </c>
      <c r="H4902" s="2">
        <v>58</v>
      </c>
      <c r="I4902">
        <v>84</v>
      </c>
      <c r="J4902">
        <v>487</v>
      </c>
      <c r="K4902" s="4">
        <v>263</v>
      </c>
      <c r="L4902" t="s">
        <v>17</v>
      </c>
    </row>
    <row r="4903" spans="1:12" x14ac:dyDescent="0.35">
      <c r="A4903" t="s">
        <v>63</v>
      </c>
      <c r="B4903">
        <v>1185732</v>
      </c>
      <c r="C4903" s="1">
        <v>44514</v>
      </c>
      <c r="D4903" t="s">
        <v>43</v>
      </c>
      <c r="E4903" t="s">
        <v>95</v>
      </c>
      <c r="F4903" t="s">
        <v>96</v>
      </c>
      <c r="G4903" t="s">
        <v>56</v>
      </c>
      <c r="H4903" s="2">
        <v>51</v>
      </c>
      <c r="I4903">
        <v>84</v>
      </c>
      <c r="J4903">
        <v>428</v>
      </c>
      <c r="K4903" s="4">
        <v>227</v>
      </c>
      <c r="L4903" t="s">
        <v>17</v>
      </c>
    </row>
    <row r="4904" spans="1:12" x14ac:dyDescent="0.35">
      <c r="A4904" t="s">
        <v>23</v>
      </c>
      <c r="B4904">
        <v>1185732</v>
      </c>
      <c r="C4904" s="1">
        <v>44232</v>
      </c>
      <c r="D4904" t="s">
        <v>43</v>
      </c>
      <c r="E4904" t="s">
        <v>108</v>
      </c>
      <c r="F4904" t="s">
        <v>109</v>
      </c>
      <c r="G4904" t="s">
        <v>16</v>
      </c>
      <c r="H4904" s="2">
        <v>39</v>
      </c>
      <c r="I4904">
        <v>84</v>
      </c>
      <c r="J4904">
        <v>328</v>
      </c>
      <c r="K4904" s="4">
        <v>147</v>
      </c>
      <c r="L4904" t="s">
        <v>17</v>
      </c>
    </row>
    <row r="4905" spans="1:12" x14ac:dyDescent="0.35">
      <c r="A4905" t="s">
        <v>42</v>
      </c>
      <c r="B4905">
        <v>1185732</v>
      </c>
      <c r="C4905" s="1">
        <v>44504</v>
      </c>
      <c r="D4905" t="s">
        <v>43</v>
      </c>
      <c r="E4905" t="s">
        <v>108</v>
      </c>
      <c r="F4905" t="s">
        <v>109</v>
      </c>
      <c r="G4905" t="s">
        <v>39</v>
      </c>
      <c r="H4905" s="2">
        <v>51</v>
      </c>
      <c r="I4905">
        <v>84</v>
      </c>
      <c r="J4905">
        <v>428</v>
      </c>
      <c r="K4905" s="4">
        <v>223</v>
      </c>
      <c r="L4905" t="s">
        <v>17</v>
      </c>
    </row>
    <row r="4906" spans="1:12" x14ac:dyDescent="0.35">
      <c r="A4906" t="s">
        <v>51</v>
      </c>
      <c r="B4906">
        <v>1185732</v>
      </c>
      <c r="C4906" s="1">
        <v>44543</v>
      </c>
      <c r="D4906" t="s">
        <v>43</v>
      </c>
      <c r="E4906" t="s">
        <v>112</v>
      </c>
      <c r="F4906" t="s">
        <v>113</v>
      </c>
      <c r="G4906" t="s">
        <v>70</v>
      </c>
      <c r="H4906" s="2">
        <v>62</v>
      </c>
      <c r="I4906">
        <v>84</v>
      </c>
      <c r="J4906">
        <v>521</v>
      </c>
      <c r="K4906" s="4">
        <v>203</v>
      </c>
      <c r="L4906" t="s">
        <v>17</v>
      </c>
    </row>
    <row r="4907" spans="1:12" x14ac:dyDescent="0.35">
      <c r="A4907" t="s">
        <v>42</v>
      </c>
      <c r="B4907">
        <v>1185732</v>
      </c>
      <c r="C4907" s="1">
        <v>44488</v>
      </c>
      <c r="D4907" t="s">
        <v>43</v>
      </c>
      <c r="E4907" t="s">
        <v>127</v>
      </c>
      <c r="F4907" t="s">
        <v>128</v>
      </c>
      <c r="G4907" t="s">
        <v>39</v>
      </c>
      <c r="H4907" s="2">
        <v>62</v>
      </c>
      <c r="I4907">
        <v>84</v>
      </c>
      <c r="J4907">
        <v>521</v>
      </c>
      <c r="K4907" s="4">
        <v>276</v>
      </c>
      <c r="L4907" t="s">
        <v>17</v>
      </c>
    </row>
    <row r="4908" spans="1:12" x14ac:dyDescent="0.35">
      <c r="A4908" t="s">
        <v>42</v>
      </c>
      <c r="B4908">
        <v>1185732</v>
      </c>
      <c r="C4908" s="1">
        <v>44220</v>
      </c>
      <c r="D4908" t="s">
        <v>43</v>
      </c>
      <c r="E4908" t="s">
        <v>127</v>
      </c>
      <c r="F4908" t="s">
        <v>128</v>
      </c>
      <c r="G4908" t="s">
        <v>39</v>
      </c>
      <c r="H4908" s="2">
        <v>50</v>
      </c>
      <c r="I4908">
        <v>84</v>
      </c>
      <c r="J4908">
        <v>420</v>
      </c>
      <c r="K4908" s="4">
        <v>197</v>
      </c>
      <c r="L4908" t="s">
        <v>17</v>
      </c>
    </row>
    <row r="4909" spans="1:12" x14ac:dyDescent="0.35">
      <c r="A4909" t="s">
        <v>42</v>
      </c>
      <c r="B4909">
        <v>1185732</v>
      </c>
      <c r="C4909" s="1">
        <v>44349</v>
      </c>
      <c r="D4909" t="s">
        <v>48</v>
      </c>
      <c r="E4909" t="s">
        <v>66</v>
      </c>
      <c r="F4909" t="s">
        <v>76</v>
      </c>
      <c r="G4909" t="s">
        <v>32</v>
      </c>
      <c r="H4909" s="2">
        <v>32</v>
      </c>
      <c r="I4909">
        <v>83</v>
      </c>
      <c r="J4909">
        <v>266</v>
      </c>
      <c r="K4909" s="4">
        <v>125</v>
      </c>
      <c r="L4909" t="s">
        <v>17</v>
      </c>
    </row>
    <row r="4910" spans="1:12" x14ac:dyDescent="0.35">
      <c r="A4910" t="s">
        <v>42</v>
      </c>
      <c r="B4910">
        <v>1185732</v>
      </c>
      <c r="C4910" s="1">
        <v>43831</v>
      </c>
      <c r="D4910" t="s">
        <v>43</v>
      </c>
      <c r="E4910" t="s">
        <v>135</v>
      </c>
      <c r="F4910" t="s">
        <v>136</v>
      </c>
      <c r="G4910" t="s">
        <v>16</v>
      </c>
      <c r="H4910" s="2">
        <v>68</v>
      </c>
      <c r="I4910">
        <v>83</v>
      </c>
      <c r="J4910">
        <v>564</v>
      </c>
      <c r="K4910" s="4">
        <v>243</v>
      </c>
      <c r="L4910" t="s">
        <v>17</v>
      </c>
    </row>
    <row r="4911" spans="1:12" x14ac:dyDescent="0.35">
      <c r="A4911" t="s">
        <v>23</v>
      </c>
      <c r="B4911">
        <v>1197831</v>
      </c>
      <c r="C4911" s="1">
        <v>44275</v>
      </c>
      <c r="D4911" t="s">
        <v>19</v>
      </c>
      <c r="E4911" t="s">
        <v>74</v>
      </c>
      <c r="F4911" t="s">
        <v>75</v>
      </c>
      <c r="G4911" t="s">
        <v>70</v>
      </c>
      <c r="H4911" s="2">
        <v>37</v>
      </c>
      <c r="I4911">
        <v>83</v>
      </c>
      <c r="J4911">
        <v>307</v>
      </c>
      <c r="K4911" s="4">
        <v>126</v>
      </c>
      <c r="L4911" t="s">
        <v>17</v>
      </c>
    </row>
    <row r="4912" spans="1:12" x14ac:dyDescent="0.35">
      <c r="A4912" t="s">
        <v>51</v>
      </c>
      <c r="B4912">
        <v>1185732</v>
      </c>
      <c r="C4912" s="1">
        <v>44491</v>
      </c>
      <c r="D4912" t="s">
        <v>48</v>
      </c>
      <c r="E4912" t="s">
        <v>137</v>
      </c>
      <c r="F4912" t="s">
        <v>138</v>
      </c>
      <c r="G4912" t="s">
        <v>16</v>
      </c>
      <c r="H4912" s="2">
        <v>73</v>
      </c>
      <c r="I4912">
        <v>83</v>
      </c>
      <c r="J4912">
        <v>606</v>
      </c>
      <c r="K4912" s="4">
        <v>242</v>
      </c>
      <c r="L4912" t="s">
        <v>17</v>
      </c>
    </row>
    <row r="4913" spans="1:12" x14ac:dyDescent="0.35">
      <c r="A4913" t="s">
        <v>51</v>
      </c>
      <c r="B4913">
        <v>1185732</v>
      </c>
      <c r="C4913" s="1">
        <v>44521</v>
      </c>
      <c r="D4913" t="s">
        <v>48</v>
      </c>
      <c r="E4913" t="s">
        <v>137</v>
      </c>
      <c r="F4913" t="s">
        <v>138</v>
      </c>
      <c r="G4913" t="s">
        <v>70</v>
      </c>
      <c r="H4913" s="2">
        <v>69</v>
      </c>
      <c r="I4913">
        <v>83</v>
      </c>
      <c r="J4913">
        <v>573</v>
      </c>
      <c r="K4913" s="4">
        <v>200</v>
      </c>
      <c r="L4913" t="s">
        <v>17</v>
      </c>
    </row>
    <row r="4914" spans="1:12" x14ac:dyDescent="0.35">
      <c r="A4914" t="s">
        <v>12</v>
      </c>
      <c r="B4914">
        <v>1128299</v>
      </c>
      <c r="C4914" s="1">
        <v>44479</v>
      </c>
      <c r="D4914" t="s">
        <v>48</v>
      </c>
      <c r="E4914" t="s">
        <v>129</v>
      </c>
      <c r="F4914" t="s">
        <v>130</v>
      </c>
      <c r="G4914" t="s">
        <v>56</v>
      </c>
      <c r="H4914" s="2">
        <v>50</v>
      </c>
      <c r="I4914">
        <v>83</v>
      </c>
      <c r="J4914">
        <v>415</v>
      </c>
      <c r="K4914" s="4">
        <v>154</v>
      </c>
      <c r="L4914" t="s">
        <v>17</v>
      </c>
    </row>
    <row r="4915" spans="1:12" x14ac:dyDescent="0.35">
      <c r="A4915" t="s">
        <v>42</v>
      </c>
      <c r="B4915">
        <v>1185732</v>
      </c>
      <c r="C4915" s="1">
        <v>44304</v>
      </c>
      <c r="D4915" t="s">
        <v>33</v>
      </c>
      <c r="E4915" t="s">
        <v>34</v>
      </c>
      <c r="F4915" t="s">
        <v>35</v>
      </c>
      <c r="G4915" t="s">
        <v>32</v>
      </c>
      <c r="H4915" s="2">
        <v>18</v>
      </c>
      <c r="I4915">
        <v>83</v>
      </c>
      <c r="J4915">
        <v>149</v>
      </c>
      <c r="K4915" s="4">
        <v>73</v>
      </c>
      <c r="L4915" t="s">
        <v>17</v>
      </c>
    </row>
    <row r="4916" spans="1:12" x14ac:dyDescent="0.35">
      <c r="A4916" t="s">
        <v>42</v>
      </c>
      <c r="B4916">
        <v>1185732</v>
      </c>
      <c r="C4916" s="1">
        <v>44458</v>
      </c>
      <c r="D4916" t="s">
        <v>33</v>
      </c>
      <c r="E4916" t="s">
        <v>34</v>
      </c>
      <c r="F4916" t="s">
        <v>35</v>
      </c>
      <c r="G4916" t="s">
        <v>56</v>
      </c>
      <c r="H4916" s="2">
        <v>14</v>
      </c>
      <c r="I4916">
        <v>83</v>
      </c>
      <c r="J4916">
        <v>116</v>
      </c>
      <c r="K4916" s="4">
        <v>62</v>
      </c>
      <c r="L4916" t="s">
        <v>17</v>
      </c>
    </row>
    <row r="4917" spans="1:12" x14ac:dyDescent="0.35">
      <c r="A4917" t="s">
        <v>18</v>
      </c>
      <c r="B4917">
        <v>1185732</v>
      </c>
      <c r="C4917" s="1">
        <v>44480</v>
      </c>
      <c r="D4917" t="s">
        <v>48</v>
      </c>
      <c r="E4917" t="s">
        <v>49</v>
      </c>
      <c r="F4917" t="s">
        <v>50</v>
      </c>
      <c r="G4917" t="s">
        <v>70</v>
      </c>
      <c r="H4917" s="2">
        <v>29</v>
      </c>
      <c r="I4917">
        <v>83</v>
      </c>
      <c r="J4917">
        <v>241</v>
      </c>
      <c r="K4917" s="4">
        <v>120</v>
      </c>
      <c r="L4917" t="s">
        <v>17</v>
      </c>
    </row>
    <row r="4918" spans="1:12" x14ac:dyDescent="0.35">
      <c r="A4918" t="s">
        <v>18</v>
      </c>
      <c r="B4918">
        <v>1128299</v>
      </c>
      <c r="C4918" s="1">
        <v>44310</v>
      </c>
      <c r="D4918" t="s">
        <v>48</v>
      </c>
      <c r="E4918" t="s">
        <v>85</v>
      </c>
      <c r="F4918" t="s">
        <v>86</v>
      </c>
      <c r="G4918" t="s">
        <v>39</v>
      </c>
      <c r="H4918" s="2">
        <v>54</v>
      </c>
      <c r="I4918">
        <v>83</v>
      </c>
      <c r="J4918">
        <v>448</v>
      </c>
      <c r="K4918" s="4">
        <v>220</v>
      </c>
      <c r="L4918" t="s">
        <v>17</v>
      </c>
    </row>
    <row r="4919" spans="1:12" x14ac:dyDescent="0.35">
      <c r="A4919" t="s">
        <v>18</v>
      </c>
      <c r="B4919">
        <v>1128299</v>
      </c>
      <c r="C4919" s="1">
        <v>44341</v>
      </c>
      <c r="D4919" t="s">
        <v>48</v>
      </c>
      <c r="E4919" t="s">
        <v>85</v>
      </c>
      <c r="F4919" t="s">
        <v>86</v>
      </c>
      <c r="G4919" t="s">
        <v>56</v>
      </c>
      <c r="H4919" s="2">
        <v>49</v>
      </c>
      <c r="I4919">
        <v>83</v>
      </c>
      <c r="J4919">
        <v>407</v>
      </c>
      <c r="K4919" s="4">
        <v>195</v>
      </c>
      <c r="L4919" t="s">
        <v>17</v>
      </c>
    </row>
    <row r="4920" spans="1:12" x14ac:dyDescent="0.35">
      <c r="A4920" t="s">
        <v>63</v>
      </c>
      <c r="B4920">
        <v>1128299</v>
      </c>
      <c r="C4920" s="1">
        <v>44280</v>
      </c>
      <c r="D4920" t="s">
        <v>48</v>
      </c>
      <c r="E4920" t="s">
        <v>114</v>
      </c>
      <c r="F4920" t="s">
        <v>115</v>
      </c>
      <c r="G4920" t="s">
        <v>56</v>
      </c>
      <c r="H4920" s="2">
        <v>50</v>
      </c>
      <c r="I4920">
        <v>83</v>
      </c>
      <c r="J4920">
        <v>415</v>
      </c>
      <c r="K4920" s="4">
        <v>191</v>
      </c>
      <c r="L4920" t="s">
        <v>17</v>
      </c>
    </row>
    <row r="4921" spans="1:12" x14ac:dyDescent="0.35">
      <c r="A4921" t="s">
        <v>51</v>
      </c>
      <c r="B4921">
        <v>1185732</v>
      </c>
      <c r="C4921" s="1">
        <v>44339</v>
      </c>
      <c r="D4921" t="s">
        <v>13</v>
      </c>
      <c r="E4921" t="s">
        <v>106</v>
      </c>
      <c r="F4921" t="s">
        <v>107</v>
      </c>
      <c r="G4921" t="s">
        <v>16</v>
      </c>
      <c r="H4921" s="2">
        <v>51</v>
      </c>
      <c r="I4921">
        <v>83</v>
      </c>
      <c r="J4921">
        <v>423</v>
      </c>
      <c r="K4921" s="4">
        <v>216</v>
      </c>
      <c r="L4921" t="s">
        <v>17</v>
      </c>
    </row>
    <row r="4922" spans="1:12" x14ac:dyDescent="0.35">
      <c r="A4922" t="s">
        <v>51</v>
      </c>
      <c r="B4922">
        <v>1185732</v>
      </c>
      <c r="C4922" s="1">
        <v>44491</v>
      </c>
      <c r="D4922" t="s">
        <v>13</v>
      </c>
      <c r="E4922" t="s">
        <v>106</v>
      </c>
      <c r="F4922" t="s">
        <v>107</v>
      </c>
      <c r="G4922" t="s">
        <v>39</v>
      </c>
      <c r="H4922" s="2">
        <v>41</v>
      </c>
      <c r="I4922">
        <v>83</v>
      </c>
      <c r="J4922">
        <v>340</v>
      </c>
      <c r="K4922" s="4">
        <v>170</v>
      </c>
      <c r="L4922" t="s">
        <v>17</v>
      </c>
    </row>
    <row r="4923" spans="1:12" x14ac:dyDescent="0.35">
      <c r="A4923" t="s">
        <v>51</v>
      </c>
      <c r="B4923">
        <v>1185732</v>
      </c>
      <c r="C4923" s="1">
        <v>44491</v>
      </c>
      <c r="D4923" t="s">
        <v>13</v>
      </c>
      <c r="E4923" t="s">
        <v>106</v>
      </c>
      <c r="F4923" t="s">
        <v>107</v>
      </c>
      <c r="G4923" t="s">
        <v>16</v>
      </c>
      <c r="H4923" s="2">
        <v>53</v>
      </c>
      <c r="I4923">
        <v>83</v>
      </c>
      <c r="J4923">
        <v>440</v>
      </c>
      <c r="K4923" s="4">
        <v>220</v>
      </c>
      <c r="L4923" t="s">
        <v>17</v>
      </c>
    </row>
    <row r="4924" spans="1:12" x14ac:dyDescent="0.35">
      <c r="A4924" t="s">
        <v>12</v>
      </c>
      <c r="B4924">
        <v>1197831</v>
      </c>
      <c r="C4924" s="1">
        <v>44490</v>
      </c>
      <c r="D4924" t="s">
        <v>19</v>
      </c>
      <c r="E4924" t="s">
        <v>54</v>
      </c>
      <c r="F4924" t="s">
        <v>55</v>
      </c>
      <c r="G4924" t="s">
        <v>70</v>
      </c>
      <c r="H4924" s="2">
        <v>27</v>
      </c>
      <c r="I4924">
        <v>83</v>
      </c>
      <c r="J4924">
        <v>224</v>
      </c>
      <c r="K4924" s="4">
        <v>105</v>
      </c>
      <c r="L4924" t="s">
        <v>17</v>
      </c>
    </row>
    <row r="4925" spans="1:12" x14ac:dyDescent="0.35">
      <c r="A4925" t="s">
        <v>63</v>
      </c>
      <c r="B4925">
        <v>1197831</v>
      </c>
      <c r="C4925" s="1">
        <v>44361</v>
      </c>
      <c r="D4925" t="s">
        <v>33</v>
      </c>
      <c r="E4925" t="s">
        <v>71</v>
      </c>
      <c r="F4925" t="s">
        <v>72</v>
      </c>
      <c r="G4925" t="s">
        <v>70</v>
      </c>
      <c r="H4925" s="2">
        <v>54</v>
      </c>
      <c r="I4925">
        <v>83</v>
      </c>
      <c r="J4925">
        <v>448</v>
      </c>
      <c r="K4925" s="4">
        <v>215</v>
      </c>
      <c r="L4925" t="s">
        <v>17</v>
      </c>
    </row>
    <row r="4926" spans="1:12" x14ac:dyDescent="0.35">
      <c r="A4926" t="s">
        <v>42</v>
      </c>
      <c r="B4926">
        <v>1197831</v>
      </c>
      <c r="C4926" s="1">
        <v>44513</v>
      </c>
      <c r="D4926" t="s">
        <v>33</v>
      </c>
      <c r="E4926" t="s">
        <v>71</v>
      </c>
      <c r="F4926" t="s">
        <v>72</v>
      </c>
      <c r="G4926" t="s">
        <v>56</v>
      </c>
      <c r="H4926" s="2">
        <v>54</v>
      </c>
      <c r="I4926">
        <v>83</v>
      </c>
      <c r="J4926">
        <v>448</v>
      </c>
      <c r="K4926" s="4">
        <v>215</v>
      </c>
      <c r="L4926" t="s">
        <v>17</v>
      </c>
    </row>
    <row r="4927" spans="1:12" x14ac:dyDescent="0.35">
      <c r="A4927" t="s">
        <v>42</v>
      </c>
      <c r="B4927">
        <v>1185732</v>
      </c>
      <c r="C4927" s="1">
        <v>44208</v>
      </c>
      <c r="D4927" t="s">
        <v>33</v>
      </c>
      <c r="E4927" t="s">
        <v>71</v>
      </c>
      <c r="F4927" t="s">
        <v>72</v>
      </c>
      <c r="G4927" t="s">
        <v>32</v>
      </c>
      <c r="H4927" s="2">
        <v>27</v>
      </c>
      <c r="I4927">
        <v>83</v>
      </c>
      <c r="J4927">
        <v>224</v>
      </c>
      <c r="K4927" s="4">
        <v>99</v>
      </c>
      <c r="L4927" t="s">
        <v>17</v>
      </c>
    </row>
    <row r="4928" spans="1:12" x14ac:dyDescent="0.35">
      <c r="A4928" t="s">
        <v>18</v>
      </c>
      <c r="B4928">
        <v>1185732</v>
      </c>
      <c r="C4928" s="1">
        <v>44535</v>
      </c>
      <c r="D4928" t="s">
        <v>33</v>
      </c>
      <c r="E4928" t="s">
        <v>91</v>
      </c>
      <c r="F4928" t="s">
        <v>92</v>
      </c>
      <c r="G4928" t="s">
        <v>32</v>
      </c>
      <c r="H4928" s="2">
        <v>47</v>
      </c>
      <c r="I4928">
        <v>83</v>
      </c>
      <c r="J4928">
        <v>390</v>
      </c>
      <c r="K4928" s="4">
        <v>164</v>
      </c>
      <c r="L4928" t="s">
        <v>17</v>
      </c>
    </row>
    <row r="4929" spans="1:12" x14ac:dyDescent="0.35">
      <c r="A4929" t="s">
        <v>18</v>
      </c>
      <c r="B4929">
        <v>1185732</v>
      </c>
      <c r="C4929" s="1">
        <v>44479</v>
      </c>
      <c r="D4929" t="s">
        <v>33</v>
      </c>
      <c r="E4929" t="s">
        <v>81</v>
      </c>
      <c r="F4929" t="s">
        <v>82</v>
      </c>
      <c r="G4929" t="s">
        <v>16</v>
      </c>
      <c r="H4929" s="2">
        <v>48</v>
      </c>
      <c r="I4929">
        <v>83</v>
      </c>
      <c r="J4929">
        <v>398</v>
      </c>
      <c r="K4929" s="4">
        <v>211</v>
      </c>
      <c r="L4929" t="s">
        <v>17</v>
      </c>
    </row>
    <row r="4930" spans="1:12" x14ac:dyDescent="0.35">
      <c r="A4930" t="s">
        <v>18</v>
      </c>
      <c r="B4930">
        <v>1185732</v>
      </c>
      <c r="C4930" s="1">
        <v>44510</v>
      </c>
      <c r="D4930" t="s">
        <v>33</v>
      </c>
      <c r="E4930" t="s">
        <v>81</v>
      </c>
      <c r="F4930" t="s">
        <v>82</v>
      </c>
      <c r="G4930" t="s">
        <v>56</v>
      </c>
      <c r="H4930" s="2">
        <v>34</v>
      </c>
      <c r="I4930">
        <v>83</v>
      </c>
      <c r="J4930">
        <v>282</v>
      </c>
      <c r="K4930" s="4">
        <v>141</v>
      </c>
      <c r="L4930" t="s">
        <v>17</v>
      </c>
    </row>
    <row r="4931" spans="1:12" x14ac:dyDescent="0.35">
      <c r="A4931" t="s">
        <v>23</v>
      </c>
      <c r="B4931">
        <v>1185732</v>
      </c>
      <c r="C4931" s="1">
        <v>44429</v>
      </c>
      <c r="D4931" t="s">
        <v>43</v>
      </c>
      <c r="E4931" t="s">
        <v>93</v>
      </c>
      <c r="F4931" t="s">
        <v>94</v>
      </c>
      <c r="G4931" t="s">
        <v>39</v>
      </c>
      <c r="H4931" s="2">
        <v>41</v>
      </c>
      <c r="I4931">
        <v>83</v>
      </c>
      <c r="J4931">
        <v>340</v>
      </c>
      <c r="K4931" s="4">
        <v>170</v>
      </c>
      <c r="L4931" t="s">
        <v>17</v>
      </c>
    </row>
    <row r="4932" spans="1:12" x14ac:dyDescent="0.35">
      <c r="A4932" t="s">
        <v>23</v>
      </c>
      <c r="B4932">
        <v>1185732</v>
      </c>
      <c r="C4932" s="1">
        <v>44536</v>
      </c>
      <c r="D4932" t="s">
        <v>43</v>
      </c>
      <c r="E4932" t="s">
        <v>83</v>
      </c>
      <c r="F4932" t="s">
        <v>84</v>
      </c>
      <c r="G4932" t="s">
        <v>56</v>
      </c>
      <c r="H4932" s="2">
        <v>47</v>
      </c>
      <c r="I4932">
        <v>83</v>
      </c>
      <c r="J4932">
        <v>390</v>
      </c>
      <c r="K4932" s="4">
        <v>199</v>
      </c>
      <c r="L4932" t="s">
        <v>17</v>
      </c>
    </row>
    <row r="4933" spans="1:12" x14ac:dyDescent="0.35">
      <c r="A4933" t="s">
        <v>23</v>
      </c>
      <c r="B4933">
        <v>1185732</v>
      </c>
      <c r="C4933" s="1">
        <v>44536</v>
      </c>
      <c r="D4933" t="s">
        <v>43</v>
      </c>
      <c r="E4933" t="s">
        <v>83</v>
      </c>
      <c r="F4933" t="s">
        <v>84</v>
      </c>
      <c r="G4933" t="s">
        <v>70</v>
      </c>
      <c r="H4933" s="2">
        <v>55</v>
      </c>
      <c r="I4933">
        <v>83</v>
      </c>
      <c r="J4933">
        <v>457</v>
      </c>
      <c r="K4933" s="4">
        <v>205</v>
      </c>
      <c r="L4933" t="s">
        <v>17</v>
      </c>
    </row>
    <row r="4934" spans="1:12" x14ac:dyDescent="0.35">
      <c r="A4934" t="s">
        <v>23</v>
      </c>
      <c r="B4934">
        <v>1185732</v>
      </c>
      <c r="C4934" s="1">
        <v>44442</v>
      </c>
      <c r="D4934" t="s">
        <v>43</v>
      </c>
      <c r="E4934" t="s">
        <v>108</v>
      </c>
      <c r="F4934" t="s">
        <v>109</v>
      </c>
      <c r="G4934" t="s">
        <v>16</v>
      </c>
      <c r="H4934" s="2">
        <v>54</v>
      </c>
      <c r="I4934">
        <v>83</v>
      </c>
      <c r="J4934">
        <v>448</v>
      </c>
      <c r="K4934" s="4">
        <v>220</v>
      </c>
      <c r="L4934" t="s">
        <v>17</v>
      </c>
    </row>
    <row r="4935" spans="1:12" x14ac:dyDescent="0.35">
      <c r="A4935" t="s">
        <v>23</v>
      </c>
      <c r="B4935">
        <v>1185732</v>
      </c>
      <c r="C4935" s="1">
        <v>44300</v>
      </c>
      <c r="D4935" t="s">
        <v>43</v>
      </c>
      <c r="E4935" t="s">
        <v>112</v>
      </c>
      <c r="F4935" t="s">
        <v>113</v>
      </c>
      <c r="G4935" t="s">
        <v>16</v>
      </c>
      <c r="H4935" s="2">
        <v>39</v>
      </c>
      <c r="I4935">
        <v>83</v>
      </c>
      <c r="J4935">
        <v>324</v>
      </c>
      <c r="K4935" s="4">
        <v>142</v>
      </c>
      <c r="L4935" t="s">
        <v>17</v>
      </c>
    </row>
    <row r="4936" spans="1:12" x14ac:dyDescent="0.35">
      <c r="A4936" t="s">
        <v>51</v>
      </c>
      <c r="B4936">
        <v>1185732</v>
      </c>
      <c r="C4936" s="1">
        <v>44514</v>
      </c>
      <c r="D4936" t="s">
        <v>43</v>
      </c>
      <c r="E4936" t="s">
        <v>112</v>
      </c>
      <c r="F4936" t="s">
        <v>113</v>
      </c>
      <c r="G4936" t="s">
        <v>32</v>
      </c>
      <c r="H4936" s="2">
        <v>50</v>
      </c>
      <c r="I4936">
        <v>83</v>
      </c>
      <c r="J4936">
        <v>415</v>
      </c>
      <c r="K4936" s="4">
        <v>149</v>
      </c>
      <c r="L4936" t="s">
        <v>17</v>
      </c>
    </row>
    <row r="4937" spans="1:12" x14ac:dyDescent="0.35">
      <c r="A4937" t="s">
        <v>51</v>
      </c>
      <c r="B4937">
        <v>1185732</v>
      </c>
      <c r="C4937" s="1">
        <v>44246</v>
      </c>
      <c r="D4937" t="s">
        <v>43</v>
      </c>
      <c r="E4937" t="s">
        <v>127</v>
      </c>
      <c r="F4937" t="s">
        <v>128</v>
      </c>
      <c r="G4937" t="s">
        <v>70</v>
      </c>
      <c r="H4937" s="2">
        <v>56</v>
      </c>
      <c r="I4937">
        <v>83</v>
      </c>
      <c r="J4937">
        <v>465</v>
      </c>
      <c r="K4937" s="4">
        <v>200</v>
      </c>
      <c r="L4937" t="s">
        <v>17</v>
      </c>
    </row>
    <row r="4938" spans="1:12" x14ac:dyDescent="0.35">
      <c r="A4938" t="s">
        <v>42</v>
      </c>
      <c r="B4938">
        <v>1185732</v>
      </c>
      <c r="C4938" s="1">
        <v>44249</v>
      </c>
      <c r="D4938" t="s">
        <v>43</v>
      </c>
      <c r="E4938" t="s">
        <v>127</v>
      </c>
      <c r="F4938" t="s">
        <v>128</v>
      </c>
      <c r="G4938" t="s">
        <v>32</v>
      </c>
      <c r="H4938" s="2">
        <v>43</v>
      </c>
      <c r="I4938">
        <v>83</v>
      </c>
      <c r="J4938">
        <v>357</v>
      </c>
      <c r="K4938" s="4">
        <v>143</v>
      </c>
      <c r="L4938" t="s">
        <v>17</v>
      </c>
    </row>
    <row r="4939" spans="1:12" x14ac:dyDescent="0.35">
      <c r="A4939" t="s">
        <v>42</v>
      </c>
      <c r="B4939">
        <v>1185732</v>
      </c>
      <c r="C4939" s="1">
        <v>43831</v>
      </c>
      <c r="D4939" t="s">
        <v>43</v>
      </c>
      <c r="E4939" t="s">
        <v>135</v>
      </c>
      <c r="F4939" t="s">
        <v>136</v>
      </c>
      <c r="G4939" t="s">
        <v>16</v>
      </c>
      <c r="H4939" s="2">
        <v>53</v>
      </c>
      <c r="I4939">
        <v>83</v>
      </c>
      <c r="J4939">
        <v>440</v>
      </c>
      <c r="K4939" s="4">
        <v>141</v>
      </c>
      <c r="L4939" t="s">
        <v>27</v>
      </c>
    </row>
    <row r="4940" spans="1:12" x14ac:dyDescent="0.35">
      <c r="A4940" t="s">
        <v>51</v>
      </c>
      <c r="B4940">
        <v>1185732</v>
      </c>
      <c r="C4940" s="1">
        <v>44483</v>
      </c>
      <c r="D4940" t="s">
        <v>19</v>
      </c>
      <c r="E4940" t="s">
        <v>24</v>
      </c>
      <c r="F4940" t="s">
        <v>25</v>
      </c>
      <c r="G4940" t="s">
        <v>32</v>
      </c>
      <c r="H4940" s="2">
        <v>23</v>
      </c>
      <c r="I4940">
        <v>83</v>
      </c>
      <c r="J4940">
        <v>191</v>
      </c>
      <c r="K4940" s="4">
        <v>80</v>
      </c>
      <c r="L4940" t="s">
        <v>27</v>
      </c>
    </row>
    <row r="4941" spans="1:12" x14ac:dyDescent="0.35">
      <c r="A4941" t="s">
        <v>42</v>
      </c>
      <c r="B4941">
        <v>1128299</v>
      </c>
      <c r="C4941" s="1">
        <v>44464</v>
      </c>
      <c r="D4941" t="s">
        <v>13</v>
      </c>
      <c r="E4941" t="s">
        <v>99</v>
      </c>
      <c r="F4941" t="s">
        <v>100</v>
      </c>
      <c r="G4941" t="s">
        <v>16</v>
      </c>
      <c r="H4941" s="2">
        <v>33</v>
      </c>
      <c r="I4941">
        <v>83</v>
      </c>
      <c r="J4941">
        <v>274</v>
      </c>
      <c r="K4941" s="4">
        <v>99</v>
      </c>
      <c r="L4941" t="s">
        <v>27</v>
      </c>
    </row>
    <row r="4942" spans="1:12" x14ac:dyDescent="0.35">
      <c r="A4942" t="s">
        <v>18</v>
      </c>
      <c r="B4942">
        <v>1128299</v>
      </c>
      <c r="C4942" s="1">
        <v>44464</v>
      </c>
      <c r="D4942" t="s">
        <v>48</v>
      </c>
      <c r="E4942" t="s">
        <v>85</v>
      </c>
      <c r="F4942" t="s">
        <v>86</v>
      </c>
      <c r="G4942" t="s">
        <v>32</v>
      </c>
      <c r="H4942" s="2">
        <v>39</v>
      </c>
      <c r="I4942">
        <v>83</v>
      </c>
      <c r="J4942">
        <v>324</v>
      </c>
      <c r="K4942" s="4">
        <v>136</v>
      </c>
      <c r="L4942" t="s">
        <v>27</v>
      </c>
    </row>
    <row r="4943" spans="1:12" x14ac:dyDescent="0.35">
      <c r="A4943" t="s">
        <v>18</v>
      </c>
      <c r="B4943">
        <v>1128299</v>
      </c>
      <c r="C4943" s="1">
        <v>44457</v>
      </c>
      <c r="D4943" t="s">
        <v>19</v>
      </c>
      <c r="E4943" t="s">
        <v>20</v>
      </c>
      <c r="F4943" t="s">
        <v>21</v>
      </c>
      <c r="G4943" t="s">
        <v>70</v>
      </c>
      <c r="H4943" s="2">
        <v>41</v>
      </c>
      <c r="I4943">
        <v>83</v>
      </c>
      <c r="J4943">
        <v>340</v>
      </c>
      <c r="K4943" s="4">
        <v>163</v>
      </c>
      <c r="L4943" t="s">
        <v>27</v>
      </c>
    </row>
    <row r="4944" spans="1:12" x14ac:dyDescent="0.35">
      <c r="A4944" t="s">
        <v>18</v>
      </c>
      <c r="B4944">
        <v>1197831</v>
      </c>
      <c r="C4944" s="1">
        <v>44248</v>
      </c>
      <c r="D4944" t="s">
        <v>19</v>
      </c>
      <c r="E4944" t="s">
        <v>54</v>
      </c>
      <c r="F4944" t="s">
        <v>55</v>
      </c>
      <c r="G4944" t="s">
        <v>39</v>
      </c>
      <c r="H4944" s="2">
        <v>17</v>
      </c>
      <c r="I4944">
        <v>83</v>
      </c>
      <c r="J4944">
        <v>141</v>
      </c>
      <c r="K4944" s="4">
        <v>55</v>
      </c>
      <c r="L4944" t="s">
        <v>27</v>
      </c>
    </row>
    <row r="4945" spans="1:12" x14ac:dyDescent="0.35">
      <c r="A4945" t="s">
        <v>18</v>
      </c>
      <c r="B4945">
        <v>1197831</v>
      </c>
      <c r="C4945" s="1">
        <v>44274</v>
      </c>
      <c r="D4945" t="s">
        <v>19</v>
      </c>
      <c r="E4945" t="s">
        <v>61</v>
      </c>
      <c r="F4945" t="s">
        <v>62</v>
      </c>
      <c r="G4945" t="s">
        <v>32</v>
      </c>
      <c r="H4945" s="2">
        <v>7</v>
      </c>
      <c r="I4945">
        <v>83</v>
      </c>
      <c r="J4945">
        <v>58</v>
      </c>
      <c r="K4945" s="4">
        <v>26</v>
      </c>
      <c r="L4945" t="s">
        <v>27</v>
      </c>
    </row>
    <row r="4946" spans="1:12" x14ac:dyDescent="0.35">
      <c r="A4946" t="s">
        <v>18</v>
      </c>
      <c r="B4946">
        <v>1197831</v>
      </c>
      <c r="C4946" s="1">
        <v>44458</v>
      </c>
      <c r="D4946" t="s">
        <v>19</v>
      </c>
      <c r="E4946" t="s">
        <v>61</v>
      </c>
      <c r="F4946" t="s">
        <v>62</v>
      </c>
      <c r="G4946" t="s">
        <v>56</v>
      </c>
      <c r="H4946" s="2">
        <v>12</v>
      </c>
      <c r="I4946">
        <v>83</v>
      </c>
      <c r="J4946">
        <v>100</v>
      </c>
      <c r="K4946" s="4">
        <v>42</v>
      </c>
      <c r="L4946" t="s">
        <v>27</v>
      </c>
    </row>
    <row r="4947" spans="1:12" x14ac:dyDescent="0.35">
      <c r="A4947" t="s">
        <v>23</v>
      </c>
      <c r="B4947">
        <v>1185732</v>
      </c>
      <c r="C4947" s="1">
        <v>44319</v>
      </c>
      <c r="D4947" t="s">
        <v>43</v>
      </c>
      <c r="E4947" t="s">
        <v>108</v>
      </c>
      <c r="F4947" t="s">
        <v>109</v>
      </c>
      <c r="G4947" t="s">
        <v>39</v>
      </c>
      <c r="H4947" s="2">
        <v>35</v>
      </c>
      <c r="I4947">
        <v>83</v>
      </c>
      <c r="J4947">
        <v>291</v>
      </c>
      <c r="K4947" s="4">
        <v>128</v>
      </c>
      <c r="L4947" t="s">
        <v>27</v>
      </c>
    </row>
    <row r="4948" spans="1:12" x14ac:dyDescent="0.35">
      <c r="A4948" t="s">
        <v>23</v>
      </c>
      <c r="B4948">
        <v>1185732</v>
      </c>
      <c r="C4948" s="1">
        <v>44319</v>
      </c>
      <c r="D4948" t="s">
        <v>43</v>
      </c>
      <c r="E4948" t="s">
        <v>108</v>
      </c>
      <c r="F4948" t="s">
        <v>109</v>
      </c>
      <c r="G4948" t="s">
        <v>32</v>
      </c>
      <c r="H4948" s="2">
        <v>32</v>
      </c>
      <c r="I4948">
        <v>83</v>
      </c>
      <c r="J4948">
        <v>266</v>
      </c>
      <c r="K4948" s="4">
        <v>90</v>
      </c>
      <c r="L4948" t="s">
        <v>27</v>
      </c>
    </row>
    <row r="4949" spans="1:12" x14ac:dyDescent="0.35">
      <c r="A4949" t="s">
        <v>23</v>
      </c>
      <c r="B4949">
        <v>1185732</v>
      </c>
      <c r="C4949" s="1">
        <v>44319</v>
      </c>
      <c r="D4949" t="s">
        <v>43</v>
      </c>
      <c r="E4949" t="s">
        <v>108</v>
      </c>
      <c r="F4949" t="s">
        <v>109</v>
      </c>
      <c r="G4949" t="s">
        <v>70</v>
      </c>
      <c r="H4949" s="2">
        <v>37</v>
      </c>
      <c r="I4949">
        <v>83</v>
      </c>
      <c r="J4949">
        <v>307</v>
      </c>
      <c r="K4949" s="4">
        <v>107</v>
      </c>
      <c r="L4949" t="s">
        <v>27</v>
      </c>
    </row>
    <row r="4950" spans="1:12" x14ac:dyDescent="0.35">
      <c r="A4950" t="s">
        <v>23</v>
      </c>
      <c r="B4950">
        <v>1185732</v>
      </c>
      <c r="C4950" s="1">
        <v>44442</v>
      </c>
      <c r="D4950" t="s">
        <v>43</v>
      </c>
      <c r="E4950" t="s">
        <v>108</v>
      </c>
      <c r="F4950" t="s">
        <v>109</v>
      </c>
      <c r="G4950" t="s">
        <v>16</v>
      </c>
      <c r="H4950" s="2">
        <v>45</v>
      </c>
      <c r="I4950">
        <v>83</v>
      </c>
      <c r="J4950">
        <v>374</v>
      </c>
      <c r="K4950" s="4">
        <v>157</v>
      </c>
      <c r="L4950" t="s">
        <v>27</v>
      </c>
    </row>
    <row r="4951" spans="1:12" x14ac:dyDescent="0.35">
      <c r="A4951" t="s">
        <v>42</v>
      </c>
      <c r="B4951">
        <v>1185732</v>
      </c>
      <c r="C4951" s="1">
        <v>44504</v>
      </c>
      <c r="D4951" t="s">
        <v>43</v>
      </c>
      <c r="E4951" t="s">
        <v>108</v>
      </c>
      <c r="F4951" t="s">
        <v>109</v>
      </c>
      <c r="G4951" t="s">
        <v>56</v>
      </c>
      <c r="H4951" s="2">
        <v>39</v>
      </c>
      <c r="I4951">
        <v>83</v>
      </c>
      <c r="J4951">
        <v>324</v>
      </c>
      <c r="K4951" s="4">
        <v>120</v>
      </c>
      <c r="L4951" t="s">
        <v>27</v>
      </c>
    </row>
    <row r="4952" spans="1:12" x14ac:dyDescent="0.35">
      <c r="A4952" t="s">
        <v>23</v>
      </c>
      <c r="B4952">
        <v>1185732</v>
      </c>
      <c r="C4952" s="1">
        <v>44507</v>
      </c>
      <c r="D4952" t="s">
        <v>43</v>
      </c>
      <c r="E4952" t="s">
        <v>110</v>
      </c>
      <c r="F4952" t="s">
        <v>111</v>
      </c>
      <c r="G4952" t="s">
        <v>16</v>
      </c>
      <c r="H4952" s="2">
        <v>46</v>
      </c>
      <c r="I4952">
        <v>83</v>
      </c>
      <c r="J4952">
        <v>382</v>
      </c>
      <c r="K4952" s="4">
        <v>168</v>
      </c>
      <c r="L4952" t="s">
        <v>27</v>
      </c>
    </row>
    <row r="4953" spans="1:12" x14ac:dyDescent="0.35">
      <c r="A4953" t="s">
        <v>23</v>
      </c>
      <c r="B4953">
        <v>1185732</v>
      </c>
      <c r="C4953" s="1">
        <v>44213</v>
      </c>
      <c r="D4953" t="s">
        <v>43</v>
      </c>
      <c r="E4953" t="s">
        <v>110</v>
      </c>
      <c r="F4953" t="s">
        <v>111</v>
      </c>
      <c r="G4953" t="s">
        <v>16</v>
      </c>
      <c r="H4953" s="2">
        <v>26</v>
      </c>
      <c r="I4953">
        <v>83</v>
      </c>
      <c r="J4953">
        <v>216</v>
      </c>
      <c r="K4953" s="4">
        <v>73</v>
      </c>
      <c r="L4953" t="s">
        <v>27</v>
      </c>
    </row>
    <row r="4954" spans="1:12" x14ac:dyDescent="0.35">
      <c r="A4954" t="s">
        <v>51</v>
      </c>
      <c r="B4954">
        <v>1185732</v>
      </c>
      <c r="C4954" s="1">
        <v>44514</v>
      </c>
      <c r="D4954" t="s">
        <v>43</v>
      </c>
      <c r="E4954" t="s">
        <v>112</v>
      </c>
      <c r="F4954" t="s">
        <v>113</v>
      </c>
      <c r="G4954" t="s">
        <v>56</v>
      </c>
      <c r="H4954" s="2">
        <v>42</v>
      </c>
      <c r="I4954">
        <v>83</v>
      </c>
      <c r="J4954">
        <v>349</v>
      </c>
      <c r="K4954" s="4">
        <v>101</v>
      </c>
      <c r="L4954" t="s">
        <v>27</v>
      </c>
    </row>
    <row r="4955" spans="1:12" x14ac:dyDescent="0.35">
      <c r="A4955" t="s">
        <v>51</v>
      </c>
      <c r="B4955">
        <v>1185732</v>
      </c>
      <c r="C4955" s="1">
        <v>44326</v>
      </c>
      <c r="D4955" t="s">
        <v>43</v>
      </c>
      <c r="E4955" t="s">
        <v>125</v>
      </c>
      <c r="F4955" t="s">
        <v>126</v>
      </c>
      <c r="G4955" t="s">
        <v>56</v>
      </c>
      <c r="H4955" s="2">
        <v>40</v>
      </c>
      <c r="I4955">
        <v>83</v>
      </c>
      <c r="J4955">
        <v>332</v>
      </c>
      <c r="K4955" s="4">
        <v>133</v>
      </c>
      <c r="L4955" t="s">
        <v>27</v>
      </c>
    </row>
    <row r="4956" spans="1:12" x14ac:dyDescent="0.35">
      <c r="A4956" t="s">
        <v>42</v>
      </c>
      <c r="B4956">
        <v>1185732</v>
      </c>
      <c r="C4956" s="1">
        <v>44249</v>
      </c>
      <c r="D4956" t="s">
        <v>43</v>
      </c>
      <c r="E4956" t="s">
        <v>127</v>
      </c>
      <c r="F4956" t="s">
        <v>128</v>
      </c>
      <c r="G4956" t="s">
        <v>32</v>
      </c>
      <c r="H4956" s="2">
        <v>29</v>
      </c>
      <c r="I4956">
        <v>83</v>
      </c>
      <c r="J4956">
        <v>241</v>
      </c>
      <c r="K4956" s="4">
        <v>65</v>
      </c>
      <c r="L4956" t="s">
        <v>27</v>
      </c>
    </row>
    <row r="4957" spans="1:12" x14ac:dyDescent="0.35">
      <c r="A4957" t="s">
        <v>42</v>
      </c>
      <c r="B4957">
        <v>1185732</v>
      </c>
      <c r="C4957" s="1">
        <v>44384</v>
      </c>
      <c r="D4957" t="s">
        <v>33</v>
      </c>
      <c r="E4957" t="s">
        <v>118</v>
      </c>
      <c r="F4957" t="s">
        <v>119</v>
      </c>
      <c r="G4957" t="s">
        <v>39</v>
      </c>
      <c r="H4957" s="2">
        <v>43</v>
      </c>
      <c r="I4957">
        <v>81</v>
      </c>
      <c r="J4957">
        <v>348</v>
      </c>
      <c r="K4957" s="4">
        <v>157</v>
      </c>
      <c r="L4957" t="s">
        <v>17</v>
      </c>
    </row>
    <row r="4958" spans="1:12" x14ac:dyDescent="0.35">
      <c r="A4958" t="s">
        <v>42</v>
      </c>
      <c r="B4958">
        <v>1185732</v>
      </c>
      <c r="C4958" s="1">
        <v>44418</v>
      </c>
      <c r="D4958" t="s">
        <v>33</v>
      </c>
      <c r="E4958" t="s">
        <v>118</v>
      </c>
      <c r="F4958" t="s">
        <v>119</v>
      </c>
      <c r="G4958" t="s">
        <v>16</v>
      </c>
      <c r="H4958" s="2">
        <v>64</v>
      </c>
      <c r="I4958">
        <v>81</v>
      </c>
      <c r="J4958">
        <v>518</v>
      </c>
      <c r="K4958" s="4">
        <v>327</v>
      </c>
      <c r="L4958" t="s">
        <v>17</v>
      </c>
    </row>
    <row r="4959" spans="1:12" x14ac:dyDescent="0.35">
      <c r="A4959" t="s">
        <v>23</v>
      </c>
      <c r="B4959">
        <v>1197831</v>
      </c>
      <c r="C4959" s="1">
        <v>44435</v>
      </c>
      <c r="D4959" t="s">
        <v>19</v>
      </c>
      <c r="E4959" t="s">
        <v>59</v>
      </c>
      <c r="F4959" t="s">
        <v>68</v>
      </c>
      <c r="G4959" t="s">
        <v>70</v>
      </c>
      <c r="H4959" s="2">
        <v>38</v>
      </c>
      <c r="I4959">
        <v>81</v>
      </c>
      <c r="J4959">
        <v>308</v>
      </c>
      <c r="K4959" s="4">
        <v>139</v>
      </c>
      <c r="L4959" t="s">
        <v>17</v>
      </c>
    </row>
    <row r="4960" spans="1:12" x14ac:dyDescent="0.35">
      <c r="A4960" t="s">
        <v>42</v>
      </c>
      <c r="B4960">
        <v>1185732</v>
      </c>
      <c r="C4960" s="1">
        <v>44526</v>
      </c>
      <c r="D4960" t="s">
        <v>43</v>
      </c>
      <c r="E4960" t="s">
        <v>135</v>
      </c>
      <c r="F4960" t="s">
        <v>136</v>
      </c>
      <c r="G4960" t="s">
        <v>16</v>
      </c>
      <c r="H4960" s="2">
        <v>65</v>
      </c>
      <c r="I4960">
        <v>81</v>
      </c>
      <c r="J4960">
        <v>527</v>
      </c>
      <c r="K4960" s="4">
        <v>221</v>
      </c>
      <c r="L4960" t="s">
        <v>17</v>
      </c>
    </row>
    <row r="4961" spans="1:12" x14ac:dyDescent="0.35">
      <c r="A4961" t="s">
        <v>18</v>
      </c>
      <c r="B4961">
        <v>1128299</v>
      </c>
      <c r="C4961" s="1">
        <v>43866</v>
      </c>
      <c r="D4961" t="s">
        <v>48</v>
      </c>
      <c r="E4961" t="s">
        <v>116</v>
      </c>
      <c r="F4961" t="s">
        <v>117</v>
      </c>
      <c r="G4961" t="s">
        <v>70</v>
      </c>
      <c r="H4961" s="2">
        <v>59</v>
      </c>
      <c r="I4961">
        <v>81</v>
      </c>
      <c r="J4961">
        <v>478</v>
      </c>
      <c r="K4961" s="4">
        <v>354</v>
      </c>
      <c r="L4961" t="s">
        <v>17</v>
      </c>
    </row>
    <row r="4962" spans="1:12" x14ac:dyDescent="0.35">
      <c r="A4962" t="s">
        <v>18</v>
      </c>
      <c r="B4962">
        <v>1128299</v>
      </c>
      <c r="C4962" s="1">
        <v>43891</v>
      </c>
      <c r="D4962" t="s">
        <v>48</v>
      </c>
      <c r="E4962" t="s">
        <v>116</v>
      </c>
      <c r="F4962" t="s">
        <v>117</v>
      </c>
      <c r="G4962" t="s">
        <v>70</v>
      </c>
      <c r="H4962" s="2">
        <v>63</v>
      </c>
      <c r="I4962">
        <v>81</v>
      </c>
      <c r="J4962">
        <v>510</v>
      </c>
      <c r="K4962" s="4">
        <v>311</v>
      </c>
      <c r="L4962" t="s">
        <v>17</v>
      </c>
    </row>
    <row r="4963" spans="1:12" x14ac:dyDescent="0.35">
      <c r="A4963" t="s">
        <v>42</v>
      </c>
      <c r="B4963">
        <v>1185732</v>
      </c>
      <c r="C4963" s="1">
        <v>44156</v>
      </c>
      <c r="D4963" t="s">
        <v>33</v>
      </c>
      <c r="E4963" t="s">
        <v>104</v>
      </c>
      <c r="F4963" t="s">
        <v>105</v>
      </c>
      <c r="G4963" t="s">
        <v>16</v>
      </c>
      <c r="H4963" s="2">
        <v>53</v>
      </c>
      <c r="I4963">
        <v>81</v>
      </c>
      <c r="J4963">
        <v>429</v>
      </c>
      <c r="K4963" s="4">
        <v>240</v>
      </c>
      <c r="L4963" t="s">
        <v>17</v>
      </c>
    </row>
    <row r="4964" spans="1:12" x14ac:dyDescent="0.35">
      <c r="A4964" t="s">
        <v>63</v>
      </c>
      <c r="B4964">
        <v>1189833</v>
      </c>
      <c r="C4964" s="1">
        <v>44202</v>
      </c>
      <c r="D4964" t="s">
        <v>33</v>
      </c>
      <c r="E4964" t="s">
        <v>131</v>
      </c>
      <c r="F4964" t="s">
        <v>132</v>
      </c>
      <c r="G4964" t="s">
        <v>56</v>
      </c>
      <c r="H4964" s="2">
        <v>44</v>
      </c>
      <c r="I4964">
        <v>81</v>
      </c>
      <c r="J4964">
        <v>356</v>
      </c>
      <c r="K4964" s="4">
        <v>196</v>
      </c>
      <c r="L4964" t="s">
        <v>17</v>
      </c>
    </row>
    <row r="4965" spans="1:12" x14ac:dyDescent="0.35">
      <c r="A4965" t="s">
        <v>42</v>
      </c>
      <c r="B4965">
        <v>1185732</v>
      </c>
      <c r="C4965" s="1">
        <v>44374</v>
      </c>
      <c r="D4965" t="s">
        <v>33</v>
      </c>
      <c r="E4965" t="s">
        <v>120</v>
      </c>
      <c r="F4965" t="s">
        <v>121</v>
      </c>
      <c r="G4965" t="s">
        <v>39</v>
      </c>
      <c r="H4965" s="2">
        <v>37</v>
      </c>
      <c r="I4965">
        <v>81</v>
      </c>
      <c r="J4965">
        <v>300</v>
      </c>
      <c r="K4965" s="4">
        <v>135</v>
      </c>
      <c r="L4965" t="s">
        <v>17</v>
      </c>
    </row>
    <row r="4966" spans="1:12" x14ac:dyDescent="0.35">
      <c r="A4966" t="s">
        <v>51</v>
      </c>
      <c r="B4966">
        <v>1185732</v>
      </c>
      <c r="C4966" s="1">
        <v>44369</v>
      </c>
      <c r="D4966" t="s">
        <v>48</v>
      </c>
      <c r="E4966" t="s">
        <v>137</v>
      </c>
      <c r="F4966" t="s">
        <v>138</v>
      </c>
      <c r="G4966" t="s">
        <v>32</v>
      </c>
      <c r="H4966" s="2">
        <v>53</v>
      </c>
      <c r="I4966">
        <v>81</v>
      </c>
      <c r="J4966">
        <v>429</v>
      </c>
      <c r="K4966" s="4">
        <v>155</v>
      </c>
      <c r="L4966" t="s">
        <v>17</v>
      </c>
    </row>
    <row r="4967" spans="1:12" x14ac:dyDescent="0.35">
      <c r="A4967" t="s">
        <v>51</v>
      </c>
      <c r="B4967">
        <v>1185732</v>
      </c>
      <c r="C4967" s="1">
        <v>44521</v>
      </c>
      <c r="D4967" t="s">
        <v>48</v>
      </c>
      <c r="E4967" t="s">
        <v>137</v>
      </c>
      <c r="F4967" t="s">
        <v>138</v>
      </c>
      <c r="G4967" t="s">
        <v>39</v>
      </c>
      <c r="H4967" s="2">
        <v>59</v>
      </c>
      <c r="I4967">
        <v>81</v>
      </c>
      <c r="J4967">
        <v>478</v>
      </c>
      <c r="K4967" s="4">
        <v>220</v>
      </c>
      <c r="L4967" t="s">
        <v>17</v>
      </c>
    </row>
    <row r="4968" spans="1:12" x14ac:dyDescent="0.35">
      <c r="A4968" t="s">
        <v>42</v>
      </c>
      <c r="B4968">
        <v>1128299</v>
      </c>
      <c r="C4968" s="1">
        <v>44296</v>
      </c>
      <c r="D4968" t="s">
        <v>48</v>
      </c>
      <c r="E4968" t="s">
        <v>129</v>
      </c>
      <c r="F4968" t="s">
        <v>130</v>
      </c>
      <c r="G4968" t="s">
        <v>39</v>
      </c>
      <c r="H4968" s="2">
        <v>61</v>
      </c>
      <c r="I4968">
        <v>81</v>
      </c>
      <c r="J4968">
        <v>494</v>
      </c>
      <c r="K4968" s="4">
        <v>173</v>
      </c>
      <c r="L4968" t="s">
        <v>17</v>
      </c>
    </row>
    <row r="4969" spans="1:12" x14ac:dyDescent="0.35">
      <c r="A4969" t="s">
        <v>42</v>
      </c>
      <c r="B4969">
        <v>1128299</v>
      </c>
      <c r="C4969" s="1">
        <v>44251</v>
      </c>
      <c r="D4969" t="s">
        <v>13</v>
      </c>
      <c r="E4969" t="s">
        <v>99</v>
      </c>
      <c r="F4969" t="s">
        <v>100</v>
      </c>
      <c r="G4969" t="s">
        <v>16</v>
      </c>
      <c r="H4969" s="2">
        <v>38</v>
      </c>
      <c r="I4969">
        <v>81</v>
      </c>
      <c r="J4969">
        <v>308</v>
      </c>
      <c r="K4969" s="4">
        <v>132</v>
      </c>
      <c r="L4969" t="s">
        <v>17</v>
      </c>
    </row>
    <row r="4970" spans="1:12" x14ac:dyDescent="0.35">
      <c r="A4970" t="s">
        <v>42</v>
      </c>
      <c r="B4970">
        <v>1185732</v>
      </c>
      <c r="C4970" s="1">
        <v>44426</v>
      </c>
      <c r="D4970" t="s">
        <v>33</v>
      </c>
      <c r="E4970" t="s">
        <v>34</v>
      </c>
      <c r="F4970" t="s">
        <v>35</v>
      </c>
      <c r="G4970" t="s">
        <v>70</v>
      </c>
      <c r="H4970" s="2">
        <v>34</v>
      </c>
      <c r="I4970">
        <v>81</v>
      </c>
      <c r="J4970">
        <v>275</v>
      </c>
      <c r="K4970" s="4">
        <v>129</v>
      </c>
      <c r="L4970" t="s">
        <v>17</v>
      </c>
    </row>
    <row r="4971" spans="1:12" x14ac:dyDescent="0.35">
      <c r="A4971" t="s">
        <v>42</v>
      </c>
      <c r="B4971">
        <v>1185732</v>
      </c>
      <c r="C4971" s="1">
        <v>44518</v>
      </c>
      <c r="D4971" t="s">
        <v>33</v>
      </c>
      <c r="E4971" t="s">
        <v>34</v>
      </c>
      <c r="F4971" t="s">
        <v>35</v>
      </c>
      <c r="G4971" t="s">
        <v>70</v>
      </c>
      <c r="H4971" s="2">
        <v>43</v>
      </c>
      <c r="I4971">
        <v>81</v>
      </c>
      <c r="J4971">
        <v>348</v>
      </c>
      <c r="K4971" s="4">
        <v>167</v>
      </c>
      <c r="L4971" t="s">
        <v>17</v>
      </c>
    </row>
    <row r="4972" spans="1:12" x14ac:dyDescent="0.35">
      <c r="A4972" t="s">
        <v>18</v>
      </c>
      <c r="B4972">
        <v>1128299</v>
      </c>
      <c r="C4972" s="1">
        <v>44493</v>
      </c>
      <c r="D4972" t="s">
        <v>48</v>
      </c>
      <c r="E4972" t="s">
        <v>85</v>
      </c>
      <c r="F4972" t="s">
        <v>86</v>
      </c>
      <c r="G4972" t="s">
        <v>56</v>
      </c>
      <c r="H4972" s="2">
        <v>44</v>
      </c>
      <c r="I4972">
        <v>81</v>
      </c>
      <c r="J4972">
        <v>356</v>
      </c>
      <c r="K4972" s="4">
        <v>171</v>
      </c>
      <c r="L4972" t="s">
        <v>17</v>
      </c>
    </row>
    <row r="4973" spans="1:12" x14ac:dyDescent="0.35">
      <c r="A4973" t="s">
        <v>51</v>
      </c>
      <c r="B4973">
        <v>1185732</v>
      </c>
      <c r="C4973" s="1">
        <v>44218</v>
      </c>
      <c r="D4973" t="s">
        <v>33</v>
      </c>
      <c r="E4973" t="s">
        <v>52</v>
      </c>
      <c r="F4973" t="s">
        <v>53</v>
      </c>
      <c r="G4973" t="s">
        <v>16</v>
      </c>
      <c r="H4973" s="2">
        <v>37</v>
      </c>
      <c r="I4973">
        <v>81</v>
      </c>
      <c r="J4973">
        <v>300</v>
      </c>
      <c r="K4973" s="4">
        <v>162</v>
      </c>
      <c r="L4973" t="s">
        <v>17</v>
      </c>
    </row>
    <row r="4974" spans="1:12" x14ac:dyDescent="0.35">
      <c r="A4974" t="s">
        <v>42</v>
      </c>
      <c r="B4974">
        <v>1185732</v>
      </c>
      <c r="C4974" s="1">
        <v>44271</v>
      </c>
      <c r="D4974" t="s">
        <v>19</v>
      </c>
      <c r="E4974" t="s">
        <v>37</v>
      </c>
      <c r="F4974" t="s">
        <v>38</v>
      </c>
      <c r="G4974" t="s">
        <v>70</v>
      </c>
      <c r="H4974" s="2">
        <v>32</v>
      </c>
      <c r="I4974">
        <v>81</v>
      </c>
      <c r="J4974">
        <v>259</v>
      </c>
      <c r="K4974" s="4">
        <v>119</v>
      </c>
      <c r="L4974" t="s">
        <v>17</v>
      </c>
    </row>
    <row r="4975" spans="1:12" x14ac:dyDescent="0.35">
      <c r="A4975" t="s">
        <v>42</v>
      </c>
      <c r="B4975">
        <v>1185732</v>
      </c>
      <c r="C4975" s="1">
        <v>44303</v>
      </c>
      <c r="D4975" t="s">
        <v>19</v>
      </c>
      <c r="E4975" t="s">
        <v>37</v>
      </c>
      <c r="F4975" t="s">
        <v>38</v>
      </c>
      <c r="G4975" t="s">
        <v>70</v>
      </c>
      <c r="H4975" s="2">
        <v>38</v>
      </c>
      <c r="I4975">
        <v>81</v>
      </c>
      <c r="J4975">
        <v>308</v>
      </c>
      <c r="K4975" s="4">
        <v>148</v>
      </c>
      <c r="L4975" t="s">
        <v>17</v>
      </c>
    </row>
    <row r="4976" spans="1:12" x14ac:dyDescent="0.35">
      <c r="A4976" t="s">
        <v>12</v>
      </c>
      <c r="B4976">
        <v>1197831</v>
      </c>
      <c r="C4976" s="1">
        <v>44306</v>
      </c>
      <c r="D4976" t="s">
        <v>19</v>
      </c>
      <c r="E4976" t="s">
        <v>54</v>
      </c>
      <c r="F4976" t="s">
        <v>55</v>
      </c>
      <c r="G4976" t="s">
        <v>39</v>
      </c>
      <c r="H4976" s="2">
        <v>24</v>
      </c>
      <c r="I4976">
        <v>81</v>
      </c>
      <c r="J4976">
        <v>194</v>
      </c>
      <c r="K4976" s="4">
        <v>95</v>
      </c>
      <c r="L4976" t="s">
        <v>17</v>
      </c>
    </row>
    <row r="4977" spans="1:12" x14ac:dyDescent="0.35">
      <c r="A4977" t="s">
        <v>18</v>
      </c>
      <c r="B4977">
        <v>1197831</v>
      </c>
      <c r="C4977" s="1">
        <v>44428</v>
      </c>
      <c r="D4977" t="s">
        <v>19</v>
      </c>
      <c r="E4977" t="s">
        <v>61</v>
      </c>
      <c r="F4977" t="s">
        <v>62</v>
      </c>
      <c r="G4977" t="s">
        <v>70</v>
      </c>
      <c r="H4977" s="2">
        <v>47</v>
      </c>
      <c r="I4977">
        <v>81</v>
      </c>
      <c r="J4977">
        <v>381</v>
      </c>
      <c r="K4977" s="4">
        <v>171</v>
      </c>
      <c r="L4977" t="s">
        <v>17</v>
      </c>
    </row>
    <row r="4978" spans="1:12" x14ac:dyDescent="0.35">
      <c r="A4978" t="s">
        <v>63</v>
      </c>
      <c r="B4978">
        <v>1197831</v>
      </c>
      <c r="C4978" s="1">
        <v>44549</v>
      </c>
      <c r="D4978" t="s">
        <v>19</v>
      </c>
      <c r="E4978" t="s">
        <v>61</v>
      </c>
      <c r="F4978" t="s">
        <v>62</v>
      </c>
      <c r="G4978" t="s">
        <v>70</v>
      </c>
      <c r="H4978" s="2">
        <v>69</v>
      </c>
      <c r="I4978">
        <v>81</v>
      </c>
      <c r="J4978">
        <v>559</v>
      </c>
      <c r="K4978" s="4">
        <v>268</v>
      </c>
      <c r="L4978" t="s">
        <v>17</v>
      </c>
    </row>
    <row r="4979" spans="1:12" x14ac:dyDescent="0.35">
      <c r="A4979" t="s">
        <v>63</v>
      </c>
      <c r="B4979">
        <v>1197831</v>
      </c>
      <c r="C4979" s="1">
        <v>44299</v>
      </c>
      <c r="D4979" t="s">
        <v>33</v>
      </c>
      <c r="E4979" t="s">
        <v>71</v>
      </c>
      <c r="F4979" t="s">
        <v>72</v>
      </c>
      <c r="G4979" t="s">
        <v>16</v>
      </c>
      <c r="H4979" s="2">
        <v>29</v>
      </c>
      <c r="I4979">
        <v>81</v>
      </c>
      <c r="J4979">
        <v>235</v>
      </c>
      <c r="K4979" s="4">
        <v>115</v>
      </c>
      <c r="L4979" t="s">
        <v>17</v>
      </c>
    </row>
    <row r="4980" spans="1:12" x14ac:dyDescent="0.35">
      <c r="A4980" t="s">
        <v>63</v>
      </c>
      <c r="B4980">
        <v>1197831</v>
      </c>
      <c r="C4980" s="1">
        <v>44361</v>
      </c>
      <c r="D4980" t="s">
        <v>33</v>
      </c>
      <c r="E4980" t="s">
        <v>71</v>
      </c>
      <c r="F4980" t="s">
        <v>72</v>
      </c>
      <c r="G4980" t="s">
        <v>32</v>
      </c>
      <c r="H4980" s="2">
        <v>37</v>
      </c>
      <c r="I4980">
        <v>81</v>
      </c>
      <c r="J4980">
        <v>300</v>
      </c>
      <c r="K4980" s="4">
        <v>138</v>
      </c>
      <c r="L4980" t="s">
        <v>17</v>
      </c>
    </row>
    <row r="4981" spans="1:12" x14ac:dyDescent="0.35">
      <c r="A4981" t="s">
        <v>42</v>
      </c>
      <c r="B4981">
        <v>1197831</v>
      </c>
      <c r="C4981" s="1">
        <v>44542</v>
      </c>
      <c r="D4981" t="s">
        <v>33</v>
      </c>
      <c r="E4981" t="s">
        <v>71</v>
      </c>
      <c r="F4981" t="s">
        <v>72</v>
      </c>
      <c r="G4981" t="s">
        <v>70</v>
      </c>
      <c r="H4981" s="2">
        <v>64</v>
      </c>
      <c r="I4981">
        <v>81</v>
      </c>
      <c r="J4981">
        <v>518</v>
      </c>
      <c r="K4981" s="4">
        <v>259</v>
      </c>
      <c r="L4981" t="s">
        <v>17</v>
      </c>
    </row>
    <row r="4982" spans="1:12" x14ac:dyDescent="0.35">
      <c r="A4982" t="s">
        <v>42</v>
      </c>
      <c r="B4982">
        <v>1185732</v>
      </c>
      <c r="C4982" s="1">
        <v>44388</v>
      </c>
      <c r="D4982" t="s">
        <v>33</v>
      </c>
      <c r="E4982" t="s">
        <v>87</v>
      </c>
      <c r="F4982" t="s">
        <v>88</v>
      </c>
      <c r="G4982" t="s">
        <v>39</v>
      </c>
      <c r="H4982" s="2">
        <v>44</v>
      </c>
      <c r="I4982">
        <v>81</v>
      </c>
      <c r="J4982">
        <v>356</v>
      </c>
      <c r="K4982" s="4">
        <v>160</v>
      </c>
      <c r="L4982" t="s">
        <v>17</v>
      </c>
    </row>
    <row r="4983" spans="1:12" x14ac:dyDescent="0.35">
      <c r="A4983" t="s">
        <v>18</v>
      </c>
      <c r="B4983">
        <v>1185732</v>
      </c>
      <c r="C4983" s="1">
        <v>44510</v>
      </c>
      <c r="D4983" t="s">
        <v>33</v>
      </c>
      <c r="E4983" t="s">
        <v>81</v>
      </c>
      <c r="F4983" t="s">
        <v>82</v>
      </c>
      <c r="G4983" t="s">
        <v>32</v>
      </c>
      <c r="H4983" s="2">
        <v>32</v>
      </c>
      <c r="I4983">
        <v>81</v>
      </c>
      <c r="J4983">
        <v>259</v>
      </c>
      <c r="K4983" s="4">
        <v>124</v>
      </c>
      <c r="L4983" t="s">
        <v>17</v>
      </c>
    </row>
    <row r="4984" spans="1:12" x14ac:dyDescent="0.35">
      <c r="A4984" t="s">
        <v>18</v>
      </c>
      <c r="B4984">
        <v>1185732</v>
      </c>
      <c r="C4984" s="1">
        <v>44271</v>
      </c>
      <c r="D4984" t="s">
        <v>43</v>
      </c>
      <c r="E4984" t="s">
        <v>64</v>
      </c>
      <c r="F4984" t="s">
        <v>65</v>
      </c>
      <c r="G4984" t="s">
        <v>16</v>
      </c>
      <c r="H4984" s="2">
        <v>29</v>
      </c>
      <c r="I4984">
        <v>81</v>
      </c>
      <c r="J4984">
        <v>235</v>
      </c>
      <c r="K4984" s="4">
        <v>127</v>
      </c>
      <c r="L4984" t="s">
        <v>17</v>
      </c>
    </row>
    <row r="4985" spans="1:12" x14ac:dyDescent="0.35">
      <c r="A4985" t="s">
        <v>18</v>
      </c>
      <c r="B4985">
        <v>1185732</v>
      </c>
      <c r="C4985" s="1">
        <v>44364</v>
      </c>
      <c r="D4985" t="s">
        <v>43</v>
      </c>
      <c r="E4985" t="s">
        <v>64</v>
      </c>
      <c r="F4985" t="s">
        <v>65</v>
      </c>
      <c r="G4985" t="s">
        <v>32</v>
      </c>
      <c r="H4985" s="2">
        <v>33</v>
      </c>
      <c r="I4985">
        <v>81</v>
      </c>
      <c r="J4985">
        <v>267</v>
      </c>
      <c r="K4985" s="4">
        <v>144</v>
      </c>
      <c r="L4985" t="s">
        <v>17</v>
      </c>
    </row>
    <row r="4986" spans="1:12" x14ac:dyDescent="0.35">
      <c r="A4986" t="s">
        <v>23</v>
      </c>
      <c r="B4986">
        <v>1185732</v>
      </c>
      <c r="C4986" s="1">
        <v>44429</v>
      </c>
      <c r="D4986" t="s">
        <v>43</v>
      </c>
      <c r="E4986" t="s">
        <v>93</v>
      </c>
      <c r="F4986" t="s">
        <v>94</v>
      </c>
      <c r="G4986" t="s">
        <v>16</v>
      </c>
      <c r="H4986" s="2">
        <v>53</v>
      </c>
      <c r="I4986">
        <v>81</v>
      </c>
      <c r="J4986">
        <v>429</v>
      </c>
      <c r="K4986" s="4">
        <v>185</v>
      </c>
      <c r="L4986" t="s">
        <v>17</v>
      </c>
    </row>
    <row r="4987" spans="1:12" x14ac:dyDescent="0.35">
      <c r="A4987" t="s">
        <v>42</v>
      </c>
      <c r="B4987">
        <v>1185732</v>
      </c>
      <c r="C4987" s="1">
        <v>44213</v>
      </c>
      <c r="D4987" t="s">
        <v>43</v>
      </c>
      <c r="E4987" t="s">
        <v>93</v>
      </c>
      <c r="F4987" t="s">
        <v>94</v>
      </c>
      <c r="G4987" t="s">
        <v>39</v>
      </c>
      <c r="H4987" s="2">
        <v>38</v>
      </c>
      <c r="I4987">
        <v>81</v>
      </c>
      <c r="J4987">
        <v>308</v>
      </c>
      <c r="K4987" s="4">
        <v>154</v>
      </c>
      <c r="L4987" t="s">
        <v>17</v>
      </c>
    </row>
    <row r="4988" spans="1:12" x14ac:dyDescent="0.35">
      <c r="A4988" t="s">
        <v>42</v>
      </c>
      <c r="B4988">
        <v>1185732</v>
      </c>
      <c r="C4988" s="1">
        <v>44213</v>
      </c>
      <c r="D4988" t="s">
        <v>43</v>
      </c>
      <c r="E4988" t="s">
        <v>93</v>
      </c>
      <c r="F4988" t="s">
        <v>94</v>
      </c>
      <c r="G4988" t="s">
        <v>16</v>
      </c>
      <c r="H4988" s="2">
        <v>36</v>
      </c>
      <c r="I4988">
        <v>81</v>
      </c>
      <c r="J4988">
        <v>292</v>
      </c>
      <c r="K4988" s="4">
        <v>149</v>
      </c>
      <c r="L4988" t="s">
        <v>17</v>
      </c>
    </row>
    <row r="4989" spans="1:12" x14ac:dyDescent="0.35">
      <c r="A4989" t="s">
        <v>42</v>
      </c>
      <c r="B4989">
        <v>1185732</v>
      </c>
      <c r="C4989" s="1">
        <v>44329</v>
      </c>
      <c r="D4989" t="s">
        <v>43</v>
      </c>
      <c r="E4989" t="s">
        <v>95</v>
      </c>
      <c r="F4989" t="s">
        <v>96</v>
      </c>
      <c r="G4989" t="s">
        <v>32</v>
      </c>
      <c r="H4989" s="2">
        <v>41</v>
      </c>
      <c r="I4989">
        <v>81</v>
      </c>
      <c r="J4989">
        <v>332</v>
      </c>
      <c r="K4989" s="4">
        <v>173</v>
      </c>
      <c r="L4989" t="s">
        <v>17</v>
      </c>
    </row>
    <row r="4990" spans="1:12" x14ac:dyDescent="0.35">
      <c r="A4990" t="s">
        <v>63</v>
      </c>
      <c r="B4990">
        <v>1185732</v>
      </c>
      <c r="C4990" s="1">
        <v>44383</v>
      </c>
      <c r="D4990" t="s">
        <v>43</v>
      </c>
      <c r="E4990" t="s">
        <v>83</v>
      </c>
      <c r="F4990" t="s">
        <v>84</v>
      </c>
      <c r="G4990" t="s">
        <v>32</v>
      </c>
      <c r="H4990" s="2">
        <v>37</v>
      </c>
      <c r="I4990">
        <v>81</v>
      </c>
      <c r="J4990">
        <v>300</v>
      </c>
      <c r="K4990" s="4">
        <v>156</v>
      </c>
      <c r="L4990" t="s">
        <v>17</v>
      </c>
    </row>
    <row r="4991" spans="1:12" x14ac:dyDescent="0.35">
      <c r="A4991" t="s">
        <v>23</v>
      </c>
      <c r="B4991">
        <v>1185732</v>
      </c>
      <c r="C4991" s="1">
        <v>44203</v>
      </c>
      <c r="D4991" t="s">
        <v>43</v>
      </c>
      <c r="E4991" t="s">
        <v>83</v>
      </c>
      <c r="F4991" t="s">
        <v>84</v>
      </c>
      <c r="G4991" t="s">
        <v>16</v>
      </c>
      <c r="H4991" s="2">
        <v>37</v>
      </c>
      <c r="I4991">
        <v>81</v>
      </c>
      <c r="J4991">
        <v>300</v>
      </c>
      <c r="K4991" s="4">
        <v>150</v>
      </c>
      <c r="L4991" t="s">
        <v>17</v>
      </c>
    </row>
    <row r="4992" spans="1:12" x14ac:dyDescent="0.35">
      <c r="A4992" t="s">
        <v>23</v>
      </c>
      <c r="B4992">
        <v>1185732</v>
      </c>
      <c r="C4992" s="1">
        <v>44380</v>
      </c>
      <c r="D4992" t="s">
        <v>43</v>
      </c>
      <c r="E4992" t="s">
        <v>108</v>
      </c>
      <c r="F4992" t="s">
        <v>109</v>
      </c>
      <c r="G4992" t="s">
        <v>32</v>
      </c>
      <c r="H4992" s="2">
        <v>44</v>
      </c>
      <c r="I4992">
        <v>81</v>
      </c>
      <c r="J4992">
        <v>356</v>
      </c>
      <c r="K4992" s="4">
        <v>157</v>
      </c>
      <c r="L4992" t="s">
        <v>17</v>
      </c>
    </row>
    <row r="4993" spans="1:12" x14ac:dyDescent="0.35">
      <c r="A4993" t="s">
        <v>23</v>
      </c>
      <c r="B4993">
        <v>1185732</v>
      </c>
      <c r="C4993" s="1">
        <v>44380</v>
      </c>
      <c r="D4993" t="s">
        <v>43</v>
      </c>
      <c r="E4993" t="s">
        <v>108</v>
      </c>
      <c r="F4993" t="s">
        <v>109</v>
      </c>
      <c r="G4993" t="s">
        <v>70</v>
      </c>
      <c r="H4993" s="2">
        <v>53</v>
      </c>
      <c r="I4993">
        <v>81</v>
      </c>
      <c r="J4993">
        <v>429</v>
      </c>
      <c r="K4993" s="4">
        <v>189</v>
      </c>
      <c r="L4993" t="s">
        <v>17</v>
      </c>
    </row>
    <row r="4994" spans="1:12" x14ac:dyDescent="0.35">
      <c r="A4994" t="s">
        <v>42</v>
      </c>
      <c r="B4994">
        <v>1185732</v>
      </c>
      <c r="C4994" s="1">
        <v>44322</v>
      </c>
      <c r="D4994" t="s">
        <v>43</v>
      </c>
      <c r="E4994" t="s">
        <v>110</v>
      </c>
      <c r="F4994" t="s">
        <v>111</v>
      </c>
      <c r="G4994" t="s">
        <v>16</v>
      </c>
      <c r="H4994" s="2">
        <v>52</v>
      </c>
      <c r="I4994">
        <v>81</v>
      </c>
      <c r="J4994">
        <v>421</v>
      </c>
      <c r="K4994" s="4">
        <v>223</v>
      </c>
      <c r="L4994" t="s">
        <v>17</v>
      </c>
    </row>
    <row r="4995" spans="1:12" x14ac:dyDescent="0.35">
      <c r="A4995" t="s">
        <v>42</v>
      </c>
      <c r="B4995">
        <v>1185732</v>
      </c>
      <c r="C4995" s="1">
        <v>44383</v>
      </c>
      <c r="D4995" t="s">
        <v>43</v>
      </c>
      <c r="E4995" t="s">
        <v>110</v>
      </c>
      <c r="F4995" t="s">
        <v>111</v>
      </c>
      <c r="G4995" t="s">
        <v>39</v>
      </c>
      <c r="H4995" s="2">
        <v>41</v>
      </c>
      <c r="I4995">
        <v>81</v>
      </c>
      <c r="J4995">
        <v>332</v>
      </c>
      <c r="K4995" s="4">
        <v>166</v>
      </c>
      <c r="L4995" t="s">
        <v>17</v>
      </c>
    </row>
    <row r="4996" spans="1:12" x14ac:dyDescent="0.35">
      <c r="A4996" t="s">
        <v>51</v>
      </c>
      <c r="B4996">
        <v>1185732</v>
      </c>
      <c r="C4996" s="1">
        <v>44359</v>
      </c>
      <c r="D4996" t="s">
        <v>43</v>
      </c>
      <c r="E4996" t="s">
        <v>125</v>
      </c>
      <c r="F4996" t="s">
        <v>126</v>
      </c>
      <c r="G4996" t="s">
        <v>32</v>
      </c>
      <c r="H4996" s="2">
        <v>45</v>
      </c>
      <c r="I4996">
        <v>81</v>
      </c>
      <c r="J4996">
        <v>365</v>
      </c>
      <c r="K4996" s="4">
        <v>171</v>
      </c>
      <c r="L4996" t="s">
        <v>17</v>
      </c>
    </row>
    <row r="4997" spans="1:12" x14ac:dyDescent="0.35">
      <c r="A4997" t="s">
        <v>51</v>
      </c>
      <c r="B4997">
        <v>1185732</v>
      </c>
      <c r="C4997" s="1">
        <v>44359</v>
      </c>
      <c r="D4997" t="s">
        <v>43</v>
      </c>
      <c r="E4997" t="s">
        <v>125</v>
      </c>
      <c r="F4997" t="s">
        <v>126</v>
      </c>
      <c r="G4997" t="s">
        <v>70</v>
      </c>
      <c r="H4997" s="2">
        <v>58</v>
      </c>
      <c r="I4997">
        <v>81</v>
      </c>
      <c r="J4997">
        <v>470</v>
      </c>
      <c r="K4997" s="4">
        <v>235</v>
      </c>
      <c r="L4997" t="s">
        <v>17</v>
      </c>
    </row>
    <row r="4998" spans="1:12" x14ac:dyDescent="0.35">
      <c r="A4998" t="s">
        <v>18</v>
      </c>
      <c r="B4998">
        <v>1185732</v>
      </c>
      <c r="C4998" s="1">
        <v>44481</v>
      </c>
      <c r="D4998" t="s">
        <v>43</v>
      </c>
      <c r="E4998" t="s">
        <v>125</v>
      </c>
      <c r="F4998" t="s">
        <v>126</v>
      </c>
      <c r="G4998" t="s">
        <v>16</v>
      </c>
      <c r="H4998" s="2">
        <v>71</v>
      </c>
      <c r="I4998">
        <v>81</v>
      </c>
      <c r="J4998">
        <v>575</v>
      </c>
      <c r="K4998" s="4">
        <v>305</v>
      </c>
      <c r="L4998" t="s">
        <v>17</v>
      </c>
    </row>
    <row r="4999" spans="1:12" x14ac:dyDescent="0.35">
      <c r="A4999" t="s">
        <v>18</v>
      </c>
      <c r="B4999">
        <v>1185732</v>
      </c>
      <c r="C4999" s="1">
        <v>44511</v>
      </c>
      <c r="D4999" t="s">
        <v>43</v>
      </c>
      <c r="E4999" t="s">
        <v>125</v>
      </c>
      <c r="F4999" t="s">
        <v>126</v>
      </c>
      <c r="G4999" t="s">
        <v>39</v>
      </c>
      <c r="H4999" s="2">
        <v>55</v>
      </c>
      <c r="I4999">
        <v>81</v>
      </c>
      <c r="J4999">
        <v>446</v>
      </c>
      <c r="K4999" s="4">
        <v>258</v>
      </c>
      <c r="L4999" t="s">
        <v>17</v>
      </c>
    </row>
    <row r="5000" spans="1:12" x14ac:dyDescent="0.35">
      <c r="A5000" t="s">
        <v>51</v>
      </c>
      <c r="B5000">
        <v>1185732</v>
      </c>
      <c r="C5000" s="1">
        <v>44540</v>
      </c>
      <c r="D5000" t="s">
        <v>43</v>
      </c>
      <c r="E5000" t="s">
        <v>125</v>
      </c>
      <c r="F5000" t="s">
        <v>126</v>
      </c>
      <c r="G5000" t="s">
        <v>56</v>
      </c>
      <c r="H5000" s="2">
        <v>56</v>
      </c>
      <c r="I5000">
        <v>81</v>
      </c>
      <c r="J5000">
        <v>454</v>
      </c>
      <c r="K5000" s="4">
        <v>204</v>
      </c>
      <c r="L5000" t="s">
        <v>17</v>
      </c>
    </row>
  </sheetData>
  <mergeCells count="1">
    <mergeCell ref="N12:O12"/>
  </mergeCells>
  <pageMargins left="0.7" right="0.7" top="0.75" bottom="0.75" header="0.3" footer="0.3"/>
  <ignoredErrors>
    <ignoredError sqref="P5" evalError="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82C39-D563-4A24-91F8-43DB88C6E1C8}">
  <dimension ref="A1:S27"/>
  <sheetViews>
    <sheetView zoomScale="65" workbookViewId="0">
      <selection activeCell="X18" sqref="X18"/>
    </sheetView>
  </sheetViews>
  <sheetFormatPr defaultRowHeight="14.5" x14ac:dyDescent="0.35"/>
  <sheetData>
    <row r="1" spans="1:19" x14ac:dyDescent="0.35">
      <c r="A1" s="33"/>
      <c r="B1" s="33"/>
      <c r="C1" s="33"/>
      <c r="D1" s="33"/>
      <c r="E1" s="33"/>
      <c r="F1" s="33"/>
      <c r="G1" s="33"/>
      <c r="H1" s="33"/>
      <c r="I1" s="33"/>
      <c r="J1" s="33"/>
      <c r="K1" s="33"/>
      <c r="L1" s="33"/>
      <c r="M1" s="33"/>
      <c r="N1" s="33"/>
      <c r="O1" s="33"/>
      <c r="P1" s="33"/>
      <c r="Q1" s="33"/>
      <c r="R1" s="33"/>
      <c r="S1" s="33"/>
    </row>
    <row r="2" spans="1:19" x14ac:dyDescent="0.35">
      <c r="A2" s="33"/>
      <c r="B2" s="33"/>
      <c r="C2" s="33"/>
      <c r="D2" s="33"/>
      <c r="E2" s="33"/>
      <c r="F2" s="33"/>
      <c r="G2" s="33"/>
      <c r="H2" s="33"/>
      <c r="I2" s="33"/>
      <c r="J2" s="33"/>
      <c r="K2" s="33"/>
      <c r="L2" s="33"/>
      <c r="M2" s="33"/>
      <c r="N2" s="33"/>
      <c r="O2" s="33"/>
      <c r="P2" s="33"/>
      <c r="Q2" s="33"/>
      <c r="R2" s="33"/>
      <c r="S2" s="33"/>
    </row>
    <row r="3" spans="1:19" x14ac:dyDescent="0.35">
      <c r="A3" s="33"/>
      <c r="B3" s="33"/>
      <c r="C3" s="33"/>
      <c r="D3" s="33"/>
      <c r="E3" s="33"/>
      <c r="F3" s="33"/>
      <c r="G3" s="33"/>
      <c r="H3" s="33"/>
      <c r="I3" s="33"/>
      <c r="J3" s="33"/>
      <c r="K3" s="33"/>
      <c r="L3" s="33"/>
      <c r="M3" s="33"/>
      <c r="N3" s="33"/>
      <c r="O3" s="33"/>
      <c r="P3" s="33"/>
      <c r="Q3" s="33"/>
      <c r="R3" s="33"/>
      <c r="S3" s="33"/>
    </row>
    <row r="4" spans="1:19" x14ac:dyDescent="0.35">
      <c r="A4" s="33"/>
      <c r="B4" s="33"/>
      <c r="C4" s="33"/>
      <c r="D4" s="33"/>
      <c r="E4" s="33"/>
      <c r="F4" s="33"/>
      <c r="G4" s="33"/>
      <c r="H4" s="33"/>
      <c r="I4" s="33"/>
      <c r="J4" s="33"/>
      <c r="K4" s="33"/>
      <c r="L4" s="33"/>
      <c r="M4" s="33"/>
      <c r="N4" s="33"/>
      <c r="O4" s="33"/>
      <c r="P4" s="33"/>
      <c r="Q4" s="33"/>
      <c r="R4" s="33"/>
      <c r="S4" s="33"/>
    </row>
    <row r="5" spans="1:19" x14ac:dyDescent="0.35">
      <c r="A5" s="33"/>
      <c r="B5" s="33"/>
      <c r="C5" s="33"/>
      <c r="D5" s="33"/>
      <c r="E5" s="33"/>
      <c r="F5" s="33"/>
      <c r="G5" s="33"/>
      <c r="H5" s="33"/>
      <c r="I5" s="33"/>
      <c r="J5" s="33"/>
      <c r="K5" s="33"/>
      <c r="L5" s="33"/>
      <c r="M5" s="33"/>
      <c r="N5" s="33"/>
      <c r="O5" s="33"/>
      <c r="P5" s="33"/>
      <c r="Q5" s="33"/>
      <c r="R5" s="33"/>
      <c r="S5" s="33"/>
    </row>
    <row r="6" spans="1:19" x14ac:dyDescent="0.35">
      <c r="A6" s="33"/>
      <c r="B6" s="33"/>
      <c r="C6" s="33"/>
      <c r="D6" s="33"/>
      <c r="E6" s="33"/>
      <c r="F6" s="33"/>
      <c r="G6" s="33"/>
      <c r="H6" s="33"/>
      <c r="I6" s="33"/>
      <c r="J6" s="33"/>
      <c r="K6" s="33"/>
      <c r="L6" s="33"/>
      <c r="M6" s="33"/>
      <c r="N6" s="33"/>
      <c r="O6" s="33"/>
      <c r="P6" s="33"/>
      <c r="Q6" s="33"/>
      <c r="R6" s="33"/>
      <c r="S6" s="33"/>
    </row>
    <row r="7" spans="1:19" x14ac:dyDescent="0.35">
      <c r="A7" s="33"/>
      <c r="B7" s="33"/>
      <c r="C7" s="33"/>
      <c r="D7" s="33"/>
      <c r="E7" s="33"/>
      <c r="F7" s="33"/>
      <c r="G7" s="33"/>
      <c r="H7" s="33"/>
      <c r="I7" s="33"/>
      <c r="J7" s="33"/>
      <c r="K7" s="33"/>
      <c r="L7" s="33"/>
      <c r="M7" s="33"/>
      <c r="N7" s="33"/>
      <c r="O7" s="33"/>
      <c r="P7" s="33"/>
      <c r="Q7" s="33"/>
      <c r="R7" s="33"/>
      <c r="S7" s="33"/>
    </row>
    <row r="8" spans="1:19" x14ac:dyDescent="0.35">
      <c r="A8" s="33"/>
      <c r="B8" s="33"/>
      <c r="C8" s="33"/>
      <c r="D8" s="33"/>
      <c r="E8" s="33"/>
      <c r="F8" s="33"/>
      <c r="G8" s="33"/>
      <c r="H8" s="33"/>
      <c r="I8" s="33"/>
      <c r="J8" s="33"/>
      <c r="K8" s="33"/>
      <c r="L8" s="33"/>
      <c r="M8" s="33"/>
      <c r="N8" s="33"/>
      <c r="O8" s="33"/>
      <c r="P8" s="33"/>
      <c r="Q8" s="33"/>
      <c r="R8" s="33"/>
      <c r="S8" s="33"/>
    </row>
    <row r="9" spans="1:19" x14ac:dyDescent="0.35">
      <c r="A9" s="33"/>
      <c r="B9" s="33"/>
      <c r="C9" s="33"/>
      <c r="D9" s="33"/>
      <c r="E9" s="33"/>
      <c r="F9" s="33"/>
      <c r="G9" s="33"/>
      <c r="H9" s="33"/>
      <c r="I9" s="33"/>
      <c r="J9" s="33"/>
      <c r="K9" s="33"/>
      <c r="L9" s="33"/>
      <c r="M9" s="33"/>
      <c r="N9" s="33"/>
      <c r="O9" s="33"/>
      <c r="P9" s="33"/>
      <c r="Q9" s="33"/>
      <c r="R9" s="33"/>
      <c r="S9" s="33"/>
    </row>
    <row r="10" spans="1:19" x14ac:dyDescent="0.35">
      <c r="A10" s="33"/>
      <c r="B10" s="33"/>
      <c r="C10" s="33"/>
      <c r="D10" s="33"/>
      <c r="E10" s="33"/>
      <c r="F10" s="33"/>
      <c r="G10" s="33"/>
      <c r="H10" s="33"/>
      <c r="I10" s="33"/>
      <c r="J10" s="33"/>
      <c r="K10" s="33"/>
      <c r="L10" s="33"/>
      <c r="M10" s="33"/>
      <c r="N10" s="33"/>
      <c r="O10" s="33"/>
      <c r="P10" s="33"/>
      <c r="Q10" s="33"/>
      <c r="R10" s="33"/>
      <c r="S10" s="33"/>
    </row>
    <row r="11" spans="1:19" x14ac:dyDescent="0.35">
      <c r="A11" s="33"/>
      <c r="B11" s="33"/>
      <c r="C11" s="33"/>
      <c r="D11" s="33"/>
      <c r="E11" s="33"/>
      <c r="F11" s="33"/>
      <c r="G11" s="33"/>
      <c r="H11" s="33"/>
      <c r="I11" s="33"/>
      <c r="J11" s="33"/>
      <c r="K11" s="33"/>
      <c r="L11" s="33"/>
      <c r="M11" s="33"/>
      <c r="N11" s="33"/>
      <c r="O11" s="33"/>
      <c r="P11" s="33"/>
      <c r="Q11" s="33"/>
      <c r="R11" s="33"/>
      <c r="S11" s="33"/>
    </row>
    <row r="12" spans="1:19" x14ac:dyDescent="0.35">
      <c r="A12" s="33"/>
      <c r="B12" s="33"/>
      <c r="C12" s="33"/>
      <c r="D12" s="33"/>
      <c r="E12" s="33"/>
      <c r="F12" s="33"/>
      <c r="G12" s="33"/>
      <c r="H12" s="33"/>
      <c r="I12" s="33"/>
      <c r="J12" s="33"/>
      <c r="K12" s="33"/>
      <c r="L12" s="33"/>
      <c r="M12" s="33"/>
      <c r="N12" s="33"/>
      <c r="O12" s="33"/>
      <c r="P12" s="33"/>
      <c r="Q12" s="33"/>
      <c r="R12" s="33"/>
      <c r="S12" s="33"/>
    </row>
    <row r="13" spans="1:19" x14ac:dyDescent="0.35">
      <c r="A13" s="33"/>
      <c r="B13" s="33"/>
      <c r="C13" s="33"/>
      <c r="D13" s="33"/>
      <c r="E13" s="33"/>
      <c r="F13" s="33"/>
      <c r="G13" s="33"/>
      <c r="H13" s="33"/>
      <c r="I13" s="33"/>
      <c r="J13" s="33"/>
      <c r="K13" s="33"/>
      <c r="L13" s="33"/>
      <c r="M13" s="33"/>
      <c r="N13" s="33"/>
      <c r="O13" s="33"/>
      <c r="P13" s="33"/>
      <c r="Q13" s="33"/>
      <c r="R13" s="33"/>
      <c r="S13" s="33"/>
    </row>
    <row r="14" spans="1:19" x14ac:dyDescent="0.35">
      <c r="A14" s="33"/>
      <c r="B14" s="33"/>
      <c r="C14" s="33"/>
      <c r="D14" s="33"/>
      <c r="E14" s="33"/>
      <c r="F14" s="33"/>
      <c r="G14" s="33"/>
      <c r="H14" s="33"/>
      <c r="I14" s="33"/>
      <c r="J14" s="33"/>
      <c r="K14" s="33"/>
      <c r="L14" s="33"/>
      <c r="M14" s="33"/>
      <c r="N14" s="33"/>
      <c r="O14" s="33"/>
      <c r="P14" s="33"/>
      <c r="Q14" s="33"/>
      <c r="R14" s="33"/>
      <c r="S14" s="33"/>
    </row>
    <row r="15" spans="1:19" x14ac:dyDescent="0.35">
      <c r="A15" s="33"/>
      <c r="B15" s="33"/>
      <c r="C15" s="33"/>
      <c r="D15" s="33"/>
      <c r="E15" s="33"/>
      <c r="F15" s="33"/>
      <c r="G15" s="33"/>
      <c r="H15" s="33"/>
      <c r="I15" s="33"/>
      <c r="J15" s="33"/>
      <c r="K15" s="33"/>
      <c r="L15" s="33"/>
      <c r="M15" s="33"/>
      <c r="N15" s="33"/>
      <c r="O15" s="33"/>
      <c r="P15" s="33"/>
      <c r="Q15" s="33"/>
      <c r="R15" s="33"/>
      <c r="S15" s="33"/>
    </row>
    <row r="16" spans="1:19" x14ac:dyDescent="0.35">
      <c r="A16" s="33"/>
      <c r="B16" s="33"/>
      <c r="C16" s="33"/>
      <c r="D16" s="33"/>
      <c r="E16" s="33"/>
      <c r="F16" s="33"/>
      <c r="G16" s="33"/>
      <c r="H16" s="33"/>
      <c r="I16" s="33"/>
      <c r="J16" s="33"/>
      <c r="K16" s="33"/>
      <c r="L16" s="33"/>
      <c r="M16" s="33"/>
      <c r="N16" s="33"/>
      <c r="O16" s="33"/>
      <c r="P16" s="33"/>
      <c r="Q16" s="33"/>
      <c r="R16" s="33"/>
      <c r="S16" s="33"/>
    </row>
    <row r="17" spans="1:19" x14ac:dyDescent="0.35">
      <c r="A17" s="33"/>
      <c r="B17" s="33"/>
      <c r="C17" s="33"/>
      <c r="D17" s="33"/>
      <c r="E17" s="33"/>
      <c r="F17" s="33"/>
      <c r="G17" s="33"/>
      <c r="H17" s="33"/>
      <c r="I17" s="33"/>
      <c r="J17" s="33"/>
      <c r="K17" s="33"/>
      <c r="L17" s="33"/>
      <c r="M17" s="33"/>
      <c r="N17" s="33"/>
      <c r="O17" s="33"/>
      <c r="P17" s="33"/>
      <c r="Q17" s="33"/>
      <c r="R17" s="33"/>
      <c r="S17" s="33"/>
    </row>
    <row r="18" spans="1:19" x14ac:dyDescent="0.35">
      <c r="A18" s="33"/>
      <c r="B18" s="33"/>
      <c r="C18" s="33"/>
      <c r="D18" s="33"/>
      <c r="E18" s="33"/>
      <c r="F18" s="33"/>
      <c r="G18" s="33"/>
      <c r="H18" s="33"/>
      <c r="I18" s="33"/>
      <c r="J18" s="33"/>
      <c r="K18" s="33"/>
      <c r="L18" s="33"/>
      <c r="M18" s="33"/>
      <c r="N18" s="33"/>
      <c r="O18" s="33"/>
      <c r="P18" s="33"/>
      <c r="Q18" s="33"/>
      <c r="R18" s="33"/>
      <c r="S18" s="33"/>
    </row>
    <row r="19" spans="1:19" x14ac:dyDescent="0.35">
      <c r="A19" s="33"/>
      <c r="B19" s="33"/>
      <c r="C19" s="33"/>
      <c r="D19" s="33"/>
      <c r="E19" s="33"/>
      <c r="F19" s="33"/>
      <c r="G19" s="33"/>
      <c r="H19" s="33"/>
      <c r="I19" s="33"/>
      <c r="J19" s="33"/>
      <c r="K19" s="33"/>
      <c r="L19" s="33"/>
      <c r="M19" s="33"/>
      <c r="N19" s="33"/>
      <c r="O19" s="33"/>
      <c r="P19" s="33"/>
      <c r="Q19" s="33"/>
      <c r="R19" s="33"/>
      <c r="S19" s="33"/>
    </row>
    <row r="20" spans="1:19" x14ac:dyDescent="0.35">
      <c r="A20" s="33"/>
      <c r="B20" s="33"/>
      <c r="C20" s="33"/>
      <c r="D20" s="33"/>
      <c r="E20" s="33"/>
      <c r="F20" s="33"/>
      <c r="G20" s="33"/>
      <c r="H20" s="33"/>
      <c r="I20" s="33"/>
      <c r="J20" s="33"/>
      <c r="K20" s="33"/>
      <c r="L20" s="33"/>
      <c r="M20" s="33"/>
      <c r="N20" s="33"/>
      <c r="O20" s="33"/>
      <c r="P20" s="33"/>
      <c r="Q20" s="33"/>
      <c r="R20" s="33"/>
      <c r="S20" s="33"/>
    </row>
    <row r="21" spans="1:19" x14ac:dyDescent="0.35">
      <c r="A21" s="33"/>
      <c r="B21" s="33"/>
      <c r="C21" s="33"/>
      <c r="D21" s="33"/>
      <c r="E21" s="33"/>
      <c r="F21" s="33"/>
      <c r="G21" s="33"/>
      <c r="H21" s="33"/>
      <c r="I21" s="33"/>
      <c r="J21" s="33"/>
      <c r="K21" s="33"/>
      <c r="L21" s="33"/>
      <c r="M21" s="33"/>
      <c r="N21" s="33"/>
      <c r="O21" s="33"/>
      <c r="P21" s="33"/>
      <c r="Q21" s="33"/>
      <c r="R21" s="33"/>
      <c r="S21" s="33"/>
    </row>
    <row r="22" spans="1:19" x14ac:dyDescent="0.35">
      <c r="A22" s="33"/>
      <c r="B22" s="33"/>
      <c r="C22" s="33"/>
      <c r="D22" s="33"/>
      <c r="E22" s="33"/>
      <c r="F22" s="33"/>
      <c r="G22" s="33"/>
      <c r="H22" s="33"/>
      <c r="I22" s="33"/>
      <c r="J22" s="33"/>
      <c r="K22" s="33"/>
      <c r="L22" s="33"/>
      <c r="M22" s="33"/>
      <c r="N22" s="33"/>
      <c r="O22" s="33"/>
      <c r="P22" s="33"/>
      <c r="Q22" s="33"/>
      <c r="R22" s="33"/>
      <c r="S22" s="33"/>
    </row>
    <row r="23" spans="1:19" x14ac:dyDescent="0.35">
      <c r="A23" s="33"/>
      <c r="B23" s="33"/>
      <c r="C23" s="33"/>
      <c r="D23" s="33"/>
      <c r="E23" s="33"/>
      <c r="F23" s="33"/>
      <c r="G23" s="33"/>
      <c r="H23" s="33"/>
      <c r="I23" s="33"/>
      <c r="J23" s="33"/>
      <c r="K23" s="33"/>
      <c r="L23" s="33"/>
      <c r="M23" s="33"/>
      <c r="N23" s="33"/>
      <c r="O23" s="33"/>
      <c r="P23" s="33"/>
      <c r="Q23" s="33"/>
      <c r="R23" s="33"/>
      <c r="S23" s="33"/>
    </row>
    <row r="24" spans="1:19" x14ac:dyDescent="0.35">
      <c r="A24" s="33"/>
      <c r="B24" s="33"/>
      <c r="C24" s="33"/>
      <c r="D24" s="33"/>
      <c r="E24" s="33"/>
      <c r="F24" s="33"/>
      <c r="G24" s="33"/>
      <c r="H24" s="33"/>
      <c r="I24" s="33"/>
      <c r="J24" s="33"/>
      <c r="K24" s="33"/>
      <c r="L24" s="33"/>
      <c r="M24" s="33"/>
      <c r="N24" s="33"/>
      <c r="O24" s="33"/>
      <c r="P24" s="33"/>
      <c r="Q24" s="33"/>
      <c r="R24" s="33"/>
      <c r="S24" s="33"/>
    </row>
    <row r="25" spans="1:19" x14ac:dyDescent="0.35">
      <c r="A25" s="33"/>
      <c r="B25" s="33"/>
      <c r="C25" s="33"/>
      <c r="D25" s="33"/>
      <c r="E25" s="33"/>
      <c r="F25" s="33"/>
      <c r="G25" s="33"/>
      <c r="H25" s="33"/>
      <c r="I25" s="33"/>
      <c r="J25" s="33"/>
      <c r="K25" s="33"/>
      <c r="L25" s="33"/>
      <c r="M25" s="33"/>
      <c r="N25" s="33"/>
      <c r="O25" s="33"/>
      <c r="P25" s="33"/>
      <c r="Q25" s="33"/>
      <c r="R25" s="33"/>
      <c r="S25" s="33"/>
    </row>
    <row r="26" spans="1:19" x14ac:dyDescent="0.35">
      <c r="A26" s="33"/>
      <c r="B26" s="33"/>
      <c r="C26" s="33"/>
      <c r="D26" s="33"/>
      <c r="E26" s="33"/>
      <c r="F26" s="33"/>
      <c r="G26" s="33"/>
      <c r="H26" s="33"/>
      <c r="I26" s="33"/>
      <c r="J26" s="33"/>
      <c r="K26" s="33"/>
      <c r="L26" s="33"/>
      <c r="M26" s="33"/>
      <c r="N26" s="33"/>
      <c r="O26" s="33"/>
      <c r="P26" s="33"/>
      <c r="Q26" s="33"/>
      <c r="R26" s="33"/>
      <c r="S26" s="33"/>
    </row>
    <row r="27" spans="1:19" x14ac:dyDescent="0.35">
      <c r="A27" s="33"/>
      <c r="B27" s="33"/>
      <c r="C27" s="33"/>
      <c r="D27" s="33"/>
      <c r="E27" s="33"/>
      <c r="F27" s="33"/>
      <c r="G27" s="33"/>
      <c r="H27" s="33"/>
      <c r="I27" s="33"/>
      <c r="J27" s="33"/>
      <c r="K27" s="33"/>
      <c r="L27" s="33"/>
      <c r="M27" s="33"/>
      <c r="N27" s="33"/>
      <c r="O27" s="33"/>
      <c r="P27" s="33"/>
      <c r="Q27" s="33"/>
      <c r="R27" s="33"/>
      <c r="S27" s="33"/>
    </row>
  </sheetData>
  <mergeCells count="1">
    <mergeCell ref="A1:S2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D2A1-F280-4DCB-AA4B-83C59C1071CC}">
  <dimension ref="A2:N15"/>
  <sheetViews>
    <sheetView workbookViewId="0">
      <selection activeCell="A11" sqref="A11"/>
    </sheetView>
  </sheetViews>
  <sheetFormatPr defaultRowHeight="14.5" x14ac:dyDescent="0.35"/>
  <cols>
    <col min="1" max="1" width="25.1796875" bestFit="1" customWidth="1"/>
    <col min="2" max="2" width="14" bestFit="1" customWidth="1"/>
    <col min="3" max="5" width="10.453125" bestFit="1" customWidth="1"/>
    <col min="6" max="6" width="11.54296875" bestFit="1" customWidth="1"/>
    <col min="7" max="7" width="11.453125" bestFit="1" customWidth="1"/>
    <col min="8" max="10" width="10.453125" bestFit="1" customWidth="1"/>
    <col min="11" max="11" width="11.453125" bestFit="1" customWidth="1"/>
    <col min="12" max="43" width="4.81640625" bestFit="1" customWidth="1"/>
    <col min="44" max="44" width="5.81640625" bestFit="1" customWidth="1"/>
    <col min="45" max="48" width="4.81640625" bestFit="1" customWidth="1"/>
    <col min="49" max="49" width="5.81640625" bestFit="1" customWidth="1"/>
    <col min="50" max="53" width="4.81640625" bestFit="1" customWidth="1"/>
    <col min="54" max="54" width="5.81640625" bestFit="1" customWidth="1"/>
    <col min="55" max="57" width="4.81640625" bestFit="1" customWidth="1"/>
    <col min="58" max="60" width="5.81640625" bestFit="1" customWidth="1"/>
    <col min="61" max="61" width="4.81640625" bestFit="1" customWidth="1"/>
    <col min="62" max="64" width="5.81640625" bestFit="1" customWidth="1"/>
    <col min="65" max="67" width="4.81640625" bestFit="1" customWidth="1"/>
    <col min="68" max="71" width="5.81640625" bestFit="1" customWidth="1"/>
    <col min="72" max="72" width="4.81640625" bestFit="1" customWidth="1"/>
    <col min="73" max="75" width="5.81640625" bestFit="1" customWidth="1"/>
    <col min="76" max="76" width="4.81640625" bestFit="1" customWidth="1"/>
    <col min="77" max="77" width="5.81640625" bestFit="1" customWidth="1"/>
    <col min="78" max="78" width="4.81640625" bestFit="1" customWidth="1"/>
    <col min="79" max="80" width="5.81640625" bestFit="1" customWidth="1"/>
    <col min="81" max="81" width="4.81640625" bestFit="1" customWidth="1"/>
    <col min="82" max="91" width="5.81640625" bestFit="1" customWidth="1"/>
    <col min="92" max="92" width="4.81640625" bestFit="1" customWidth="1"/>
    <col min="93" max="93" width="5.81640625" bestFit="1" customWidth="1"/>
    <col min="94" max="94" width="4.81640625" bestFit="1" customWidth="1"/>
    <col min="95" max="1028" width="5.81640625" bestFit="1" customWidth="1"/>
    <col min="1029" max="1029" width="7.54296875" bestFit="1" customWidth="1"/>
    <col min="1030" max="1045" width="5.81640625" bestFit="1" customWidth="1"/>
    <col min="1046" max="1046" width="7.54296875" bestFit="1" customWidth="1"/>
    <col min="1047" max="1048" width="5.81640625" bestFit="1" customWidth="1"/>
    <col min="1049" max="1049" width="7.54296875" bestFit="1" customWidth="1"/>
    <col min="1050" max="1102" width="5.81640625" bestFit="1" customWidth="1"/>
    <col min="1103" max="1103" width="7.54296875" bestFit="1" customWidth="1"/>
    <col min="1104" max="1118" width="5.81640625" bestFit="1" customWidth="1"/>
    <col min="1119" max="1119" width="7.54296875" bestFit="1" customWidth="1"/>
    <col min="1120" max="1131" width="5.81640625" bestFit="1" customWidth="1"/>
    <col min="1132" max="1132" width="7.54296875" bestFit="1" customWidth="1"/>
    <col min="1133" max="1136" width="5.81640625" bestFit="1" customWidth="1"/>
    <col min="1137" max="1137" width="7.54296875" bestFit="1" customWidth="1"/>
    <col min="1138" max="1144" width="5.81640625" bestFit="1" customWidth="1"/>
    <col min="1145" max="1145" width="7.54296875" bestFit="1" customWidth="1"/>
    <col min="1146" max="1146" width="5.81640625" bestFit="1" customWidth="1"/>
    <col min="1147" max="1147" width="7.54296875" bestFit="1" customWidth="1"/>
    <col min="1148" max="1162" width="5.81640625" bestFit="1" customWidth="1"/>
    <col min="1163" max="1163" width="7.54296875" bestFit="1" customWidth="1"/>
    <col min="1164" max="1169" width="5.81640625" bestFit="1" customWidth="1"/>
    <col min="1170" max="1170" width="7.54296875" bestFit="1" customWidth="1"/>
    <col min="1171" max="1171" width="5.81640625" bestFit="1" customWidth="1"/>
    <col min="1172" max="1172" width="7.54296875" bestFit="1" customWidth="1"/>
    <col min="1173" max="1183" width="5.81640625" bestFit="1" customWidth="1"/>
    <col min="1184" max="1184" width="7.54296875" bestFit="1" customWidth="1"/>
    <col min="1185" max="1187" width="5.81640625" bestFit="1" customWidth="1"/>
    <col min="1188" max="1188" width="7.54296875" bestFit="1" customWidth="1"/>
    <col min="1189" max="1192" width="5.81640625" bestFit="1" customWidth="1"/>
    <col min="1193" max="1193" width="7.54296875" bestFit="1" customWidth="1"/>
    <col min="1194" max="1194" width="5.81640625" bestFit="1" customWidth="1"/>
    <col min="1195" max="1195" width="7.54296875" bestFit="1" customWidth="1"/>
    <col min="1196" max="1197" width="5.81640625" bestFit="1" customWidth="1"/>
    <col min="1198" max="1199" width="7.54296875" bestFit="1" customWidth="1"/>
    <col min="1200" max="1202" width="5.81640625" bestFit="1" customWidth="1"/>
    <col min="1203" max="1204" width="7.54296875" bestFit="1" customWidth="1"/>
    <col min="1205" max="1207" width="5.81640625" bestFit="1" customWidth="1"/>
    <col min="1208" max="1208" width="7.54296875" bestFit="1" customWidth="1"/>
    <col min="1209" max="1213" width="5.81640625" bestFit="1" customWidth="1"/>
    <col min="1214" max="1215" width="7.54296875" bestFit="1" customWidth="1"/>
    <col min="1216" max="1216" width="5.81640625" bestFit="1" customWidth="1"/>
    <col min="1217" max="1218" width="7.54296875" bestFit="1" customWidth="1"/>
    <col min="1219" max="1219" width="5.81640625" bestFit="1" customWidth="1"/>
    <col min="1220" max="1221" width="7.54296875" bestFit="1" customWidth="1"/>
    <col min="1222" max="1222" width="5.81640625" bestFit="1" customWidth="1"/>
    <col min="1223" max="1225" width="7.54296875" bestFit="1" customWidth="1"/>
    <col min="1226" max="1226" width="5.81640625" bestFit="1" customWidth="1"/>
    <col min="1227" max="1266" width="7.54296875" bestFit="1" customWidth="1"/>
    <col min="1267" max="1267" width="11.453125" bestFit="1" customWidth="1"/>
    <col min="1268" max="1271" width="5.81640625" bestFit="1" customWidth="1"/>
    <col min="1273" max="1273" width="6.26953125" bestFit="1" customWidth="1"/>
    <col min="1274" max="1276" width="5.81640625" bestFit="1" customWidth="1"/>
    <col min="1278" max="1278" width="6.26953125" bestFit="1" customWidth="1"/>
    <col min="1279" max="1285" width="5.81640625" bestFit="1" customWidth="1"/>
    <col min="1287" max="1287" width="6.26953125" bestFit="1" customWidth="1"/>
    <col min="1288" max="1293" width="5.81640625" bestFit="1" customWidth="1"/>
    <col min="1295" max="1295" width="6.26953125" bestFit="1" customWidth="1"/>
    <col min="1296" max="1299" width="5.81640625" bestFit="1" customWidth="1"/>
    <col min="1301" max="1301" width="6.26953125" bestFit="1" customWidth="1"/>
    <col min="1302" max="1307" width="5.81640625" bestFit="1" customWidth="1"/>
    <col min="1309" max="1309" width="6.26953125" bestFit="1" customWidth="1"/>
    <col min="1310" max="1315" width="5.81640625" bestFit="1" customWidth="1"/>
    <col min="1317" max="1317" width="6.26953125" bestFit="1" customWidth="1"/>
    <col min="1319" max="1319" width="6.26953125" bestFit="1" customWidth="1"/>
    <col min="1320" max="1322" width="5.81640625" bestFit="1" customWidth="1"/>
    <col min="1324" max="1324" width="6.26953125" bestFit="1" customWidth="1"/>
    <col min="1325" max="1331" width="5.81640625" bestFit="1" customWidth="1"/>
    <col min="1333" max="1333" width="6.26953125" bestFit="1" customWidth="1"/>
    <col min="1334" max="1339" width="5.81640625" bestFit="1" customWidth="1"/>
    <col min="1341" max="1341" width="6.26953125" bestFit="1" customWidth="1"/>
    <col min="1343" max="1343" width="6.26953125" bestFit="1" customWidth="1"/>
    <col min="1344" max="1347" width="5.81640625" bestFit="1" customWidth="1"/>
    <col min="1349" max="1349" width="6.26953125" bestFit="1" customWidth="1"/>
    <col min="1350" max="1353" width="5.81640625" bestFit="1" customWidth="1"/>
    <col min="1355" max="1355" width="6.26953125" bestFit="1" customWidth="1"/>
    <col min="1356" max="1361" width="5.81640625" bestFit="1" customWidth="1"/>
    <col min="1363" max="1363" width="6.26953125" bestFit="1" customWidth="1"/>
    <col min="1364" max="1371" width="5.81640625" bestFit="1" customWidth="1"/>
    <col min="1373" max="1373" width="6.26953125" bestFit="1" customWidth="1"/>
    <col min="1374" max="1375" width="5.81640625" bestFit="1" customWidth="1"/>
    <col min="1377" max="1377" width="6.26953125" bestFit="1" customWidth="1"/>
    <col min="1378" max="1384" width="5.81640625" bestFit="1" customWidth="1"/>
    <col min="1386" max="1386" width="6.26953125" bestFit="1" customWidth="1"/>
    <col min="1387" max="1388" width="5.81640625" bestFit="1" customWidth="1"/>
    <col min="1390" max="1390" width="6.26953125" bestFit="1" customWidth="1"/>
    <col min="1391" max="1396" width="5.81640625" bestFit="1" customWidth="1"/>
    <col min="1398" max="1398" width="6.26953125" bestFit="1" customWidth="1"/>
    <col min="1399" max="1403" width="5.81640625" bestFit="1" customWidth="1"/>
    <col min="1405" max="1405" width="6.26953125" bestFit="1" customWidth="1"/>
    <col min="1406" max="1411" width="5.81640625" bestFit="1" customWidth="1"/>
    <col min="1413" max="1413" width="6.26953125" bestFit="1" customWidth="1"/>
    <col min="1414" max="1419" width="5.81640625" bestFit="1" customWidth="1"/>
    <col min="1421" max="1421" width="6.26953125" bestFit="1" customWidth="1"/>
    <col min="1422" max="1429" width="5.81640625" bestFit="1" customWidth="1"/>
    <col min="1431" max="1431" width="6.26953125" bestFit="1" customWidth="1"/>
    <col min="1433" max="1433" width="6.26953125" bestFit="1" customWidth="1"/>
    <col min="1434" max="1439" width="5.81640625" bestFit="1" customWidth="1"/>
    <col min="1441" max="1441" width="6.26953125" bestFit="1" customWidth="1"/>
    <col min="1442" max="1446" width="5.81640625" bestFit="1" customWidth="1"/>
    <col min="1448" max="1448" width="6.26953125" bestFit="1" customWidth="1"/>
    <col min="1449" max="1451" width="5.81640625" bestFit="1" customWidth="1"/>
    <col min="1453" max="1453" width="6.26953125" bestFit="1" customWidth="1"/>
    <col min="1454" max="1457" width="5.81640625" bestFit="1" customWidth="1"/>
    <col min="1459" max="1459" width="6.26953125" bestFit="1" customWidth="1"/>
    <col min="1460" max="1468" width="5.81640625" bestFit="1" customWidth="1"/>
    <col min="1470" max="1470" width="6.26953125" bestFit="1" customWidth="1"/>
    <col min="1471" max="1471" width="5.81640625" bestFit="1" customWidth="1"/>
    <col min="1473" max="1473" width="6.26953125" bestFit="1" customWidth="1"/>
    <col min="1474" max="1474" width="5.81640625" bestFit="1" customWidth="1"/>
    <col min="1476" max="1476" width="6.26953125" bestFit="1" customWidth="1"/>
    <col min="1477" max="1482" width="5.81640625" bestFit="1" customWidth="1"/>
    <col min="1484" max="1484" width="6.26953125" bestFit="1" customWidth="1"/>
    <col min="1485" max="1490" width="5.81640625" bestFit="1" customWidth="1"/>
    <col min="1492" max="1492" width="6.26953125" bestFit="1" customWidth="1"/>
    <col min="1493" max="1495" width="5.81640625" bestFit="1" customWidth="1"/>
    <col min="1497" max="1497" width="6.26953125" bestFit="1" customWidth="1"/>
    <col min="1498" max="1499" width="5.81640625" bestFit="1" customWidth="1"/>
    <col min="1501" max="1501" width="6.26953125" bestFit="1" customWidth="1"/>
    <col min="1502" max="1505" width="5.81640625" bestFit="1" customWidth="1"/>
    <col min="1507" max="1507" width="6.26953125" bestFit="1" customWidth="1"/>
    <col min="1508" max="1511" width="5.81640625" bestFit="1" customWidth="1"/>
    <col min="1513" max="1513" width="6.26953125" bestFit="1" customWidth="1"/>
    <col min="1514" max="1521" width="5.81640625" bestFit="1" customWidth="1"/>
    <col min="1523" max="1523" width="6.26953125" bestFit="1" customWidth="1"/>
    <col min="1524" max="1527" width="5.81640625" bestFit="1" customWidth="1"/>
    <col min="1529" max="1529" width="6.26953125" bestFit="1" customWidth="1"/>
    <col min="1530" max="1535" width="5.81640625" bestFit="1" customWidth="1"/>
    <col min="1537" max="1537" width="6.26953125" bestFit="1" customWidth="1"/>
    <col min="1538" max="1539" width="5.81640625" bestFit="1" customWidth="1"/>
    <col min="1541" max="1541" width="6.26953125" bestFit="1" customWidth="1"/>
    <col min="1542" max="1550" width="5.81640625" bestFit="1" customWidth="1"/>
    <col min="1552" max="1552" width="6.26953125" bestFit="1" customWidth="1"/>
    <col min="1553" max="1557" width="5.81640625" bestFit="1" customWidth="1"/>
    <col min="1559" max="1559" width="6.26953125" bestFit="1" customWidth="1"/>
    <col min="1560" max="1561" width="5.81640625" bestFit="1" customWidth="1"/>
    <col min="1563" max="1563" width="6.26953125" bestFit="1" customWidth="1"/>
    <col min="1564" max="1566" width="5.81640625" bestFit="1" customWidth="1"/>
    <col min="1568" max="1568" width="6.26953125" bestFit="1" customWidth="1"/>
    <col min="1569" max="1573" width="5.81640625" bestFit="1" customWidth="1"/>
    <col min="1575" max="1575" width="6.26953125" bestFit="1" customWidth="1"/>
    <col min="1576" max="1578" width="5.81640625" bestFit="1" customWidth="1"/>
    <col min="1580" max="1580" width="6.26953125" bestFit="1" customWidth="1"/>
    <col min="1581" max="1581" width="5.81640625" bestFit="1" customWidth="1"/>
    <col min="1583" max="1583" width="6.26953125" bestFit="1" customWidth="1"/>
    <col min="1584" max="1584" width="5.81640625" bestFit="1" customWidth="1"/>
    <col min="1586" max="1586" width="6.26953125" bestFit="1" customWidth="1"/>
    <col min="1587" max="1589" width="5.81640625" bestFit="1" customWidth="1"/>
    <col min="1591" max="1591" width="6.26953125" bestFit="1" customWidth="1"/>
    <col min="1592" max="1597" width="5.81640625" bestFit="1" customWidth="1"/>
    <col min="1599" max="1599" width="6.26953125" bestFit="1" customWidth="1"/>
    <col min="1600" max="1609" width="5.81640625" bestFit="1" customWidth="1"/>
    <col min="1611" max="1611" width="6.26953125" bestFit="1" customWidth="1"/>
    <col min="1612" max="1616" width="5.81640625" bestFit="1" customWidth="1"/>
    <col min="1618" max="1618" width="6.26953125" bestFit="1" customWidth="1"/>
    <col min="1619" max="1619" width="5.81640625" bestFit="1" customWidth="1"/>
    <col min="1621" max="1621" width="6.26953125" bestFit="1" customWidth="1"/>
    <col min="1622" max="1623" width="5.81640625" bestFit="1" customWidth="1"/>
    <col min="1625" max="1625" width="6.26953125" bestFit="1" customWidth="1"/>
    <col min="1626" max="1633" width="5.81640625" bestFit="1" customWidth="1"/>
    <col min="1635" max="1635" width="6.26953125" bestFit="1" customWidth="1"/>
    <col min="1637" max="1637" width="6.26953125" bestFit="1" customWidth="1"/>
    <col min="1638" max="1640" width="5.81640625" bestFit="1" customWidth="1"/>
    <col min="1642" max="1642" width="6.26953125" bestFit="1" customWidth="1"/>
    <col min="1643" max="1648" width="5.81640625" bestFit="1" customWidth="1"/>
    <col min="1650" max="1650" width="6.26953125" bestFit="1" customWidth="1"/>
    <col min="1651" max="1659" width="5.81640625" bestFit="1" customWidth="1"/>
    <col min="1661" max="1661" width="6.26953125" bestFit="1" customWidth="1"/>
    <col min="1662" max="1663" width="5.81640625" bestFit="1" customWidth="1"/>
    <col min="1665" max="1665" width="6.26953125" bestFit="1" customWidth="1"/>
    <col min="1666" max="1669" width="5.81640625" bestFit="1" customWidth="1"/>
    <col min="1671" max="1671" width="6.26953125" bestFit="1" customWidth="1"/>
    <col min="1672" max="1677" width="5.81640625" bestFit="1" customWidth="1"/>
    <col min="1679" max="1679" width="6.26953125" bestFit="1" customWidth="1"/>
    <col min="1681" max="1681" width="6.26953125" bestFit="1" customWidth="1"/>
    <col min="1682" max="1690" width="5.81640625" bestFit="1" customWidth="1"/>
    <col min="1692" max="1692" width="6.26953125" bestFit="1" customWidth="1"/>
    <col min="1693" max="1695" width="5.81640625" bestFit="1" customWidth="1"/>
    <col min="1697" max="1697" width="6.26953125" bestFit="1" customWidth="1"/>
    <col min="1698" max="1704" width="5.81640625" bestFit="1" customWidth="1"/>
    <col min="1706" max="1706" width="6.26953125" bestFit="1" customWidth="1"/>
    <col min="1707" max="1713" width="5.81640625" bestFit="1" customWidth="1"/>
    <col min="1715" max="1715" width="6.26953125" bestFit="1" customWidth="1"/>
    <col min="1716" max="1720" width="5.81640625" bestFit="1" customWidth="1"/>
    <col min="1722" max="1722" width="6.26953125" bestFit="1" customWidth="1"/>
    <col min="1723" max="1725" width="5.81640625" bestFit="1" customWidth="1"/>
    <col min="1727" max="1727" width="6.26953125" bestFit="1" customWidth="1"/>
    <col min="1728" max="1734" width="5.81640625" bestFit="1" customWidth="1"/>
    <col min="1736" max="1736" width="6.26953125" bestFit="1" customWidth="1"/>
    <col min="1737" max="1737" width="5.81640625" bestFit="1" customWidth="1"/>
    <col min="1739" max="1739" width="6.26953125" bestFit="1" customWidth="1"/>
    <col min="1740" max="1740" width="5.81640625" bestFit="1" customWidth="1"/>
    <col min="1742" max="1742" width="6.26953125" bestFit="1" customWidth="1"/>
    <col min="1743" max="1747" width="5.81640625" bestFit="1" customWidth="1"/>
    <col min="1749" max="1749" width="6.26953125" bestFit="1" customWidth="1"/>
    <col min="1750" max="1759" width="5.81640625" bestFit="1" customWidth="1"/>
    <col min="1761" max="1761" width="6.26953125" bestFit="1" customWidth="1"/>
    <col min="1762" max="1765" width="5.81640625" bestFit="1" customWidth="1"/>
    <col min="1767" max="1767" width="6.26953125" bestFit="1" customWidth="1"/>
    <col min="1768" max="1775" width="5.81640625" bestFit="1" customWidth="1"/>
    <col min="1777" max="1777" width="6.26953125" bestFit="1" customWidth="1"/>
    <col min="1778" max="1784" width="5.81640625" bestFit="1" customWidth="1"/>
    <col min="1786" max="1786" width="6.26953125" bestFit="1" customWidth="1"/>
    <col min="1787" max="1788" width="5.81640625" bestFit="1" customWidth="1"/>
    <col min="1790" max="1790" width="6.26953125" bestFit="1" customWidth="1"/>
    <col min="1791" max="1795" width="5.81640625" bestFit="1" customWidth="1"/>
    <col min="1797" max="1797" width="6.26953125" bestFit="1" customWidth="1"/>
    <col min="1798" max="1799" width="5.81640625" bestFit="1" customWidth="1"/>
    <col min="1801" max="1801" width="6.26953125" bestFit="1" customWidth="1"/>
    <col min="1802" max="1803" width="5.81640625" bestFit="1" customWidth="1"/>
    <col min="1805" max="1805" width="6.26953125" bestFit="1" customWidth="1"/>
    <col min="1807" max="1807" width="6.26953125" bestFit="1" customWidth="1"/>
    <col min="1809" max="1809" width="6.26953125" bestFit="1" customWidth="1"/>
    <col min="1810" max="1815" width="5.81640625" bestFit="1" customWidth="1"/>
    <col min="1817" max="1817" width="6.26953125" bestFit="1" customWidth="1"/>
    <col min="1818" max="1822" width="5.81640625" bestFit="1" customWidth="1"/>
    <col min="1824" max="1824" width="6.26953125" bestFit="1" customWidth="1"/>
    <col min="1825" max="1831" width="5.81640625" bestFit="1" customWidth="1"/>
    <col min="1833" max="1833" width="6.26953125" bestFit="1" customWidth="1"/>
    <col min="1835" max="1835" width="6.26953125" bestFit="1" customWidth="1"/>
    <col min="1836" max="1839" width="5.81640625" bestFit="1" customWidth="1"/>
    <col min="1841" max="1841" width="6.26953125" bestFit="1" customWidth="1"/>
    <col min="1842" max="1845" width="5.81640625" bestFit="1" customWidth="1"/>
    <col min="1847" max="1847" width="6.26953125" bestFit="1" customWidth="1"/>
    <col min="1848" max="1848" width="5.81640625" bestFit="1" customWidth="1"/>
    <col min="1850" max="1850" width="6.26953125" bestFit="1" customWidth="1"/>
    <col min="1851" max="1854" width="5.81640625" bestFit="1" customWidth="1"/>
    <col min="1856" max="1856" width="6.26953125" bestFit="1" customWidth="1"/>
    <col min="1857" max="1863" width="5.81640625" bestFit="1" customWidth="1"/>
    <col min="1865" max="1865" width="6.26953125" bestFit="1" customWidth="1"/>
    <col min="1866" max="1870" width="5.81640625" bestFit="1" customWidth="1"/>
    <col min="1872" max="1872" width="6.26953125" bestFit="1" customWidth="1"/>
    <col min="1873" max="1882" width="5.81640625" bestFit="1" customWidth="1"/>
    <col min="1884" max="1884" width="6.26953125" bestFit="1" customWidth="1"/>
    <col min="1885" max="1886" width="5.81640625" bestFit="1" customWidth="1"/>
    <col min="1888" max="1888" width="6.26953125" bestFit="1" customWidth="1"/>
    <col min="1889" max="1890" width="5.81640625" bestFit="1" customWidth="1"/>
    <col min="1892" max="1892" width="6.26953125" bestFit="1" customWidth="1"/>
    <col min="1893" max="1896" width="5.81640625" bestFit="1" customWidth="1"/>
    <col min="1898" max="1898" width="6.26953125" bestFit="1" customWidth="1"/>
    <col min="1899" max="1905" width="5.81640625" bestFit="1" customWidth="1"/>
    <col min="1907" max="1907" width="6.26953125" bestFit="1" customWidth="1"/>
    <col min="1908" max="1916" width="5.81640625" bestFit="1" customWidth="1"/>
    <col min="1918" max="1918" width="6.26953125" bestFit="1" customWidth="1"/>
    <col min="1920" max="1920" width="6.26953125" bestFit="1" customWidth="1"/>
    <col min="1921" max="1921" width="5.81640625" bestFit="1" customWidth="1"/>
    <col min="1923" max="1923" width="6.26953125" bestFit="1" customWidth="1"/>
    <col min="1924" max="1930" width="5.81640625" bestFit="1" customWidth="1"/>
    <col min="1932" max="1932" width="6.26953125" bestFit="1" customWidth="1"/>
    <col min="1933" max="1937" width="5.81640625" bestFit="1" customWidth="1"/>
    <col min="1939" max="1939" width="6.26953125" bestFit="1" customWidth="1"/>
    <col min="1940" max="1940" width="5.81640625" bestFit="1" customWidth="1"/>
    <col min="1942" max="1942" width="6.26953125" bestFit="1" customWidth="1"/>
    <col min="1943" max="1948" width="5.81640625" bestFit="1" customWidth="1"/>
    <col min="1950" max="1950" width="6.26953125" bestFit="1" customWidth="1"/>
    <col min="1951" max="1954" width="5.81640625" bestFit="1" customWidth="1"/>
    <col min="1956" max="1956" width="6.26953125" bestFit="1" customWidth="1"/>
    <col min="1957" max="1963" width="5.81640625" bestFit="1" customWidth="1"/>
    <col min="1965" max="1965" width="6.26953125" bestFit="1" customWidth="1"/>
    <col min="1966" max="1968" width="5.81640625" bestFit="1" customWidth="1"/>
    <col min="1970" max="1970" width="6.26953125" bestFit="1" customWidth="1"/>
    <col min="1971" max="1972" width="5.81640625" bestFit="1" customWidth="1"/>
    <col min="1974" max="1974" width="6.26953125" bestFit="1" customWidth="1"/>
    <col min="1975" max="1981" width="5.81640625" bestFit="1" customWidth="1"/>
    <col min="1983" max="1983" width="6.26953125" bestFit="1" customWidth="1"/>
    <col min="1984" max="1991" width="5.81640625" bestFit="1" customWidth="1"/>
    <col min="1993" max="1993" width="6.26953125" bestFit="1" customWidth="1"/>
    <col min="1994" max="1998" width="5.81640625" bestFit="1" customWidth="1"/>
    <col min="2000" max="2000" width="6.26953125" bestFit="1" customWidth="1"/>
    <col min="2001" max="2012" width="5.81640625" bestFit="1" customWidth="1"/>
    <col min="2014" max="2014" width="6.26953125" bestFit="1" customWidth="1"/>
    <col min="2015" max="2019" width="5.81640625" bestFit="1" customWidth="1"/>
    <col min="2021" max="2021" width="6.26953125" bestFit="1" customWidth="1"/>
    <col min="2022" max="2027" width="5.81640625" bestFit="1" customWidth="1"/>
    <col min="2029" max="2029" width="6.26953125" bestFit="1" customWidth="1"/>
    <col min="2031" max="2031" width="6.26953125" bestFit="1" customWidth="1"/>
    <col min="2032" max="2034" width="5.81640625" bestFit="1" customWidth="1"/>
    <col min="2036" max="2036" width="6.26953125" bestFit="1" customWidth="1"/>
    <col min="2037" max="2037" width="5.81640625" bestFit="1" customWidth="1"/>
    <col min="2039" max="2039" width="6.26953125" bestFit="1" customWidth="1"/>
    <col min="2040" max="2043" width="5.81640625" bestFit="1" customWidth="1"/>
    <col min="2045" max="2045" width="6.26953125" bestFit="1" customWidth="1"/>
    <col min="2046" max="2048" width="5.81640625" bestFit="1" customWidth="1"/>
    <col min="2050" max="2050" width="6.26953125" bestFit="1" customWidth="1"/>
    <col min="2051" max="2052" width="5.81640625" bestFit="1" customWidth="1"/>
    <col min="2054" max="2054" width="6.26953125" bestFit="1" customWidth="1"/>
    <col min="2055" max="2059" width="5.81640625" bestFit="1" customWidth="1"/>
    <col min="2061" max="2061" width="6.26953125" bestFit="1" customWidth="1"/>
    <col min="2062" max="2070" width="5.81640625" bestFit="1" customWidth="1"/>
    <col min="2072" max="2072" width="6.26953125" bestFit="1" customWidth="1"/>
    <col min="2073" max="2077" width="5.81640625" bestFit="1" customWidth="1"/>
    <col min="2079" max="2079" width="6.26953125" bestFit="1" customWidth="1"/>
    <col min="2081" max="2081" width="6.26953125" bestFit="1" customWidth="1"/>
    <col min="2082" max="2090" width="5.81640625" bestFit="1" customWidth="1"/>
    <col min="2092" max="2092" width="6.26953125" bestFit="1" customWidth="1"/>
    <col min="2093" max="2097" width="5.81640625" bestFit="1" customWidth="1"/>
    <col min="2099" max="2099" width="6.26953125" bestFit="1" customWidth="1"/>
    <col min="2100" max="2100" width="5.81640625" bestFit="1" customWidth="1"/>
    <col min="2102" max="2102" width="6.26953125" bestFit="1" customWidth="1"/>
    <col min="2103" max="2105" width="5.81640625" bestFit="1" customWidth="1"/>
    <col min="2107" max="2107" width="6.26953125" bestFit="1" customWidth="1"/>
    <col min="2108" max="2113" width="5.81640625" bestFit="1" customWidth="1"/>
    <col min="2115" max="2115" width="6.26953125" bestFit="1" customWidth="1"/>
    <col min="2116" max="2117" width="5.81640625" bestFit="1" customWidth="1"/>
    <col min="2119" max="2119" width="6.26953125" bestFit="1" customWidth="1"/>
    <col min="2120" max="2121" width="5.81640625" bestFit="1" customWidth="1"/>
    <col min="2123" max="2123" width="6.26953125" bestFit="1" customWidth="1"/>
    <col min="2124" max="2135" width="5.81640625" bestFit="1" customWidth="1"/>
    <col min="2137" max="2137" width="6.26953125" bestFit="1" customWidth="1"/>
    <col min="2138" max="2140" width="5.81640625" bestFit="1" customWidth="1"/>
    <col min="2142" max="2142" width="6.26953125" bestFit="1" customWidth="1"/>
    <col min="2143" max="2146" width="5.81640625" bestFit="1" customWidth="1"/>
    <col min="2148" max="2148" width="6.26953125" bestFit="1" customWidth="1"/>
    <col min="2149" max="2151" width="5.81640625" bestFit="1" customWidth="1"/>
    <col min="2153" max="2153" width="6.26953125" bestFit="1" customWidth="1"/>
    <col min="2154" max="2157" width="5.81640625" bestFit="1" customWidth="1"/>
    <col min="2159" max="2159" width="6.26953125" bestFit="1" customWidth="1"/>
    <col min="2160" max="2162" width="5.81640625" bestFit="1" customWidth="1"/>
    <col min="2164" max="2164" width="6.26953125" bestFit="1" customWidth="1"/>
    <col min="2165" max="2167" width="5.81640625" bestFit="1" customWidth="1"/>
    <col min="2169" max="2169" width="6.26953125" bestFit="1" customWidth="1"/>
    <col min="2170" max="2174" width="5.81640625" bestFit="1" customWidth="1"/>
    <col min="2176" max="2176" width="6.26953125" bestFit="1" customWidth="1"/>
    <col min="2177" max="2177" width="5.81640625" bestFit="1" customWidth="1"/>
    <col min="2179" max="2179" width="6.26953125" bestFit="1" customWidth="1"/>
    <col min="2180" max="2182" width="5.81640625" bestFit="1" customWidth="1"/>
    <col min="2184" max="2184" width="6.26953125" bestFit="1" customWidth="1"/>
    <col min="2185" max="2189" width="5.81640625" bestFit="1" customWidth="1"/>
    <col min="2191" max="2191" width="6.26953125" bestFit="1" customWidth="1"/>
    <col min="2192" max="2197" width="5.81640625" bestFit="1" customWidth="1"/>
    <col min="2199" max="2199" width="6.26953125" bestFit="1" customWidth="1"/>
    <col min="2200" max="2204" width="5.81640625" bestFit="1" customWidth="1"/>
    <col min="2206" max="2206" width="6.26953125" bestFit="1" customWidth="1"/>
    <col min="2207" max="2208" width="5.81640625" bestFit="1" customWidth="1"/>
    <col min="2210" max="2210" width="6.26953125" bestFit="1" customWidth="1"/>
    <col min="2211" max="2217" width="5.81640625" bestFit="1" customWidth="1"/>
    <col min="2219" max="2219" width="6.26953125" bestFit="1" customWidth="1"/>
    <col min="2220" max="2224" width="5.81640625" bestFit="1" customWidth="1"/>
    <col min="2226" max="2226" width="6.26953125" bestFit="1" customWidth="1"/>
    <col min="2228" max="2228" width="6.26953125" bestFit="1" customWidth="1"/>
    <col min="2229" max="2230" width="5.81640625" bestFit="1" customWidth="1"/>
    <col min="2232" max="2232" width="6.26953125" bestFit="1" customWidth="1"/>
    <col min="2233" max="2247" width="5.81640625" bestFit="1" customWidth="1"/>
    <col min="2249" max="2249" width="6.26953125" bestFit="1" customWidth="1"/>
    <col min="2250" max="2255" width="5.81640625" bestFit="1" customWidth="1"/>
    <col min="2257" max="2257" width="6.26953125" bestFit="1" customWidth="1"/>
    <col min="2258" max="2258" width="5.81640625" bestFit="1" customWidth="1"/>
    <col min="2260" max="2260" width="6.26953125" bestFit="1" customWidth="1"/>
    <col min="2261" max="2263" width="5.81640625" bestFit="1" customWidth="1"/>
    <col min="2265" max="2265" width="6.26953125" bestFit="1" customWidth="1"/>
    <col min="2266" max="2271" width="5.81640625" bestFit="1" customWidth="1"/>
    <col min="2273" max="2273" width="6.26953125" bestFit="1" customWidth="1"/>
    <col min="2274" max="2274" width="5.81640625" bestFit="1" customWidth="1"/>
    <col min="2276" max="2276" width="6.26953125" bestFit="1" customWidth="1"/>
    <col min="2278" max="2278" width="6.26953125" bestFit="1" customWidth="1"/>
    <col min="2279" max="2282" width="5.81640625" bestFit="1" customWidth="1"/>
    <col min="2284" max="2284" width="6.26953125" bestFit="1" customWidth="1"/>
    <col min="2285" max="2291" width="5.81640625" bestFit="1" customWidth="1"/>
    <col min="2293" max="2293" width="6.26953125" bestFit="1" customWidth="1"/>
    <col min="2294" max="2297" width="5.81640625" bestFit="1" customWidth="1"/>
    <col min="2299" max="2299" width="6.26953125" bestFit="1" customWidth="1"/>
    <col min="2301" max="2301" width="6.26953125" bestFit="1" customWidth="1"/>
    <col min="2302" max="2303" width="5.81640625" bestFit="1" customWidth="1"/>
    <col min="2305" max="2305" width="6.26953125" bestFit="1" customWidth="1"/>
    <col min="2306" max="2308" width="5.81640625" bestFit="1" customWidth="1"/>
    <col min="2310" max="2310" width="6.26953125" bestFit="1" customWidth="1"/>
    <col min="2311" max="2317" width="5.81640625" bestFit="1" customWidth="1"/>
    <col min="2319" max="2319" width="6.26953125" bestFit="1" customWidth="1"/>
    <col min="2320" max="2322" width="5.81640625" bestFit="1" customWidth="1"/>
    <col min="2324" max="2324" width="6.26953125" bestFit="1" customWidth="1"/>
    <col min="2325" max="2327" width="5.81640625" bestFit="1" customWidth="1"/>
    <col min="2329" max="2329" width="6.26953125" bestFit="1" customWidth="1"/>
    <col min="2330" max="2337" width="5.81640625" bestFit="1" customWidth="1"/>
    <col min="2339" max="2339" width="6.26953125" bestFit="1" customWidth="1"/>
    <col min="2340" max="2341" width="5.81640625" bestFit="1" customWidth="1"/>
    <col min="2343" max="2343" width="6.26953125" bestFit="1" customWidth="1"/>
    <col min="2344" max="2347" width="5.81640625" bestFit="1" customWidth="1"/>
    <col min="2349" max="2349" width="6.26953125" bestFit="1" customWidth="1"/>
    <col min="2350" max="2359" width="5.81640625" bestFit="1" customWidth="1"/>
    <col min="2361" max="2361" width="6.26953125" bestFit="1" customWidth="1"/>
    <col min="2363" max="2363" width="6.26953125" bestFit="1" customWidth="1"/>
    <col min="2364" max="2368" width="5.81640625" bestFit="1" customWidth="1"/>
    <col min="2370" max="2370" width="6.26953125" bestFit="1" customWidth="1"/>
    <col min="2371" max="2376" width="5.81640625" bestFit="1" customWidth="1"/>
    <col min="2378" max="2378" width="6.26953125" bestFit="1" customWidth="1"/>
    <col min="2379" max="2380" width="5.81640625" bestFit="1" customWidth="1"/>
    <col min="2382" max="2382" width="6.26953125" bestFit="1" customWidth="1"/>
    <col min="2383" max="2389" width="5.81640625" bestFit="1" customWidth="1"/>
    <col min="2391" max="2391" width="6.26953125" bestFit="1" customWidth="1"/>
    <col min="2392" max="2392" width="5.81640625" bestFit="1" customWidth="1"/>
    <col min="2394" max="2394" width="6.26953125" bestFit="1" customWidth="1"/>
    <col min="2395" max="2399" width="5.81640625" bestFit="1" customWidth="1"/>
    <col min="2401" max="2401" width="6.26953125" bestFit="1" customWidth="1"/>
    <col min="2402" max="2405" width="5.81640625" bestFit="1" customWidth="1"/>
    <col min="2407" max="2407" width="6.26953125" bestFit="1" customWidth="1"/>
    <col min="2408" max="2408" width="5.81640625" bestFit="1" customWidth="1"/>
    <col min="2410" max="2410" width="6.26953125" bestFit="1" customWidth="1"/>
    <col min="2411" max="2414" width="5.81640625" bestFit="1" customWidth="1"/>
    <col min="2416" max="2416" width="6.26953125" bestFit="1" customWidth="1"/>
    <col min="2417" max="2419" width="5.81640625" bestFit="1" customWidth="1"/>
    <col min="2421" max="2421" width="6.26953125" bestFit="1" customWidth="1"/>
    <col min="2422" max="2424" width="5.81640625" bestFit="1" customWidth="1"/>
    <col min="2426" max="2426" width="6.26953125" bestFit="1" customWidth="1"/>
    <col min="2427" max="2435" width="5.81640625" bestFit="1" customWidth="1"/>
    <col min="2437" max="2437" width="6.26953125" bestFit="1" customWidth="1"/>
    <col min="2438" max="2439" width="5.81640625" bestFit="1" customWidth="1"/>
    <col min="2441" max="2441" width="6.26953125" bestFit="1" customWidth="1"/>
    <col min="2442" max="2448" width="5.81640625" bestFit="1" customWidth="1"/>
    <col min="2450" max="2450" width="6.26953125" bestFit="1" customWidth="1"/>
    <col min="2451" max="2452" width="5.81640625" bestFit="1" customWidth="1"/>
    <col min="2454" max="2454" width="6.26953125" bestFit="1" customWidth="1"/>
    <col min="2455" max="2464" width="5.81640625" bestFit="1" customWidth="1"/>
    <col min="2466" max="2466" width="6.26953125" bestFit="1" customWidth="1"/>
    <col min="2467" max="2472" width="5.81640625" bestFit="1" customWidth="1"/>
    <col min="2474" max="2474" width="6.26953125" bestFit="1" customWidth="1"/>
    <col min="2475" max="2475" width="5.81640625" bestFit="1" customWidth="1"/>
    <col min="2477" max="2477" width="6.26953125" bestFit="1" customWidth="1"/>
    <col min="2478" max="2484" width="5.81640625" bestFit="1" customWidth="1"/>
    <col min="2486" max="2486" width="6.26953125" bestFit="1" customWidth="1"/>
    <col min="2487" max="2490" width="5.81640625" bestFit="1" customWidth="1"/>
    <col min="2492" max="2492" width="6.26953125" bestFit="1" customWidth="1"/>
    <col min="2493" max="2493" width="5.81640625" bestFit="1" customWidth="1"/>
    <col min="2495" max="2495" width="6.26953125" bestFit="1" customWidth="1"/>
    <col min="2496" max="2500" width="5.81640625" bestFit="1" customWidth="1"/>
    <col min="2502" max="2502" width="6.26953125" bestFit="1" customWidth="1"/>
    <col min="2503" max="2504" width="5.81640625" bestFit="1" customWidth="1"/>
    <col min="2506" max="2506" width="6.26953125" bestFit="1" customWidth="1"/>
    <col min="2507" max="2507" width="5.81640625" bestFit="1" customWidth="1"/>
    <col min="2509" max="2509" width="6.26953125" bestFit="1" customWidth="1"/>
    <col min="2510" max="2514" width="5.81640625" bestFit="1" customWidth="1"/>
    <col min="2516" max="2516" width="6.26953125" bestFit="1" customWidth="1"/>
    <col min="2518" max="2518" width="6.26953125" bestFit="1" customWidth="1"/>
    <col min="2519" max="2522" width="5.81640625" bestFit="1" customWidth="1"/>
    <col min="2524" max="2524" width="6.26953125" bestFit="1" customWidth="1"/>
    <col min="2525" max="2525" width="5.81640625" bestFit="1" customWidth="1"/>
    <col min="2527" max="2527" width="6.26953125" bestFit="1" customWidth="1"/>
    <col min="2528" max="2531" width="5.81640625" bestFit="1" customWidth="1"/>
    <col min="2533" max="2533" width="6.26953125" bestFit="1" customWidth="1"/>
    <col min="2534" max="2540" width="5.81640625" bestFit="1" customWidth="1"/>
    <col min="2542" max="2542" width="6.26953125" bestFit="1" customWidth="1"/>
    <col min="2543" max="2543" width="5.81640625" bestFit="1" customWidth="1"/>
    <col min="2545" max="2545" width="6.26953125" bestFit="1" customWidth="1"/>
    <col min="2546" max="2549" width="5.81640625" bestFit="1" customWidth="1"/>
    <col min="2551" max="2551" width="6.26953125" bestFit="1" customWidth="1"/>
    <col min="2552" max="2554" width="5.81640625" bestFit="1" customWidth="1"/>
    <col min="2556" max="2556" width="6.26953125" bestFit="1" customWidth="1"/>
    <col min="2557" max="2562" width="5.81640625" bestFit="1" customWidth="1"/>
    <col min="2564" max="2564" width="6.26953125" bestFit="1" customWidth="1"/>
    <col min="2565" max="2566" width="5.81640625" bestFit="1" customWidth="1"/>
    <col min="2568" max="2568" width="6.26953125" bestFit="1" customWidth="1"/>
    <col min="2569" max="2570" width="5.81640625" bestFit="1" customWidth="1"/>
    <col min="2572" max="2572" width="6.26953125" bestFit="1" customWidth="1"/>
    <col min="2573" max="2581" width="5.81640625" bestFit="1" customWidth="1"/>
    <col min="2583" max="2583" width="6.26953125" bestFit="1" customWidth="1"/>
    <col min="2584" max="2589" width="5.81640625" bestFit="1" customWidth="1"/>
    <col min="2591" max="2591" width="6.26953125" bestFit="1" customWidth="1"/>
    <col min="2592" max="2595" width="5.81640625" bestFit="1" customWidth="1"/>
    <col min="2597" max="2597" width="6.26953125" bestFit="1" customWidth="1"/>
    <col min="2599" max="2599" width="6.26953125" bestFit="1" customWidth="1"/>
    <col min="2600" max="2604" width="5.81640625" bestFit="1" customWidth="1"/>
    <col min="2606" max="2606" width="6.26953125" bestFit="1" customWidth="1"/>
    <col min="2608" max="2608" width="6.26953125" bestFit="1" customWidth="1"/>
    <col min="2609" max="2611" width="5.81640625" bestFit="1" customWidth="1"/>
    <col min="2613" max="2613" width="6.26953125" bestFit="1" customWidth="1"/>
    <col min="2615" max="2615" width="6.26953125" bestFit="1" customWidth="1"/>
    <col min="2616" max="2618" width="5.81640625" bestFit="1" customWidth="1"/>
    <col min="2620" max="2620" width="6.26953125" bestFit="1" customWidth="1"/>
    <col min="2621" max="2624" width="5.81640625" bestFit="1" customWidth="1"/>
    <col min="2626" max="2626" width="6.26953125" bestFit="1" customWidth="1"/>
    <col min="2627" max="2628" width="5.81640625" bestFit="1" customWidth="1"/>
    <col min="2630" max="2630" width="6.26953125" bestFit="1" customWidth="1"/>
    <col min="2631" max="2634" width="5.81640625" bestFit="1" customWidth="1"/>
    <col min="2636" max="2636" width="6.26953125" bestFit="1" customWidth="1"/>
    <col min="2637" max="2645" width="5.81640625" bestFit="1" customWidth="1"/>
    <col min="2647" max="2647" width="6.26953125" bestFit="1" customWidth="1"/>
    <col min="2649" max="2649" width="6.26953125" bestFit="1" customWidth="1"/>
    <col min="2650" max="2655" width="5.81640625" bestFit="1" customWidth="1"/>
    <col min="2657" max="2657" width="6.26953125" bestFit="1" customWidth="1"/>
    <col min="2658" max="2659" width="5.81640625" bestFit="1" customWidth="1"/>
    <col min="2661" max="2661" width="6.26953125" bestFit="1" customWidth="1"/>
    <col min="2662" max="2665" width="5.81640625" bestFit="1" customWidth="1"/>
    <col min="2667" max="2667" width="6.26953125" bestFit="1" customWidth="1"/>
    <col min="2668" max="2672" width="5.81640625" bestFit="1" customWidth="1"/>
    <col min="2674" max="2674" width="6.26953125" bestFit="1" customWidth="1"/>
    <col min="2675" max="2678" width="5.81640625" bestFit="1" customWidth="1"/>
    <col min="2680" max="2680" width="6.26953125" bestFit="1" customWidth="1"/>
    <col min="2681" max="2681" width="5.81640625" bestFit="1" customWidth="1"/>
    <col min="2683" max="2683" width="6.26953125" bestFit="1" customWidth="1"/>
    <col min="2684" max="2686" width="5.81640625" bestFit="1" customWidth="1"/>
    <col min="2688" max="2688" width="6.26953125" bestFit="1" customWidth="1"/>
    <col min="2689" max="2695" width="5.81640625" bestFit="1" customWidth="1"/>
    <col min="2697" max="2697" width="6.26953125" bestFit="1" customWidth="1"/>
    <col min="2698" max="2701" width="5.81640625" bestFit="1" customWidth="1"/>
    <col min="2703" max="2703" width="6.26953125" bestFit="1" customWidth="1"/>
    <col min="2704" max="2707" width="5.81640625" bestFit="1" customWidth="1"/>
    <col min="2709" max="2709" width="6.26953125" bestFit="1" customWidth="1"/>
    <col min="2710" max="2714" width="5.81640625" bestFit="1" customWidth="1"/>
    <col min="2716" max="2716" width="6.26953125" bestFit="1" customWidth="1"/>
    <col min="2717" max="2718" width="5.81640625" bestFit="1" customWidth="1"/>
    <col min="2720" max="2720" width="6.26953125" bestFit="1" customWidth="1"/>
    <col min="2721" max="2722" width="5.81640625" bestFit="1" customWidth="1"/>
    <col min="2724" max="2724" width="6.26953125" bestFit="1" customWidth="1"/>
    <col min="2725" max="2726" width="5.81640625" bestFit="1" customWidth="1"/>
    <col min="2728" max="2728" width="6.26953125" bestFit="1" customWidth="1"/>
    <col min="2729" max="2729" width="5.81640625" bestFit="1" customWidth="1"/>
    <col min="2731" max="2731" width="6.26953125" bestFit="1" customWidth="1"/>
    <col min="2732" max="2732" width="5.81640625" bestFit="1" customWidth="1"/>
    <col min="2734" max="2734" width="6.26953125" bestFit="1" customWidth="1"/>
    <col min="2735" max="2737" width="5.81640625" bestFit="1" customWidth="1"/>
    <col min="2739" max="2739" width="6.26953125" bestFit="1" customWidth="1"/>
    <col min="2740" max="2744" width="5.81640625" bestFit="1" customWidth="1"/>
    <col min="2746" max="2746" width="6.26953125" bestFit="1" customWidth="1"/>
    <col min="2747" max="2750" width="5.81640625" bestFit="1" customWidth="1"/>
    <col min="2752" max="2752" width="6.26953125" bestFit="1" customWidth="1"/>
    <col min="2753" max="2757" width="5.81640625" bestFit="1" customWidth="1"/>
    <col min="2759" max="2759" width="6.26953125" bestFit="1" customWidth="1"/>
    <col min="2760" max="2761" width="5.81640625" bestFit="1" customWidth="1"/>
    <col min="2763" max="2763" width="6.26953125" bestFit="1" customWidth="1"/>
    <col min="2764" max="2769" width="5.81640625" bestFit="1" customWidth="1"/>
    <col min="2771" max="2771" width="6.26953125" bestFit="1" customWidth="1"/>
    <col min="2772" max="2774" width="5.81640625" bestFit="1" customWidth="1"/>
    <col min="2776" max="2776" width="6.26953125" bestFit="1" customWidth="1"/>
    <col min="2777" max="2783" width="5.81640625" bestFit="1" customWidth="1"/>
    <col min="2785" max="2785" width="6.26953125" bestFit="1" customWidth="1"/>
    <col min="2786" max="2788" width="5.81640625" bestFit="1" customWidth="1"/>
    <col min="2790" max="2790" width="6.26953125" bestFit="1" customWidth="1"/>
    <col min="2791" max="2792" width="5.81640625" bestFit="1" customWidth="1"/>
    <col min="2794" max="2794" width="6.26953125" bestFit="1" customWidth="1"/>
    <col min="2796" max="2796" width="6.26953125" bestFit="1" customWidth="1"/>
    <col min="2797" max="2803" width="5.81640625" bestFit="1" customWidth="1"/>
    <col min="2805" max="2805" width="6.26953125" bestFit="1" customWidth="1"/>
    <col min="2806" max="2808" width="5.81640625" bestFit="1" customWidth="1"/>
    <col min="2810" max="2810" width="6.26953125" bestFit="1" customWidth="1"/>
    <col min="2812" max="2812" width="6.26953125" bestFit="1" customWidth="1"/>
    <col min="2814" max="2814" width="6.26953125" bestFit="1" customWidth="1"/>
    <col min="2815" max="2819" width="5.81640625" bestFit="1" customWidth="1"/>
    <col min="2821" max="2821" width="6.26953125" bestFit="1" customWidth="1"/>
    <col min="2822" max="2822" width="5.81640625" bestFit="1" customWidth="1"/>
    <col min="2824" max="2824" width="6.26953125" bestFit="1" customWidth="1"/>
    <col min="2825" max="2827" width="5.81640625" bestFit="1" customWidth="1"/>
    <col min="2829" max="2829" width="6.26953125" bestFit="1" customWidth="1"/>
    <col min="2830" max="2833" width="5.81640625" bestFit="1" customWidth="1"/>
    <col min="2835" max="2835" width="6.26953125" bestFit="1" customWidth="1"/>
    <col min="2836" max="2839" width="5.81640625" bestFit="1" customWidth="1"/>
    <col min="2841" max="2841" width="6.26953125" bestFit="1" customWidth="1"/>
    <col min="2843" max="2843" width="6.26953125" bestFit="1" customWidth="1"/>
    <col min="2844" max="2847" width="5.81640625" bestFit="1" customWidth="1"/>
    <col min="2849" max="2849" width="6.26953125" bestFit="1" customWidth="1"/>
    <col min="2850" max="2853" width="5.81640625" bestFit="1" customWidth="1"/>
    <col min="2855" max="2855" width="6.26953125" bestFit="1" customWidth="1"/>
    <col min="2856" max="2859" width="5.81640625" bestFit="1" customWidth="1"/>
    <col min="2861" max="2861" width="6.26953125" bestFit="1" customWidth="1"/>
    <col min="2862" max="2862" width="5.81640625" bestFit="1" customWidth="1"/>
    <col min="2864" max="2864" width="6.26953125" bestFit="1" customWidth="1"/>
    <col min="2865" max="2867" width="5.81640625" bestFit="1" customWidth="1"/>
    <col min="2869" max="2869" width="6.26953125" bestFit="1" customWidth="1"/>
    <col min="2870" max="2871" width="5.81640625" bestFit="1" customWidth="1"/>
    <col min="2873" max="2873" width="6.26953125" bestFit="1" customWidth="1"/>
    <col min="2874" max="2875" width="5.81640625" bestFit="1" customWidth="1"/>
    <col min="2877" max="2877" width="6.26953125" bestFit="1" customWidth="1"/>
    <col min="2879" max="2879" width="6.26953125" bestFit="1" customWidth="1"/>
    <col min="2880" max="2884" width="5.81640625" bestFit="1" customWidth="1"/>
    <col min="2886" max="2886" width="6.26953125" bestFit="1" customWidth="1"/>
    <col min="2887" max="2889" width="5.81640625" bestFit="1" customWidth="1"/>
    <col min="2891" max="2891" width="6.26953125" bestFit="1" customWidth="1"/>
    <col min="2892" max="2895" width="5.81640625" bestFit="1" customWidth="1"/>
    <col min="2897" max="2897" width="6.26953125" bestFit="1" customWidth="1"/>
    <col min="2898" max="2900" width="5.81640625" bestFit="1" customWidth="1"/>
    <col min="2902" max="2902" width="6.26953125" bestFit="1" customWidth="1"/>
    <col min="2903" max="2905" width="5.81640625" bestFit="1" customWidth="1"/>
    <col min="2907" max="2907" width="6.26953125" bestFit="1" customWidth="1"/>
    <col min="2908" max="2911" width="5.81640625" bestFit="1" customWidth="1"/>
    <col min="2913" max="2913" width="6.26953125" bestFit="1" customWidth="1"/>
    <col min="2914" max="2916" width="5.81640625" bestFit="1" customWidth="1"/>
    <col min="2918" max="2918" width="6.26953125" bestFit="1" customWidth="1"/>
    <col min="2919" max="2920" width="5.81640625" bestFit="1" customWidth="1"/>
    <col min="2922" max="2922" width="6.26953125" bestFit="1" customWidth="1"/>
    <col min="2923" max="2924" width="5.81640625" bestFit="1" customWidth="1"/>
    <col min="2926" max="2926" width="6.26953125" bestFit="1" customWidth="1"/>
    <col min="2927" max="2928" width="5.81640625" bestFit="1" customWidth="1"/>
    <col min="2930" max="2930" width="6.26953125" bestFit="1" customWidth="1"/>
    <col min="2931" max="2934" width="5.81640625" bestFit="1" customWidth="1"/>
    <col min="2936" max="2936" width="6.26953125" bestFit="1" customWidth="1"/>
    <col min="2937" max="2937" width="5.81640625" bestFit="1" customWidth="1"/>
    <col min="2939" max="2939" width="6.26953125" bestFit="1" customWidth="1"/>
    <col min="2940" max="2940" width="5.81640625" bestFit="1" customWidth="1"/>
    <col min="2942" max="2942" width="6.26953125" bestFit="1" customWidth="1"/>
    <col min="2943" max="2945" width="5.81640625" bestFit="1" customWidth="1"/>
    <col min="2947" max="2947" width="6.26953125" bestFit="1" customWidth="1"/>
    <col min="2948" max="2950" width="5.81640625" bestFit="1" customWidth="1"/>
    <col min="2952" max="2952" width="6.26953125" bestFit="1" customWidth="1"/>
    <col min="2953" max="2953" width="5.81640625" bestFit="1" customWidth="1"/>
    <col min="2955" max="2955" width="6.26953125" bestFit="1" customWidth="1"/>
    <col min="2956" max="2961" width="5.81640625" bestFit="1" customWidth="1"/>
    <col min="2963" max="2963" width="6.26953125" bestFit="1" customWidth="1"/>
    <col min="2964" max="2964" width="5.81640625" bestFit="1" customWidth="1"/>
    <col min="2966" max="2966" width="6.26953125" bestFit="1" customWidth="1"/>
    <col min="2967" max="2968" width="5.81640625" bestFit="1" customWidth="1"/>
    <col min="2970" max="2970" width="6.26953125" bestFit="1" customWidth="1"/>
    <col min="2971" max="2971" width="5.81640625" bestFit="1" customWidth="1"/>
    <col min="2973" max="2973" width="6.26953125" bestFit="1" customWidth="1"/>
    <col min="2974" max="2975" width="5.81640625" bestFit="1" customWidth="1"/>
    <col min="2977" max="2977" width="6.26953125" bestFit="1" customWidth="1"/>
    <col min="2978" max="2979" width="5.81640625" bestFit="1" customWidth="1"/>
    <col min="2981" max="2981" width="6.26953125" bestFit="1" customWidth="1"/>
    <col min="2982" max="2983" width="5.81640625" bestFit="1" customWidth="1"/>
    <col min="2985" max="2985" width="6.26953125" bestFit="1" customWidth="1"/>
    <col min="2986" max="2987" width="5.81640625" bestFit="1" customWidth="1"/>
    <col min="2989" max="2989" width="6.26953125" bestFit="1" customWidth="1"/>
    <col min="2991" max="2991" width="6.26953125" bestFit="1" customWidth="1"/>
    <col min="2992" max="2994" width="5.81640625" bestFit="1" customWidth="1"/>
    <col min="2996" max="2996" width="6.26953125" bestFit="1" customWidth="1"/>
    <col min="2997" max="2997" width="5.81640625" bestFit="1" customWidth="1"/>
    <col min="2999" max="2999" width="6.26953125" bestFit="1" customWidth="1"/>
    <col min="3000" max="3008" width="5.81640625" bestFit="1" customWidth="1"/>
    <col min="3010" max="3010" width="6.26953125" bestFit="1" customWidth="1"/>
    <col min="3011" max="3011" width="5.81640625" bestFit="1" customWidth="1"/>
    <col min="3013" max="3013" width="6.26953125" bestFit="1" customWidth="1"/>
    <col min="3014" max="3015" width="5.81640625" bestFit="1" customWidth="1"/>
    <col min="3017" max="3017" width="6.26953125" bestFit="1" customWidth="1"/>
    <col min="3018" max="3021" width="5.81640625" bestFit="1" customWidth="1"/>
    <col min="3023" max="3023" width="6.26953125" bestFit="1" customWidth="1"/>
    <col min="3024" max="3026" width="5.81640625" bestFit="1" customWidth="1"/>
    <col min="3028" max="3028" width="6.26953125" bestFit="1" customWidth="1"/>
    <col min="3029" max="3034" width="5.81640625" bestFit="1" customWidth="1"/>
    <col min="3036" max="3036" width="6.26953125" bestFit="1" customWidth="1"/>
    <col min="3037" max="3037" width="5.81640625" bestFit="1" customWidth="1"/>
    <col min="3039" max="3039" width="6.26953125" bestFit="1" customWidth="1"/>
    <col min="3040" max="3045" width="5.81640625" bestFit="1" customWidth="1"/>
    <col min="3047" max="3047" width="6.26953125" bestFit="1" customWidth="1"/>
    <col min="3048" max="3050" width="5.81640625" bestFit="1" customWidth="1"/>
    <col min="3052" max="3052" width="6.26953125" bestFit="1" customWidth="1"/>
    <col min="3054" max="3054" width="6.26953125" bestFit="1" customWidth="1"/>
    <col min="3055" max="3057" width="5.81640625" bestFit="1" customWidth="1"/>
    <col min="3059" max="3059" width="6.26953125" bestFit="1" customWidth="1"/>
    <col min="3060" max="3068" width="5.81640625" bestFit="1" customWidth="1"/>
    <col min="3070" max="3070" width="6.26953125" bestFit="1" customWidth="1"/>
    <col min="3072" max="3072" width="6.26953125" bestFit="1" customWidth="1"/>
    <col min="3073" max="3075" width="5.81640625" bestFit="1" customWidth="1"/>
    <col min="3077" max="3077" width="6.26953125" bestFit="1" customWidth="1"/>
    <col min="3078" max="3081" width="5.81640625" bestFit="1" customWidth="1"/>
    <col min="3083" max="3083" width="6.26953125" bestFit="1" customWidth="1"/>
    <col min="3084" max="3084" width="5.81640625" bestFit="1" customWidth="1"/>
    <col min="3086" max="3086" width="6.26953125" bestFit="1" customWidth="1"/>
    <col min="3087" max="3091" width="5.81640625" bestFit="1" customWidth="1"/>
    <col min="3093" max="3093" width="6.26953125" bestFit="1" customWidth="1"/>
    <col min="3094" max="3100" width="5.81640625" bestFit="1" customWidth="1"/>
    <col min="3102" max="3102" width="6.26953125" bestFit="1" customWidth="1"/>
    <col min="3103" max="3103" width="5.81640625" bestFit="1" customWidth="1"/>
    <col min="3105" max="3105" width="6.26953125" bestFit="1" customWidth="1"/>
    <col min="3106" max="3106" width="5.81640625" bestFit="1" customWidth="1"/>
    <col min="3108" max="3108" width="6.26953125" bestFit="1" customWidth="1"/>
    <col min="3109" max="3112" width="5.81640625" bestFit="1" customWidth="1"/>
    <col min="3114" max="3114" width="6.26953125" bestFit="1" customWidth="1"/>
    <col min="3116" max="3116" width="6.26953125" bestFit="1" customWidth="1"/>
    <col min="3117" max="3120" width="5.81640625" bestFit="1" customWidth="1"/>
    <col min="3122" max="3122" width="6.26953125" bestFit="1" customWidth="1"/>
    <col min="3123" max="3124" width="5.81640625" bestFit="1" customWidth="1"/>
    <col min="3126" max="3126" width="6.26953125" bestFit="1" customWidth="1"/>
    <col min="3127" max="3128" width="5.81640625" bestFit="1" customWidth="1"/>
    <col min="3130" max="3130" width="6.26953125" bestFit="1" customWidth="1"/>
    <col min="3131" max="3132" width="5.81640625" bestFit="1" customWidth="1"/>
    <col min="3134" max="3134" width="6.26953125" bestFit="1" customWidth="1"/>
    <col min="3135" max="3139" width="5.81640625" bestFit="1" customWidth="1"/>
    <col min="3141" max="3141" width="6.26953125" bestFit="1" customWidth="1"/>
    <col min="3142" max="3147" width="5.81640625" bestFit="1" customWidth="1"/>
    <col min="3149" max="3149" width="6.26953125" bestFit="1" customWidth="1"/>
    <col min="3150" max="3152" width="5.81640625" bestFit="1" customWidth="1"/>
    <col min="3154" max="3154" width="6.26953125" bestFit="1" customWidth="1"/>
    <col min="3155" max="3155" width="5.81640625" bestFit="1" customWidth="1"/>
    <col min="3157" max="3157" width="6.26953125" bestFit="1" customWidth="1"/>
    <col min="3158" max="3160" width="5.81640625" bestFit="1" customWidth="1"/>
    <col min="3162" max="3162" width="6.26953125" bestFit="1" customWidth="1"/>
    <col min="3163" max="3165" width="5.81640625" bestFit="1" customWidth="1"/>
    <col min="3167" max="3167" width="6.26953125" bestFit="1" customWidth="1"/>
    <col min="3168" max="3168" width="5.81640625" bestFit="1" customWidth="1"/>
    <col min="3170" max="3170" width="6.26953125" bestFit="1" customWidth="1"/>
    <col min="3171" max="3172" width="5.81640625" bestFit="1" customWidth="1"/>
    <col min="3174" max="3174" width="6.26953125" bestFit="1" customWidth="1"/>
    <col min="3175" max="3182" width="5.81640625" bestFit="1" customWidth="1"/>
    <col min="3184" max="3184" width="6.26953125" bestFit="1" customWidth="1"/>
    <col min="3185" max="3195" width="5.81640625" bestFit="1" customWidth="1"/>
    <col min="3197" max="3197" width="6.26953125" bestFit="1" customWidth="1"/>
    <col min="3198" max="3199" width="5.81640625" bestFit="1" customWidth="1"/>
    <col min="3201" max="3201" width="6.26953125" bestFit="1" customWidth="1"/>
    <col min="3202" max="3206" width="5.81640625" bestFit="1" customWidth="1"/>
    <col min="3208" max="3208" width="6.26953125" bestFit="1" customWidth="1"/>
    <col min="3210" max="3210" width="6.26953125" bestFit="1" customWidth="1"/>
    <col min="3211" max="3214" width="5.81640625" bestFit="1" customWidth="1"/>
    <col min="3216" max="3216" width="6.26953125" bestFit="1" customWidth="1"/>
    <col min="3217" max="3218" width="5.81640625" bestFit="1" customWidth="1"/>
    <col min="3220" max="3220" width="6.26953125" bestFit="1" customWidth="1"/>
    <col min="3221" max="3223" width="5.81640625" bestFit="1" customWidth="1"/>
    <col min="3225" max="3225" width="6.26953125" bestFit="1" customWidth="1"/>
    <col min="3226" max="3227" width="5.81640625" bestFit="1" customWidth="1"/>
    <col min="3229" max="3229" width="6.26953125" bestFit="1" customWidth="1"/>
    <col min="3231" max="3231" width="6.26953125" bestFit="1" customWidth="1"/>
    <col min="3232" max="3235" width="5.81640625" bestFit="1" customWidth="1"/>
    <col min="3237" max="3237" width="6.26953125" bestFit="1" customWidth="1"/>
    <col min="3238" max="3239" width="5.81640625" bestFit="1" customWidth="1"/>
    <col min="3241" max="3241" width="6.26953125" bestFit="1" customWidth="1"/>
    <col min="3242" max="3248" width="5.81640625" bestFit="1" customWidth="1"/>
    <col min="3250" max="3250" width="6.26953125" bestFit="1" customWidth="1"/>
    <col min="3251" max="3252" width="5.81640625" bestFit="1" customWidth="1"/>
    <col min="3254" max="3254" width="6.26953125" bestFit="1" customWidth="1"/>
    <col min="3256" max="3256" width="6.26953125" bestFit="1" customWidth="1"/>
    <col min="3257" max="3260" width="5.81640625" bestFit="1" customWidth="1"/>
    <col min="3262" max="3262" width="6.26953125" bestFit="1" customWidth="1"/>
    <col min="3263" max="3270" width="5.81640625" bestFit="1" customWidth="1"/>
    <col min="3272" max="3272" width="6.26953125" bestFit="1" customWidth="1"/>
    <col min="3273" max="3274" width="5.81640625" bestFit="1" customWidth="1"/>
    <col min="3276" max="3276" width="6.26953125" bestFit="1" customWidth="1"/>
    <col min="3277" max="3278" width="5.81640625" bestFit="1" customWidth="1"/>
    <col min="3280" max="3280" width="6.26953125" bestFit="1" customWidth="1"/>
    <col min="3282" max="3282" width="6.26953125" bestFit="1" customWidth="1"/>
    <col min="3283" max="3287" width="5.81640625" bestFit="1" customWidth="1"/>
    <col min="3289" max="3289" width="6.26953125" bestFit="1" customWidth="1"/>
    <col min="3290" max="3293" width="5.81640625" bestFit="1" customWidth="1"/>
    <col min="3295" max="3295" width="6.26953125" bestFit="1" customWidth="1"/>
    <col min="3297" max="3297" width="6.26953125" bestFit="1" customWidth="1"/>
    <col min="3298" max="3298" width="5.81640625" bestFit="1" customWidth="1"/>
    <col min="3300" max="3300" width="6.26953125" bestFit="1" customWidth="1"/>
    <col min="3301" max="3304" width="5.81640625" bestFit="1" customWidth="1"/>
    <col min="3306" max="3306" width="6.26953125" bestFit="1" customWidth="1"/>
    <col min="3308" max="3308" width="6.26953125" bestFit="1" customWidth="1"/>
    <col min="3309" max="3311" width="5.81640625" bestFit="1" customWidth="1"/>
    <col min="3313" max="3313" width="6.26953125" bestFit="1" customWidth="1"/>
    <col min="3314" max="3316" width="5.81640625" bestFit="1" customWidth="1"/>
    <col min="3318" max="3318" width="6.26953125" bestFit="1" customWidth="1"/>
    <col min="3319" max="3323" width="5.81640625" bestFit="1" customWidth="1"/>
    <col min="3325" max="3325" width="6.26953125" bestFit="1" customWidth="1"/>
    <col min="3326" max="3326" width="5.81640625" bestFit="1" customWidth="1"/>
    <col min="3328" max="3328" width="6.26953125" bestFit="1" customWidth="1"/>
    <col min="3329" max="3330" width="5.81640625" bestFit="1" customWidth="1"/>
    <col min="3332" max="3332" width="6.26953125" bestFit="1" customWidth="1"/>
    <col min="3333" max="3333" width="5.81640625" bestFit="1" customWidth="1"/>
    <col min="3335" max="3335" width="6.26953125" bestFit="1" customWidth="1"/>
    <col min="3336" max="3337" width="5.81640625" bestFit="1" customWidth="1"/>
    <col min="3339" max="3339" width="6.26953125" bestFit="1" customWidth="1"/>
    <col min="3340" max="3341" width="5.81640625" bestFit="1" customWidth="1"/>
    <col min="3343" max="3343" width="6.26953125" bestFit="1" customWidth="1"/>
    <col min="3344" max="3345" width="5.81640625" bestFit="1" customWidth="1"/>
    <col min="3347" max="3347" width="6.26953125" bestFit="1" customWidth="1"/>
    <col min="3348" max="3354" width="5.81640625" bestFit="1" customWidth="1"/>
    <col min="3356" max="3356" width="6.26953125" bestFit="1" customWidth="1"/>
    <col min="3358" max="3358" width="6.26953125" bestFit="1" customWidth="1"/>
    <col min="3359" max="3361" width="5.81640625" bestFit="1" customWidth="1"/>
    <col min="3363" max="3363" width="6.26953125" bestFit="1" customWidth="1"/>
    <col min="3364" max="3366" width="5.81640625" bestFit="1" customWidth="1"/>
    <col min="3368" max="3368" width="6.26953125" bestFit="1" customWidth="1"/>
    <col min="3369" max="3370" width="5.81640625" bestFit="1" customWidth="1"/>
    <col min="3372" max="3372" width="6.26953125" bestFit="1" customWidth="1"/>
    <col min="3373" max="3374" width="5.81640625" bestFit="1" customWidth="1"/>
    <col min="3376" max="3376" width="6.26953125" bestFit="1" customWidth="1"/>
    <col min="3377" max="3381" width="5.81640625" bestFit="1" customWidth="1"/>
    <col min="3383" max="3383" width="6.26953125" bestFit="1" customWidth="1"/>
    <col min="3385" max="3385" width="6.26953125" bestFit="1" customWidth="1"/>
    <col min="3386" max="3390" width="5.81640625" bestFit="1" customWidth="1"/>
    <col min="3392" max="3392" width="6.26953125" bestFit="1" customWidth="1"/>
    <col min="3393" max="3394" width="5.81640625" bestFit="1" customWidth="1"/>
    <col min="3396" max="3396" width="6.26953125" bestFit="1" customWidth="1"/>
    <col min="3398" max="3398" width="6.26953125" bestFit="1" customWidth="1"/>
    <col min="3400" max="3400" width="6.26953125" bestFit="1" customWidth="1"/>
    <col min="3401" max="3402" width="5.81640625" bestFit="1" customWidth="1"/>
    <col min="3404" max="3404" width="6.26953125" bestFit="1" customWidth="1"/>
    <col min="3406" max="3406" width="6.26953125" bestFit="1" customWidth="1"/>
    <col min="3407" max="3410" width="5.81640625" bestFit="1" customWidth="1"/>
    <col min="3412" max="3412" width="6.26953125" bestFit="1" customWidth="1"/>
    <col min="3413" max="3415" width="5.81640625" bestFit="1" customWidth="1"/>
    <col min="3417" max="3417" width="6.26953125" bestFit="1" customWidth="1"/>
    <col min="3418" max="3421" width="5.81640625" bestFit="1" customWidth="1"/>
    <col min="3423" max="3423" width="6.26953125" bestFit="1" customWidth="1"/>
    <col min="3424" max="3427" width="5.81640625" bestFit="1" customWidth="1"/>
    <col min="3429" max="3429" width="6.26953125" bestFit="1" customWidth="1"/>
    <col min="3431" max="3431" width="6.26953125" bestFit="1" customWidth="1"/>
    <col min="3432" max="3435" width="5.81640625" bestFit="1" customWidth="1"/>
    <col min="3437" max="3437" width="6.26953125" bestFit="1" customWidth="1"/>
    <col min="3438" max="3440" width="5.81640625" bestFit="1" customWidth="1"/>
    <col min="3442" max="3442" width="6.26953125" bestFit="1" customWidth="1"/>
    <col min="3444" max="3444" width="6.26953125" bestFit="1" customWidth="1"/>
    <col min="3445" max="3451" width="5.81640625" bestFit="1" customWidth="1"/>
    <col min="3453" max="3453" width="6.26953125" bestFit="1" customWidth="1"/>
    <col min="3455" max="3455" width="6.26953125" bestFit="1" customWidth="1"/>
    <col min="3456" max="3458" width="5.81640625" bestFit="1" customWidth="1"/>
    <col min="3460" max="3460" width="6.26953125" bestFit="1" customWidth="1"/>
    <col min="3461" max="3464" width="5.81640625" bestFit="1" customWidth="1"/>
    <col min="3466" max="3466" width="6.26953125" bestFit="1" customWidth="1"/>
    <col min="3467" max="3471" width="5.81640625" bestFit="1" customWidth="1"/>
    <col min="3473" max="3473" width="6.26953125" bestFit="1" customWidth="1"/>
    <col min="3474" max="3475" width="5.81640625" bestFit="1" customWidth="1"/>
    <col min="3477" max="3477" width="6.26953125" bestFit="1" customWidth="1"/>
    <col min="3478" max="3479" width="5.81640625" bestFit="1" customWidth="1"/>
    <col min="3481" max="3481" width="6.26953125" bestFit="1" customWidth="1"/>
    <col min="3483" max="3483" width="6.26953125" bestFit="1" customWidth="1"/>
    <col min="3484" max="3486" width="5.81640625" bestFit="1" customWidth="1"/>
    <col min="3488" max="3488" width="6.26953125" bestFit="1" customWidth="1"/>
    <col min="3489" max="3494" width="5.81640625" bestFit="1" customWidth="1"/>
    <col min="3496" max="3496" width="6.26953125" bestFit="1" customWidth="1"/>
    <col min="3497" max="3498" width="5.81640625" bestFit="1" customWidth="1"/>
    <col min="3500" max="3500" width="6.26953125" bestFit="1" customWidth="1"/>
    <col min="3501" max="3501" width="5.81640625" bestFit="1" customWidth="1"/>
    <col min="3503" max="3503" width="6.26953125" bestFit="1" customWidth="1"/>
    <col min="3504" max="3506" width="5.81640625" bestFit="1" customWidth="1"/>
    <col min="3508" max="3508" width="6.26953125" bestFit="1" customWidth="1"/>
    <col min="3509" max="3510" width="5.81640625" bestFit="1" customWidth="1"/>
    <col min="3512" max="3512" width="6.26953125" bestFit="1" customWidth="1"/>
    <col min="3513" max="3517" width="5.81640625" bestFit="1" customWidth="1"/>
    <col min="3519" max="3519" width="6.26953125" bestFit="1" customWidth="1"/>
    <col min="3521" max="3521" width="6.26953125" bestFit="1" customWidth="1"/>
    <col min="3522" max="3523" width="5.81640625" bestFit="1" customWidth="1"/>
    <col min="3525" max="3525" width="6.26953125" bestFit="1" customWidth="1"/>
    <col min="3526" max="3526" width="5.81640625" bestFit="1" customWidth="1"/>
    <col min="3528" max="3528" width="6.26953125" bestFit="1" customWidth="1"/>
    <col min="3529" max="3529" width="5.81640625" bestFit="1" customWidth="1"/>
    <col min="3531" max="3531" width="6.26953125" bestFit="1" customWidth="1"/>
    <col min="3532" max="3532" width="5.81640625" bestFit="1" customWidth="1"/>
    <col min="3534" max="3534" width="6.26953125" bestFit="1" customWidth="1"/>
    <col min="3535" max="3542" width="5.81640625" bestFit="1" customWidth="1"/>
    <col min="3544" max="3544" width="6.26953125" bestFit="1" customWidth="1"/>
    <col min="3545" max="3545" width="5.81640625" bestFit="1" customWidth="1"/>
    <col min="3547" max="3547" width="6.26953125" bestFit="1" customWidth="1"/>
    <col min="3548" max="3552" width="5.81640625" bestFit="1" customWidth="1"/>
    <col min="3554" max="3554" width="6.26953125" bestFit="1" customWidth="1"/>
    <col min="3555" max="3558" width="5.81640625" bestFit="1" customWidth="1"/>
    <col min="3560" max="3560" width="6.26953125" bestFit="1" customWidth="1"/>
    <col min="3561" max="3563" width="5.81640625" bestFit="1" customWidth="1"/>
    <col min="3565" max="3565" width="6.26953125" bestFit="1" customWidth="1"/>
    <col min="3566" max="3568" width="5.81640625" bestFit="1" customWidth="1"/>
    <col min="3570" max="3570" width="6.26953125" bestFit="1" customWidth="1"/>
    <col min="3571" max="3572" width="5.81640625" bestFit="1" customWidth="1"/>
    <col min="3574" max="3574" width="6.26953125" bestFit="1" customWidth="1"/>
    <col min="3575" max="3575" width="5.81640625" bestFit="1" customWidth="1"/>
    <col min="3577" max="3577" width="6.26953125" bestFit="1" customWidth="1"/>
    <col min="3578" max="3578" width="5.81640625" bestFit="1" customWidth="1"/>
    <col min="3580" max="3580" width="6.26953125" bestFit="1" customWidth="1"/>
    <col min="3581" max="3581" width="5.81640625" bestFit="1" customWidth="1"/>
    <col min="3583" max="3583" width="6.26953125" bestFit="1" customWidth="1"/>
    <col min="3584" max="3585" width="5.81640625" bestFit="1" customWidth="1"/>
    <col min="3587" max="3587" width="6.26953125" bestFit="1" customWidth="1"/>
    <col min="3588" max="3588" width="5.81640625" bestFit="1" customWidth="1"/>
    <col min="3590" max="3590" width="6.26953125" bestFit="1" customWidth="1"/>
    <col min="3591" max="3592" width="5.81640625" bestFit="1" customWidth="1"/>
    <col min="3594" max="3594" width="6.26953125" bestFit="1" customWidth="1"/>
    <col min="3595" max="3596" width="5.81640625" bestFit="1" customWidth="1"/>
    <col min="3598" max="3598" width="6.26953125" bestFit="1" customWidth="1"/>
    <col min="3599" max="3599" width="5.81640625" bestFit="1" customWidth="1"/>
    <col min="3601" max="3601" width="6.26953125" bestFit="1" customWidth="1"/>
    <col min="3602" max="3603" width="5.81640625" bestFit="1" customWidth="1"/>
    <col min="3605" max="3605" width="6.26953125" bestFit="1" customWidth="1"/>
    <col min="3606" max="3607" width="5.81640625" bestFit="1" customWidth="1"/>
    <col min="3609" max="3609" width="6.26953125" bestFit="1" customWidth="1"/>
    <col min="3611" max="3611" width="6.26953125" bestFit="1" customWidth="1"/>
    <col min="3612" max="3612" width="5.81640625" bestFit="1" customWidth="1"/>
    <col min="3614" max="3614" width="6.26953125" bestFit="1" customWidth="1"/>
    <col min="3615" max="3616" width="5.81640625" bestFit="1" customWidth="1"/>
    <col min="3618" max="3618" width="6.26953125" bestFit="1" customWidth="1"/>
    <col min="3619" max="3620" width="5.81640625" bestFit="1" customWidth="1"/>
    <col min="3622" max="3622" width="6.26953125" bestFit="1" customWidth="1"/>
    <col min="3624" max="3624" width="6.26953125" bestFit="1" customWidth="1"/>
    <col min="3625" max="3625" width="5.81640625" bestFit="1" customWidth="1"/>
    <col min="3627" max="3627" width="6.26953125" bestFit="1" customWidth="1"/>
    <col min="3628" max="3629" width="5.81640625" bestFit="1" customWidth="1"/>
    <col min="3631" max="3631" width="6.26953125" bestFit="1" customWidth="1"/>
    <col min="3632" max="3632" width="5.81640625" bestFit="1" customWidth="1"/>
    <col min="3634" max="3634" width="6.26953125" bestFit="1" customWidth="1"/>
    <col min="3636" max="3636" width="6.26953125" bestFit="1" customWidth="1"/>
    <col min="3637" max="3637" width="5.81640625" bestFit="1" customWidth="1"/>
    <col min="3639" max="3639" width="6.26953125" bestFit="1" customWidth="1"/>
    <col min="3640" max="3640" width="5.81640625" bestFit="1" customWidth="1"/>
    <col min="3642" max="3642" width="6.26953125" bestFit="1" customWidth="1"/>
    <col min="3643" max="3643" width="5.81640625" bestFit="1" customWidth="1"/>
    <col min="3645" max="3645" width="6.26953125" bestFit="1" customWidth="1"/>
    <col min="3646" max="3646" width="5.81640625" bestFit="1" customWidth="1"/>
    <col min="3648" max="3648" width="6.26953125" bestFit="1" customWidth="1"/>
    <col min="3650" max="3650" width="6.26953125" bestFit="1" customWidth="1"/>
    <col min="3651" max="3654" width="5.81640625" bestFit="1" customWidth="1"/>
    <col min="3656" max="3656" width="6.26953125" bestFit="1" customWidth="1"/>
    <col min="3657" max="3657" width="5.81640625" bestFit="1" customWidth="1"/>
    <col min="3659" max="3659" width="6.26953125" bestFit="1" customWidth="1"/>
    <col min="3660" max="3662" width="5.81640625" bestFit="1" customWidth="1"/>
    <col min="3664" max="3664" width="6.26953125" bestFit="1" customWidth="1"/>
    <col min="3666" max="3666" width="6.26953125" bestFit="1" customWidth="1"/>
    <col min="3668" max="3668" width="6.26953125" bestFit="1" customWidth="1"/>
    <col min="3669" max="3673" width="5.81640625" bestFit="1" customWidth="1"/>
    <col min="3675" max="3675" width="6.26953125" bestFit="1" customWidth="1"/>
    <col min="3676" max="3678" width="5.81640625" bestFit="1" customWidth="1"/>
    <col min="3680" max="3680" width="6.26953125" bestFit="1" customWidth="1"/>
    <col min="3681" max="3686" width="5.81640625" bestFit="1" customWidth="1"/>
    <col min="3688" max="3688" width="6.26953125" bestFit="1" customWidth="1"/>
    <col min="3689" max="3690" width="5.81640625" bestFit="1" customWidth="1"/>
    <col min="3692" max="3692" width="6.26953125" bestFit="1" customWidth="1"/>
    <col min="3693" max="3694" width="5.81640625" bestFit="1" customWidth="1"/>
    <col min="3696" max="3696" width="6.26953125" bestFit="1" customWidth="1"/>
    <col min="3698" max="3698" width="6.26953125" bestFit="1" customWidth="1"/>
    <col min="3700" max="3700" width="6.26953125" bestFit="1" customWidth="1"/>
    <col min="3702" max="3702" width="6.26953125" bestFit="1" customWidth="1"/>
    <col min="3703" max="3703" width="5.81640625" bestFit="1" customWidth="1"/>
    <col min="3705" max="3705" width="6.26953125" bestFit="1" customWidth="1"/>
    <col min="3707" max="3707" width="6.26953125" bestFit="1" customWidth="1"/>
    <col min="3709" max="3709" width="6.26953125" bestFit="1" customWidth="1"/>
    <col min="3710" max="3715" width="5.81640625" bestFit="1" customWidth="1"/>
    <col min="3717" max="3717" width="6.26953125" bestFit="1" customWidth="1"/>
    <col min="3719" max="3719" width="6.26953125" bestFit="1" customWidth="1"/>
    <col min="3720" max="3721" width="5.81640625" bestFit="1" customWidth="1"/>
    <col min="3723" max="3723" width="6.26953125" bestFit="1" customWidth="1"/>
    <col min="3725" max="3725" width="6.26953125" bestFit="1" customWidth="1"/>
    <col min="3726" max="3728" width="5.81640625" bestFit="1" customWidth="1"/>
    <col min="3730" max="3730" width="6.26953125" bestFit="1" customWidth="1"/>
    <col min="3731" max="3732" width="5.81640625" bestFit="1" customWidth="1"/>
    <col min="3734" max="3734" width="6.26953125" bestFit="1" customWidth="1"/>
    <col min="3735" max="3742" width="5.81640625" bestFit="1" customWidth="1"/>
    <col min="3744" max="3744" width="6.26953125" bestFit="1" customWidth="1"/>
    <col min="3746" max="3746" width="6.26953125" bestFit="1" customWidth="1"/>
    <col min="3747" max="3749" width="5.81640625" bestFit="1" customWidth="1"/>
    <col min="3751" max="3751" width="6.26953125" bestFit="1" customWidth="1"/>
    <col min="3753" max="3753" width="6.26953125" bestFit="1" customWidth="1"/>
    <col min="3754" max="3756" width="5.81640625" bestFit="1" customWidth="1"/>
    <col min="3758" max="3758" width="6.26953125" bestFit="1" customWidth="1"/>
    <col min="3759" max="3760" width="5.81640625" bestFit="1" customWidth="1"/>
    <col min="3762" max="3762" width="6.26953125" bestFit="1" customWidth="1"/>
    <col min="3763" max="3763" width="5.81640625" bestFit="1" customWidth="1"/>
    <col min="3765" max="3765" width="6.26953125" bestFit="1" customWidth="1"/>
    <col min="3766" max="3766" width="5.81640625" bestFit="1" customWidth="1"/>
    <col min="3768" max="3768" width="6.26953125" bestFit="1" customWidth="1"/>
    <col min="3769" max="3770" width="5.81640625" bestFit="1" customWidth="1"/>
    <col min="3772" max="3772" width="6.26953125" bestFit="1" customWidth="1"/>
    <col min="3773" max="3775" width="5.81640625" bestFit="1" customWidth="1"/>
    <col min="3777" max="3777" width="6.26953125" bestFit="1" customWidth="1"/>
    <col min="3779" max="3779" width="6.26953125" bestFit="1" customWidth="1"/>
    <col min="3780" max="3781" width="5.81640625" bestFit="1" customWidth="1"/>
    <col min="3783" max="3783" width="6.26953125" bestFit="1" customWidth="1"/>
    <col min="3784" max="3788" width="5.81640625" bestFit="1" customWidth="1"/>
    <col min="3790" max="3790" width="6.26953125" bestFit="1" customWidth="1"/>
    <col min="3791" max="3792" width="5.81640625" bestFit="1" customWidth="1"/>
    <col min="3794" max="3794" width="6.26953125" bestFit="1" customWidth="1"/>
    <col min="3795" max="3801" width="5.81640625" bestFit="1" customWidth="1"/>
    <col min="3803" max="3803" width="6.26953125" bestFit="1" customWidth="1"/>
    <col min="3805" max="3805" width="6.26953125" bestFit="1" customWidth="1"/>
    <col min="3806" max="3806" width="5.81640625" bestFit="1" customWidth="1"/>
    <col min="3808" max="3808" width="6.26953125" bestFit="1" customWidth="1"/>
    <col min="3809" max="3810" width="5.81640625" bestFit="1" customWidth="1"/>
    <col min="3812" max="3812" width="6.26953125" bestFit="1" customWidth="1"/>
    <col min="3814" max="3814" width="6.26953125" bestFit="1" customWidth="1"/>
    <col min="3815" max="3817" width="5.81640625" bestFit="1" customWidth="1"/>
    <col min="3819" max="3819" width="6.26953125" bestFit="1" customWidth="1"/>
    <col min="3820" max="3823" width="5.81640625" bestFit="1" customWidth="1"/>
    <col min="3825" max="3825" width="6.26953125" bestFit="1" customWidth="1"/>
    <col min="3826" max="3828" width="5.81640625" bestFit="1" customWidth="1"/>
    <col min="3830" max="3830" width="6.26953125" bestFit="1" customWidth="1"/>
    <col min="3831" max="3831" width="5.81640625" bestFit="1" customWidth="1"/>
    <col min="3833" max="3833" width="6.26953125" bestFit="1" customWidth="1"/>
    <col min="3835" max="3835" width="6.26953125" bestFit="1" customWidth="1"/>
    <col min="3837" max="3837" width="6.26953125" bestFit="1" customWidth="1"/>
    <col min="3838" max="3844" width="5.81640625" bestFit="1" customWidth="1"/>
    <col min="3846" max="3846" width="6.26953125" bestFit="1" customWidth="1"/>
    <col min="3848" max="3848" width="6.26953125" bestFit="1" customWidth="1"/>
    <col min="3849" max="3849" width="5.81640625" bestFit="1" customWidth="1"/>
    <col min="3851" max="3851" width="6.26953125" bestFit="1" customWidth="1"/>
    <col min="3852" max="3852" width="5.81640625" bestFit="1" customWidth="1"/>
    <col min="3854" max="3854" width="6.26953125" bestFit="1" customWidth="1"/>
    <col min="3856" max="3856" width="6.26953125" bestFit="1" customWidth="1"/>
    <col min="3857" max="3857" width="5.81640625" bestFit="1" customWidth="1"/>
    <col min="3859" max="3859" width="6.26953125" bestFit="1" customWidth="1"/>
    <col min="3860" max="3863" width="5.81640625" bestFit="1" customWidth="1"/>
    <col min="3865" max="3865" width="6.26953125" bestFit="1" customWidth="1"/>
    <col min="3867" max="3867" width="6.26953125" bestFit="1" customWidth="1"/>
    <col min="3868" max="3870" width="5.81640625" bestFit="1" customWidth="1"/>
    <col min="3872" max="3872" width="6.26953125" bestFit="1" customWidth="1"/>
    <col min="3873" max="3875" width="5.81640625" bestFit="1" customWidth="1"/>
    <col min="3877" max="3877" width="6.26953125" bestFit="1" customWidth="1"/>
    <col min="3879" max="3879" width="6.26953125" bestFit="1" customWidth="1"/>
    <col min="3880" max="3880" width="5.81640625" bestFit="1" customWidth="1"/>
    <col min="3882" max="3882" width="6.26953125" bestFit="1" customWidth="1"/>
    <col min="3883" max="3883" width="5.81640625" bestFit="1" customWidth="1"/>
    <col min="3885" max="3885" width="6.26953125" bestFit="1" customWidth="1"/>
    <col min="3886" max="3886" width="5.81640625" bestFit="1" customWidth="1"/>
    <col min="3888" max="3888" width="6.26953125" bestFit="1" customWidth="1"/>
    <col min="3889" max="3890" width="5.81640625" bestFit="1" customWidth="1"/>
    <col min="3892" max="3892" width="6.26953125" bestFit="1" customWidth="1"/>
    <col min="3893" max="3894" width="5.81640625" bestFit="1" customWidth="1"/>
    <col min="3896" max="3896" width="6.26953125" bestFit="1" customWidth="1"/>
    <col min="3897" max="3897" width="5.81640625" bestFit="1" customWidth="1"/>
    <col min="3899" max="3899" width="6.26953125" bestFit="1" customWidth="1"/>
    <col min="3900" max="3902" width="5.81640625" bestFit="1" customWidth="1"/>
    <col min="3904" max="3904" width="6.26953125" bestFit="1" customWidth="1"/>
    <col min="3905" max="3906" width="5.81640625" bestFit="1" customWidth="1"/>
    <col min="3908" max="3908" width="6.26953125" bestFit="1" customWidth="1"/>
    <col min="3909" max="3911" width="5.81640625" bestFit="1" customWidth="1"/>
    <col min="3913" max="3913" width="6.26953125" bestFit="1" customWidth="1"/>
    <col min="3914" max="3918" width="5.81640625" bestFit="1" customWidth="1"/>
    <col min="3920" max="3920" width="6.26953125" bestFit="1" customWidth="1"/>
    <col min="3922" max="3922" width="7.26953125" bestFit="1" customWidth="1"/>
    <col min="3923" max="3924" width="5.81640625" bestFit="1" customWidth="1"/>
    <col min="3925" max="3925" width="10.26953125" bestFit="1" customWidth="1"/>
    <col min="3926" max="3926" width="7.26953125" bestFit="1" customWidth="1"/>
    <col min="3927" max="3929" width="5.81640625" bestFit="1" customWidth="1"/>
    <col min="3930" max="3930" width="10.26953125" bestFit="1" customWidth="1"/>
    <col min="3931" max="3931" width="7.26953125" bestFit="1" customWidth="1"/>
    <col min="3932" max="3933" width="5.81640625" bestFit="1" customWidth="1"/>
    <col min="3934" max="3934" width="10.26953125" bestFit="1" customWidth="1"/>
    <col min="3935" max="3935" width="7.26953125" bestFit="1" customWidth="1"/>
    <col min="3936" max="3936" width="10.26953125" bestFit="1" customWidth="1"/>
    <col min="3937" max="3937" width="7.26953125" bestFit="1" customWidth="1"/>
    <col min="3938" max="3938" width="10.26953125" bestFit="1" customWidth="1"/>
    <col min="3939" max="3939" width="7.26953125" bestFit="1" customWidth="1"/>
    <col min="3940" max="3940" width="5.81640625" bestFit="1" customWidth="1"/>
    <col min="3941" max="3941" width="10.26953125" bestFit="1" customWidth="1"/>
    <col min="3942" max="3942" width="7.26953125" bestFit="1" customWidth="1"/>
    <col min="3943" max="3943" width="5.81640625" bestFit="1" customWidth="1"/>
    <col min="3944" max="3944" width="10.26953125" bestFit="1" customWidth="1"/>
    <col min="3945" max="3945" width="7.26953125" bestFit="1" customWidth="1"/>
    <col min="3946" max="3947" width="5.81640625" bestFit="1" customWidth="1"/>
    <col min="3948" max="3948" width="10.26953125" bestFit="1" customWidth="1"/>
    <col min="3949" max="3949" width="7.26953125" bestFit="1" customWidth="1"/>
    <col min="3950" max="3951" width="5.81640625" bestFit="1" customWidth="1"/>
    <col min="3952" max="3952" width="10.26953125" bestFit="1" customWidth="1"/>
    <col min="3953" max="3953" width="7.26953125" bestFit="1" customWidth="1"/>
    <col min="3954" max="3954" width="5.81640625" bestFit="1" customWidth="1"/>
    <col min="3955" max="3955" width="10.26953125" bestFit="1" customWidth="1"/>
    <col min="3956" max="3956" width="7.26953125" bestFit="1" customWidth="1"/>
    <col min="3957" max="3957" width="10.26953125" bestFit="1" customWidth="1"/>
    <col min="3958" max="3958" width="7.26953125" bestFit="1" customWidth="1"/>
    <col min="3959" max="3959" width="10.26953125" bestFit="1" customWidth="1"/>
    <col min="3960" max="3960" width="7.26953125" bestFit="1" customWidth="1"/>
    <col min="3961" max="3961" width="10.26953125" bestFit="1" customWidth="1"/>
    <col min="3962" max="3962" width="7.26953125" bestFit="1" customWidth="1"/>
    <col min="3963" max="3963" width="5.81640625" bestFit="1" customWidth="1"/>
    <col min="3964" max="3964" width="10.26953125" bestFit="1" customWidth="1"/>
    <col min="3965" max="3965" width="7.26953125" bestFit="1" customWidth="1"/>
    <col min="3966" max="3966" width="5.81640625" bestFit="1" customWidth="1"/>
    <col min="3967" max="3967" width="10.26953125" bestFit="1" customWidth="1"/>
    <col min="3968" max="3968" width="7.26953125" bestFit="1" customWidth="1"/>
    <col min="3969" max="3973" width="5.81640625" bestFit="1" customWidth="1"/>
    <col min="3974" max="3974" width="10.26953125" bestFit="1" customWidth="1"/>
    <col min="3975" max="3975" width="7.26953125" bestFit="1" customWidth="1"/>
    <col min="3976" max="3976" width="10.26953125" bestFit="1" customWidth="1"/>
    <col min="3977" max="3977" width="7.26953125" bestFit="1" customWidth="1"/>
    <col min="3978" max="3978" width="5.81640625" bestFit="1" customWidth="1"/>
    <col min="3979" max="3979" width="10.26953125" bestFit="1" customWidth="1"/>
    <col min="3980" max="3980" width="7.26953125" bestFit="1" customWidth="1"/>
    <col min="3981" max="3984" width="5.81640625" bestFit="1" customWidth="1"/>
    <col min="3985" max="3985" width="10.26953125" bestFit="1" customWidth="1"/>
    <col min="3986" max="3986" width="7.26953125" bestFit="1" customWidth="1"/>
    <col min="3987" max="3988" width="5.81640625" bestFit="1" customWidth="1"/>
    <col min="3989" max="3989" width="10.26953125" bestFit="1" customWidth="1"/>
    <col min="3990" max="3990" width="7.26953125" bestFit="1" customWidth="1"/>
    <col min="3991" max="3995" width="5.81640625" bestFit="1" customWidth="1"/>
    <col min="3996" max="3996" width="10.26953125" bestFit="1" customWidth="1"/>
    <col min="3997" max="3997" width="7.26953125" bestFit="1" customWidth="1"/>
    <col min="3998" max="3999" width="5.81640625" bestFit="1" customWidth="1"/>
    <col min="4000" max="4000" width="10.26953125" bestFit="1" customWidth="1"/>
    <col min="4001" max="4001" width="7.26953125" bestFit="1" customWidth="1"/>
    <col min="4002" max="4003" width="5.81640625" bestFit="1" customWidth="1"/>
    <col min="4004" max="4004" width="10.26953125" bestFit="1" customWidth="1"/>
    <col min="4005" max="4005" width="7.26953125" bestFit="1" customWidth="1"/>
    <col min="4006" max="4006" width="10.26953125" bestFit="1" customWidth="1"/>
    <col min="4007" max="4007" width="7.26953125" bestFit="1" customWidth="1"/>
    <col min="4008" max="4010" width="5.81640625" bestFit="1" customWidth="1"/>
    <col min="4011" max="4011" width="10.26953125" bestFit="1" customWidth="1"/>
    <col min="4012" max="4012" width="7.26953125" bestFit="1" customWidth="1"/>
    <col min="4013" max="4013" width="10.26953125" bestFit="1" customWidth="1"/>
    <col min="4014" max="4014" width="7.26953125" bestFit="1" customWidth="1"/>
    <col min="4015" max="4015" width="5.81640625" bestFit="1" customWidth="1"/>
    <col min="4016" max="4016" width="10.26953125" bestFit="1" customWidth="1"/>
    <col min="4017" max="4017" width="7.26953125" bestFit="1" customWidth="1"/>
    <col min="4018" max="4018" width="10.26953125" bestFit="1" customWidth="1"/>
    <col min="4019" max="4019" width="7.26953125" bestFit="1" customWidth="1"/>
    <col min="4020" max="4022" width="5.81640625" bestFit="1" customWidth="1"/>
    <col min="4023" max="4023" width="10.26953125" bestFit="1" customWidth="1"/>
    <col min="4024" max="4024" width="7.26953125" bestFit="1" customWidth="1"/>
    <col min="4025" max="4027" width="5.81640625" bestFit="1" customWidth="1"/>
    <col min="4028" max="4028" width="10.26953125" bestFit="1" customWidth="1"/>
    <col min="4029" max="4029" width="7.26953125" bestFit="1" customWidth="1"/>
    <col min="4030" max="4032" width="5.81640625" bestFit="1" customWidth="1"/>
    <col min="4033" max="4033" width="10.26953125" bestFit="1" customWidth="1"/>
    <col min="4034" max="4034" width="7.26953125" bestFit="1" customWidth="1"/>
    <col min="4035" max="4035" width="5.81640625" bestFit="1" customWidth="1"/>
    <col min="4036" max="4036" width="10.26953125" bestFit="1" customWidth="1"/>
    <col min="4037" max="4037" width="7.26953125" bestFit="1" customWidth="1"/>
    <col min="4038" max="4039" width="5.81640625" bestFit="1" customWidth="1"/>
    <col min="4040" max="4040" width="10.26953125" bestFit="1" customWidth="1"/>
    <col min="4041" max="4041" width="7.26953125" bestFit="1" customWidth="1"/>
    <col min="4042" max="4044" width="5.81640625" bestFit="1" customWidth="1"/>
    <col min="4045" max="4045" width="10.26953125" bestFit="1" customWidth="1"/>
    <col min="4046" max="4046" width="7.26953125" bestFit="1" customWidth="1"/>
    <col min="4047" max="4047" width="10.26953125" bestFit="1" customWidth="1"/>
    <col min="4048" max="4048" width="7.26953125" bestFit="1" customWidth="1"/>
    <col min="4049" max="4051" width="5.81640625" bestFit="1" customWidth="1"/>
    <col min="4052" max="4052" width="10.26953125" bestFit="1" customWidth="1"/>
    <col min="4053" max="4053" width="7.26953125" bestFit="1" customWidth="1"/>
    <col min="4054" max="4054" width="10.26953125" bestFit="1" customWidth="1"/>
    <col min="4055" max="4055" width="7.26953125" bestFit="1" customWidth="1"/>
    <col min="4056" max="4056" width="5.81640625" bestFit="1" customWidth="1"/>
    <col min="4057" max="4057" width="10.26953125" bestFit="1" customWidth="1"/>
    <col min="4058" max="4058" width="7.26953125" bestFit="1" customWidth="1"/>
    <col min="4059" max="4059" width="5.81640625" bestFit="1" customWidth="1"/>
    <col min="4060" max="4060" width="10.26953125" bestFit="1" customWidth="1"/>
    <col min="4061" max="4061" width="7.26953125" bestFit="1" customWidth="1"/>
    <col min="4062" max="4062" width="10.26953125" bestFit="1" customWidth="1"/>
    <col min="4063" max="4063" width="7.26953125" bestFit="1" customWidth="1"/>
    <col min="4064" max="4066" width="5.81640625" bestFit="1" customWidth="1"/>
    <col min="4067" max="4067" width="10.26953125" bestFit="1" customWidth="1"/>
    <col min="4068" max="4068" width="7.26953125" bestFit="1" customWidth="1"/>
    <col min="4069" max="4069" width="10.26953125" bestFit="1" customWidth="1"/>
    <col min="4070" max="4070" width="7.26953125" bestFit="1" customWidth="1"/>
    <col min="4071" max="4071" width="5.81640625" bestFit="1" customWidth="1"/>
    <col min="4072" max="4072" width="10.26953125" bestFit="1" customWidth="1"/>
    <col min="4073" max="4073" width="7.26953125" bestFit="1" customWidth="1"/>
    <col min="4074" max="4075" width="5.81640625" bestFit="1" customWidth="1"/>
    <col min="4076" max="4076" width="10.26953125" bestFit="1" customWidth="1"/>
    <col min="4077" max="4077" width="7.26953125" bestFit="1" customWidth="1"/>
    <col min="4078" max="4078" width="5.81640625" bestFit="1" customWidth="1"/>
    <col min="4079" max="4079" width="10.26953125" bestFit="1" customWidth="1"/>
    <col min="4080" max="4080" width="7.26953125" bestFit="1" customWidth="1"/>
    <col min="4081" max="4082" width="5.81640625" bestFit="1" customWidth="1"/>
    <col min="4083" max="4083" width="10.26953125" bestFit="1" customWidth="1"/>
    <col min="4084" max="4084" width="7.26953125" bestFit="1" customWidth="1"/>
    <col min="4085" max="4085" width="5.81640625" bestFit="1" customWidth="1"/>
    <col min="4086" max="4086" width="10.26953125" bestFit="1" customWidth="1"/>
    <col min="4087" max="4087" width="7.26953125" bestFit="1" customWidth="1"/>
    <col min="4088" max="4092" width="5.81640625" bestFit="1" customWidth="1"/>
    <col min="4093" max="4093" width="10.26953125" bestFit="1" customWidth="1"/>
    <col min="4094" max="4094" width="7.26953125" bestFit="1" customWidth="1"/>
    <col min="4095" max="4095" width="10.26953125" bestFit="1" customWidth="1"/>
    <col min="4096" max="4096" width="7.26953125" bestFit="1" customWidth="1"/>
    <col min="4097" max="4097" width="5.81640625" bestFit="1" customWidth="1"/>
    <col min="4098" max="4098" width="10.26953125" bestFit="1" customWidth="1"/>
    <col min="4099" max="4099" width="7.26953125" bestFit="1" customWidth="1"/>
    <col min="4100" max="4100" width="5.81640625" bestFit="1" customWidth="1"/>
    <col min="4101" max="4101" width="10.26953125" bestFit="1" customWidth="1"/>
    <col min="4102" max="4102" width="7.26953125" bestFit="1" customWidth="1"/>
    <col min="4103" max="4108" width="5.81640625" bestFit="1" customWidth="1"/>
    <col min="4109" max="4109" width="10.26953125" bestFit="1" customWidth="1"/>
    <col min="4110" max="4110" width="7.26953125" bestFit="1" customWidth="1"/>
    <col min="4111" max="4111" width="10.26953125" bestFit="1" customWidth="1"/>
    <col min="4112" max="4112" width="7.26953125" bestFit="1" customWidth="1"/>
    <col min="4113" max="4118" width="5.81640625" bestFit="1" customWidth="1"/>
    <col min="4119" max="4119" width="10.26953125" bestFit="1" customWidth="1"/>
    <col min="4120" max="4120" width="7.26953125" bestFit="1" customWidth="1"/>
    <col min="4121" max="4121" width="10.26953125" bestFit="1" customWidth="1"/>
    <col min="4122" max="4122" width="7.26953125" bestFit="1" customWidth="1"/>
    <col min="4123" max="4123" width="10.26953125" bestFit="1" customWidth="1"/>
    <col min="4124" max="4124" width="7.26953125" bestFit="1" customWidth="1"/>
    <col min="4125" max="4125" width="10.26953125" bestFit="1" customWidth="1"/>
    <col min="4126" max="4126" width="7.26953125" bestFit="1" customWidth="1"/>
    <col min="4127" max="4127" width="10.26953125" bestFit="1" customWidth="1"/>
    <col min="4128" max="4128" width="7.26953125" bestFit="1" customWidth="1"/>
    <col min="4129" max="4129" width="5.81640625" bestFit="1" customWidth="1"/>
    <col min="4130" max="4130" width="10.26953125" bestFit="1" customWidth="1"/>
    <col min="4131" max="4131" width="7.26953125" bestFit="1" customWidth="1"/>
    <col min="4132" max="4132" width="10.26953125" bestFit="1" customWidth="1"/>
    <col min="4133" max="4133" width="7.26953125" bestFit="1" customWidth="1"/>
    <col min="4134" max="4135" width="5.81640625" bestFit="1" customWidth="1"/>
    <col min="4136" max="4136" width="10.26953125" bestFit="1" customWidth="1"/>
    <col min="4137" max="4137" width="7.26953125" bestFit="1" customWidth="1"/>
    <col min="4138" max="4139" width="5.81640625" bestFit="1" customWidth="1"/>
    <col min="4140" max="4140" width="10.26953125" bestFit="1" customWidth="1"/>
    <col min="4141" max="4141" width="7.26953125" bestFit="1" customWidth="1"/>
    <col min="4142" max="4142" width="10.26953125" bestFit="1" customWidth="1"/>
    <col min="4143" max="4143" width="7.26953125" bestFit="1" customWidth="1"/>
    <col min="4144" max="4145" width="5.81640625" bestFit="1" customWidth="1"/>
    <col min="4146" max="4146" width="10.26953125" bestFit="1" customWidth="1"/>
    <col min="4147" max="4147" width="7.26953125" bestFit="1" customWidth="1"/>
    <col min="4148" max="4148" width="10.26953125" bestFit="1" customWidth="1"/>
    <col min="4149" max="4149" width="7.26953125" bestFit="1" customWidth="1"/>
    <col min="4150" max="4152" width="5.81640625" bestFit="1" customWidth="1"/>
    <col min="4153" max="4153" width="10.26953125" bestFit="1" customWidth="1"/>
    <col min="4154" max="4154" width="7.26953125" bestFit="1" customWidth="1"/>
    <col min="4155" max="4158" width="5.81640625" bestFit="1" customWidth="1"/>
    <col min="4159" max="4159" width="10.26953125" bestFit="1" customWidth="1"/>
    <col min="4160" max="4160" width="7.26953125" bestFit="1" customWidth="1"/>
    <col min="4161" max="4162" width="5.81640625" bestFit="1" customWidth="1"/>
    <col min="4163" max="4163" width="10.26953125" bestFit="1" customWidth="1"/>
    <col min="4164" max="4164" width="7.26953125" bestFit="1" customWidth="1"/>
    <col min="4165" max="4165" width="10.26953125" bestFit="1" customWidth="1"/>
    <col min="4166" max="4166" width="7.26953125" bestFit="1" customWidth="1"/>
    <col min="4167" max="4167" width="10.26953125" bestFit="1" customWidth="1"/>
    <col min="4168" max="4168" width="7.26953125" bestFit="1" customWidth="1"/>
    <col min="4169" max="4169" width="5.81640625" bestFit="1" customWidth="1"/>
    <col min="4170" max="4170" width="10.26953125" bestFit="1" customWidth="1"/>
    <col min="4171" max="4171" width="7.26953125" bestFit="1" customWidth="1"/>
    <col min="4172" max="4172" width="5.81640625" bestFit="1" customWidth="1"/>
    <col min="4173" max="4173" width="10.26953125" bestFit="1" customWidth="1"/>
    <col min="4174" max="4174" width="7.26953125" bestFit="1" customWidth="1"/>
    <col min="4175" max="4176" width="5.81640625" bestFit="1" customWidth="1"/>
    <col min="4177" max="4177" width="10.26953125" bestFit="1" customWidth="1"/>
    <col min="4178" max="4178" width="7.26953125" bestFit="1" customWidth="1"/>
    <col min="4179" max="4179" width="5.81640625" bestFit="1" customWidth="1"/>
    <col min="4180" max="4180" width="10.26953125" bestFit="1" customWidth="1"/>
    <col min="4181" max="4181" width="7.26953125" bestFit="1" customWidth="1"/>
    <col min="4182" max="4182" width="5.81640625" bestFit="1" customWidth="1"/>
    <col min="4183" max="4183" width="10.26953125" bestFit="1" customWidth="1"/>
    <col min="4184" max="4184" width="7.26953125" bestFit="1" customWidth="1"/>
    <col min="4185" max="4185" width="10.26953125" bestFit="1" customWidth="1"/>
    <col min="4186" max="4186" width="7.26953125" bestFit="1" customWidth="1"/>
    <col min="4187" max="4187" width="5.81640625" bestFit="1" customWidth="1"/>
    <col min="4188" max="4188" width="10.26953125" bestFit="1" customWidth="1"/>
    <col min="4189" max="4189" width="7.26953125" bestFit="1" customWidth="1"/>
    <col min="4190" max="4190" width="10.26953125" bestFit="1" customWidth="1"/>
    <col min="4191" max="4191" width="7.26953125" bestFit="1" customWidth="1"/>
    <col min="4192" max="4193" width="5.81640625" bestFit="1" customWidth="1"/>
    <col min="4194" max="4194" width="10.26953125" bestFit="1" customWidth="1"/>
    <col min="4195" max="4195" width="7.26953125" bestFit="1" customWidth="1"/>
    <col min="4196" max="4197" width="5.81640625" bestFit="1" customWidth="1"/>
    <col min="4198" max="4198" width="10.26953125" bestFit="1" customWidth="1"/>
    <col min="4199" max="4199" width="7.26953125" bestFit="1" customWidth="1"/>
    <col min="4200" max="4200" width="5.81640625" bestFit="1" customWidth="1"/>
    <col min="4201" max="4201" width="10.26953125" bestFit="1" customWidth="1"/>
    <col min="4202" max="4202" width="7.26953125" bestFit="1" customWidth="1"/>
    <col min="4203" max="4204" width="5.81640625" bestFit="1" customWidth="1"/>
    <col min="4205" max="4205" width="10.26953125" bestFit="1" customWidth="1"/>
    <col min="4206" max="4206" width="7.26953125" bestFit="1" customWidth="1"/>
    <col min="4207" max="4207" width="5.81640625" bestFit="1" customWidth="1"/>
    <col min="4208" max="4208" width="10.26953125" bestFit="1" customWidth="1"/>
    <col min="4209" max="4209" width="7.26953125" bestFit="1" customWidth="1"/>
    <col min="4210" max="4210" width="10.26953125" bestFit="1" customWidth="1"/>
    <col min="4211" max="4211" width="7.26953125" bestFit="1" customWidth="1"/>
    <col min="4212" max="4215" width="5.81640625" bestFit="1" customWidth="1"/>
    <col min="4216" max="4216" width="10.26953125" bestFit="1" customWidth="1"/>
    <col min="4217" max="4217" width="7.26953125" bestFit="1" customWidth="1"/>
    <col min="4218" max="4219" width="5.81640625" bestFit="1" customWidth="1"/>
    <col min="4220" max="4220" width="10.26953125" bestFit="1" customWidth="1"/>
    <col min="4221" max="4221" width="7.26953125" bestFit="1" customWidth="1"/>
    <col min="4222" max="4222" width="5.81640625" bestFit="1" customWidth="1"/>
    <col min="4223" max="4223" width="10.26953125" bestFit="1" customWidth="1"/>
    <col min="4224" max="4224" width="7.26953125" bestFit="1" customWidth="1"/>
    <col min="4225" max="4226" width="5.81640625" bestFit="1" customWidth="1"/>
    <col min="4227" max="4227" width="10.26953125" bestFit="1" customWidth="1"/>
    <col min="4228" max="4228" width="7.26953125" bestFit="1" customWidth="1"/>
    <col min="4229" max="4231" width="5.81640625" bestFit="1" customWidth="1"/>
    <col min="4232" max="4232" width="10.26953125" bestFit="1" customWidth="1"/>
    <col min="4233" max="4233" width="7.26953125" bestFit="1" customWidth="1"/>
    <col min="4234" max="4238" width="5.81640625" bestFit="1" customWidth="1"/>
    <col min="4239" max="4239" width="10.26953125" bestFit="1" customWidth="1"/>
    <col min="4240" max="4240" width="7.26953125" bestFit="1" customWidth="1"/>
    <col min="4241" max="4241" width="10.26953125" bestFit="1" customWidth="1"/>
    <col min="4242" max="4242" width="7.26953125" bestFit="1" customWidth="1"/>
    <col min="4243" max="4243" width="10.26953125" bestFit="1" customWidth="1"/>
    <col min="4244" max="4244" width="7.26953125" bestFit="1" customWidth="1"/>
    <col min="4245" max="4245" width="5.81640625" bestFit="1" customWidth="1"/>
    <col min="4246" max="4246" width="10.26953125" bestFit="1" customWidth="1"/>
    <col min="4247" max="4247" width="7.26953125" bestFit="1" customWidth="1"/>
    <col min="4248" max="4249" width="5.81640625" bestFit="1" customWidth="1"/>
    <col min="4250" max="4250" width="10.26953125" bestFit="1" customWidth="1"/>
    <col min="4251" max="4251" width="7.26953125" bestFit="1" customWidth="1"/>
    <col min="4252" max="4256" width="5.81640625" bestFit="1" customWidth="1"/>
    <col min="4257" max="4257" width="10.26953125" bestFit="1" customWidth="1"/>
    <col min="4258" max="4258" width="7.26953125" bestFit="1" customWidth="1"/>
    <col min="4259" max="4260" width="5.81640625" bestFit="1" customWidth="1"/>
    <col min="4261" max="4261" width="10.26953125" bestFit="1" customWidth="1"/>
    <col min="4262" max="4262" width="7.26953125" bestFit="1" customWidth="1"/>
    <col min="4263" max="4263" width="10.26953125" bestFit="1" customWidth="1"/>
    <col min="4264" max="4264" width="7.26953125" bestFit="1" customWidth="1"/>
    <col min="4265" max="4265" width="10.26953125" bestFit="1" customWidth="1"/>
    <col min="4266" max="4266" width="7.26953125" bestFit="1" customWidth="1"/>
    <col min="4267" max="4267" width="5.81640625" bestFit="1" customWidth="1"/>
    <col min="4268" max="4268" width="10.26953125" bestFit="1" customWidth="1"/>
    <col min="4269" max="4269" width="7.26953125" bestFit="1" customWidth="1"/>
    <col min="4270" max="4271" width="5.81640625" bestFit="1" customWidth="1"/>
    <col min="4272" max="4272" width="10.26953125" bestFit="1" customWidth="1"/>
    <col min="4273" max="4273" width="7.26953125" bestFit="1" customWidth="1"/>
    <col min="4274" max="4274" width="5.81640625" bestFit="1" customWidth="1"/>
    <col min="4275" max="4275" width="10.26953125" bestFit="1" customWidth="1"/>
    <col min="4276" max="4276" width="7.26953125" bestFit="1" customWidth="1"/>
    <col min="4277" max="4279" width="5.81640625" bestFit="1" customWidth="1"/>
    <col min="4280" max="4280" width="10.26953125" bestFit="1" customWidth="1"/>
    <col min="4281" max="4281" width="7.26953125" bestFit="1" customWidth="1"/>
    <col min="4282" max="4283" width="5.81640625" bestFit="1" customWidth="1"/>
    <col min="4284" max="4284" width="10.26953125" bestFit="1" customWidth="1"/>
    <col min="4285" max="4285" width="7.26953125" bestFit="1" customWidth="1"/>
    <col min="4286" max="4286" width="10.26953125" bestFit="1" customWidth="1"/>
    <col min="4287" max="4287" width="7.26953125" bestFit="1" customWidth="1"/>
    <col min="4288" max="4288" width="5.81640625" bestFit="1" customWidth="1"/>
    <col min="4289" max="4289" width="10.26953125" bestFit="1" customWidth="1"/>
    <col min="4290" max="4290" width="7.26953125" bestFit="1" customWidth="1"/>
    <col min="4291" max="4291" width="5.81640625" bestFit="1" customWidth="1"/>
    <col min="4292" max="4292" width="10.26953125" bestFit="1" customWidth="1"/>
    <col min="4293" max="4293" width="7.26953125" bestFit="1" customWidth="1"/>
    <col min="4294" max="4294" width="10.26953125" bestFit="1" customWidth="1"/>
    <col min="4295" max="4295" width="7.26953125" bestFit="1" customWidth="1"/>
    <col min="4296" max="4296" width="10.26953125" bestFit="1" customWidth="1"/>
    <col min="4297" max="4297" width="7.26953125" bestFit="1" customWidth="1"/>
    <col min="4298" max="4298" width="5.81640625" bestFit="1" customWidth="1"/>
    <col min="4299" max="4299" width="10.26953125" bestFit="1" customWidth="1"/>
    <col min="4300" max="4300" width="7.26953125" bestFit="1" customWidth="1"/>
    <col min="4301" max="4301" width="5.81640625" bestFit="1" customWidth="1"/>
    <col min="4302" max="4302" width="10.26953125" bestFit="1" customWidth="1"/>
    <col min="4303" max="4303" width="7.26953125" bestFit="1" customWidth="1"/>
    <col min="4304" max="4304" width="5.81640625" bestFit="1" customWidth="1"/>
    <col min="4305" max="4305" width="10.26953125" bestFit="1" customWidth="1"/>
    <col min="4306" max="4306" width="7.26953125" bestFit="1" customWidth="1"/>
    <col min="4307" max="4307" width="5.81640625" bestFit="1" customWidth="1"/>
    <col min="4308" max="4308" width="10.26953125" bestFit="1" customWidth="1"/>
    <col min="4309" max="4309" width="7.26953125" bestFit="1" customWidth="1"/>
    <col min="4310" max="4312" width="5.81640625" bestFit="1" customWidth="1"/>
    <col min="4313" max="4313" width="10.26953125" bestFit="1" customWidth="1"/>
    <col min="4314" max="4314" width="7.26953125" bestFit="1" customWidth="1"/>
    <col min="4315" max="4315" width="10.26953125" bestFit="1" customWidth="1"/>
    <col min="4316" max="4316" width="7.26953125" bestFit="1" customWidth="1"/>
    <col min="4317" max="4320" width="5.81640625" bestFit="1" customWidth="1"/>
    <col min="4321" max="4321" width="10.26953125" bestFit="1" customWidth="1"/>
    <col min="4322" max="4322" width="7.26953125" bestFit="1" customWidth="1"/>
    <col min="4323" max="4323" width="10.26953125" bestFit="1" customWidth="1"/>
    <col min="4324" max="4324" width="7.26953125" bestFit="1" customWidth="1"/>
    <col min="4325" max="4326" width="5.81640625" bestFit="1" customWidth="1"/>
    <col min="4327" max="4327" width="10.26953125" bestFit="1" customWidth="1"/>
    <col min="4328" max="4328" width="7.26953125" bestFit="1" customWidth="1"/>
    <col min="4329" max="4329" width="5.81640625" bestFit="1" customWidth="1"/>
    <col min="4330" max="4330" width="10.26953125" bestFit="1" customWidth="1"/>
    <col min="4331" max="4331" width="7.26953125" bestFit="1" customWidth="1"/>
    <col min="4332" max="4332" width="10.26953125" bestFit="1" customWidth="1"/>
    <col min="4333" max="4333" width="7.26953125" bestFit="1" customWidth="1"/>
    <col min="4334" max="4334" width="5.81640625" bestFit="1" customWidth="1"/>
    <col min="4335" max="4335" width="10.26953125" bestFit="1" customWidth="1"/>
    <col min="4336" max="4336" width="7.26953125" bestFit="1" customWidth="1"/>
    <col min="4337" max="4337" width="5.81640625" bestFit="1" customWidth="1"/>
    <col min="4338" max="4338" width="10.26953125" bestFit="1" customWidth="1"/>
    <col min="4339" max="4339" width="7.26953125" bestFit="1" customWidth="1"/>
    <col min="4340" max="4340" width="10.26953125" bestFit="1" customWidth="1"/>
    <col min="4341" max="4341" width="7.26953125" bestFit="1" customWidth="1"/>
    <col min="4342" max="4343" width="5.81640625" bestFit="1" customWidth="1"/>
    <col min="4344" max="4344" width="10.26953125" bestFit="1" customWidth="1"/>
    <col min="4345" max="4345" width="7.26953125" bestFit="1" customWidth="1"/>
    <col min="4346" max="4349" width="5.81640625" bestFit="1" customWidth="1"/>
    <col min="4350" max="4350" width="10.26953125" bestFit="1" customWidth="1"/>
    <col min="4351" max="4351" width="7.26953125" bestFit="1" customWidth="1"/>
    <col min="4352" max="4352" width="10.26953125" bestFit="1" customWidth="1"/>
    <col min="4353" max="4353" width="7.26953125" bestFit="1" customWidth="1"/>
    <col min="4354" max="4355" width="5.81640625" bestFit="1" customWidth="1"/>
    <col min="4356" max="4356" width="10.26953125" bestFit="1" customWidth="1"/>
    <col min="4357" max="4357" width="7.26953125" bestFit="1" customWidth="1"/>
    <col min="4358" max="4358" width="10.26953125" bestFit="1" customWidth="1"/>
    <col min="4359" max="4359" width="7.26953125" bestFit="1" customWidth="1"/>
    <col min="4360" max="4360" width="10.26953125" bestFit="1" customWidth="1"/>
    <col min="4361" max="4361" width="7.26953125" bestFit="1" customWidth="1"/>
    <col min="4362" max="4367" width="5.81640625" bestFit="1" customWidth="1"/>
    <col min="4368" max="4368" width="10.26953125" bestFit="1" customWidth="1"/>
    <col min="4369" max="4369" width="7.26953125" bestFit="1" customWidth="1"/>
    <col min="4370" max="4370" width="5.81640625" bestFit="1" customWidth="1"/>
    <col min="4371" max="4371" width="10.26953125" bestFit="1" customWidth="1"/>
    <col min="4372" max="4372" width="7.26953125" bestFit="1" customWidth="1"/>
    <col min="4373" max="4373" width="10.26953125" bestFit="1" customWidth="1"/>
    <col min="4374" max="4374" width="7.26953125" bestFit="1" customWidth="1"/>
    <col min="4375" max="4375" width="5.81640625" bestFit="1" customWidth="1"/>
    <col min="4376" max="4376" width="10.26953125" bestFit="1" customWidth="1"/>
    <col min="4377" max="4377" width="7.26953125" bestFit="1" customWidth="1"/>
    <col min="4378" max="4378" width="5.81640625" bestFit="1" customWidth="1"/>
    <col min="4379" max="4379" width="10.26953125" bestFit="1" customWidth="1"/>
    <col min="4380" max="4380" width="7.26953125" bestFit="1" customWidth="1"/>
    <col min="4381" max="4381" width="5.81640625" bestFit="1" customWidth="1"/>
    <col min="4382" max="4382" width="10.26953125" bestFit="1" customWidth="1"/>
    <col min="4383" max="4383" width="7.26953125" bestFit="1" customWidth="1"/>
    <col min="4384" max="4384" width="10.26953125" bestFit="1" customWidth="1"/>
    <col min="4385" max="4385" width="7.26953125" bestFit="1" customWidth="1"/>
    <col min="4386" max="4386" width="5.81640625" bestFit="1" customWidth="1"/>
    <col min="4387" max="4387" width="10.26953125" bestFit="1" customWidth="1"/>
    <col min="4388" max="4388" width="7.26953125" bestFit="1" customWidth="1"/>
    <col min="4389" max="4390" width="5.81640625" bestFit="1" customWidth="1"/>
    <col min="4391" max="4391" width="10.26953125" bestFit="1" customWidth="1"/>
    <col min="4392" max="4392" width="7.26953125" bestFit="1" customWidth="1"/>
    <col min="4393" max="4396" width="5.81640625" bestFit="1" customWidth="1"/>
    <col min="4397" max="4397" width="10.26953125" bestFit="1" customWidth="1"/>
    <col min="4398" max="4398" width="7.26953125" bestFit="1" customWidth="1"/>
    <col min="4399" max="4400" width="5.81640625" bestFit="1" customWidth="1"/>
    <col min="4401" max="4401" width="10.26953125" bestFit="1" customWidth="1"/>
    <col min="4402" max="4402" width="7.26953125" bestFit="1" customWidth="1"/>
    <col min="4403" max="4403" width="10.26953125" bestFit="1" customWidth="1"/>
    <col min="4404" max="4404" width="7.26953125" bestFit="1" customWidth="1"/>
    <col min="4405" max="4405" width="10.26953125" bestFit="1" customWidth="1"/>
    <col min="4406" max="4406" width="7.26953125" bestFit="1" customWidth="1"/>
    <col min="4407" max="4407" width="5.81640625" bestFit="1" customWidth="1"/>
    <col min="4408" max="4408" width="10.26953125" bestFit="1" customWidth="1"/>
    <col min="4409" max="4409" width="7.26953125" bestFit="1" customWidth="1"/>
    <col min="4410" max="4410" width="5.81640625" bestFit="1" customWidth="1"/>
    <col min="4411" max="4411" width="10.26953125" bestFit="1" customWidth="1"/>
    <col min="4412" max="4412" width="7.26953125" bestFit="1" customWidth="1"/>
    <col min="4413" max="4413" width="10.26953125" bestFit="1" customWidth="1"/>
    <col min="4414" max="4414" width="7.26953125" bestFit="1" customWidth="1"/>
    <col min="4415" max="4415" width="5.81640625" bestFit="1" customWidth="1"/>
    <col min="4416" max="4416" width="10.26953125" bestFit="1" customWidth="1"/>
    <col min="4417" max="4417" width="7.26953125" bestFit="1" customWidth="1"/>
    <col min="4418" max="4418" width="10.26953125" bestFit="1" customWidth="1"/>
    <col min="4419" max="4419" width="7.26953125" bestFit="1" customWidth="1"/>
    <col min="4420" max="4421" width="5.81640625" bestFit="1" customWidth="1"/>
    <col min="4422" max="4422" width="10.26953125" bestFit="1" customWidth="1"/>
    <col min="4423" max="4423" width="7.26953125" bestFit="1" customWidth="1"/>
    <col min="4424" max="4424" width="10.26953125" bestFit="1" customWidth="1"/>
    <col min="4425" max="4425" width="7.26953125" bestFit="1" customWidth="1"/>
    <col min="4426" max="4426" width="5.81640625" bestFit="1" customWidth="1"/>
    <col min="4427" max="4427" width="10.26953125" bestFit="1" customWidth="1"/>
    <col min="4428" max="4428" width="7.26953125" bestFit="1" customWidth="1"/>
    <col min="4429" max="4429" width="5.81640625" bestFit="1" customWidth="1"/>
    <col min="4430" max="4430" width="10.26953125" bestFit="1" customWidth="1"/>
    <col min="4431" max="4431" width="7.26953125" bestFit="1" customWidth="1"/>
    <col min="4432" max="4432" width="5.81640625" bestFit="1" customWidth="1"/>
    <col min="4433" max="4433" width="10.26953125" bestFit="1" customWidth="1"/>
    <col min="4434" max="4434" width="7.26953125" bestFit="1" customWidth="1"/>
    <col min="4435" max="4435" width="10.26953125" bestFit="1" customWidth="1"/>
    <col min="4436" max="4436" width="7.26953125" bestFit="1" customWidth="1"/>
    <col min="4437" max="4437" width="5.81640625" bestFit="1" customWidth="1"/>
    <col min="4438" max="4438" width="10.26953125" bestFit="1" customWidth="1"/>
    <col min="4439" max="4439" width="7.26953125" bestFit="1" customWidth="1"/>
    <col min="4440" max="4440" width="10.26953125" bestFit="1" customWidth="1"/>
    <col min="4441" max="4441" width="7.26953125" bestFit="1" customWidth="1"/>
    <col min="4442" max="4443" width="5.81640625" bestFit="1" customWidth="1"/>
    <col min="4444" max="4444" width="10.26953125" bestFit="1" customWidth="1"/>
    <col min="4445" max="4445" width="7.26953125" bestFit="1" customWidth="1"/>
    <col min="4446" max="4447" width="5.81640625" bestFit="1" customWidth="1"/>
    <col min="4448" max="4448" width="10.26953125" bestFit="1" customWidth="1"/>
    <col min="4449" max="4449" width="7.26953125" bestFit="1" customWidth="1"/>
    <col min="4450" max="4450" width="5.81640625" bestFit="1" customWidth="1"/>
    <col min="4451" max="4451" width="10.26953125" bestFit="1" customWidth="1"/>
    <col min="4452" max="4452" width="7.26953125" bestFit="1" customWidth="1"/>
    <col min="4453" max="4453" width="10.26953125" bestFit="1" customWidth="1"/>
    <col min="4454" max="4454" width="7.26953125" bestFit="1" customWidth="1"/>
    <col min="4455" max="4455" width="5.81640625" bestFit="1" customWidth="1"/>
    <col min="4456" max="4456" width="10.26953125" bestFit="1" customWidth="1"/>
    <col min="4457" max="4457" width="7.26953125" bestFit="1" customWidth="1"/>
    <col min="4458" max="4458" width="10.26953125" bestFit="1" customWidth="1"/>
    <col min="4459" max="4459" width="7.26953125" bestFit="1" customWidth="1"/>
    <col min="4460" max="4460" width="10.26953125" bestFit="1" customWidth="1"/>
    <col min="4461" max="4461" width="7.26953125" bestFit="1" customWidth="1"/>
    <col min="4462" max="4463" width="5.81640625" bestFit="1" customWidth="1"/>
    <col min="4464" max="4464" width="10.26953125" bestFit="1" customWidth="1"/>
    <col min="4465" max="4465" width="7.26953125" bestFit="1" customWidth="1"/>
    <col min="4466" max="4470" width="5.81640625" bestFit="1" customWidth="1"/>
    <col min="4471" max="4471" width="10.26953125" bestFit="1" customWidth="1"/>
    <col min="4472" max="4472" width="7.26953125" bestFit="1" customWidth="1"/>
    <col min="4473" max="4475" width="5.81640625" bestFit="1" customWidth="1"/>
    <col min="4476" max="4476" width="10.26953125" bestFit="1" customWidth="1"/>
    <col min="4477" max="4477" width="7.26953125" bestFit="1" customWidth="1"/>
    <col min="4478" max="4479" width="5.81640625" bestFit="1" customWidth="1"/>
    <col min="4480" max="4480" width="10.26953125" bestFit="1" customWidth="1"/>
    <col min="4481" max="4481" width="7.26953125" bestFit="1" customWidth="1"/>
    <col min="4482" max="4482" width="10.26953125" bestFit="1" customWidth="1"/>
    <col min="4483" max="4483" width="7.26953125" bestFit="1" customWidth="1"/>
    <col min="4484" max="4487" width="5.81640625" bestFit="1" customWidth="1"/>
    <col min="4488" max="4488" width="10.26953125" bestFit="1" customWidth="1"/>
    <col min="4489" max="4489" width="7.26953125" bestFit="1" customWidth="1"/>
    <col min="4490" max="4490" width="10.26953125" bestFit="1" customWidth="1"/>
    <col min="4491" max="4491" width="7.26953125" bestFit="1" customWidth="1"/>
    <col min="4492" max="4492" width="5.81640625" bestFit="1" customWidth="1"/>
    <col min="4493" max="4493" width="10.26953125" bestFit="1" customWidth="1"/>
    <col min="4494" max="4494" width="7.26953125" bestFit="1" customWidth="1"/>
    <col min="4495" max="4495" width="10.26953125" bestFit="1" customWidth="1"/>
    <col min="4496" max="4496" width="7.26953125" bestFit="1" customWidth="1"/>
    <col min="4497" max="4497" width="10.26953125" bestFit="1" customWidth="1"/>
    <col min="4498" max="4498" width="7.26953125" bestFit="1" customWidth="1"/>
    <col min="4499" max="4499" width="5.81640625" bestFit="1" customWidth="1"/>
    <col min="4500" max="4500" width="10.26953125" bestFit="1" customWidth="1"/>
    <col min="4501" max="4501" width="7.26953125" bestFit="1" customWidth="1"/>
    <col min="4502" max="4502" width="5.81640625" bestFit="1" customWidth="1"/>
    <col min="4503" max="4503" width="10.26953125" bestFit="1" customWidth="1"/>
    <col min="4504" max="4504" width="7.26953125" bestFit="1" customWidth="1"/>
    <col min="4505" max="4508" width="5.81640625" bestFit="1" customWidth="1"/>
    <col min="4509" max="4509" width="10.26953125" bestFit="1" customWidth="1"/>
    <col min="4510" max="4510" width="7.26953125" bestFit="1" customWidth="1"/>
    <col min="4511" max="4511" width="10.26953125" bestFit="1" customWidth="1"/>
    <col min="4512" max="4512" width="7.26953125" bestFit="1" customWidth="1"/>
    <col min="4513" max="4513" width="10.26953125" bestFit="1" customWidth="1"/>
    <col min="4514" max="4514" width="7.26953125" bestFit="1" customWidth="1"/>
    <col min="4515" max="4515" width="5.81640625" bestFit="1" customWidth="1"/>
    <col min="4516" max="4516" width="10.26953125" bestFit="1" customWidth="1"/>
    <col min="4517" max="4517" width="7.26953125" bestFit="1" customWidth="1"/>
    <col min="4518" max="4518" width="5.81640625" bestFit="1" customWidth="1"/>
    <col min="4519" max="4519" width="10.26953125" bestFit="1" customWidth="1"/>
    <col min="4520" max="4520" width="7.26953125" bestFit="1" customWidth="1"/>
    <col min="4521" max="4521" width="5.81640625" bestFit="1" customWidth="1"/>
    <col min="4522" max="4522" width="10.26953125" bestFit="1" customWidth="1"/>
    <col min="4523" max="4523" width="7.26953125" bestFit="1" customWidth="1"/>
    <col min="4524" max="4524" width="5.81640625" bestFit="1" customWidth="1"/>
    <col min="4525" max="4525" width="10.26953125" bestFit="1" customWidth="1"/>
    <col min="4526" max="4526" width="7.26953125" bestFit="1" customWidth="1"/>
    <col min="4527" max="4527" width="5.81640625" bestFit="1" customWidth="1"/>
    <col min="4528" max="4528" width="10.26953125" bestFit="1" customWidth="1"/>
    <col min="4529" max="4529" width="7.26953125" bestFit="1" customWidth="1"/>
    <col min="4530" max="4532" width="5.81640625" bestFit="1" customWidth="1"/>
    <col min="4533" max="4533" width="10.26953125" bestFit="1" customWidth="1"/>
    <col min="4534" max="4534" width="7.26953125" bestFit="1" customWidth="1"/>
    <col min="4535" max="4535" width="10.26953125" bestFit="1" customWidth="1"/>
    <col min="4536" max="4536" width="7.26953125" bestFit="1" customWidth="1"/>
    <col min="4537" max="4537" width="10.26953125" bestFit="1" customWidth="1"/>
    <col min="4538" max="4538" width="7.26953125" bestFit="1" customWidth="1"/>
    <col min="4539" max="4543" width="5.81640625" bestFit="1" customWidth="1"/>
    <col min="4544" max="4544" width="10.26953125" bestFit="1" customWidth="1"/>
    <col min="4545" max="4545" width="7.26953125" bestFit="1" customWidth="1"/>
    <col min="4546" max="4546" width="5.81640625" bestFit="1" customWidth="1"/>
    <col min="4547" max="4547" width="10.26953125" bestFit="1" customWidth="1"/>
    <col min="4548" max="4548" width="7.26953125" bestFit="1" customWidth="1"/>
    <col min="4549" max="4549" width="10.26953125" bestFit="1" customWidth="1"/>
    <col min="4550" max="4550" width="7.26953125" bestFit="1" customWidth="1"/>
    <col min="4551" max="4551" width="5.81640625" bestFit="1" customWidth="1"/>
    <col min="4552" max="4552" width="10.26953125" bestFit="1" customWidth="1"/>
    <col min="4553" max="4553" width="7.26953125" bestFit="1" customWidth="1"/>
    <col min="4554" max="4554" width="10.26953125" bestFit="1" customWidth="1"/>
    <col min="4555" max="4555" width="7.26953125" bestFit="1" customWidth="1"/>
    <col min="4556" max="4556" width="5.81640625" bestFit="1" customWidth="1"/>
    <col min="4557" max="4557" width="10.26953125" bestFit="1" customWidth="1"/>
    <col min="4558" max="4558" width="7.26953125" bestFit="1" customWidth="1"/>
    <col min="4559" max="4559" width="5.81640625" bestFit="1" customWidth="1"/>
    <col min="4560" max="4560" width="10.26953125" bestFit="1" customWidth="1"/>
    <col min="4561" max="4561" width="7.26953125" bestFit="1" customWidth="1"/>
    <col min="4562" max="4562" width="10.26953125" bestFit="1" customWidth="1"/>
    <col min="4563" max="4563" width="7.26953125" bestFit="1" customWidth="1"/>
    <col min="4564" max="4564" width="10.26953125" bestFit="1" customWidth="1"/>
    <col min="4565" max="4565" width="7.26953125" bestFit="1" customWidth="1"/>
    <col min="4566" max="4568" width="5.81640625" bestFit="1" customWidth="1"/>
    <col min="4569" max="4569" width="10.26953125" bestFit="1" customWidth="1"/>
    <col min="4570" max="4570" width="7.26953125" bestFit="1" customWidth="1"/>
    <col min="4571" max="4571" width="5.81640625" bestFit="1" customWidth="1"/>
    <col min="4572" max="4572" width="10.26953125" bestFit="1" customWidth="1"/>
    <col min="4573" max="4573" width="7.26953125" bestFit="1" customWidth="1"/>
    <col min="4574" max="4574" width="5.81640625" bestFit="1" customWidth="1"/>
    <col min="4575" max="4575" width="10.26953125" bestFit="1" customWidth="1"/>
    <col min="4576" max="4576" width="7.26953125" bestFit="1" customWidth="1"/>
    <col min="4577" max="4577" width="5.81640625" bestFit="1" customWidth="1"/>
    <col min="4578" max="4578" width="10.26953125" bestFit="1" customWidth="1"/>
    <col min="4579" max="4579" width="7.26953125" bestFit="1" customWidth="1"/>
    <col min="4580" max="4580" width="10.26953125" bestFit="1" customWidth="1"/>
    <col min="4581" max="4581" width="7.26953125" bestFit="1" customWidth="1"/>
    <col min="4582" max="4587" width="5.81640625" bestFit="1" customWidth="1"/>
    <col min="4588" max="4588" width="10.26953125" bestFit="1" customWidth="1"/>
    <col min="4589" max="4589" width="7.26953125" bestFit="1" customWidth="1"/>
    <col min="4590" max="4592" width="5.81640625" bestFit="1" customWidth="1"/>
    <col min="4593" max="4593" width="10.26953125" bestFit="1" customWidth="1"/>
    <col min="4594" max="4594" width="7.26953125" bestFit="1" customWidth="1"/>
    <col min="4595" max="4595" width="5.81640625" bestFit="1" customWidth="1"/>
    <col min="4596" max="4596" width="10.26953125" bestFit="1" customWidth="1"/>
    <col min="4597" max="4597" width="7.26953125" bestFit="1" customWidth="1"/>
    <col min="4598" max="4598" width="10.26953125" bestFit="1" customWidth="1"/>
    <col min="4599" max="4599" width="7.26953125" bestFit="1" customWidth="1"/>
    <col min="4600" max="4600" width="10.26953125" bestFit="1" customWidth="1"/>
    <col min="4601" max="4601" width="7.26953125" bestFit="1" customWidth="1"/>
    <col min="4602" max="4602" width="5.81640625" bestFit="1" customWidth="1"/>
    <col min="4603" max="4603" width="10.26953125" bestFit="1" customWidth="1"/>
    <col min="4604" max="4604" width="7.26953125" bestFit="1" customWidth="1"/>
    <col min="4605" max="4605" width="10.26953125" bestFit="1" customWidth="1"/>
    <col min="4606" max="4606" width="7.26953125" bestFit="1" customWidth="1"/>
    <col min="4607" max="4607" width="5.81640625" bestFit="1" customWidth="1"/>
    <col min="4608" max="4608" width="10.26953125" bestFit="1" customWidth="1"/>
    <col min="4609" max="4609" width="7.26953125" bestFit="1" customWidth="1"/>
    <col min="4610" max="4610" width="10.26953125" bestFit="1" customWidth="1"/>
    <col min="4611" max="4611" width="7.26953125" bestFit="1" customWidth="1"/>
    <col min="4612" max="4612" width="5.81640625" bestFit="1" customWidth="1"/>
    <col min="4613" max="4613" width="10.26953125" bestFit="1" customWidth="1"/>
    <col min="4614" max="4614" width="7.26953125" bestFit="1" customWidth="1"/>
    <col min="4615" max="4615" width="5.81640625" bestFit="1" customWidth="1"/>
    <col min="4616" max="4616" width="10.26953125" bestFit="1" customWidth="1"/>
    <col min="4617" max="4617" width="7.26953125" bestFit="1" customWidth="1"/>
    <col min="4618" max="4621" width="5.81640625" bestFit="1" customWidth="1"/>
    <col min="4622" max="4622" width="10.26953125" bestFit="1" customWidth="1"/>
    <col min="4623" max="4623" width="7.26953125" bestFit="1" customWidth="1"/>
    <col min="4624" max="4624" width="10.26953125" bestFit="1" customWidth="1"/>
    <col min="4625" max="4625" width="7.26953125" bestFit="1" customWidth="1"/>
    <col min="4626" max="4626" width="5.81640625" bestFit="1" customWidth="1"/>
    <col min="4627" max="4627" width="10.26953125" bestFit="1" customWidth="1"/>
    <col min="4628" max="4628" width="7.26953125" bestFit="1" customWidth="1"/>
    <col min="4629" max="4629" width="10.26953125" bestFit="1" customWidth="1"/>
    <col min="4630" max="4630" width="7.26953125" bestFit="1" customWidth="1"/>
    <col min="4631" max="4631" width="10.26953125" bestFit="1" customWidth="1"/>
    <col min="4632" max="4632" width="7.26953125" bestFit="1" customWidth="1"/>
    <col min="4633" max="4633" width="10.26953125" bestFit="1" customWidth="1"/>
    <col min="4634" max="4634" width="7.26953125" bestFit="1" customWidth="1"/>
    <col min="4635" max="4635" width="10.26953125" bestFit="1" customWidth="1"/>
    <col min="4636" max="4636" width="7.26953125" bestFit="1" customWidth="1"/>
    <col min="4637" max="4639" width="5.81640625" bestFit="1" customWidth="1"/>
    <col min="4640" max="4640" width="10.26953125" bestFit="1" customWidth="1"/>
    <col min="4641" max="4641" width="7.26953125" bestFit="1" customWidth="1"/>
    <col min="4642" max="4642" width="10.26953125" bestFit="1" customWidth="1"/>
    <col min="4643" max="4643" width="7.26953125" bestFit="1" customWidth="1"/>
    <col min="4644" max="4644" width="5.81640625" bestFit="1" customWidth="1"/>
    <col min="4645" max="4645" width="10.26953125" bestFit="1" customWidth="1"/>
    <col min="4646" max="4646" width="7.26953125" bestFit="1" customWidth="1"/>
    <col min="4647" max="4648" width="5.81640625" bestFit="1" customWidth="1"/>
    <col min="4649" max="4649" width="10.26953125" bestFit="1" customWidth="1"/>
    <col min="4650" max="4650" width="7.26953125" bestFit="1" customWidth="1"/>
    <col min="4651" max="4651" width="5.81640625" bestFit="1" customWidth="1"/>
    <col min="4652" max="4652" width="10.26953125" bestFit="1" customWidth="1"/>
    <col min="4653" max="4653" width="7.26953125" bestFit="1" customWidth="1"/>
    <col min="4654" max="4654" width="5.81640625" bestFit="1" customWidth="1"/>
    <col min="4655" max="4655" width="10.26953125" bestFit="1" customWidth="1"/>
    <col min="4656" max="4656" width="7.26953125" bestFit="1" customWidth="1"/>
    <col min="4657" max="4657" width="10.26953125" bestFit="1" customWidth="1"/>
    <col min="4658" max="4658" width="7.26953125" bestFit="1" customWidth="1"/>
    <col min="4659" max="4660" width="5.81640625" bestFit="1" customWidth="1"/>
    <col min="4661" max="4661" width="10.26953125" bestFit="1" customWidth="1"/>
    <col min="4662" max="4662" width="7.26953125" bestFit="1" customWidth="1"/>
    <col min="4663" max="4663" width="5.81640625" bestFit="1" customWidth="1"/>
    <col min="4664" max="4664" width="10.26953125" bestFit="1" customWidth="1"/>
    <col min="4665" max="4665" width="7.26953125" bestFit="1" customWidth="1"/>
    <col min="4666" max="4666" width="5.81640625" bestFit="1" customWidth="1"/>
    <col min="4667" max="4667" width="10.26953125" bestFit="1" customWidth="1"/>
    <col min="4668" max="4668" width="7.26953125" bestFit="1" customWidth="1"/>
    <col min="4669" max="4673" width="5.81640625" bestFit="1" customWidth="1"/>
    <col min="4674" max="4674" width="10.26953125" bestFit="1" customWidth="1"/>
    <col min="4675" max="4675" width="7.26953125" bestFit="1" customWidth="1"/>
    <col min="4676" max="4676" width="5.81640625" bestFit="1" customWidth="1"/>
    <col min="4677" max="4677" width="10.26953125" bestFit="1" customWidth="1"/>
    <col min="4678" max="4678" width="7.26953125" bestFit="1" customWidth="1"/>
    <col min="4679" max="4679" width="5.81640625" bestFit="1" customWidth="1"/>
    <col min="4680" max="4680" width="10.26953125" bestFit="1" customWidth="1"/>
    <col min="4681" max="4681" width="7.26953125" bestFit="1" customWidth="1"/>
    <col min="4682" max="4682" width="10.26953125" bestFit="1" customWidth="1"/>
    <col min="4683" max="4683" width="7.26953125" bestFit="1" customWidth="1"/>
    <col min="4684" max="4684" width="10.26953125" bestFit="1" customWidth="1"/>
    <col min="4685" max="4685" width="7.26953125" bestFit="1" customWidth="1"/>
    <col min="4686" max="4686" width="10.26953125" bestFit="1" customWidth="1"/>
    <col min="4687" max="4687" width="7.26953125" bestFit="1" customWidth="1"/>
    <col min="4688" max="4688" width="10.26953125" bestFit="1" customWidth="1"/>
    <col min="4689" max="4689" width="7.26953125" bestFit="1" customWidth="1"/>
    <col min="4690" max="4690" width="10.26953125" bestFit="1" customWidth="1"/>
    <col min="4691" max="4691" width="7.26953125" bestFit="1" customWidth="1"/>
    <col min="4692" max="4696" width="5.81640625" bestFit="1" customWidth="1"/>
    <col min="4697" max="4697" width="10.26953125" bestFit="1" customWidth="1"/>
    <col min="4698" max="4698" width="7.26953125" bestFit="1" customWidth="1"/>
    <col min="4699" max="4699" width="10.26953125" bestFit="1" customWidth="1"/>
    <col min="4700" max="4700" width="7.26953125" bestFit="1" customWidth="1"/>
    <col min="4701" max="4701" width="10.26953125" bestFit="1" customWidth="1"/>
    <col min="4702" max="4702" width="7.26953125" bestFit="1" customWidth="1"/>
    <col min="4703" max="4703" width="10.26953125" bestFit="1" customWidth="1"/>
    <col min="4704" max="4704" width="7.26953125" bestFit="1" customWidth="1"/>
    <col min="4705" max="4705" width="10.26953125" bestFit="1" customWidth="1"/>
    <col min="4706" max="4706" width="7.26953125" bestFit="1" customWidth="1"/>
    <col min="4707" max="4707" width="10.26953125" bestFit="1" customWidth="1"/>
    <col min="4708" max="4708" width="7.26953125" bestFit="1" customWidth="1"/>
    <col min="4709" max="4709" width="5.81640625" bestFit="1" customWidth="1"/>
    <col min="4710" max="4710" width="10.26953125" bestFit="1" customWidth="1"/>
    <col min="4711" max="4711" width="7.26953125" bestFit="1" customWidth="1"/>
    <col min="4712" max="4712" width="10.26953125" bestFit="1" customWidth="1"/>
    <col min="4713" max="4713" width="7.26953125" bestFit="1" customWidth="1"/>
    <col min="4714" max="4714" width="10.26953125" bestFit="1" customWidth="1"/>
    <col min="4715" max="4715" width="7.26953125" bestFit="1" customWidth="1"/>
    <col min="4716" max="4716" width="10.26953125" bestFit="1" customWidth="1"/>
    <col min="4717" max="4717" width="7.26953125" bestFit="1" customWidth="1"/>
    <col min="4718" max="4718" width="10.26953125" bestFit="1" customWidth="1"/>
    <col min="4719" max="4719" width="7.26953125" bestFit="1" customWidth="1"/>
    <col min="4720" max="4720" width="10.26953125" bestFit="1" customWidth="1"/>
    <col min="4721" max="4721" width="7.26953125" bestFit="1" customWidth="1"/>
    <col min="4722" max="4722" width="10.26953125" bestFit="1" customWidth="1"/>
    <col min="4723" max="4723" width="7.26953125" bestFit="1" customWidth="1"/>
    <col min="4724" max="4724" width="10.26953125" bestFit="1" customWidth="1"/>
    <col min="4725" max="4725" width="7.26953125" bestFit="1" customWidth="1"/>
    <col min="4726" max="4726" width="10.26953125" bestFit="1" customWidth="1"/>
    <col min="4727" max="4727" width="7.26953125" bestFit="1" customWidth="1"/>
    <col min="4728" max="4728" width="5.81640625" bestFit="1" customWidth="1"/>
    <col min="4729" max="4729" width="7.54296875" bestFit="1" customWidth="1"/>
    <col min="4730" max="4730" width="10.26953125" bestFit="1" customWidth="1"/>
    <col min="4731" max="4731" width="7.26953125" bestFit="1" customWidth="1"/>
    <col min="4732" max="4733" width="5.81640625" bestFit="1" customWidth="1"/>
    <col min="4734" max="4734" width="10.26953125" bestFit="1" customWidth="1"/>
    <col min="4735" max="4735" width="7.26953125" bestFit="1" customWidth="1"/>
    <col min="4736" max="4737" width="5.81640625" bestFit="1" customWidth="1"/>
    <col min="4738" max="4738" width="10.26953125" bestFit="1" customWidth="1"/>
    <col min="4739" max="4739" width="7.26953125" bestFit="1" customWidth="1"/>
    <col min="4740" max="4740" width="5.81640625" bestFit="1" customWidth="1"/>
    <col min="4741" max="4741" width="10.26953125" bestFit="1" customWidth="1"/>
    <col min="4742" max="4742" width="7.26953125" bestFit="1" customWidth="1"/>
    <col min="4743" max="4743" width="10.26953125" bestFit="1" customWidth="1"/>
    <col min="4744" max="4744" width="7.26953125" bestFit="1" customWidth="1"/>
    <col min="4745" max="4745" width="5.81640625" bestFit="1" customWidth="1"/>
    <col min="4746" max="4746" width="10.26953125" bestFit="1" customWidth="1"/>
    <col min="4747" max="4747" width="7.26953125" bestFit="1" customWidth="1"/>
    <col min="4748" max="4748" width="10.26953125" bestFit="1" customWidth="1"/>
    <col min="4749" max="4749" width="7.26953125" bestFit="1" customWidth="1"/>
    <col min="4750" max="4750" width="10.26953125" bestFit="1" customWidth="1"/>
    <col min="4751" max="4751" width="7.26953125" bestFit="1" customWidth="1"/>
    <col min="4752" max="4753" width="5.81640625" bestFit="1" customWidth="1"/>
    <col min="4754" max="4754" width="10.26953125" bestFit="1" customWidth="1"/>
    <col min="4755" max="4755" width="7.26953125" bestFit="1" customWidth="1"/>
    <col min="4756" max="4756" width="10.26953125" bestFit="1" customWidth="1"/>
    <col min="4757" max="4757" width="7.26953125" bestFit="1" customWidth="1"/>
    <col min="4758" max="4758" width="10.26953125" bestFit="1" customWidth="1"/>
    <col min="4759" max="4759" width="7.26953125" bestFit="1" customWidth="1"/>
    <col min="4760" max="4760" width="5.81640625" bestFit="1" customWidth="1"/>
    <col min="4761" max="4761" width="10.26953125" bestFit="1" customWidth="1"/>
    <col min="4762" max="4762" width="7.26953125" bestFit="1" customWidth="1"/>
    <col min="4763" max="4763" width="10.26953125" bestFit="1" customWidth="1"/>
    <col min="4764" max="4764" width="7.26953125" bestFit="1" customWidth="1"/>
    <col min="4765" max="4765" width="10.26953125" bestFit="1" customWidth="1"/>
    <col min="4766" max="4766" width="7.26953125" bestFit="1" customWidth="1"/>
    <col min="4767" max="4767" width="10.26953125" bestFit="1" customWidth="1"/>
    <col min="4768" max="4768" width="7.26953125" bestFit="1" customWidth="1"/>
    <col min="4769" max="4769" width="10.26953125" bestFit="1" customWidth="1"/>
    <col min="4770" max="4770" width="7.26953125" bestFit="1" customWidth="1"/>
    <col min="4771" max="4771" width="10.26953125" bestFit="1" customWidth="1"/>
    <col min="4772" max="4772" width="7.26953125" bestFit="1" customWidth="1"/>
    <col min="4773" max="4773" width="7.54296875" bestFit="1" customWidth="1"/>
    <col min="4774" max="4774" width="10.26953125" bestFit="1" customWidth="1"/>
    <col min="4775" max="4775" width="7.26953125" bestFit="1" customWidth="1"/>
    <col min="4776" max="4776" width="10.26953125" bestFit="1" customWidth="1"/>
    <col min="4777" max="4777" width="7.26953125" bestFit="1" customWidth="1"/>
    <col min="4778" max="4779" width="5.81640625" bestFit="1" customWidth="1"/>
    <col min="4780" max="4780" width="10.26953125" bestFit="1" customWidth="1"/>
    <col min="4781" max="4781" width="7.26953125" bestFit="1" customWidth="1"/>
    <col min="4782" max="4782" width="7.54296875" bestFit="1" customWidth="1"/>
    <col min="4783" max="4783" width="10.26953125" bestFit="1" customWidth="1"/>
    <col min="4784" max="4784" width="7.26953125" bestFit="1" customWidth="1"/>
    <col min="4785" max="4785" width="10.26953125" bestFit="1" customWidth="1"/>
    <col min="4786" max="4786" width="7.26953125" bestFit="1" customWidth="1"/>
    <col min="4787" max="4787" width="10.26953125" bestFit="1" customWidth="1"/>
    <col min="4788" max="4788" width="7.26953125" bestFit="1" customWidth="1"/>
    <col min="4789" max="4789" width="10.26953125" bestFit="1" customWidth="1"/>
    <col min="4790" max="4790" width="7.26953125" bestFit="1" customWidth="1"/>
    <col min="4791" max="4792" width="5.81640625" bestFit="1" customWidth="1"/>
    <col min="4793" max="4793" width="10.26953125" bestFit="1" customWidth="1"/>
    <col min="4794" max="4794" width="7.26953125" bestFit="1" customWidth="1"/>
    <col min="4795" max="4795" width="10.26953125" bestFit="1" customWidth="1"/>
    <col min="4796" max="4796" width="7.26953125" bestFit="1" customWidth="1"/>
    <col min="4797" max="4797" width="5.81640625" bestFit="1" customWidth="1"/>
    <col min="4798" max="4798" width="10.26953125" bestFit="1" customWidth="1"/>
    <col min="4799" max="4799" width="7.26953125" bestFit="1" customWidth="1"/>
    <col min="4800" max="4800" width="5.81640625" bestFit="1" customWidth="1"/>
    <col min="4801" max="4801" width="10.26953125" bestFit="1" customWidth="1"/>
    <col min="4802" max="4802" width="7.26953125" bestFit="1" customWidth="1"/>
    <col min="4803" max="4803" width="10.26953125" bestFit="1" customWidth="1"/>
    <col min="4804" max="4804" width="7.26953125" bestFit="1" customWidth="1"/>
    <col min="4805" max="4806" width="5.81640625" bestFit="1" customWidth="1"/>
    <col min="4807" max="4807" width="10.26953125" bestFit="1" customWidth="1"/>
    <col min="4808" max="4808" width="7.26953125" bestFit="1" customWidth="1"/>
    <col min="4809" max="4809" width="10.26953125" bestFit="1" customWidth="1"/>
    <col min="4810" max="4810" width="7.26953125" bestFit="1" customWidth="1"/>
    <col min="4811" max="4811" width="10.26953125" bestFit="1" customWidth="1"/>
    <col min="4812" max="4812" width="7.26953125" bestFit="1" customWidth="1"/>
    <col min="4813" max="4813" width="10.26953125" bestFit="1" customWidth="1"/>
    <col min="4814" max="4814" width="7.26953125" bestFit="1" customWidth="1"/>
    <col min="4815" max="4815" width="5.81640625" bestFit="1" customWidth="1"/>
    <col min="4816" max="4816" width="10.26953125" bestFit="1" customWidth="1"/>
    <col min="4817" max="4817" width="7.26953125" bestFit="1" customWidth="1"/>
    <col min="4818" max="4818" width="10.26953125" bestFit="1" customWidth="1"/>
    <col min="4819" max="4819" width="7.26953125" bestFit="1" customWidth="1"/>
    <col min="4820" max="4820" width="10.26953125" bestFit="1" customWidth="1"/>
    <col min="4821" max="4821" width="7.26953125" bestFit="1" customWidth="1"/>
    <col min="4822" max="4822" width="10.26953125" bestFit="1" customWidth="1"/>
    <col min="4823" max="4823" width="7.26953125" bestFit="1" customWidth="1"/>
    <col min="4824" max="4825" width="5.81640625" bestFit="1" customWidth="1"/>
    <col min="4826" max="4826" width="10.26953125" bestFit="1" customWidth="1"/>
    <col min="4827" max="4827" width="7.26953125" bestFit="1" customWidth="1"/>
    <col min="4828" max="4828" width="5.81640625" bestFit="1" customWidth="1"/>
    <col min="4829" max="4829" width="10.26953125" bestFit="1" customWidth="1"/>
    <col min="4830" max="4830" width="7.26953125" bestFit="1" customWidth="1"/>
    <col min="4831" max="4831" width="5.81640625" bestFit="1" customWidth="1"/>
    <col min="4832" max="4832" width="10.26953125" bestFit="1" customWidth="1"/>
    <col min="4833" max="4833" width="7.26953125" bestFit="1" customWidth="1"/>
    <col min="4834" max="4834" width="10.26953125" bestFit="1" customWidth="1"/>
    <col min="4835" max="4835" width="7.26953125" bestFit="1" customWidth="1"/>
    <col min="4836" max="4836" width="10.26953125" bestFit="1" customWidth="1"/>
    <col min="4837" max="4837" width="7.26953125" bestFit="1" customWidth="1"/>
    <col min="4838" max="4838" width="10.26953125" bestFit="1" customWidth="1"/>
    <col min="4839" max="4839" width="7.26953125" bestFit="1" customWidth="1"/>
    <col min="4840" max="4840" width="10.26953125" bestFit="1" customWidth="1"/>
    <col min="4841" max="4841" width="7.26953125" bestFit="1" customWidth="1"/>
    <col min="4842" max="4842" width="5.81640625" bestFit="1" customWidth="1"/>
    <col min="4843" max="4843" width="10.26953125" bestFit="1" customWidth="1"/>
    <col min="4844" max="4844" width="7.26953125" bestFit="1" customWidth="1"/>
    <col min="4845" max="4845" width="10.26953125" bestFit="1" customWidth="1"/>
    <col min="4846" max="4846" width="7.26953125" bestFit="1" customWidth="1"/>
    <col min="4847" max="4847" width="10.26953125" bestFit="1" customWidth="1"/>
    <col min="4848" max="4848" width="7.26953125" bestFit="1" customWidth="1"/>
    <col min="4849" max="4849" width="5.81640625" bestFit="1" customWidth="1"/>
    <col min="4850" max="4850" width="10.26953125" bestFit="1" customWidth="1"/>
    <col min="4851" max="4851" width="7.26953125" bestFit="1" customWidth="1"/>
    <col min="4852" max="4852" width="5.81640625" bestFit="1" customWidth="1"/>
    <col min="4853" max="4853" width="10.26953125" bestFit="1" customWidth="1"/>
    <col min="4854" max="4854" width="7.26953125" bestFit="1" customWidth="1"/>
    <col min="4855" max="4856" width="5.81640625" bestFit="1" customWidth="1"/>
    <col min="4857" max="4857" width="10.26953125" bestFit="1" customWidth="1"/>
    <col min="4858" max="4858" width="7.26953125" bestFit="1" customWidth="1"/>
    <col min="4859" max="4859" width="5.81640625" bestFit="1" customWidth="1"/>
    <col min="4860" max="4860" width="10.26953125" bestFit="1" customWidth="1"/>
    <col min="4861" max="4861" width="7.26953125" bestFit="1" customWidth="1"/>
    <col min="4862" max="4862" width="10.26953125" bestFit="1" customWidth="1"/>
    <col min="4863" max="4863" width="7.26953125" bestFit="1" customWidth="1"/>
    <col min="4864" max="4864" width="10.26953125" bestFit="1" customWidth="1"/>
    <col min="4865" max="4865" width="7.26953125" bestFit="1" customWidth="1"/>
    <col min="4866" max="4866" width="10.26953125" bestFit="1" customWidth="1"/>
    <col min="4867" max="4867" width="7.26953125" bestFit="1" customWidth="1"/>
    <col min="4868" max="4868" width="5.81640625" bestFit="1" customWidth="1"/>
    <col min="4869" max="4869" width="10.26953125" bestFit="1" customWidth="1"/>
    <col min="4870" max="4870" width="7.26953125" bestFit="1" customWidth="1"/>
    <col min="4871" max="4871" width="5.81640625" bestFit="1" customWidth="1"/>
    <col min="4872" max="4872" width="10.26953125" bestFit="1" customWidth="1"/>
    <col min="4873" max="4873" width="7.26953125" bestFit="1" customWidth="1"/>
    <col min="4874" max="4874" width="5.81640625" bestFit="1" customWidth="1"/>
    <col min="4875" max="4875" width="10.26953125" bestFit="1" customWidth="1"/>
    <col min="4876" max="4876" width="7.26953125" bestFit="1" customWidth="1"/>
    <col min="4877" max="4877" width="10.26953125" bestFit="1" customWidth="1"/>
    <col min="4878" max="4878" width="7.26953125" bestFit="1" customWidth="1"/>
    <col min="4879" max="4879" width="10.26953125" bestFit="1" customWidth="1"/>
    <col min="4880" max="4880" width="7.26953125" bestFit="1" customWidth="1"/>
    <col min="4881" max="4881" width="10.26953125" bestFit="1" customWidth="1"/>
    <col min="4882" max="4882" width="7.26953125" bestFit="1" customWidth="1"/>
    <col min="4883" max="4883" width="10.26953125" bestFit="1" customWidth="1"/>
    <col min="4884" max="4884" width="7.26953125" bestFit="1" customWidth="1"/>
    <col min="4885" max="4887" width="5.81640625" bestFit="1" customWidth="1"/>
    <col min="4888" max="4888" width="10.26953125" bestFit="1" customWidth="1"/>
    <col min="4889" max="4889" width="7.26953125" bestFit="1" customWidth="1"/>
    <col min="4890" max="4890" width="10.26953125" bestFit="1" customWidth="1"/>
    <col min="4891" max="4891" width="7.26953125" bestFit="1" customWidth="1"/>
    <col min="4892" max="4892" width="5.81640625" bestFit="1" customWidth="1"/>
    <col min="4893" max="4893" width="10.26953125" bestFit="1" customWidth="1"/>
    <col min="4894" max="4894" width="7.26953125" bestFit="1" customWidth="1"/>
    <col min="4895" max="4895" width="10.26953125" bestFit="1" customWidth="1"/>
    <col min="4896" max="4896" width="7.26953125" bestFit="1" customWidth="1"/>
    <col min="4897" max="4897" width="10.26953125" bestFit="1" customWidth="1"/>
    <col min="4898" max="4898" width="7.26953125" bestFit="1" customWidth="1"/>
    <col min="4899" max="4899" width="10.26953125" bestFit="1" customWidth="1"/>
    <col min="4900" max="4900" width="7.26953125" bestFit="1" customWidth="1"/>
    <col min="4901" max="4901" width="10.26953125" bestFit="1" customWidth="1"/>
    <col min="4902" max="4902" width="7.26953125" bestFit="1" customWidth="1"/>
    <col min="4903" max="4903" width="10.26953125" bestFit="1" customWidth="1"/>
    <col min="4904" max="4904" width="7.26953125" bestFit="1" customWidth="1"/>
    <col min="4905" max="4905" width="10.26953125" bestFit="1" customWidth="1"/>
    <col min="4906" max="4906" width="7.26953125" bestFit="1" customWidth="1"/>
    <col min="4907" max="4907" width="5.81640625" bestFit="1" customWidth="1"/>
    <col min="4908" max="4908" width="10.26953125" bestFit="1" customWidth="1"/>
    <col min="4909" max="4909" width="7.26953125" bestFit="1" customWidth="1"/>
    <col min="4910" max="4910" width="5.81640625" bestFit="1" customWidth="1"/>
    <col min="4911" max="4911" width="10.26953125" bestFit="1" customWidth="1"/>
    <col min="4912" max="4912" width="7.26953125" bestFit="1" customWidth="1"/>
    <col min="4913" max="4913" width="10.26953125" bestFit="1" customWidth="1"/>
    <col min="4914" max="4914" width="7.26953125" bestFit="1" customWidth="1"/>
    <col min="4915" max="4916" width="5.81640625" bestFit="1" customWidth="1"/>
    <col min="4917" max="4917" width="10.26953125" bestFit="1" customWidth="1"/>
    <col min="4918" max="4918" width="7.54296875" bestFit="1" customWidth="1"/>
    <col min="4919" max="4919" width="10.26953125" bestFit="1" customWidth="1"/>
    <col min="4920" max="4920" width="7.26953125" bestFit="1" customWidth="1"/>
    <col min="4921" max="4921" width="10.26953125" bestFit="1" customWidth="1"/>
    <col min="4922" max="4922" width="7.26953125" bestFit="1" customWidth="1"/>
    <col min="4923" max="4923" width="10.26953125" bestFit="1" customWidth="1"/>
    <col min="4924" max="4924" width="7.26953125" bestFit="1" customWidth="1"/>
    <col min="4925" max="4925" width="5.81640625" bestFit="1" customWidth="1"/>
    <col min="4926" max="4926" width="10.26953125" bestFit="1" customWidth="1"/>
    <col min="4927" max="4927" width="7.26953125" bestFit="1" customWidth="1"/>
    <col min="4928" max="4928" width="10.26953125" bestFit="1" customWidth="1"/>
    <col min="4929" max="4929" width="7.26953125" bestFit="1" customWidth="1"/>
    <col min="4930" max="4930" width="10.26953125" bestFit="1" customWidth="1"/>
    <col min="4931" max="4931" width="7.26953125" bestFit="1" customWidth="1"/>
    <col min="4932" max="4932" width="10.26953125" bestFit="1" customWidth="1"/>
    <col min="4933" max="4933" width="7.26953125" bestFit="1" customWidth="1"/>
    <col min="4934" max="4934" width="10.26953125" bestFit="1" customWidth="1"/>
    <col min="4935" max="4935" width="7.26953125" bestFit="1" customWidth="1"/>
    <col min="4936" max="4936" width="10.26953125" bestFit="1" customWidth="1"/>
    <col min="4937" max="4937" width="7.26953125" bestFit="1" customWidth="1"/>
    <col min="4938" max="4938" width="10.26953125" bestFit="1" customWidth="1"/>
    <col min="4939" max="4939" width="7.26953125" bestFit="1" customWidth="1"/>
    <col min="4940" max="4940" width="5.81640625" bestFit="1" customWidth="1"/>
    <col min="4941" max="4941" width="10.26953125" bestFit="1" customWidth="1"/>
    <col min="4942" max="4942" width="7.26953125" bestFit="1" customWidth="1"/>
    <col min="4943" max="4943" width="5.81640625" bestFit="1" customWidth="1"/>
    <col min="4944" max="4944" width="10.26953125" bestFit="1" customWidth="1"/>
    <col min="4945" max="4945" width="7.26953125" bestFit="1" customWidth="1"/>
    <col min="4946" max="4946" width="5.81640625" bestFit="1" customWidth="1"/>
    <col min="4947" max="4947" width="10.26953125" bestFit="1" customWidth="1"/>
    <col min="4948" max="4948" width="7.26953125" bestFit="1" customWidth="1"/>
    <col min="4949" max="4949" width="5.81640625" bestFit="1" customWidth="1"/>
    <col min="4950" max="4950" width="10.26953125" bestFit="1" customWidth="1"/>
    <col min="4951" max="4951" width="7.26953125" bestFit="1" customWidth="1"/>
    <col min="4952" max="4952" width="10.26953125" bestFit="1" customWidth="1"/>
    <col min="4953" max="4953" width="7.26953125" bestFit="1" customWidth="1"/>
    <col min="4954" max="4954" width="5.81640625" bestFit="1" customWidth="1"/>
    <col min="4955" max="4955" width="10.26953125" bestFit="1" customWidth="1"/>
    <col min="4956" max="4956" width="7.54296875" bestFit="1" customWidth="1"/>
    <col min="4957" max="4957" width="10.26953125" bestFit="1" customWidth="1"/>
    <col min="4958" max="4958" width="7.26953125" bestFit="1" customWidth="1"/>
    <col min="4959" max="4959" width="5.81640625" bestFit="1" customWidth="1"/>
    <col min="4960" max="4960" width="10.26953125" bestFit="1" customWidth="1"/>
    <col min="4961" max="4961" width="7.26953125" bestFit="1" customWidth="1"/>
    <col min="4962" max="4962" width="10.26953125" bestFit="1" customWidth="1"/>
    <col min="4963" max="4963" width="7.26953125" bestFit="1" customWidth="1"/>
    <col min="4964" max="4964" width="5.81640625" bestFit="1" customWidth="1"/>
    <col min="4965" max="4965" width="10.26953125" bestFit="1" customWidth="1"/>
    <col min="4966" max="4966" width="7.26953125" bestFit="1" customWidth="1"/>
    <col min="4967" max="4967" width="5.81640625" bestFit="1" customWidth="1"/>
    <col min="4968" max="4968" width="10.26953125" bestFit="1" customWidth="1"/>
    <col min="4969" max="4969" width="7.26953125" bestFit="1" customWidth="1"/>
    <col min="4970" max="4970" width="10.26953125" bestFit="1" customWidth="1"/>
    <col min="4971" max="4971" width="7.26953125" bestFit="1" customWidth="1"/>
    <col min="4972" max="4972" width="5.81640625" bestFit="1" customWidth="1"/>
    <col min="4973" max="4973" width="10.26953125" bestFit="1" customWidth="1"/>
    <col min="4974" max="4974" width="7.26953125" bestFit="1" customWidth="1"/>
    <col min="4975" max="4975" width="10.26953125" bestFit="1" customWidth="1"/>
    <col min="4976" max="4976" width="7.26953125" bestFit="1" customWidth="1"/>
    <col min="4977" max="4977" width="10.26953125" bestFit="1" customWidth="1"/>
    <col min="4978" max="4978" width="7.26953125" bestFit="1" customWidth="1"/>
    <col min="4979" max="4979" width="10.26953125" bestFit="1" customWidth="1"/>
    <col min="4980" max="4980" width="7.26953125" bestFit="1" customWidth="1"/>
    <col min="4981" max="4981" width="10.26953125" bestFit="1" customWidth="1"/>
    <col min="4982" max="4982" width="7.26953125" bestFit="1" customWidth="1"/>
    <col min="4983" max="4983" width="10.26953125" bestFit="1" customWidth="1"/>
    <col min="4984" max="4984" width="7.26953125" bestFit="1" customWidth="1"/>
    <col min="4985" max="4985" width="10.26953125" bestFit="1" customWidth="1"/>
    <col min="4986" max="4986" width="7.26953125" bestFit="1" customWidth="1"/>
    <col min="4987" max="4987" width="7.54296875" bestFit="1" customWidth="1"/>
    <col min="4988" max="4988" width="10.26953125" bestFit="1" customWidth="1"/>
    <col min="4989" max="4989" width="7.26953125" bestFit="1" customWidth="1"/>
    <col min="4990" max="4990" width="10.26953125" bestFit="1" customWidth="1"/>
    <col min="4991" max="4991" width="7.26953125" bestFit="1" customWidth="1"/>
    <col min="4992" max="4992" width="5.81640625" bestFit="1" customWidth="1"/>
    <col min="4993" max="4993" width="10.26953125" bestFit="1" customWidth="1"/>
    <col min="4994" max="4994" width="7.26953125" bestFit="1" customWidth="1"/>
    <col min="4995" max="4995" width="10.26953125" bestFit="1" customWidth="1"/>
    <col min="4996" max="4996" width="7.26953125" bestFit="1" customWidth="1"/>
    <col min="4997" max="4997" width="10.26953125" bestFit="1" customWidth="1"/>
    <col min="4998" max="4998" width="7.26953125" bestFit="1" customWidth="1"/>
    <col min="4999" max="4999" width="7.54296875" bestFit="1" customWidth="1"/>
    <col min="5000" max="5000" width="10.26953125" bestFit="1" customWidth="1"/>
    <col min="5001" max="5001" width="7.26953125" bestFit="1" customWidth="1"/>
    <col min="5002" max="5002" width="10.26953125" bestFit="1" customWidth="1"/>
    <col min="5003" max="5003" width="7.26953125" bestFit="1" customWidth="1"/>
    <col min="5004" max="5004" width="10.26953125" bestFit="1" customWidth="1"/>
    <col min="5005" max="5005" width="7.26953125" bestFit="1" customWidth="1"/>
    <col min="5006" max="5006" width="5.81640625" bestFit="1" customWidth="1"/>
    <col min="5007" max="5007" width="10.26953125" bestFit="1" customWidth="1"/>
    <col min="5008" max="5008" width="7.26953125" bestFit="1" customWidth="1"/>
    <col min="5009" max="5009" width="10.26953125" bestFit="1" customWidth="1"/>
    <col min="5010" max="5010" width="7.26953125" bestFit="1" customWidth="1"/>
    <col min="5011" max="5011" width="10.26953125" bestFit="1" customWidth="1"/>
    <col min="5012" max="5012" width="7.26953125" bestFit="1" customWidth="1"/>
    <col min="5013" max="5013" width="5.81640625" bestFit="1" customWidth="1"/>
    <col min="5014" max="5014" width="7.54296875" bestFit="1" customWidth="1"/>
    <col min="5015" max="5015" width="10.26953125" bestFit="1" customWidth="1"/>
    <col min="5016" max="5016" width="7.26953125" bestFit="1" customWidth="1"/>
    <col min="5017" max="5017" width="10.26953125" bestFit="1" customWidth="1"/>
    <col min="5018" max="5018" width="7.54296875" bestFit="1" customWidth="1"/>
    <col min="5019" max="5019" width="10.26953125" bestFit="1" customWidth="1"/>
    <col min="5020" max="5020" width="7.26953125" bestFit="1" customWidth="1"/>
    <col min="5021" max="5023" width="5.81640625" bestFit="1" customWidth="1"/>
    <col min="5024" max="5024" width="7.54296875" bestFit="1" customWidth="1"/>
    <col min="5025" max="5025" width="10.26953125" bestFit="1" customWidth="1"/>
    <col min="5026" max="5026" width="7.54296875" bestFit="1" customWidth="1"/>
    <col min="5027" max="5027" width="10.26953125" bestFit="1" customWidth="1"/>
    <col min="5028" max="5028" width="7.26953125" bestFit="1" customWidth="1"/>
    <col min="5029" max="5029" width="10.26953125" bestFit="1" customWidth="1"/>
    <col min="5030" max="5030" width="7.26953125" bestFit="1" customWidth="1"/>
    <col min="5031" max="5031" width="10.26953125" bestFit="1" customWidth="1"/>
    <col min="5032" max="5032" width="7.26953125" bestFit="1" customWidth="1"/>
    <col min="5033" max="5033" width="10.26953125" bestFit="1" customWidth="1"/>
    <col min="5034" max="5034" width="7.26953125" bestFit="1" customWidth="1"/>
    <col min="5035" max="5035" width="10.26953125" bestFit="1" customWidth="1"/>
    <col min="5036" max="5036" width="7.26953125" bestFit="1" customWidth="1"/>
    <col min="5037" max="5037" width="10.26953125" bestFit="1" customWidth="1"/>
    <col min="5038" max="5038" width="7.26953125" bestFit="1" customWidth="1"/>
    <col min="5039" max="5039" width="10.26953125" bestFit="1" customWidth="1"/>
    <col min="5040" max="5040" width="7.26953125" bestFit="1" customWidth="1"/>
    <col min="5041" max="5041" width="10.26953125" bestFit="1" customWidth="1"/>
    <col min="5042" max="5042" width="7.26953125" bestFit="1" customWidth="1"/>
    <col min="5043" max="5043" width="10.26953125" bestFit="1" customWidth="1"/>
    <col min="5044" max="5044" width="7.26953125" bestFit="1" customWidth="1"/>
    <col min="5045" max="5045" width="10.26953125" bestFit="1" customWidth="1"/>
    <col min="5046" max="5046" width="7.26953125" bestFit="1" customWidth="1"/>
    <col min="5047" max="5047" width="10.26953125" bestFit="1" customWidth="1"/>
    <col min="5048" max="5048" width="7.26953125" bestFit="1" customWidth="1"/>
    <col min="5049" max="5049" width="10.26953125" bestFit="1" customWidth="1"/>
    <col min="5050" max="5050" width="7.26953125" bestFit="1" customWidth="1"/>
    <col min="5051" max="5051" width="10.26953125" bestFit="1" customWidth="1"/>
    <col min="5052" max="5052" width="7.26953125" bestFit="1" customWidth="1"/>
    <col min="5053" max="5053" width="10.26953125" bestFit="1" customWidth="1"/>
    <col min="5054" max="5054" width="7.26953125" bestFit="1" customWidth="1"/>
    <col min="5055" max="5055" width="10.26953125" bestFit="1" customWidth="1"/>
    <col min="5056" max="5056" width="7.26953125" bestFit="1" customWidth="1"/>
    <col min="5057" max="5057" width="10.26953125" bestFit="1" customWidth="1"/>
    <col min="5058" max="5058" width="7.54296875" bestFit="1" customWidth="1"/>
    <col min="5059" max="5059" width="10.26953125" bestFit="1" customWidth="1"/>
    <col min="5060" max="5060" width="7.26953125" bestFit="1" customWidth="1"/>
    <col min="5061" max="5061" width="5.81640625" bestFit="1" customWidth="1"/>
    <col min="5062" max="5062" width="10.26953125" bestFit="1" customWidth="1"/>
    <col min="5063" max="5063" width="7.26953125" bestFit="1" customWidth="1"/>
    <col min="5064" max="5064" width="10.26953125" bestFit="1" customWidth="1"/>
    <col min="5065" max="5065" width="7.26953125" bestFit="1" customWidth="1"/>
    <col min="5066" max="5066" width="10.26953125" bestFit="1" customWidth="1"/>
    <col min="5067" max="5067" width="7.26953125" bestFit="1" customWidth="1"/>
    <col min="5068" max="5068" width="10.26953125" bestFit="1" customWidth="1"/>
    <col min="5069" max="5069" width="7.26953125" bestFit="1" customWidth="1"/>
    <col min="5070" max="5070" width="5.81640625" bestFit="1" customWidth="1"/>
    <col min="5071" max="5071" width="10.26953125" bestFit="1" customWidth="1"/>
    <col min="5072" max="5072" width="7.26953125" bestFit="1" customWidth="1"/>
    <col min="5073" max="5073" width="10.26953125" bestFit="1" customWidth="1"/>
    <col min="5074" max="5074" width="7.54296875" bestFit="1" customWidth="1"/>
    <col min="5075" max="5075" width="10.26953125" bestFit="1" customWidth="1"/>
    <col min="5076" max="5076" width="7.26953125" bestFit="1" customWidth="1"/>
    <col min="5077" max="5077" width="10.26953125" bestFit="1" customWidth="1"/>
    <col min="5078" max="5078" width="7.54296875" bestFit="1" customWidth="1"/>
    <col min="5079" max="5079" width="10.26953125" bestFit="1" customWidth="1"/>
    <col min="5080" max="5080" width="7.26953125" bestFit="1" customWidth="1"/>
    <col min="5081" max="5081" width="10.26953125" bestFit="1" customWidth="1"/>
    <col min="5082" max="5082" width="7.26953125" bestFit="1" customWidth="1"/>
    <col min="5083" max="5083" width="10.26953125" bestFit="1" customWidth="1"/>
    <col min="5084" max="5084" width="7.26953125" bestFit="1" customWidth="1"/>
    <col min="5085" max="5086" width="5.81640625" bestFit="1" customWidth="1"/>
    <col min="5087" max="5087" width="10.26953125" bestFit="1" customWidth="1"/>
    <col min="5088" max="5088" width="7.26953125" bestFit="1" customWidth="1"/>
    <col min="5089" max="5089" width="10.26953125" bestFit="1" customWidth="1"/>
    <col min="5090" max="5090" width="7.26953125" bestFit="1" customWidth="1"/>
    <col min="5091" max="5091" width="10.26953125" bestFit="1" customWidth="1"/>
    <col min="5092" max="5092" width="7.26953125" bestFit="1" customWidth="1"/>
    <col min="5093" max="5093" width="10.26953125" bestFit="1" customWidth="1"/>
    <col min="5094" max="5094" width="7.26953125" bestFit="1" customWidth="1"/>
    <col min="5095" max="5095" width="5.81640625" bestFit="1" customWidth="1"/>
    <col min="5096" max="5096" width="10.26953125" bestFit="1" customWidth="1"/>
    <col min="5097" max="5097" width="7.26953125" bestFit="1" customWidth="1"/>
    <col min="5098" max="5098" width="10.26953125" bestFit="1" customWidth="1"/>
    <col min="5099" max="5099" width="7.26953125" bestFit="1" customWidth="1"/>
    <col min="5100" max="5100" width="10.26953125" bestFit="1" customWidth="1"/>
    <col min="5101" max="5101" width="7.26953125" bestFit="1" customWidth="1"/>
    <col min="5102" max="5102" width="10.26953125" bestFit="1" customWidth="1"/>
    <col min="5103" max="5103" width="7.26953125" bestFit="1" customWidth="1"/>
    <col min="5104" max="5104" width="10.26953125" bestFit="1" customWidth="1"/>
    <col min="5105" max="5105" width="7.54296875" bestFit="1" customWidth="1"/>
    <col min="5106" max="5106" width="10.26953125" bestFit="1" customWidth="1"/>
    <col min="5107" max="5107" width="7.26953125" bestFit="1" customWidth="1"/>
    <col min="5108" max="5108" width="10.26953125" bestFit="1" customWidth="1"/>
    <col min="5109" max="5109" width="7.26953125" bestFit="1" customWidth="1"/>
    <col min="5110" max="5110" width="10.26953125" bestFit="1" customWidth="1"/>
    <col min="5111" max="5111" width="7.26953125" bestFit="1" customWidth="1"/>
    <col min="5112" max="5112" width="10.26953125" bestFit="1" customWidth="1"/>
    <col min="5113" max="5113" width="7.54296875" bestFit="1" customWidth="1"/>
    <col min="5114" max="5114" width="10.26953125" bestFit="1" customWidth="1"/>
    <col min="5115" max="5115" width="7.26953125" bestFit="1" customWidth="1"/>
    <col min="5116" max="5116" width="10.26953125" bestFit="1" customWidth="1"/>
    <col min="5117" max="5117" width="7.26953125" bestFit="1" customWidth="1"/>
    <col min="5118" max="5118" width="10.26953125" bestFit="1" customWidth="1"/>
    <col min="5119" max="5119" width="7.26953125" bestFit="1" customWidth="1"/>
    <col min="5120" max="5120" width="10.26953125" bestFit="1" customWidth="1"/>
    <col min="5121" max="5121" width="7.26953125" bestFit="1" customWidth="1"/>
    <col min="5122" max="5122" width="10.26953125" bestFit="1" customWidth="1"/>
    <col min="5123" max="5123" width="7.54296875" bestFit="1" customWidth="1"/>
    <col min="5124" max="5124" width="10.26953125" bestFit="1" customWidth="1"/>
    <col min="5125" max="5125" width="7.26953125" bestFit="1" customWidth="1"/>
    <col min="5126" max="5126" width="10.26953125" bestFit="1" customWidth="1"/>
    <col min="5127" max="5127" width="7.54296875" bestFit="1" customWidth="1"/>
    <col min="5128" max="5128" width="10.26953125" bestFit="1" customWidth="1"/>
    <col min="5129" max="5129" width="7.26953125" bestFit="1" customWidth="1"/>
    <col min="5130" max="5130" width="10.26953125" bestFit="1" customWidth="1"/>
    <col min="5131" max="5131" width="7.26953125" bestFit="1" customWidth="1"/>
    <col min="5132" max="5132" width="10.26953125" bestFit="1" customWidth="1"/>
    <col min="5133" max="5133" width="7.54296875" bestFit="1" customWidth="1"/>
    <col min="5134" max="5134" width="10.26953125" bestFit="1" customWidth="1"/>
    <col min="5135" max="5135" width="7.54296875" bestFit="1" customWidth="1"/>
    <col min="5136" max="5136" width="10.26953125" bestFit="1" customWidth="1"/>
    <col min="5137" max="5137" width="7.26953125" bestFit="1" customWidth="1"/>
    <col min="5138" max="5138" width="10.26953125" bestFit="1" customWidth="1"/>
    <col min="5139" max="5139" width="7.26953125" bestFit="1" customWidth="1"/>
    <col min="5140" max="5140" width="10.26953125" bestFit="1" customWidth="1"/>
    <col min="5141" max="5141" width="7.26953125" bestFit="1" customWidth="1"/>
    <col min="5142" max="5142" width="10.26953125" bestFit="1" customWidth="1"/>
    <col min="5143" max="5143" width="7.54296875" bestFit="1" customWidth="1"/>
    <col min="5144" max="5144" width="10.26953125" bestFit="1" customWidth="1"/>
    <col min="5145" max="5145" width="7.54296875" bestFit="1" customWidth="1"/>
    <col min="5146" max="5146" width="10.26953125" bestFit="1" customWidth="1"/>
    <col min="5147" max="5147" width="7.26953125" bestFit="1" customWidth="1"/>
    <col min="5148" max="5148" width="10.26953125" bestFit="1" customWidth="1"/>
    <col min="5149" max="5149" width="7.26953125" bestFit="1" customWidth="1"/>
    <col min="5150" max="5150" width="10.26953125" bestFit="1" customWidth="1"/>
    <col min="5151" max="5151" width="7.26953125" bestFit="1" customWidth="1"/>
    <col min="5152" max="5152" width="10.26953125" bestFit="1" customWidth="1"/>
    <col min="5153" max="5153" width="7.54296875" bestFit="1" customWidth="1"/>
    <col min="5154" max="5154" width="10.26953125" bestFit="1" customWidth="1"/>
    <col min="5155" max="5155" width="7.26953125" bestFit="1" customWidth="1"/>
    <col min="5156" max="5156" width="5.81640625" bestFit="1" customWidth="1"/>
    <col min="5157" max="5157" width="10.26953125" bestFit="1" customWidth="1"/>
    <col min="5158" max="5158" width="7.26953125" bestFit="1" customWidth="1"/>
    <col min="5159" max="5159" width="10.26953125" bestFit="1" customWidth="1"/>
    <col min="5160" max="5160" width="7.26953125" bestFit="1" customWidth="1"/>
    <col min="5161" max="5161" width="10.26953125" bestFit="1" customWidth="1"/>
    <col min="5162" max="5162" width="7.26953125" bestFit="1" customWidth="1"/>
    <col min="5163" max="5163" width="10.26953125" bestFit="1" customWidth="1"/>
    <col min="5164" max="5164" width="7.26953125" bestFit="1" customWidth="1"/>
    <col min="5165" max="5165" width="10.26953125" bestFit="1" customWidth="1"/>
    <col min="5166" max="5166" width="7.26953125" bestFit="1" customWidth="1"/>
    <col min="5167" max="5167" width="7.54296875" bestFit="1" customWidth="1"/>
    <col min="5168" max="5168" width="10.26953125" bestFit="1" customWidth="1"/>
    <col min="5169" max="5170" width="7.54296875" bestFit="1" customWidth="1"/>
    <col min="5171" max="5171" width="10.26953125" bestFit="1" customWidth="1"/>
    <col min="5172" max="5172" width="7.26953125" bestFit="1" customWidth="1"/>
    <col min="5173" max="5173" width="10.26953125" bestFit="1" customWidth="1"/>
    <col min="5174" max="5174" width="7.54296875" bestFit="1" customWidth="1"/>
    <col min="5175" max="5175" width="10.26953125" bestFit="1" customWidth="1"/>
    <col min="5176" max="5176" width="7.54296875" bestFit="1" customWidth="1"/>
    <col min="5177" max="5177" width="10.26953125" bestFit="1" customWidth="1"/>
    <col min="5178" max="5178" width="7.26953125" bestFit="1" customWidth="1"/>
    <col min="5179" max="5179" width="10.26953125" bestFit="1" customWidth="1"/>
    <col min="5180" max="5180" width="7.54296875" bestFit="1" customWidth="1"/>
    <col min="5181" max="5181" width="10.26953125" bestFit="1" customWidth="1"/>
    <col min="5182" max="5182" width="7.54296875" bestFit="1" customWidth="1"/>
    <col min="5183" max="5183" width="10.26953125" bestFit="1" customWidth="1"/>
    <col min="5184" max="5184" width="7.26953125" bestFit="1" customWidth="1"/>
    <col min="5185" max="5185" width="10.26953125" bestFit="1" customWidth="1"/>
    <col min="5186" max="5186" width="7.54296875" bestFit="1" customWidth="1"/>
    <col min="5187" max="5187" width="10.26953125" bestFit="1" customWidth="1"/>
    <col min="5188" max="5188" width="7.26953125" bestFit="1" customWidth="1"/>
    <col min="5189" max="5189" width="5.81640625" bestFit="1" customWidth="1"/>
    <col min="5190" max="5190" width="7.54296875" bestFit="1" customWidth="1"/>
    <col min="5191" max="5191" width="10.26953125" bestFit="1" customWidth="1"/>
    <col min="5192" max="5192" width="7.54296875" bestFit="1" customWidth="1"/>
    <col min="5193" max="5193" width="10.26953125" bestFit="1" customWidth="1"/>
    <col min="5194" max="5194" width="7.26953125" bestFit="1" customWidth="1"/>
    <col min="5195" max="5195" width="10.26953125" bestFit="1" customWidth="1"/>
    <col min="5196" max="5196" width="7.26953125" bestFit="1" customWidth="1"/>
    <col min="5197" max="5198" width="7.54296875" bestFit="1" customWidth="1"/>
    <col min="5199" max="5199" width="10.26953125" bestFit="1" customWidth="1"/>
    <col min="5200" max="5200" width="7.26953125" bestFit="1" customWidth="1"/>
    <col min="5201" max="5202" width="7.54296875" bestFit="1" customWidth="1"/>
    <col min="5203" max="5203" width="10.26953125" bestFit="1" customWidth="1"/>
    <col min="5204" max="5204" width="7.54296875" bestFit="1" customWidth="1"/>
    <col min="5205" max="5205" width="10.26953125" bestFit="1" customWidth="1"/>
    <col min="5206" max="5207" width="7.54296875" bestFit="1" customWidth="1"/>
    <col min="5208" max="5208" width="10.26953125" bestFit="1" customWidth="1"/>
    <col min="5209" max="5209" width="7.26953125" bestFit="1" customWidth="1"/>
    <col min="5210" max="5212" width="7.54296875" bestFit="1" customWidth="1"/>
    <col min="5213" max="5213" width="10.26953125" bestFit="1" customWidth="1"/>
    <col min="5214" max="5217" width="7.54296875" bestFit="1" customWidth="1"/>
    <col min="5218" max="5218" width="10.26953125" bestFit="1" customWidth="1"/>
    <col min="5219" max="5221" width="7.54296875" bestFit="1" customWidth="1"/>
    <col min="5222" max="5222" width="10.26953125" bestFit="1" customWidth="1"/>
    <col min="5223" max="5224" width="7.54296875" bestFit="1" customWidth="1"/>
    <col min="5225" max="5225" width="10.26953125" bestFit="1" customWidth="1"/>
    <col min="5226" max="5230" width="7.54296875" bestFit="1" customWidth="1"/>
    <col min="5231" max="5231" width="10.26953125" bestFit="1" customWidth="1"/>
    <col min="5232" max="5236" width="7.54296875" bestFit="1" customWidth="1"/>
    <col min="5237" max="5237" width="10.26953125" bestFit="1" customWidth="1"/>
    <col min="5238" max="5239" width="7.54296875" bestFit="1" customWidth="1"/>
    <col min="5240" max="5240" width="10.26953125" bestFit="1" customWidth="1"/>
    <col min="5241" max="5244" width="7.54296875" bestFit="1" customWidth="1"/>
    <col min="5245" max="5245" width="10.26953125" bestFit="1" customWidth="1"/>
    <col min="5246" max="5249" width="7.54296875" bestFit="1" customWidth="1"/>
    <col min="5250" max="5250" width="10.26953125" bestFit="1" customWidth="1"/>
    <col min="5251" max="5254" width="7.54296875" bestFit="1" customWidth="1"/>
    <col min="5255" max="5255" width="10.26953125" bestFit="1" customWidth="1"/>
    <col min="5256" max="5260" width="7.54296875" bestFit="1" customWidth="1"/>
    <col min="5261" max="5261" width="10.26953125" bestFit="1" customWidth="1"/>
    <col min="5262" max="5262" width="7.54296875" bestFit="1" customWidth="1"/>
    <col min="5263" max="5263" width="10.26953125" bestFit="1" customWidth="1"/>
    <col min="5264" max="5268" width="7.54296875" bestFit="1" customWidth="1"/>
    <col min="5269" max="5269" width="10.26953125" bestFit="1" customWidth="1"/>
    <col min="5270" max="5273" width="7.54296875" bestFit="1" customWidth="1"/>
    <col min="5274" max="5274" width="10.26953125" bestFit="1" customWidth="1"/>
    <col min="5275" max="5278" width="7.54296875" bestFit="1" customWidth="1"/>
    <col min="5279" max="5279" width="10.26953125" bestFit="1" customWidth="1"/>
    <col min="5280" max="5281" width="7.54296875" bestFit="1" customWidth="1"/>
    <col min="5282" max="5282" width="10.26953125" bestFit="1" customWidth="1"/>
    <col min="5283" max="5285" width="7.54296875" bestFit="1" customWidth="1"/>
    <col min="5286" max="5286" width="10.26953125" bestFit="1" customWidth="1"/>
    <col min="5287" max="5291" width="7.54296875" bestFit="1" customWidth="1"/>
    <col min="5292" max="5292" width="10.26953125" bestFit="1" customWidth="1"/>
    <col min="5293" max="5296" width="7.54296875" bestFit="1" customWidth="1"/>
    <col min="5297" max="5297" width="10.26953125" bestFit="1" customWidth="1"/>
    <col min="5298" max="5298" width="7.54296875" bestFit="1" customWidth="1"/>
    <col min="5299" max="5299" width="10.26953125" bestFit="1" customWidth="1"/>
    <col min="5300" max="5304" width="7.54296875" bestFit="1" customWidth="1"/>
    <col min="5305" max="5305" width="10.26953125" bestFit="1" customWidth="1"/>
    <col min="5306" max="5307" width="7.54296875" bestFit="1" customWidth="1"/>
    <col min="5308" max="5308" width="10.26953125" bestFit="1" customWidth="1"/>
    <col min="5309" max="5309" width="7.54296875" bestFit="1" customWidth="1"/>
    <col min="5310" max="5310" width="10.26953125" bestFit="1" customWidth="1"/>
    <col min="5311" max="5317" width="7.54296875" bestFit="1" customWidth="1"/>
    <col min="5318" max="5318" width="10.26953125" bestFit="1" customWidth="1"/>
    <col min="5319" max="5319" width="7.54296875" bestFit="1" customWidth="1"/>
    <col min="5320" max="5320" width="10.26953125" bestFit="1" customWidth="1"/>
    <col min="5321" max="5321" width="7.54296875" bestFit="1" customWidth="1"/>
    <col min="5322" max="5322" width="10.26953125" bestFit="1" customWidth="1"/>
    <col min="5323" max="5328" width="7.54296875" bestFit="1" customWidth="1"/>
    <col min="5329" max="5329" width="10.26953125" bestFit="1" customWidth="1"/>
    <col min="5330" max="5333" width="7.54296875" bestFit="1" customWidth="1"/>
    <col min="5334" max="5334" width="10.26953125" bestFit="1" customWidth="1"/>
    <col min="5335" max="5337" width="7.54296875" bestFit="1" customWidth="1"/>
    <col min="5338" max="5338" width="10.26953125" bestFit="1" customWidth="1"/>
    <col min="5339" max="5344" width="7.54296875" bestFit="1" customWidth="1"/>
    <col min="5345" max="5345" width="10.26953125" bestFit="1" customWidth="1"/>
    <col min="5346" max="5347" width="7.54296875" bestFit="1" customWidth="1"/>
    <col min="5348" max="5348" width="10.26953125" bestFit="1" customWidth="1"/>
    <col min="5349" max="5349" width="7.54296875" bestFit="1" customWidth="1"/>
    <col min="5350" max="5350" width="10.26953125" bestFit="1" customWidth="1"/>
    <col min="5351" max="5351" width="7.54296875" bestFit="1" customWidth="1"/>
    <col min="5352" max="5352" width="10.26953125" bestFit="1" customWidth="1"/>
    <col min="5353" max="5359" width="7.54296875" bestFit="1" customWidth="1"/>
    <col min="5360" max="5360" width="10.26953125" bestFit="1" customWidth="1"/>
    <col min="5361" max="5361" width="7.54296875" bestFit="1" customWidth="1"/>
    <col min="5362" max="5362" width="10.26953125" bestFit="1" customWidth="1"/>
    <col min="5363" max="5369" width="7.54296875" bestFit="1" customWidth="1"/>
    <col min="5370" max="5370" width="10.26953125" bestFit="1" customWidth="1"/>
    <col min="5371" max="5371" width="11.453125" bestFit="1" customWidth="1"/>
  </cols>
  <sheetData>
    <row r="2" spans="1:14" x14ac:dyDescent="0.35">
      <c r="A2" s="24" t="s">
        <v>139</v>
      </c>
      <c r="B2" s="24" t="s">
        <v>9</v>
      </c>
      <c r="C2" s="17"/>
      <c r="D2" s="17"/>
      <c r="E2" s="17"/>
      <c r="F2" s="17"/>
      <c r="G2" s="17"/>
    </row>
    <row r="3" spans="1:14" x14ac:dyDescent="0.35">
      <c r="A3" s="25" t="s">
        <v>3</v>
      </c>
      <c r="B3" s="25" t="s">
        <v>140</v>
      </c>
      <c r="C3" s="25" t="s">
        <v>141</v>
      </c>
      <c r="D3" s="25" t="s">
        <v>142</v>
      </c>
      <c r="E3" s="25" t="s">
        <v>143</v>
      </c>
      <c r="F3" s="25" t="s">
        <v>144</v>
      </c>
      <c r="G3" s="25" t="s">
        <v>145</v>
      </c>
    </row>
    <row r="4" spans="1:14" x14ac:dyDescent="0.35">
      <c r="A4" s="15" t="s">
        <v>33</v>
      </c>
      <c r="B4" s="18">
        <v>286.5617021276596</v>
      </c>
      <c r="C4" s="18">
        <v>1133.3333333333333</v>
      </c>
      <c r="D4" s="18">
        <v>1846.6732673267327</v>
      </c>
      <c r="E4" s="18">
        <v>2540.0639999999999</v>
      </c>
      <c r="F4" s="18">
        <v>3152.044117647059</v>
      </c>
      <c r="G4" s="18">
        <v>1117.4845488257108</v>
      </c>
      <c r="L4" s="5"/>
      <c r="N4" s="5"/>
    </row>
    <row r="5" spans="1:14" x14ac:dyDescent="0.35">
      <c r="A5" s="15" t="s">
        <v>43</v>
      </c>
      <c r="B5" s="18">
        <v>328.69113924050635</v>
      </c>
      <c r="C5" s="18">
        <v>1256.9000000000001</v>
      </c>
      <c r="D5" s="18">
        <v>1800.5915492957747</v>
      </c>
      <c r="E5" s="18">
        <v>2438.8125</v>
      </c>
      <c r="F5" s="18">
        <v>2947.205882352941</v>
      </c>
      <c r="G5" s="18">
        <v>733.6743256743257</v>
      </c>
      <c r="L5" s="5"/>
      <c r="N5" s="5"/>
    </row>
    <row r="6" spans="1:14" x14ac:dyDescent="0.35">
      <c r="A6" s="15" t="s">
        <v>19</v>
      </c>
      <c r="B6" s="18">
        <v>319.19293218720151</v>
      </c>
      <c r="C6" s="18">
        <v>1303.7692307692307</v>
      </c>
      <c r="D6" s="18">
        <v>2003.8</v>
      </c>
      <c r="E6" s="18">
        <v>2800.2916666666665</v>
      </c>
      <c r="F6" s="18">
        <v>3352.5714285714284</v>
      </c>
      <c r="G6" s="18">
        <v>476.85840707964604</v>
      </c>
      <c r="L6" s="5"/>
      <c r="N6" s="5"/>
    </row>
    <row r="7" spans="1:14" x14ac:dyDescent="0.35">
      <c r="A7" s="15" t="s">
        <v>13</v>
      </c>
      <c r="B7" s="18">
        <v>397.08899676375404</v>
      </c>
      <c r="C7" s="18">
        <v>1215</v>
      </c>
      <c r="D7" s="18">
        <v>2066.6666666666665</v>
      </c>
      <c r="E7" s="18">
        <v>2743.3333333333335</v>
      </c>
      <c r="F7" s="18">
        <v>3077</v>
      </c>
      <c r="G7" s="18">
        <v>500.53846153846155</v>
      </c>
      <c r="L7" s="5"/>
      <c r="N7" s="5"/>
    </row>
    <row r="8" spans="1:14" x14ac:dyDescent="0.35">
      <c r="A8" s="15" t="s">
        <v>48</v>
      </c>
      <c r="B8" s="18">
        <v>316.93108504398828</v>
      </c>
      <c r="C8" s="18">
        <v>1262.5</v>
      </c>
      <c r="D8" s="18">
        <v>2107</v>
      </c>
      <c r="E8" s="18">
        <v>2468.086956521739</v>
      </c>
      <c r="F8" s="18">
        <v>2782</v>
      </c>
      <c r="G8" s="18">
        <v>384.54577714691271</v>
      </c>
      <c r="L8" s="5"/>
      <c r="N8" s="5"/>
    </row>
    <row r="9" spans="1:14" x14ac:dyDescent="0.35">
      <c r="A9" s="25" t="s">
        <v>145</v>
      </c>
      <c r="B9" s="26">
        <v>327.87129867101891</v>
      </c>
      <c r="C9" s="26">
        <v>1187.8783783783783</v>
      </c>
      <c r="D9" s="26">
        <v>1865.909952606635</v>
      </c>
      <c r="E9" s="26">
        <v>2532.7102473498235</v>
      </c>
      <c r="F9" s="26">
        <v>3097.6830985915494</v>
      </c>
      <c r="G9" s="26">
        <v>609.01740348069609</v>
      </c>
    </row>
    <row r="13" spans="1:14" x14ac:dyDescent="0.35">
      <c r="L13" s="5"/>
      <c r="N13" s="5"/>
    </row>
    <row r="14" spans="1:14" x14ac:dyDescent="0.35">
      <c r="L14" s="5"/>
      <c r="N14" s="5"/>
    </row>
    <row r="15" spans="1:14" x14ac:dyDescent="0.35">
      <c r="L15" s="5"/>
      <c r="N15" s="5"/>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40625-DB4C-49AA-BEE7-C675AFBB6BCC}">
  <dimension ref="A1:AB25"/>
  <sheetViews>
    <sheetView topLeftCell="A2" zoomScale="74" zoomScaleNormal="68" workbookViewId="0">
      <selection activeCell="T17" sqref="T17"/>
    </sheetView>
  </sheetViews>
  <sheetFormatPr defaultRowHeight="14.5" x14ac:dyDescent="0.35"/>
  <cols>
    <col min="1" max="1" width="13.54296875" bestFit="1" customWidth="1"/>
    <col min="2" max="7" width="10.54296875" customWidth="1"/>
  </cols>
  <sheetData>
    <row r="1" spans="1:10" x14ac:dyDescent="0.35">
      <c r="A1" s="34" t="s">
        <v>146</v>
      </c>
      <c r="B1" s="35"/>
      <c r="C1" s="35"/>
      <c r="D1" s="35"/>
      <c r="E1" s="35"/>
      <c r="F1" s="35"/>
      <c r="G1" s="36"/>
    </row>
    <row r="2" spans="1:10" x14ac:dyDescent="0.35">
      <c r="A2" s="23" t="s">
        <v>147</v>
      </c>
      <c r="B2" s="20" t="s">
        <v>148</v>
      </c>
      <c r="C2" s="21" t="s">
        <v>149</v>
      </c>
      <c r="D2" s="21" t="s">
        <v>150</v>
      </c>
      <c r="E2" s="21" t="s">
        <v>151</v>
      </c>
      <c r="F2" s="21" t="s">
        <v>152</v>
      </c>
      <c r="G2" s="22" t="s">
        <v>153</v>
      </c>
    </row>
    <row r="3" spans="1:10" x14ac:dyDescent="0.35">
      <c r="A3" s="8" t="s">
        <v>9</v>
      </c>
      <c r="B3" s="10">
        <f>MIN('Raw Data&amp; 2.1.1'!J2:J5000)</f>
        <v>58</v>
      </c>
      <c r="C3" s="6">
        <f>_xlfn.QUARTILE.INC('Raw Data&amp; 2.1.1'!J2:J5000,1)</f>
        <v>470</v>
      </c>
      <c r="D3" s="6">
        <f>MEDIAN('Raw Data&amp; 2.1.1'!J2:J5000)</f>
        <v>704</v>
      </c>
      <c r="E3" s="6">
        <f>_xlfn.QUARTILE.INC('Raw Data&amp; 2.1.1'!J2:J5000,3)</f>
        <v>1136.5</v>
      </c>
      <c r="F3" s="6">
        <f>MAX('Raw Data&amp; 2.1.1'!J2:J5000)</f>
        <v>9000</v>
      </c>
      <c r="G3" s="11">
        <f>AVERAGE('Raw Data&amp; 2.1.1'!J2:J5000)</f>
        <v>1531.0204040808162</v>
      </c>
    </row>
    <row r="4" spans="1:10" x14ac:dyDescent="0.35">
      <c r="A4" s="8" t="s">
        <v>10</v>
      </c>
      <c r="B4" s="10">
        <f>MIN('Raw Data&amp; 2.1.1'!K2:K5000)</f>
        <v>26</v>
      </c>
      <c r="C4" s="6">
        <f>_xlfn.QUARTILE.INC('Raw Data&amp; 2.1.1'!K2:K5000,1)</f>
        <v>212</v>
      </c>
      <c r="D4" s="6">
        <f>MEDIAN('Raw Data&amp; 2.1.1'!K2:K5000)</f>
        <v>322</v>
      </c>
      <c r="E4" s="6">
        <f>_xlfn.QUARTILE.INC('Raw Data&amp; 2.1.1'!K2:K5000,3)</f>
        <v>534</v>
      </c>
      <c r="F4" s="6">
        <f>MAX('Raw Data&amp; 2.1.1'!K2:K5000)</f>
        <v>5400</v>
      </c>
      <c r="G4" s="11">
        <f>AVERAGE('Raw Data&amp; 2.1.1'!K2:K5000)</f>
        <v>609.01740348069609</v>
      </c>
    </row>
    <row r="5" spans="1:10" x14ac:dyDescent="0.35">
      <c r="A5" s="8" t="s">
        <v>8</v>
      </c>
      <c r="B5" s="10">
        <f>MIN('Raw Data&amp; 2.1.1'!I2:I5000)</f>
        <v>81</v>
      </c>
      <c r="C5" s="6">
        <f>_xlfn.QUARTILE.INC('Raw Data&amp; 2.1.1'!I2:I5000,1)</f>
        <v>119</v>
      </c>
      <c r="D5" s="6">
        <f>MEDIAN('Raw Data&amp; 2.1.1'!I2:I5000)</f>
        <v>150</v>
      </c>
      <c r="E5" s="6">
        <f>_xlfn.QUARTILE.INC('Raw Data&amp; 2.1.1'!I2:I5000,3)</f>
        <v>200</v>
      </c>
      <c r="F5" s="6">
        <f>MAX('Raw Data&amp; 2.1.1'!I2:I5000)</f>
        <v>700</v>
      </c>
      <c r="G5" s="11">
        <f>AVERAGE('Raw Data&amp; 2.1.1'!I2:I5000)</f>
        <v>165.39427885577115</v>
      </c>
    </row>
    <row r="6" spans="1:10" x14ac:dyDescent="0.35">
      <c r="A6" s="9" t="s">
        <v>7</v>
      </c>
      <c r="B6" s="12">
        <f>MIN('Raw Data&amp; 2.1.1'!H2:H5000)</f>
        <v>7</v>
      </c>
      <c r="C6" s="13">
        <f>_xlfn.QUARTILE.INC('Raw Data&amp; 2.1.1'!H2:H5000,1)</f>
        <v>33</v>
      </c>
      <c r="D6" s="13">
        <f>MEDIAN('Raw Data&amp; 2.1.1'!H2:H5000)</f>
        <v>42</v>
      </c>
      <c r="E6" s="13">
        <f>_xlfn.QUARTILE.INC('Raw Data&amp; 2.1.1'!H2:H5000,3)</f>
        <v>52</v>
      </c>
      <c r="F6" s="13">
        <f>MAX('Raw Data&amp; 2.1.1'!H2:H5000)</f>
        <v>103</v>
      </c>
      <c r="G6" s="14">
        <f>AVERAGE('Raw Data&amp; 2.1.1'!H2:H5000)</f>
        <v>42.749749949989997</v>
      </c>
    </row>
    <row r="8" spans="1:10" x14ac:dyDescent="0.35">
      <c r="A8" s="33"/>
      <c r="B8" s="33"/>
      <c r="C8" s="33"/>
      <c r="D8" s="33"/>
      <c r="E8" s="33"/>
      <c r="F8" s="33"/>
      <c r="G8" s="33"/>
      <c r="H8" s="33"/>
      <c r="I8" s="33"/>
      <c r="J8" s="33"/>
    </row>
    <row r="9" spans="1:10" x14ac:dyDescent="0.35">
      <c r="A9" s="33"/>
      <c r="B9" s="33"/>
      <c r="C9" s="33"/>
      <c r="D9" s="33"/>
      <c r="E9" s="33"/>
      <c r="F9" s="33"/>
      <c r="G9" s="33"/>
      <c r="H9" s="33"/>
      <c r="I9" s="33"/>
      <c r="J9" s="33"/>
    </row>
    <row r="10" spans="1:10" x14ac:dyDescent="0.35">
      <c r="A10" s="33"/>
      <c r="B10" s="33"/>
      <c r="C10" s="33"/>
      <c r="D10" s="33"/>
      <c r="E10" s="33"/>
      <c r="F10" s="33"/>
      <c r="G10" s="33"/>
      <c r="H10" s="33"/>
      <c r="I10" s="33"/>
      <c r="J10" s="33"/>
    </row>
    <row r="11" spans="1:10" x14ac:dyDescent="0.35">
      <c r="A11" s="33"/>
      <c r="B11" s="33"/>
      <c r="C11" s="33"/>
      <c r="D11" s="33"/>
      <c r="E11" s="33"/>
      <c r="F11" s="33"/>
      <c r="G11" s="33"/>
      <c r="H11" s="33"/>
      <c r="I11" s="33"/>
      <c r="J11" s="33"/>
    </row>
    <row r="12" spans="1:10" x14ac:dyDescent="0.35">
      <c r="A12" s="33"/>
      <c r="B12" s="33"/>
      <c r="C12" s="33"/>
      <c r="D12" s="33"/>
      <c r="E12" s="33"/>
      <c r="F12" s="33"/>
      <c r="G12" s="33"/>
      <c r="H12" s="33"/>
      <c r="I12" s="33"/>
      <c r="J12" s="33"/>
    </row>
    <row r="13" spans="1:10" x14ac:dyDescent="0.35">
      <c r="A13" s="33"/>
      <c r="B13" s="33"/>
      <c r="C13" s="33"/>
      <c r="D13" s="33"/>
      <c r="E13" s="33"/>
      <c r="F13" s="33"/>
      <c r="G13" s="33"/>
      <c r="H13" s="33"/>
      <c r="I13" s="33"/>
      <c r="J13" s="33"/>
    </row>
    <row r="14" spans="1:10" x14ac:dyDescent="0.35">
      <c r="A14" s="33"/>
      <c r="B14" s="33"/>
      <c r="C14" s="33"/>
      <c r="D14" s="33"/>
      <c r="E14" s="33"/>
      <c r="F14" s="33"/>
      <c r="G14" s="33"/>
      <c r="H14" s="33"/>
      <c r="I14" s="33"/>
      <c r="J14" s="33"/>
    </row>
    <row r="15" spans="1:10" x14ac:dyDescent="0.35">
      <c r="A15" s="33"/>
      <c r="B15" s="33"/>
      <c r="C15" s="33"/>
      <c r="D15" s="33"/>
      <c r="E15" s="33"/>
      <c r="F15" s="33"/>
      <c r="G15" s="33"/>
      <c r="H15" s="33"/>
      <c r="I15" s="33"/>
      <c r="J15" s="33"/>
    </row>
    <row r="16" spans="1:10" x14ac:dyDescent="0.35">
      <c r="A16" s="33"/>
      <c r="B16" s="33"/>
      <c r="C16" s="33"/>
      <c r="D16" s="33"/>
      <c r="E16" s="33"/>
      <c r="F16" s="33"/>
      <c r="G16" s="33"/>
      <c r="H16" s="33"/>
      <c r="I16" s="33"/>
      <c r="J16" s="33"/>
    </row>
    <row r="17" spans="1:28" x14ac:dyDescent="0.35">
      <c r="A17" s="33"/>
      <c r="B17" s="33"/>
      <c r="C17" s="33"/>
      <c r="D17" s="33"/>
      <c r="E17" s="33"/>
      <c r="F17" s="33"/>
      <c r="G17" s="33"/>
      <c r="H17" s="33"/>
      <c r="I17" s="33"/>
      <c r="J17" s="33"/>
      <c r="O17" s="7"/>
    </row>
    <row r="18" spans="1:28" x14ac:dyDescent="0.35">
      <c r="A18" s="33"/>
      <c r="B18" s="33"/>
      <c r="C18" s="33"/>
      <c r="D18" s="33"/>
      <c r="E18" s="33"/>
      <c r="F18" s="33"/>
      <c r="G18" s="33"/>
      <c r="H18" s="33"/>
      <c r="I18" s="33"/>
      <c r="J18" s="33"/>
      <c r="L18" s="33"/>
      <c r="M18" s="33"/>
      <c r="N18" s="33"/>
      <c r="O18" s="33"/>
      <c r="P18" s="33"/>
      <c r="Q18" s="33"/>
      <c r="R18" s="33"/>
      <c r="S18" s="33"/>
      <c r="U18" s="33"/>
      <c r="V18" s="33"/>
      <c r="W18" s="33"/>
      <c r="X18" s="33"/>
      <c r="Y18" s="33"/>
      <c r="Z18" s="33"/>
      <c r="AA18" s="33"/>
      <c r="AB18" s="33"/>
    </row>
    <row r="19" spans="1:28" x14ac:dyDescent="0.35">
      <c r="A19" s="33"/>
      <c r="B19" s="33"/>
      <c r="C19" s="33"/>
      <c r="D19" s="33"/>
      <c r="E19" s="33"/>
      <c r="F19" s="33"/>
      <c r="G19" s="33"/>
      <c r="H19" s="33"/>
      <c r="I19" s="33"/>
      <c r="J19" s="33"/>
      <c r="L19" s="33"/>
      <c r="M19" s="33"/>
      <c r="N19" s="33"/>
      <c r="O19" s="33"/>
      <c r="P19" s="33"/>
      <c r="Q19" s="33"/>
      <c r="R19" s="33"/>
      <c r="S19" s="33"/>
      <c r="U19" s="33"/>
      <c r="V19" s="33"/>
      <c r="W19" s="33"/>
      <c r="X19" s="33"/>
      <c r="Y19" s="33"/>
      <c r="Z19" s="33"/>
      <c r="AA19" s="33"/>
      <c r="AB19" s="33"/>
    </row>
    <row r="20" spans="1:28" x14ac:dyDescent="0.35">
      <c r="A20" s="33"/>
      <c r="B20" s="33"/>
      <c r="C20" s="33"/>
      <c r="D20" s="33"/>
      <c r="E20" s="33"/>
      <c r="F20" s="33"/>
      <c r="G20" s="33"/>
      <c r="H20" s="33"/>
      <c r="I20" s="33"/>
      <c r="J20" s="33"/>
      <c r="L20" s="33"/>
      <c r="M20" s="33"/>
      <c r="N20" s="33"/>
      <c r="O20" s="33"/>
      <c r="P20" s="33"/>
      <c r="Q20" s="33"/>
      <c r="R20" s="33"/>
      <c r="S20" s="33"/>
      <c r="U20" s="33"/>
      <c r="V20" s="33"/>
      <c r="W20" s="33"/>
      <c r="X20" s="33"/>
      <c r="Y20" s="33"/>
      <c r="Z20" s="33"/>
      <c r="AA20" s="33"/>
      <c r="AB20" s="33"/>
    </row>
    <row r="21" spans="1:28" x14ac:dyDescent="0.35">
      <c r="A21" s="33"/>
      <c r="B21" s="33"/>
      <c r="C21" s="33"/>
      <c r="D21" s="33"/>
      <c r="E21" s="33"/>
      <c r="F21" s="33"/>
      <c r="G21" s="33"/>
      <c r="H21" s="33"/>
      <c r="I21" s="33"/>
      <c r="J21" s="33"/>
      <c r="L21" s="33"/>
      <c r="M21" s="33"/>
      <c r="N21" s="33"/>
      <c r="O21" s="33"/>
      <c r="P21" s="33"/>
      <c r="Q21" s="33"/>
      <c r="R21" s="33"/>
      <c r="S21" s="33"/>
      <c r="U21" s="33"/>
      <c r="V21" s="33"/>
      <c r="W21" s="33"/>
      <c r="X21" s="33"/>
      <c r="Y21" s="33"/>
      <c r="Z21" s="33"/>
      <c r="AA21" s="33"/>
      <c r="AB21" s="33"/>
    </row>
    <row r="22" spans="1:28" x14ac:dyDescent="0.35">
      <c r="A22" s="33"/>
      <c r="B22" s="33"/>
      <c r="C22" s="33"/>
      <c r="D22" s="33"/>
      <c r="E22" s="33"/>
      <c r="F22" s="33"/>
      <c r="G22" s="33"/>
      <c r="H22" s="33"/>
      <c r="I22" s="33"/>
      <c r="J22" s="33"/>
      <c r="L22" s="33"/>
      <c r="M22" s="33"/>
      <c r="N22" s="33"/>
      <c r="O22" s="33"/>
      <c r="P22" s="33"/>
      <c r="Q22" s="33"/>
      <c r="R22" s="33"/>
      <c r="S22" s="33"/>
      <c r="U22" s="33"/>
      <c r="V22" s="33"/>
      <c r="W22" s="33"/>
      <c r="X22" s="33"/>
      <c r="Y22" s="33"/>
      <c r="Z22" s="33"/>
      <c r="AA22" s="33"/>
      <c r="AB22" s="33"/>
    </row>
    <row r="23" spans="1:28" x14ac:dyDescent="0.35">
      <c r="A23" s="33"/>
      <c r="B23" s="33"/>
      <c r="C23" s="33"/>
      <c r="D23" s="33"/>
      <c r="E23" s="33"/>
      <c r="F23" s="33"/>
      <c r="G23" s="33"/>
      <c r="H23" s="33"/>
      <c r="I23" s="33"/>
      <c r="J23" s="33"/>
      <c r="L23" s="33"/>
      <c r="M23" s="33"/>
      <c r="N23" s="33"/>
      <c r="O23" s="33"/>
      <c r="P23" s="33"/>
      <c r="Q23" s="33"/>
      <c r="R23" s="33"/>
      <c r="S23" s="33"/>
      <c r="U23" s="33"/>
      <c r="V23" s="33"/>
      <c r="W23" s="33"/>
      <c r="X23" s="33"/>
      <c r="Y23" s="33"/>
      <c r="Z23" s="33"/>
      <c r="AA23" s="33"/>
      <c r="AB23" s="33"/>
    </row>
    <row r="24" spans="1:28" x14ac:dyDescent="0.35">
      <c r="A24" s="33"/>
      <c r="B24" s="33"/>
      <c r="C24" s="33"/>
      <c r="D24" s="33"/>
      <c r="E24" s="33"/>
      <c r="F24" s="33"/>
      <c r="G24" s="33"/>
      <c r="H24" s="33"/>
      <c r="I24" s="33"/>
      <c r="J24" s="33"/>
      <c r="L24" s="33"/>
      <c r="M24" s="33"/>
      <c r="N24" s="33"/>
      <c r="O24" s="33"/>
      <c r="P24" s="33"/>
      <c r="Q24" s="33"/>
      <c r="R24" s="33"/>
      <c r="S24" s="33"/>
      <c r="U24" s="33"/>
      <c r="V24" s="33"/>
      <c r="W24" s="33"/>
      <c r="X24" s="33"/>
      <c r="Y24" s="33"/>
      <c r="Z24" s="33"/>
      <c r="AA24" s="33"/>
      <c r="AB24" s="33"/>
    </row>
    <row r="25" spans="1:28" x14ac:dyDescent="0.35">
      <c r="A25" s="33"/>
      <c r="B25" s="33"/>
      <c r="C25" s="33"/>
      <c r="D25" s="33"/>
      <c r="E25" s="33"/>
      <c r="F25" s="33"/>
      <c r="G25" s="33"/>
      <c r="H25" s="33"/>
      <c r="I25" s="33"/>
      <c r="J25" s="33"/>
    </row>
  </sheetData>
  <mergeCells count="4">
    <mergeCell ref="U18:AB24"/>
    <mergeCell ref="L18:S24"/>
    <mergeCell ref="A1:G1"/>
    <mergeCell ref="A8:J2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FC44A-2446-44E7-AC36-06498D89D389}">
  <dimension ref="B18:Q35"/>
  <sheetViews>
    <sheetView zoomScale="66" zoomScaleNormal="66" workbookViewId="0">
      <selection activeCell="E21" sqref="E21:F21"/>
    </sheetView>
  </sheetViews>
  <sheetFormatPr defaultRowHeight="14.5" x14ac:dyDescent="0.35"/>
  <sheetData>
    <row r="18" spans="2:17" x14ac:dyDescent="0.35">
      <c r="D18" s="37" t="s">
        <v>154</v>
      </c>
      <c r="E18" s="38"/>
      <c r="F18" s="39"/>
      <c r="L18" s="40" t="s">
        <v>155</v>
      </c>
      <c r="M18" s="40"/>
      <c r="N18" s="40"/>
    </row>
    <row r="19" spans="2:17" x14ac:dyDescent="0.35">
      <c r="D19" s="15" t="s">
        <v>156</v>
      </c>
      <c r="E19" s="42">
        <v>470</v>
      </c>
      <c r="F19" s="43"/>
      <c r="L19" s="15" t="s">
        <v>156</v>
      </c>
      <c r="M19" s="41">
        <f>'2.2.Numerical Variables'!C4</f>
        <v>212</v>
      </c>
      <c r="N19" s="41"/>
    </row>
    <row r="20" spans="2:17" x14ac:dyDescent="0.35">
      <c r="D20" s="15" t="s">
        <v>157</v>
      </c>
      <c r="E20" s="42">
        <f>_xlfn.QUARTILE.INC('Raw Data&amp; 2.1.1'!J2:J5000,3)</f>
        <v>1136.5</v>
      </c>
      <c r="F20" s="43"/>
      <c r="L20" s="15" t="s">
        <v>157</v>
      </c>
      <c r="M20" s="41">
        <f>'2.2.Numerical Variables'!E4</f>
        <v>534</v>
      </c>
      <c r="N20" s="41"/>
    </row>
    <row r="21" spans="2:17" x14ac:dyDescent="0.35">
      <c r="D21" s="15" t="s">
        <v>158</v>
      </c>
      <c r="E21" s="42">
        <f>E20-E19</f>
        <v>666.5</v>
      </c>
      <c r="F21" s="43"/>
      <c r="L21" s="15" t="s">
        <v>158</v>
      </c>
      <c r="M21" s="41">
        <f>M20-M19</f>
        <v>322</v>
      </c>
      <c r="N21" s="41"/>
    </row>
    <row r="22" spans="2:17" x14ac:dyDescent="0.35">
      <c r="D22" s="15" t="s">
        <v>159</v>
      </c>
      <c r="E22" s="42">
        <f>E19-1.5*E21</f>
        <v>-529.75</v>
      </c>
      <c r="F22" s="43"/>
      <c r="L22" s="15" t="s">
        <v>159</v>
      </c>
      <c r="M22" s="41">
        <f>M19-1.5*M21</f>
        <v>-271</v>
      </c>
      <c r="N22" s="41"/>
    </row>
    <row r="23" spans="2:17" x14ac:dyDescent="0.35">
      <c r="D23" s="15" t="s">
        <v>160</v>
      </c>
      <c r="E23" s="42">
        <f>E20+1.5*E21</f>
        <v>2136.25</v>
      </c>
      <c r="F23" s="43"/>
      <c r="L23" s="15" t="s">
        <v>160</v>
      </c>
      <c r="M23" s="41">
        <f>M20+1.5*M21</f>
        <v>1017</v>
      </c>
      <c r="N23" s="41"/>
    </row>
    <row r="24" spans="2:17" x14ac:dyDescent="0.35">
      <c r="D24" s="15" t="s">
        <v>161</v>
      </c>
      <c r="E24" s="44">
        <f>'2.2.Numerical Variables'!F3-'2.2.Numerical Variables'!B3</f>
        <v>8942</v>
      </c>
      <c r="F24" s="45"/>
      <c r="L24" s="15" t="s">
        <v>161</v>
      </c>
      <c r="M24" s="46">
        <f>'2.2.Numerical Variables'!F4-'2.2.Numerical Variables'!B4</f>
        <v>5374</v>
      </c>
      <c r="N24" s="46"/>
    </row>
    <row r="26" spans="2:17" x14ac:dyDescent="0.35">
      <c r="B26" s="33"/>
      <c r="C26" s="33"/>
      <c r="D26" s="33"/>
      <c r="E26" s="33"/>
      <c r="F26" s="33"/>
      <c r="G26" s="33"/>
      <c r="H26" s="33"/>
      <c r="J26" s="33"/>
      <c r="K26" s="33"/>
      <c r="L26" s="33"/>
      <c r="M26" s="33"/>
      <c r="N26" s="33"/>
      <c r="O26" s="33"/>
      <c r="P26" s="33"/>
      <c r="Q26" s="33"/>
    </row>
    <row r="27" spans="2:17" x14ac:dyDescent="0.35">
      <c r="B27" s="33"/>
      <c r="C27" s="33"/>
      <c r="D27" s="33"/>
      <c r="E27" s="33"/>
      <c r="F27" s="33"/>
      <c r="G27" s="33"/>
      <c r="H27" s="33"/>
      <c r="J27" s="33"/>
      <c r="K27" s="33"/>
      <c r="L27" s="33"/>
      <c r="M27" s="33"/>
      <c r="N27" s="33"/>
      <c r="O27" s="33"/>
      <c r="P27" s="33"/>
      <c r="Q27" s="33"/>
    </row>
    <row r="28" spans="2:17" x14ac:dyDescent="0.35">
      <c r="B28" s="33"/>
      <c r="C28" s="33"/>
      <c r="D28" s="33"/>
      <c r="E28" s="33"/>
      <c r="F28" s="33"/>
      <c r="G28" s="33"/>
      <c r="H28" s="33"/>
      <c r="J28" s="33"/>
      <c r="K28" s="33"/>
      <c r="L28" s="33"/>
      <c r="M28" s="33"/>
      <c r="N28" s="33"/>
      <c r="O28" s="33"/>
      <c r="P28" s="33"/>
      <c r="Q28" s="33"/>
    </row>
    <row r="29" spans="2:17" x14ac:dyDescent="0.35">
      <c r="B29" s="33"/>
      <c r="C29" s="33"/>
      <c r="D29" s="33"/>
      <c r="E29" s="33"/>
      <c r="F29" s="33"/>
      <c r="G29" s="33"/>
      <c r="H29" s="33"/>
      <c r="J29" s="33"/>
      <c r="K29" s="33"/>
      <c r="L29" s="33"/>
      <c r="M29" s="33"/>
      <c r="N29" s="33"/>
      <c r="O29" s="33"/>
      <c r="P29" s="33"/>
      <c r="Q29" s="33"/>
    </row>
    <row r="30" spans="2:17" x14ac:dyDescent="0.35">
      <c r="B30" s="33"/>
      <c r="C30" s="33"/>
      <c r="D30" s="33"/>
      <c r="E30" s="33"/>
      <c r="F30" s="33"/>
      <c r="G30" s="33"/>
      <c r="H30" s="33"/>
      <c r="J30" s="33"/>
      <c r="K30" s="33"/>
      <c r="L30" s="33"/>
      <c r="M30" s="33"/>
      <c r="N30" s="33"/>
      <c r="O30" s="33"/>
      <c r="P30" s="33"/>
      <c r="Q30" s="33"/>
    </row>
    <row r="31" spans="2:17" x14ac:dyDescent="0.35">
      <c r="B31" s="33"/>
      <c r="C31" s="33"/>
      <c r="D31" s="33"/>
      <c r="E31" s="33"/>
      <c r="F31" s="33"/>
      <c r="G31" s="33"/>
      <c r="H31" s="33"/>
      <c r="J31" s="33"/>
      <c r="K31" s="33"/>
      <c r="L31" s="33"/>
      <c r="M31" s="33"/>
      <c r="N31" s="33"/>
      <c r="O31" s="33"/>
      <c r="P31" s="33"/>
      <c r="Q31" s="33"/>
    </row>
    <row r="32" spans="2:17" x14ac:dyDescent="0.35">
      <c r="B32" s="33"/>
      <c r="C32" s="33"/>
      <c r="D32" s="33"/>
      <c r="E32" s="33"/>
      <c r="F32" s="33"/>
      <c r="G32" s="33"/>
      <c r="H32" s="33"/>
      <c r="J32" s="33"/>
      <c r="K32" s="33"/>
      <c r="L32" s="33"/>
      <c r="M32" s="33"/>
      <c r="N32" s="33"/>
      <c r="O32" s="33"/>
      <c r="P32" s="33"/>
      <c r="Q32" s="33"/>
    </row>
    <row r="33" spans="2:17" x14ac:dyDescent="0.35">
      <c r="B33" s="33"/>
      <c r="C33" s="33"/>
      <c r="D33" s="33"/>
      <c r="E33" s="33"/>
      <c r="F33" s="33"/>
      <c r="G33" s="33"/>
      <c r="H33" s="33"/>
      <c r="J33" s="33"/>
      <c r="K33" s="33"/>
      <c r="L33" s="33"/>
      <c r="M33" s="33"/>
      <c r="N33" s="33"/>
      <c r="O33" s="33"/>
      <c r="P33" s="33"/>
      <c r="Q33" s="33"/>
    </row>
    <row r="34" spans="2:17" x14ac:dyDescent="0.35">
      <c r="B34" s="33"/>
      <c r="C34" s="33"/>
      <c r="D34" s="33"/>
      <c r="E34" s="33"/>
      <c r="F34" s="33"/>
      <c r="G34" s="33"/>
      <c r="H34" s="33"/>
      <c r="J34" s="33"/>
      <c r="K34" s="33"/>
      <c r="L34" s="33"/>
      <c r="M34" s="33"/>
      <c r="N34" s="33"/>
      <c r="O34" s="33"/>
      <c r="P34" s="33"/>
      <c r="Q34" s="33"/>
    </row>
    <row r="35" spans="2:17" x14ac:dyDescent="0.35">
      <c r="B35" s="33"/>
      <c r="C35" s="33"/>
      <c r="D35" s="33"/>
      <c r="E35" s="33"/>
      <c r="F35" s="33"/>
      <c r="G35" s="33"/>
      <c r="H35" s="33"/>
      <c r="J35" s="33"/>
      <c r="K35" s="33"/>
      <c r="L35" s="33"/>
      <c r="M35" s="33"/>
      <c r="N35" s="33"/>
      <c r="O35" s="33"/>
      <c r="P35" s="33"/>
      <c r="Q35" s="33"/>
    </row>
  </sheetData>
  <mergeCells count="16">
    <mergeCell ref="B26:H35"/>
    <mergeCell ref="J26:Q35"/>
    <mergeCell ref="E19:F19"/>
    <mergeCell ref="E20:F20"/>
    <mergeCell ref="E21:F21"/>
    <mergeCell ref="E22:F22"/>
    <mergeCell ref="E23:F23"/>
    <mergeCell ref="E24:F24"/>
    <mergeCell ref="M22:N22"/>
    <mergeCell ref="M23:N23"/>
    <mergeCell ref="M24:N24"/>
    <mergeCell ref="D18:F18"/>
    <mergeCell ref="L18:N18"/>
    <mergeCell ref="M19:N19"/>
    <mergeCell ref="M20:N20"/>
    <mergeCell ref="M21:N2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FDA15-C286-4210-B898-4D15A4778322}">
  <dimension ref="K3:S17"/>
  <sheetViews>
    <sheetView zoomScale="71" workbookViewId="0">
      <selection activeCell="H25" sqref="H25"/>
    </sheetView>
  </sheetViews>
  <sheetFormatPr defaultRowHeight="14.5" x14ac:dyDescent="0.35"/>
  <cols>
    <col min="11" max="11" width="9.7265625" customWidth="1"/>
    <col min="14" max="14" width="10" customWidth="1"/>
  </cols>
  <sheetData>
    <row r="3" spans="11:19" x14ac:dyDescent="0.35">
      <c r="K3" s="34" t="s">
        <v>162</v>
      </c>
      <c r="L3" s="36"/>
      <c r="M3" s="34" t="s">
        <v>163</v>
      </c>
      <c r="N3" s="36"/>
      <c r="O3" s="35" t="s">
        <v>164</v>
      </c>
      <c r="P3" s="35"/>
      <c r="Q3" s="35"/>
      <c r="R3" s="35"/>
      <c r="S3" s="36"/>
    </row>
    <row r="4" spans="11:19" x14ac:dyDescent="0.35">
      <c r="K4" s="47" t="s">
        <v>165</v>
      </c>
      <c r="L4" s="48"/>
      <c r="M4" s="49" t="s">
        <v>166</v>
      </c>
      <c r="N4" s="50"/>
      <c r="O4" s="49" t="s">
        <v>167</v>
      </c>
      <c r="P4" s="51"/>
      <c r="Q4" s="51"/>
      <c r="R4" s="51"/>
      <c r="S4" s="50"/>
    </row>
    <row r="5" spans="11:19" x14ac:dyDescent="0.35">
      <c r="K5" s="52" t="s">
        <v>168</v>
      </c>
      <c r="L5" s="53"/>
      <c r="M5" s="54">
        <v>0.94930000000000003</v>
      </c>
      <c r="N5" s="55"/>
      <c r="O5" s="54" t="s">
        <v>169</v>
      </c>
      <c r="P5" s="33"/>
      <c r="Q5" s="33"/>
      <c r="R5" s="33"/>
      <c r="S5" s="55"/>
    </row>
    <row r="6" spans="11:19" x14ac:dyDescent="0.35">
      <c r="K6" s="52" t="s">
        <v>170</v>
      </c>
      <c r="L6" s="53"/>
      <c r="M6" s="54">
        <f>CORREL('Raw Data&amp; 2.1.1'!K2:K5000,'Raw Data&amp; 2.1.1'!J2:J5000)</f>
        <v>0.97433935866126664</v>
      </c>
      <c r="N6" s="55"/>
      <c r="O6" s="54" t="s">
        <v>171</v>
      </c>
      <c r="P6" s="33"/>
      <c r="Q6" s="33"/>
      <c r="R6" s="33"/>
      <c r="S6" s="55"/>
    </row>
    <row r="7" spans="11:19" x14ac:dyDescent="0.35">
      <c r="K7" s="52" t="s">
        <v>172</v>
      </c>
      <c r="L7" s="53"/>
      <c r="M7" s="54">
        <v>0.34470000000000001</v>
      </c>
      <c r="N7" s="55"/>
      <c r="O7" s="54" t="s">
        <v>173</v>
      </c>
      <c r="P7" s="33"/>
      <c r="Q7" s="33"/>
      <c r="R7" s="33"/>
      <c r="S7" s="55"/>
    </row>
    <row r="8" spans="11:19" x14ac:dyDescent="0.35">
      <c r="K8" s="56" t="s">
        <v>174</v>
      </c>
      <c r="L8" s="57"/>
      <c r="M8" s="58">
        <v>81.298000000000002</v>
      </c>
      <c r="N8" s="59"/>
      <c r="O8" s="58" t="s">
        <v>175</v>
      </c>
      <c r="P8" s="60"/>
      <c r="Q8" s="60"/>
      <c r="R8" s="60"/>
      <c r="S8" s="59"/>
    </row>
    <row r="10" spans="11:19" x14ac:dyDescent="0.35">
      <c r="K10" s="33"/>
      <c r="L10" s="33"/>
      <c r="M10" s="33"/>
      <c r="N10" s="33"/>
      <c r="O10" s="33"/>
      <c r="P10" s="33"/>
      <c r="Q10" s="33"/>
      <c r="R10" s="33"/>
      <c r="S10" s="33"/>
    </row>
    <row r="11" spans="11:19" x14ac:dyDescent="0.35">
      <c r="K11" s="33"/>
      <c r="L11" s="33"/>
      <c r="M11" s="33"/>
      <c r="N11" s="33"/>
      <c r="O11" s="33"/>
      <c r="P11" s="33"/>
      <c r="Q11" s="33"/>
      <c r="R11" s="33"/>
      <c r="S11" s="33"/>
    </row>
    <row r="12" spans="11:19" x14ac:dyDescent="0.35">
      <c r="K12" s="33"/>
      <c r="L12" s="33"/>
      <c r="M12" s="33"/>
      <c r="N12" s="33"/>
      <c r="O12" s="33"/>
      <c r="P12" s="33"/>
      <c r="Q12" s="33"/>
      <c r="R12" s="33"/>
      <c r="S12" s="33"/>
    </row>
    <row r="13" spans="11:19" x14ac:dyDescent="0.35">
      <c r="K13" s="33"/>
      <c r="L13" s="33"/>
      <c r="M13" s="33"/>
      <c r="N13" s="33"/>
      <c r="O13" s="33"/>
      <c r="P13" s="33"/>
      <c r="Q13" s="33"/>
      <c r="R13" s="33"/>
      <c r="S13" s="33"/>
    </row>
    <row r="14" spans="11:19" x14ac:dyDescent="0.35">
      <c r="K14" s="33"/>
      <c r="L14" s="33"/>
      <c r="M14" s="33"/>
      <c r="N14" s="33"/>
      <c r="O14" s="33"/>
      <c r="P14" s="33"/>
      <c r="Q14" s="33"/>
      <c r="R14" s="33"/>
      <c r="S14" s="33"/>
    </row>
    <row r="15" spans="11:19" x14ac:dyDescent="0.35">
      <c r="K15" s="33"/>
      <c r="L15" s="33"/>
      <c r="M15" s="33"/>
      <c r="N15" s="33"/>
      <c r="O15" s="33"/>
      <c r="P15" s="33"/>
      <c r="Q15" s="33"/>
      <c r="R15" s="33"/>
      <c r="S15" s="33"/>
    </row>
    <row r="16" spans="11:19" x14ac:dyDescent="0.35">
      <c r="K16" s="33"/>
      <c r="L16" s="33"/>
      <c r="M16" s="33"/>
      <c r="N16" s="33"/>
      <c r="O16" s="33"/>
      <c r="P16" s="33"/>
      <c r="Q16" s="33"/>
      <c r="R16" s="33"/>
      <c r="S16" s="33"/>
    </row>
    <row r="17" spans="11:19" x14ac:dyDescent="0.35">
      <c r="K17" s="33"/>
      <c r="L17" s="33"/>
      <c r="M17" s="33"/>
      <c r="N17" s="33"/>
      <c r="O17" s="33"/>
      <c r="P17" s="33"/>
      <c r="Q17" s="33"/>
      <c r="R17" s="33"/>
      <c r="S17" s="33"/>
    </row>
  </sheetData>
  <mergeCells count="19">
    <mergeCell ref="K5:L5"/>
    <mergeCell ref="M5:N5"/>
    <mergeCell ref="O5:S5"/>
    <mergeCell ref="K10:S17"/>
    <mergeCell ref="K6:L6"/>
    <mergeCell ref="M6:N6"/>
    <mergeCell ref="O6:S6"/>
    <mergeCell ref="K7:L7"/>
    <mergeCell ref="K8:L8"/>
    <mergeCell ref="M7:N7"/>
    <mergeCell ref="O7:S7"/>
    <mergeCell ref="M8:N8"/>
    <mergeCell ref="O8:S8"/>
    <mergeCell ref="K3:L3"/>
    <mergeCell ref="M3:N3"/>
    <mergeCell ref="O3:S3"/>
    <mergeCell ref="K4:L4"/>
    <mergeCell ref="M4:N4"/>
    <mergeCell ref="O4:S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6C652CFBF13994FBD9838C240BCCDF0" ma:contentTypeVersion="5" ma:contentTypeDescription="Create a new document." ma:contentTypeScope="" ma:versionID="0669be22a7646844ed2d703c9e3eb8ee">
  <xsd:schema xmlns:xsd="http://www.w3.org/2001/XMLSchema" xmlns:xs="http://www.w3.org/2001/XMLSchema" xmlns:p="http://schemas.microsoft.com/office/2006/metadata/properties" xmlns:ns3="68bbd309-7726-4af3-9962-98336f168603" targetNamespace="http://schemas.microsoft.com/office/2006/metadata/properties" ma:root="true" ma:fieldsID="0ca61fddb605e3dbb199e08f49a9a1c8" ns3:_="">
    <xsd:import namespace="68bbd309-7726-4af3-9962-98336f16860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bbd309-7726-4af3-9962-98336f16860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68bbd309-7726-4af3-9962-98336f168603" xsi:nil="true"/>
  </documentManagement>
</p:properties>
</file>

<file path=customXml/itemProps1.xml><?xml version="1.0" encoding="utf-8"?>
<ds:datastoreItem xmlns:ds="http://schemas.openxmlformats.org/officeDocument/2006/customXml" ds:itemID="{52228AB5-7CC2-462B-8EFB-28C431B3C168}">
  <ds:schemaRefs>
    <ds:schemaRef ds:uri="http://schemas.microsoft.com/sharepoint/v3/contenttype/forms"/>
  </ds:schemaRefs>
</ds:datastoreItem>
</file>

<file path=customXml/itemProps2.xml><?xml version="1.0" encoding="utf-8"?>
<ds:datastoreItem xmlns:ds="http://schemas.openxmlformats.org/officeDocument/2006/customXml" ds:itemID="{9BB2C368-B99C-4143-8BEE-B4C177FE2B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bbd309-7726-4af3-9962-98336f1686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517E88-C1B4-44D3-8B4B-981176A32E40}">
  <ds:schemaRefs>
    <ds:schemaRef ds:uri="http://schemas.microsoft.com/office/2006/metadata/properties"/>
    <ds:schemaRef ds:uri="http://schemas.microsoft.com/office/infopath/2007/PartnerControls"/>
    <ds:schemaRef ds:uri="68bbd309-7726-4af3-9962-98336f1686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Data&amp; 2.1.1</vt:lpstr>
      <vt:lpstr>1. Dataset and task decription</vt:lpstr>
      <vt:lpstr>2.1.2 Descriptive Analytics</vt:lpstr>
      <vt:lpstr>2.2.Numerical Variables</vt:lpstr>
      <vt:lpstr>2.2.3. Box Plot</vt:lpstr>
      <vt:lpstr>3.Simple Linear Regression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Tai Nguyen</dc:creator>
  <cp:keywords/>
  <dc:description/>
  <cp:lastModifiedBy>Kero Nguyen</cp:lastModifiedBy>
  <cp:revision/>
  <dcterms:created xsi:type="dcterms:W3CDTF">2025-11-08T16:38:44Z</dcterms:created>
  <dcterms:modified xsi:type="dcterms:W3CDTF">2026-01-28T07:55:14Z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0x010100B6C652CFBF13994FBD9838C240BCCDF0</vt:lpwstr>
  </property>
</Properties>
</file>